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88_flyming\stock_msci_roic\msci_docs\"/>
    </mc:Choice>
  </mc:AlternateContent>
  <bookViews>
    <workbookView xWindow="0" yWindow="0" windowWidth="28800" windowHeight="12210" tabRatio="699" activeTab="6"/>
  </bookViews>
  <sheets>
    <sheet name="China Index ROIC" sheetId="1" r:id="rId1"/>
    <sheet name="MSCI中国成分股" sheetId="4" r:id="rId2"/>
    <sheet name="过滤" sheetId="5" r:id="rId3"/>
    <sheet name="当前走势" sheetId="7" r:id="rId4"/>
    <sheet name="MSCI最终筛选标的-原" sheetId="6" r:id="rId5"/>
    <sheet name="MSCI最终筛选标的 (2)" sheetId="8" r:id="rId6"/>
    <sheet name="5+5" sheetId="13" r:id="rId7"/>
    <sheet name="低价低市值+5+5" sheetId="11" r:id="rId8"/>
    <sheet name="深证+可选&amp;信息技术" sheetId="12" r:id="rId9"/>
    <sheet name="List" sheetId="9" r:id="rId10"/>
  </sheets>
  <definedNames>
    <definedName name="_xlnm._FilterDatabase" localSheetId="6" hidden="1">'5+5'!$A$1:$I$29</definedName>
    <definedName name="_xlnm._FilterDatabase" localSheetId="0" hidden="1">'China Index ROIC'!$A$1:$E$4082</definedName>
    <definedName name="_xlnm._FilterDatabase" localSheetId="5" hidden="1">'MSCI最终筛选标的 (2)'!$A$1:$I$119</definedName>
    <definedName name="_xlnm._FilterDatabase" localSheetId="4" hidden="1">'MSCI最终筛选标的-原'!$A$1:$I$119</definedName>
    <definedName name="_xlnm._FilterDatabase" localSheetId="7" hidden="1">'低价低市值+5+5'!$A$1:$I$17</definedName>
    <definedName name="_xlnm._FilterDatabase" localSheetId="2" hidden="1">过滤!$A$1:$F$4082</definedName>
    <definedName name="_xlnm._FilterDatabase" localSheetId="8" hidden="1">'深证+可选&amp;信息技术'!$A$1:$I$8</definedName>
  </definedNames>
  <calcPr calcId="162913"/>
</workbook>
</file>

<file path=xl/calcChain.xml><?xml version="1.0" encoding="utf-8"?>
<calcChain xmlns="http://schemas.openxmlformats.org/spreadsheetml/2006/main">
  <c r="I13" i="13" l="1"/>
  <c r="I17" i="13"/>
  <c r="I19" i="13"/>
  <c r="I20" i="13"/>
  <c r="I9" i="13"/>
  <c r="I23" i="13"/>
  <c r="I28" i="13"/>
  <c r="I27" i="13"/>
  <c r="I2" i="13"/>
  <c r="I3" i="13"/>
  <c r="I5" i="13"/>
  <c r="I16" i="13"/>
  <c r="I25" i="13"/>
  <c r="I26" i="13"/>
  <c r="I18" i="13"/>
  <c r="I7" i="13"/>
  <c r="I12" i="13"/>
  <c r="I14" i="13"/>
  <c r="I10" i="13"/>
  <c r="I15" i="13"/>
  <c r="I24" i="13"/>
  <c r="I11" i="13"/>
  <c r="I22" i="13"/>
  <c r="I8" i="13"/>
  <c r="I29" i="13"/>
  <c r="I6" i="13"/>
  <c r="I4" i="13"/>
  <c r="I21" i="13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2" i="6"/>
  <c r="E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2" i="6"/>
  <c r="D2" i="6"/>
  <c r="I43" i="8"/>
  <c r="I44" i="8"/>
  <c r="I46" i="8"/>
  <c r="I24" i="8"/>
  <c r="I20" i="8"/>
  <c r="I40" i="8"/>
  <c r="I37" i="8"/>
  <c r="I10" i="8"/>
  <c r="I11" i="8"/>
  <c r="I30" i="8"/>
  <c r="I48" i="8"/>
  <c r="I7" i="8"/>
  <c r="I31" i="8"/>
  <c r="I39" i="8"/>
  <c r="I9" i="8"/>
  <c r="I56" i="8"/>
  <c r="I41" i="8"/>
  <c r="I22" i="8"/>
  <c r="I35" i="8"/>
  <c r="I18" i="8"/>
  <c r="I15" i="8"/>
  <c r="I32" i="8"/>
  <c r="I29" i="8"/>
  <c r="I51" i="8"/>
  <c r="I17" i="8"/>
  <c r="I27" i="8"/>
  <c r="I12" i="8"/>
  <c r="I49" i="8"/>
  <c r="I5" i="8"/>
  <c r="I2" i="8"/>
  <c r="I34" i="8"/>
  <c r="I36" i="8"/>
  <c r="I55" i="8"/>
  <c r="I57" i="8"/>
  <c r="I54" i="8"/>
  <c r="I52" i="8"/>
  <c r="I47" i="8"/>
  <c r="I28" i="8"/>
  <c r="I16" i="8"/>
  <c r="I26" i="8"/>
  <c r="I25" i="8"/>
  <c r="I21" i="8"/>
  <c r="I19" i="8"/>
  <c r="I14" i="8"/>
  <c r="I4" i="8"/>
  <c r="I3" i="8"/>
  <c r="I53" i="8"/>
  <c r="I42" i="8"/>
  <c r="I23" i="8"/>
  <c r="I38" i="8"/>
  <c r="I8" i="8"/>
  <c r="I45" i="8"/>
  <c r="I50" i="8"/>
  <c r="I33" i="8"/>
  <c r="I13" i="8"/>
  <c r="I6" i="8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164" i="7"/>
  <c r="B2165" i="7"/>
  <c r="B2166" i="7"/>
  <c r="B2167" i="7"/>
  <c r="B2168" i="7"/>
  <c r="B2169" i="7"/>
  <c r="B2170" i="7"/>
  <c r="B2171" i="7"/>
  <c r="B2172" i="7"/>
  <c r="B2173" i="7"/>
  <c r="B2174" i="7"/>
  <c r="B2175" i="7"/>
  <c r="B2176" i="7"/>
  <c r="B2177" i="7"/>
  <c r="B2178" i="7"/>
  <c r="B2179" i="7"/>
  <c r="B2180" i="7"/>
  <c r="B2181" i="7"/>
  <c r="B2182" i="7"/>
  <c r="B2183" i="7"/>
  <c r="B2184" i="7"/>
  <c r="B2185" i="7"/>
  <c r="B2186" i="7"/>
  <c r="B2187" i="7"/>
  <c r="B2188" i="7"/>
  <c r="B2189" i="7"/>
  <c r="B2190" i="7"/>
  <c r="B2191" i="7"/>
  <c r="B2192" i="7"/>
  <c r="B2193" i="7"/>
  <c r="B2194" i="7"/>
  <c r="B2195" i="7"/>
  <c r="B2196" i="7"/>
  <c r="B2197" i="7"/>
  <c r="B2198" i="7"/>
  <c r="B2199" i="7"/>
  <c r="B2200" i="7"/>
  <c r="B2201" i="7"/>
  <c r="B2202" i="7"/>
  <c r="B2203" i="7"/>
  <c r="B2204" i="7"/>
  <c r="B2205" i="7"/>
  <c r="B2206" i="7"/>
  <c r="B2207" i="7"/>
  <c r="B2208" i="7"/>
  <c r="B2209" i="7"/>
  <c r="B2210" i="7"/>
  <c r="B2211" i="7"/>
  <c r="B2212" i="7"/>
  <c r="B2213" i="7"/>
  <c r="B2214" i="7"/>
  <c r="B2215" i="7"/>
  <c r="B2216" i="7"/>
  <c r="B2217" i="7"/>
  <c r="B2218" i="7"/>
  <c r="B2219" i="7"/>
  <c r="B2220" i="7"/>
  <c r="B2221" i="7"/>
  <c r="B2222" i="7"/>
  <c r="B2223" i="7"/>
  <c r="B2224" i="7"/>
  <c r="B2225" i="7"/>
  <c r="B2226" i="7"/>
  <c r="B2227" i="7"/>
  <c r="B2228" i="7"/>
  <c r="B2229" i="7"/>
  <c r="B2230" i="7"/>
  <c r="B2231" i="7"/>
  <c r="B2232" i="7"/>
  <c r="B2233" i="7"/>
  <c r="B2234" i="7"/>
  <c r="B2235" i="7"/>
  <c r="B2236" i="7"/>
  <c r="B2237" i="7"/>
  <c r="B2238" i="7"/>
  <c r="B2239" i="7"/>
  <c r="B2240" i="7"/>
  <c r="B2241" i="7"/>
  <c r="B2242" i="7"/>
  <c r="B2243" i="7"/>
  <c r="B2244" i="7"/>
  <c r="B2245" i="7"/>
  <c r="B2246" i="7"/>
  <c r="B2247" i="7"/>
  <c r="B2248" i="7"/>
  <c r="B2249" i="7"/>
  <c r="B2250" i="7"/>
  <c r="B2251" i="7"/>
  <c r="B2252" i="7"/>
  <c r="B2253" i="7"/>
  <c r="B2254" i="7"/>
  <c r="B2255" i="7"/>
  <c r="B2256" i="7"/>
  <c r="B2257" i="7"/>
  <c r="B2258" i="7"/>
  <c r="B2259" i="7"/>
  <c r="B2260" i="7"/>
  <c r="B2261" i="7"/>
  <c r="B2262" i="7"/>
  <c r="B2263" i="7"/>
  <c r="B2264" i="7"/>
  <c r="B2265" i="7"/>
  <c r="B2266" i="7"/>
  <c r="B2267" i="7"/>
  <c r="B2268" i="7"/>
  <c r="B2269" i="7"/>
  <c r="B2270" i="7"/>
  <c r="B2271" i="7"/>
  <c r="B2272" i="7"/>
  <c r="B2273" i="7"/>
  <c r="B2274" i="7"/>
  <c r="B2275" i="7"/>
  <c r="B2276" i="7"/>
  <c r="B2277" i="7"/>
  <c r="B2278" i="7"/>
  <c r="B2279" i="7"/>
  <c r="B2280" i="7"/>
  <c r="B2281" i="7"/>
  <c r="B2282" i="7"/>
  <c r="B2283" i="7"/>
  <c r="B2284" i="7"/>
  <c r="B2285" i="7"/>
  <c r="B2286" i="7"/>
  <c r="B2287" i="7"/>
  <c r="B2288" i="7"/>
  <c r="B2289" i="7"/>
  <c r="B2290" i="7"/>
  <c r="B2291" i="7"/>
  <c r="B2292" i="7"/>
  <c r="B2293" i="7"/>
  <c r="B2294" i="7"/>
  <c r="B2295" i="7"/>
  <c r="B2296" i="7"/>
  <c r="B2297" i="7"/>
  <c r="B2298" i="7"/>
  <c r="B2299" i="7"/>
  <c r="B2300" i="7"/>
  <c r="B2301" i="7"/>
  <c r="B2302" i="7"/>
  <c r="B2303" i="7"/>
  <c r="B2304" i="7"/>
  <c r="B2305" i="7"/>
  <c r="B2306" i="7"/>
  <c r="B2307" i="7"/>
  <c r="B2308" i="7"/>
  <c r="B2309" i="7"/>
  <c r="B2310" i="7"/>
  <c r="B2311" i="7"/>
  <c r="B2312" i="7"/>
  <c r="B2313" i="7"/>
  <c r="B2314" i="7"/>
  <c r="B2315" i="7"/>
  <c r="B2316" i="7"/>
  <c r="B2317" i="7"/>
  <c r="B2318" i="7"/>
  <c r="B2319" i="7"/>
  <c r="B2320" i="7"/>
  <c r="B2321" i="7"/>
  <c r="B2322" i="7"/>
  <c r="B2323" i="7"/>
  <c r="B2324" i="7"/>
  <c r="B2325" i="7"/>
  <c r="B2326" i="7"/>
  <c r="B2327" i="7"/>
  <c r="B2328" i="7"/>
  <c r="B2329" i="7"/>
  <c r="B2330" i="7"/>
  <c r="B2331" i="7"/>
  <c r="B2332" i="7"/>
  <c r="B2333" i="7"/>
  <c r="B2334" i="7"/>
  <c r="B2335" i="7"/>
  <c r="B2336" i="7"/>
  <c r="B2337" i="7"/>
  <c r="B2338" i="7"/>
  <c r="B2339" i="7"/>
  <c r="B2340" i="7"/>
  <c r="B2341" i="7"/>
  <c r="B2342" i="7"/>
  <c r="B2343" i="7"/>
  <c r="B2344" i="7"/>
  <c r="B2345" i="7"/>
  <c r="B2346" i="7"/>
  <c r="B2347" i="7"/>
  <c r="B2348" i="7"/>
  <c r="B2349" i="7"/>
  <c r="B2350" i="7"/>
  <c r="B2351" i="7"/>
  <c r="B2352" i="7"/>
  <c r="B2353" i="7"/>
  <c r="B2354" i="7"/>
  <c r="B2355" i="7"/>
  <c r="B2356" i="7"/>
  <c r="B2357" i="7"/>
  <c r="B2358" i="7"/>
  <c r="B2359" i="7"/>
  <c r="B2360" i="7"/>
  <c r="B2361" i="7"/>
  <c r="B2362" i="7"/>
  <c r="B2363" i="7"/>
  <c r="B2364" i="7"/>
  <c r="B2365" i="7"/>
  <c r="B2366" i="7"/>
  <c r="B2367" i="7"/>
  <c r="B2368" i="7"/>
  <c r="B2369" i="7"/>
  <c r="B2370" i="7"/>
  <c r="B2371" i="7"/>
  <c r="B2372" i="7"/>
  <c r="B2373" i="7"/>
  <c r="B2374" i="7"/>
  <c r="B2375" i="7"/>
  <c r="B2376" i="7"/>
  <c r="B2377" i="7"/>
  <c r="B2378" i="7"/>
  <c r="B2379" i="7"/>
  <c r="B2380" i="7"/>
  <c r="B2381" i="7"/>
  <c r="B2382" i="7"/>
  <c r="B2383" i="7"/>
  <c r="B2384" i="7"/>
  <c r="B2385" i="7"/>
  <c r="B2386" i="7"/>
  <c r="B2387" i="7"/>
  <c r="B2388" i="7"/>
  <c r="B2389" i="7"/>
  <c r="B2390" i="7"/>
  <c r="B2391" i="7"/>
  <c r="B2392" i="7"/>
  <c r="B2393" i="7"/>
  <c r="B2394" i="7"/>
  <c r="B2395" i="7"/>
  <c r="B2396" i="7"/>
  <c r="B2397" i="7"/>
  <c r="B2398" i="7"/>
  <c r="B2399" i="7"/>
  <c r="B2400" i="7"/>
  <c r="B2401" i="7"/>
  <c r="B2402" i="7"/>
  <c r="B2403" i="7"/>
  <c r="B2404" i="7"/>
  <c r="B2405" i="7"/>
  <c r="B2406" i="7"/>
  <c r="B2407" i="7"/>
  <c r="B2408" i="7"/>
  <c r="B2409" i="7"/>
  <c r="B2410" i="7"/>
  <c r="B2411" i="7"/>
  <c r="B2412" i="7"/>
  <c r="B2413" i="7"/>
  <c r="B2414" i="7"/>
  <c r="B2415" i="7"/>
  <c r="B2416" i="7"/>
  <c r="B2417" i="7"/>
  <c r="B2418" i="7"/>
  <c r="B2419" i="7"/>
  <c r="B2420" i="7"/>
  <c r="B2421" i="7"/>
  <c r="B2422" i="7"/>
  <c r="B2423" i="7"/>
  <c r="B2424" i="7"/>
  <c r="B2425" i="7"/>
  <c r="B2426" i="7"/>
  <c r="B2427" i="7"/>
  <c r="B2428" i="7"/>
  <c r="B2429" i="7"/>
  <c r="B2430" i="7"/>
  <c r="B2431" i="7"/>
  <c r="B2432" i="7"/>
  <c r="B2433" i="7"/>
  <c r="B2434" i="7"/>
  <c r="B2435" i="7"/>
  <c r="B2436" i="7"/>
  <c r="B2437" i="7"/>
  <c r="B2438" i="7"/>
  <c r="B2439" i="7"/>
  <c r="B2440" i="7"/>
  <c r="B2441" i="7"/>
  <c r="B2442" i="7"/>
  <c r="B2443" i="7"/>
  <c r="B2444" i="7"/>
  <c r="B2445" i="7"/>
  <c r="B2446" i="7"/>
  <c r="B2447" i="7"/>
  <c r="B2448" i="7"/>
  <c r="B2449" i="7"/>
  <c r="B2450" i="7"/>
  <c r="B2451" i="7"/>
  <c r="B2452" i="7"/>
  <c r="B2453" i="7"/>
  <c r="B2454" i="7"/>
  <c r="B2455" i="7"/>
  <c r="B2456" i="7"/>
  <c r="B2457" i="7"/>
  <c r="B2458" i="7"/>
  <c r="B2459" i="7"/>
  <c r="B2460" i="7"/>
  <c r="B2461" i="7"/>
  <c r="B2462" i="7"/>
  <c r="B2463" i="7"/>
  <c r="B2464" i="7"/>
  <c r="B2465" i="7"/>
  <c r="B2466" i="7"/>
  <c r="B2467" i="7"/>
  <c r="B2468" i="7"/>
  <c r="B2469" i="7"/>
  <c r="B2470" i="7"/>
  <c r="B2471" i="7"/>
  <c r="B2472" i="7"/>
  <c r="B2473" i="7"/>
  <c r="B2474" i="7"/>
  <c r="B2475" i="7"/>
  <c r="B2476" i="7"/>
  <c r="B2477" i="7"/>
  <c r="B2478" i="7"/>
  <c r="B2479" i="7"/>
  <c r="B2480" i="7"/>
  <c r="B2481" i="7"/>
  <c r="B2482" i="7"/>
  <c r="B2483" i="7"/>
  <c r="B2484" i="7"/>
  <c r="B2485" i="7"/>
  <c r="B2486" i="7"/>
  <c r="B2487" i="7"/>
  <c r="B2488" i="7"/>
  <c r="B2489" i="7"/>
  <c r="B2490" i="7"/>
  <c r="B2491" i="7"/>
  <c r="B2492" i="7"/>
  <c r="B2493" i="7"/>
  <c r="B2494" i="7"/>
  <c r="B2495" i="7"/>
  <c r="B2496" i="7"/>
  <c r="B2497" i="7"/>
  <c r="B2498" i="7"/>
  <c r="B2499" i="7"/>
  <c r="B2500" i="7"/>
  <c r="B2501" i="7"/>
  <c r="B2502" i="7"/>
  <c r="B2503" i="7"/>
  <c r="B2504" i="7"/>
  <c r="B2505" i="7"/>
  <c r="B2506" i="7"/>
  <c r="B2507" i="7"/>
  <c r="B2508" i="7"/>
  <c r="B2509" i="7"/>
  <c r="B2510" i="7"/>
  <c r="B2511" i="7"/>
  <c r="B2512" i="7"/>
  <c r="B2513" i="7"/>
  <c r="B2514" i="7"/>
  <c r="B2515" i="7"/>
  <c r="B2516" i="7"/>
  <c r="B2517" i="7"/>
  <c r="B2518" i="7"/>
  <c r="B2519" i="7"/>
  <c r="B2520" i="7"/>
  <c r="B2521" i="7"/>
  <c r="B2522" i="7"/>
  <c r="B2523" i="7"/>
  <c r="B2524" i="7"/>
  <c r="B2525" i="7"/>
  <c r="B2526" i="7"/>
  <c r="B2527" i="7"/>
  <c r="B2528" i="7"/>
  <c r="B2529" i="7"/>
  <c r="B2530" i="7"/>
  <c r="B2531" i="7"/>
  <c r="B2532" i="7"/>
  <c r="B2533" i="7"/>
  <c r="B2534" i="7"/>
  <c r="B2535" i="7"/>
  <c r="B2536" i="7"/>
  <c r="B2537" i="7"/>
  <c r="B2538" i="7"/>
  <c r="B2539" i="7"/>
  <c r="B2540" i="7"/>
  <c r="B2541" i="7"/>
  <c r="B2542" i="7"/>
  <c r="B2543" i="7"/>
  <c r="B2544" i="7"/>
  <c r="B2545" i="7"/>
  <c r="B2546" i="7"/>
  <c r="B2547" i="7"/>
  <c r="B2548" i="7"/>
  <c r="B2549" i="7"/>
  <c r="B2550" i="7"/>
  <c r="B2551" i="7"/>
  <c r="B2552" i="7"/>
  <c r="B2553" i="7"/>
  <c r="B2554" i="7"/>
  <c r="B2555" i="7"/>
  <c r="B2556" i="7"/>
  <c r="B2557" i="7"/>
  <c r="B2558" i="7"/>
  <c r="B2559" i="7"/>
  <c r="B2560" i="7"/>
  <c r="B2561" i="7"/>
  <c r="B2562" i="7"/>
  <c r="B2563" i="7"/>
  <c r="B2564" i="7"/>
  <c r="B2565" i="7"/>
  <c r="B2566" i="7"/>
  <c r="B2567" i="7"/>
  <c r="B2568" i="7"/>
  <c r="B2569" i="7"/>
  <c r="B2570" i="7"/>
  <c r="B2571" i="7"/>
  <c r="B2572" i="7"/>
  <c r="B2573" i="7"/>
  <c r="B2574" i="7"/>
  <c r="B2575" i="7"/>
  <c r="B2576" i="7"/>
  <c r="B2577" i="7"/>
  <c r="B2578" i="7"/>
  <c r="B2579" i="7"/>
  <c r="B2580" i="7"/>
  <c r="B2581" i="7"/>
  <c r="B2582" i="7"/>
  <c r="B2583" i="7"/>
  <c r="B2584" i="7"/>
  <c r="B2585" i="7"/>
  <c r="B2586" i="7"/>
  <c r="B2587" i="7"/>
  <c r="B2588" i="7"/>
  <c r="B2589" i="7"/>
  <c r="B2590" i="7"/>
  <c r="B2591" i="7"/>
  <c r="B2592" i="7"/>
  <c r="B2593" i="7"/>
  <c r="B2594" i="7"/>
  <c r="B2595" i="7"/>
  <c r="B2596" i="7"/>
  <c r="B2597" i="7"/>
  <c r="B2598" i="7"/>
  <c r="B2599" i="7"/>
  <c r="B2600" i="7"/>
  <c r="B2601" i="7"/>
  <c r="B2602" i="7"/>
  <c r="B2603" i="7"/>
  <c r="B2604" i="7"/>
  <c r="B2605" i="7"/>
  <c r="B2606" i="7"/>
  <c r="B2607" i="7"/>
  <c r="B2608" i="7"/>
  <c r="B2609" i="7"/>
  <c r="B2610" i="7"/>
  <c r="B2611" i="7"/>
  <c r="B2612" i="7"/>
  <c r="B2613" i="7"/>
  <c r="B2614" i="7"/>
  <c r="B2615" i="7"/>
  <c r="B2616" i="7"/>
  <c r="B2617" i="7"/>
  <c r="B2618" i="7"/>
  <c r="B2619" i="7"/>
  <c r="B2620" i="7"/>
  <c r="B2621" i="7"/>
  <c r="B2622" i="7"/>
  <c r="B2623" i="7"/>
  <c r="B2624" i="7"/>
  <c r="B2625" i="7"/>
  <c r="B2626" i="7"/>
  <c r="B2627" i="7"/>
  <c r="B2628" i="7"/>
  <c r="B2629" i="7"/>
  <c r="B2630" i="7"/>
  <c r="B2631" i="7"/>
  <c r="B2632" i="7"/>
  <c r="B2633" i="7"/>
  <c r="B2634" i="7"/>
  <c r="B2635" i="7"/>
  <c r="B2636" i="7"/>
  <c r="B2637" i="7"/>
  <c r="B2638" i="7"/>
  <c r="B2639" i="7"/>
  <c r="B2640" i="7"/>
  <c r="B2641" i="7"/>
  <c r="B2642" i="7"/>
  <c r="B2643" i="7"/>
  <c r="B2644" i="7"/>
  <c r="B2645" i="7"/>
  <c r="B2646" i="7"/>
  <c r="B2647" i="7"/>
  <c r="B2648" i="7"/>
  <c r="B2649" i="7"/>
  <c r="B2650" i="7"/>
  <c r="B2651" i="7"/>
  <c r="B2652" i="7"/>
  <c r="B2653" i="7"/>
  <c r="B2654" i="7"/>
  <c r="B2655" i="7"/>
  <c r="B2656" i="7"/>
  <c r="B2657" i="7"/>
  <c r="B2658" i="7"/>
  <c r="B2659" i="7"/>
  <c r="B2660" i="7"/>
  <c r="B2661" i="7"/>
  <c r="B2662" i="7"/>
  <c r="B2663" i="7"/>
  <c r="B2664" i="7"/>
  <c r="B2665" i="7"/>
  <c r="B2666" i="7"/>
  <c r="B2667" i="7"/>
  <c r="B2668" i="7"/>
  <c r="B2669" i="7"/>
  <c r="B2670" i="7"/>
  <c r="B2671" i="7"/>
  <c r="B2672" i="7"/>
  <c r="B2673" i="7"/>
  <c r="B2674" i="7"/>
  <c r="B2675" i="7"/>
  <c r="B2676" i="7"/>
  <c r="B2677" i="7"/>
  <c r="B2678" i="7"/>
  <c r="B2679" i="7"/>
  <c r="B2680" i="7"/>
  <c r="B2681" i="7"/>
  <c r="B2682" i="7"/>
  <c r="B2683" i="7"/>
  <c r="B2684" i="7"/>
  <c r="B2685" i="7"/>
  <c r="B2686" i="7"/>
  <c r="B2687" i="7"/>
  <c r="B2688" i="7"/>
  <c r="B2689" i="7"/>
  <c r="B2690" i="7"/>
  <c r="B2691" i="7"/>
  <c r="B2692" i="7"/>
  <c r="B2693" i="7"/>
  <c r="B2694" i="7"/>
  <c r="B2695" i="7"/>
  <c r="B2696" i="7"/>
  <c r="B2697" i="7"/>
  <c r="B2698" i="7"/>
  <c r="B2699" i="7"/>
  <c r="B2700" i="7"/>
  <c r="B2701" i="7"/>
  <c r="B2702" i="7"/>
  <c r="B2703" i="7"/>
  <c r="B2704" i="7"/>
  <c r="B2705" i="7"/>
  <c r="B2706" i="7"/>
  <c r="B2707" i="7"/>
  <c r="B2708" i="7"/>
  <c r="B2709" i="7"/>
  <c r="B2710" i="7"/>
  <c r="B2711" i="7"/>
  <c r="B2712" i="7"/>
  <c r="B2713" i="7"/>
  <c r="B2714" i="7"/>
  <c r="B2715" i="7"/>
  <c r="B2716" i="7"/>
  <c r="B2717" i="7"/>
  <c r="B2718" i="7"/>
  <c r="B2719" i="7"/>
  <c r="B2720" i="7"/>
  <c r="B2721" i="7"/>
  <c r="B2722" i="7"/>
  <c r="B2723" i="7"/>
  <c r="B2724" i="7"/>
  <c r="B2725" i="7"/>
  <c r="B2726" i="7"/>
  <c r="B2727" i="7"/>
  <c r="B2728" i="7"/>
  <c r="B2729" i="7"/>
  <c r="B2730" i="7"/>
  <c r="B2731" i="7"/>
  <c r="B2732" i="7"/>
  <c r="B2733" i="7"/>
  <c r="B2734" i="7"/>
  <c r="B2735" i="7"/>
  <c r="B2736" i="7"/>
  <c r="B2737" i="7"/>
  <c r="B2738" i="7"/>
  <c r="B2739" i="7"/>
  <c r="B2740" i="7"/>
  <c r="B2741" i="7"/>
  <c r="B2742" i="7"/>
  <c r="B2743" i="7"/>
  <c r="B2744" i="7"/>
  <c r="B2745" i="7"/>
  <c r="B2746" i="7"/>
  <c r="B2747" i="7"/>
  <c r="B2748" i="7"/>
  <c r="B2749" i="7"/>
  <c r="B2750" i="7"/>
  <c r="B2751" i="7"/>
  <c r="B2752" i="7"/>
  <c r="B2753" i="7"/>
  <c r="B2754" i="7"/>
  <c r="B2755" i="7"/>
  <c r="B2756" i="7"/>
  <c r="B2757" i="7"/>
  <c r="B2758" i="7"/>
  <c r="B2759" i="7"/>
  <c r="B2760" i="7"/>
  <c r="B2761" i="7"/>
  <c r="B2762" i="7"/>
  <c r="B2763" i="7"/>
  <c r="B2764" i="7"/>
  <c r="B2765" i="7"/>
  <c r="B2766" i="7"/>
  <c r="B2767" i="7"/>
  <c r="B2768" i="7"/>
  <c r="B2769" i="7"/>
  <c r="B2770" i="7"/>
  <c r="B2771" i="7"/>
  <c r="B2772" i="7"/>
  <c r="B2773" i="7"/>
  <c r="B2774" i="7"/>
  <c r="B2775" i="7"/>
  <c r="B2776" i="7"/>
  <c r="B2777" i="7"/>
  <c r="B2778" i="7"/>
  <c r="B2779" i="7"/>
  <c r="B2780" i="7"/>
  <c r="B2781" i="7"/>
  <c r="B2782" i="7"/>
  <c r="B2783" i="7"/>
  <c r="B2784" i="7"/>
  <c r="B2785" i="7"/>
  <c r="B2786" i="7"/>
  <c r="B2787" i="7"/>
  <c r="B2788" i="7"/>
  <c r="B2789" i="7"/>
  <c r="B2790" i="7"/>
  <c r="B2791" i="7"/>
  <c r="B2792" i="7"/>
  <c r="B2793" i="7"/>
  <c r="B2794" i="7"/>
  <c r="B2795" i="7"/>
  <c r="B2796" i="7"/>
  <c r="B2797" i="7"/>
  <c r="B2798" i="7"/>
  <c r="B2799" i="7"/>
  <c r="B2800" i="7"/>
  <c r="B2801" i="7"/>
  <c r="B2802" i="7"/>
  <c r="B2803" i="7"/>
  <c r="B2804" i="7"/>
  <c r="B2805" i="7"/>
  <c r="B2806" i="7"/>
  <c r="B2807" i="7"/>
  <c r="B2808" i="7"/>
  <c r="B2809" i="7"/>
  <c r="B2810" i="7"/>
  <c r="B2811" i="7"/>
  <c r="B2812" i="7"/>
  <c r="B2813" i="7"/>
  <c r="B2814" i="7"/>
  <c r="B2815" i="7"/>
  <c r="B2816" i="7"/>
  <c r="B2817" i="7"/>
  <c r="B2818" i="7"/>
  <c r="B2819" i="7"/>
  <c r="B2820" i="7"/>
  <c r="B2821" i="7"/>
  <c r="B2822" i="7"/>
  <c r="B2823" i="7"/>
  <c r="B2824" i="7"/>
  <c r="B2825" i="7"/>
  <c r="B2826" i="7"/>
  <c r="B2827" i="7"/>
  <c r="B2828" i="7"/>
  <c r="B2829" i="7"/>
  <c r="B2830" i="7"/>
  <c r="B2831" i="7"/>
  <c r="B2832" i="7"/>
  <c r="B2833" i="7"/>
  <c r="B2834" i="7"/>
  <c r="B2835" i="7"/>
  <c r="B2836" i="7"/>
  <c r="B2837" i="7"/>
  <c r="B2838" i="7"/>
  <c r="B2839" i="7"/>
  <c r="B2840" i="7"/>
  <c r="B2841" i="7"/>
  <c r="B2842" i="7"/>
  <c r="B2843" i="7"/>
  <c r="B2844" i="7"/>
  <c r="B2845" i="7"/>
  <c r="B2846" i="7"/>
  <c r="B2847" i="7"/>
  <c r="B2848" i="7"/>
  <c r="B2849" i="7"/>
  <c r="B2850" i="7"/>
  <c r="B2851" i="7"/>
  <c r="B2852" i="7"/>
  <c r="B2853" i="7"/>
  <c r="B2854" i="7"/>
  <c r="B2855" i="7"/>
  <c r="B2856" i="7"/>
  <c r="B2857" i="7"/>
  <c r="B2858" i="7"/>
  <c r="B2859" i="7"/>
  <c r="B2860" i="7"/>
  <c r="B2861" i="7"/>
  <c r="B2862" i="7"/>
  <c r="B2863" i="7"/>
  <c r="B2864" i="7"/>
  <c r="B2865" i="7"/>
  <c r="B2866" i="7"/>
  <c r="B2867" i="7"/>
  <c r="B2868" i="7"/>
  <c r="B2869" i="7"/>
  <c r="B2870" i="7"/>
  <c r="B2871" i="7"/>
  <c r="B2872" i="7"/>
  <c r="B2873" i="7"/>
  <c r="B2874" i="7"/>
  <c r="B2875" i="7"/>
  <c r="B2876" i="7"/>
  <c r="B2877" i="7"/>
  <c r="B2878" i="7"/>
  <c r="B2879" i="7"/>
  <c r="B2880" i="7"/>
  <c r="B2881" i="7"/>
  <c r="B2882" i="7"/>
  <c r="B2883" i="7"/>
  <c r="B2884" i="7"/>
  <c r="B2885" i="7"/>
  <c r="B2886" i="7"/>
  <c r="B2887" i="7"/>
  <c r="B2888" i="7"/>
  <c r="B2889" i="7"/>
  <c r="B2890" i="7"/>
  <c r="B2891" i="7"/>
  <c r="B2892" i="7"/>
  <c r="B2893" i="7"/>
  <c r="B2894" i="7"/>
  <c r="B2895" i="7"/>
  <c r="B2896" i="7"/>
  <c r="B2897" i="7"/>
  <c r="B2898" i="7"/>
  <c r="B2899" i="7"/>
  <c r="B2900" i="7"/>
  <c r="B2901" i="7"/>
  <c r="B2902" i="7"/>
  <c r="B2903" i="7"/>
  <c r="B2904" i="7"/>
  <c r="B2905" i="7"/>
  <c r="B2906" i="7"/>
  <c r="B2907" i="7"/>
  <c r="B2908" i="7"/>
  <c r="B2909" i="7"/>
  <c r="B2910" i="7"/>
  <c r="B2911" i="7"/>
  <c r="B2912" i="7"/>
  <c r="B2913" i="7"/>
  <c r="B2914" i="7"/>
  <c r="B2915" i="7"/>
  <c r="B2916" i="7"/>
  <c r="B2917" i="7"/>
  <c r="B2918" i="7"/>
  <c r="B2919" i="7"/>
  <c r="B2920" i="7"/>
  <c r="B2921" i="7"/>
  <c r="B2922" i="7"/>
  <c r="B2923" i="7"/>
  <c r="B2924" i="7"/>
  <c r="B2925" i="7"/>
  <c r="B2926" i="7"/>
  <c r="B2927" i="7"/>
  <c r="B2928" i="7"/>
  <c r="B2929" i="7"/>
  <c r="B2930" i="7"/>
  <c r="B2931" i="7"/>
  <c r="B2932" i="7"/>
  <c r="B2933" i="7"/>
  <c r="B2934" i="7"/>
  <c r="B2935" i="7"/>
  <c r="B2936" i="7"/>
  <c r="B2937" i="7"/>
  <c r="B2938" i="7"/>
  <c r="B2939" i="7"/>
  <c r="B2940" i="7"/>
  <c r="B2941" i="7"/>
  <c r="B2942" i="7"/>
  <c r="B2943" i="7"/>
  <c r="B2944" i="7"/>
  <c r="B2945" i="7"/>
  <c r="B2946" i="7"/>
  <c r="B2947" i="7"/>
  <c r="B2948" i="7"/>
  <c r="B2949" i="7"/>
  <c r="B2950" i="7"/>
  <c r="B2951" i="7"/>
  <c r="B2952" i="7"/>
  <c r="B2953" i="7"/>
  <c r="B2954" i="7"/>
  <c r="B2955" i="7"/>
  <c r="B2956" i="7"/>
  <c r="B2957" i="7"/>
  <c r="B2958" i="7"/>
  <c r="B2959" i="7"/>
  <c r="B2960" i="7"/>
  <c r="B2961" i="7"/>
  <c r="B2962" i="7"/>
  <c r="B2963" i="7"/>
  <c r="B2964" i="7"/>
  <c r="B2965" i="7"/>
  <c r="B2966" i="7"/>
  <c r="B2967" i="7"/>
  <c r="B2968" i="7"/>
  <c r="B2969" i="7"/>
  <c r="B2970" i="7"/>
  <c r="B2971" i="7"/>
  <c r="B2972" i="7"/>
  <c r="B2973" i="7"/>
  <c r="B2974" i="7"/>
  <c r="B2975" i="7"/>
  <c r="B2976" i="7"/>
  <c r="B2977" i="7"/>
  <c r="B2978" i="7"/>
  <c r="B2979" i="7"/>
  <c r="B2980" i="7"/>
  <c r="B2981" i="7"/>
  <c r="B2982" i="7"/>
  <c r="B2983" i="7"/>
  <c r="B2984" i="7"/>
  <c r="B2985" i="7"/>
  <c r="B2986" i="7"/>
  <c r="B2987" i="7"/>
  <c r="B2988" i="7"/>
  <c r="B2989" i="7"/>
  <c r="B2990" i="7"/>
  <c r="B2991" i="7"/>
  <c r="B2992" i="7"/>
  <c r="B2993" i="7"/>
  <c r="B2994" i="7"/>
  <c r="B2995" i="7"/>
  <c r="B2996" i="7"/>
  <c r="B2997" i="7"/>
  <c r="B2998" i="7"/>
  <c r="B2999" i="7"/>
  <c r="B3000" i="7"/>
  <c r="B3001" i="7"/>
  <c r="B3002" i="7"/>
  <c r="B3003" i="7"/>
  <c r="B3004" i="7"/>
  <c r="B3005" i="7"/>
  <c r="B3006" i="7"/>
  <c r="B3007" i="7"/>
  <c r="B3008" i="7"/>
  <c r="B3009" i="7"/>
  <c r="B3010" i="7"/>
  <c r="B3011" i="7"/>
  <c r="B3012" i="7"/>
  <c r="B3013" i="7"/>
  <c r="B3014" i="7"/>
  <c r="B3015" i="7"/>
  <c r="B3016" i="7"/>
  <c r="B3017" i="7"/>
  <c r="B3018" i="7"/>
  <c r="B3019" i="7"/>
  <c r="B3020" i="7"/>
  <c r="B3021" i="7"/>
  <c r="B3022" i="7"/>
  <c r="B3023" i="7"/>
  <c r="B3024" i="7"/>
  <c r="B3025" i="7"/>
  <c r="B3026" i="7"/>
  <c r="B3027" i="7"/>
  <c r="B3028" i="7"/>
  <c r="B3029" i="7"/>
  <c r="B3030" i="7"/>
  <c r="B3031" i="7"/>
  <c r="B3032" i="7"/>
  <c r="B3033" i="7"/>
  <c r="B3034" i="7"/>
  <c r="B3035" i="7"/>
  <c r="B3036" i="7"/>
  <c r="B3037" i="7"/>
  <c r="B3038" i="7"/>
  <c r="B3039" i="7"/>
  <c r="B3040" i="7"/>
  <c r="B3041" i="7"/>
  <c r="B3042" i="7"/>
  <c r="B3043" i="7"/>
  <c r="B3044" i="7"/>
  <c r="B3045" i="7"/>
  <c r="B3046" i="7"/>
  <c r="B3047" i="7"/>
  <c r="B3048" i="7"/>
  <c r="B3049" i="7"/>
  <c r="B3050" i="7"/>
  <c r="B3051" i="7"/>
  <c r="B3052" i="7"/>
  <c r="B3053" i="7"/>
  <c r="B3054" i="7"/>
  <c r="B3055" i="7"/>
  <c r="B3056" i="7"/>
  <c r="B3057" i="7"/>
  <c r="B3058" i="7"/>
  <c r="B3059" i="7"/>
  <c r="B3060" i="7"/>
  <c r="B3061" i="7"/>
  <c r="B3062" i="7"/>
  <c r="B3063" i="7"/>
  <c r="B3064" i="7"/>
  <c r="B3065" i="7"/>
  <c r="B3066" i="7"/>
  <c r="B3067" i="7"/>
  <c r="B3068" i="7"/>
  <c r="B3069" i="7"/>
  <c r="B3070" i="7"/>
  <c r="B3071" i="7"/>
  <c r="B3072" i="7"/>
  <c r="B3073" i="7"/>
  <c r="B3074" i="7"/>
  <c r="B3075" i="7"/>
  <c r="B3076" i="7"/>
  <c r="B3077" i="7"/>
  <c r="B3078" i="7"/>
  <c r="B3079" i="7"/>
  <c r="B3080" i="7"/>
  <c r="B3081" i="7"/>
  <c r="B3082" i="7"/>
  <c r="B3083" i="7"/>
  <c r="B3084" i="7"/>
  <c r="B3085" i="7"/>
  <c r="B3086" i="7"/>
  <c r="B3087" i="7"/>
  <c r="B3088" i="7"/>
  <c r="B3089" i="7"/>
  <c r="B3090" i="7"/>
  <c r="B3091" i="7"/>
  <c r="B3092" i="7"/>
  <c r="B3093" i="7"/>
  <c r="B3094" i="7"/>
  <c r="B3095" i="7"/>
  <c r="B3096" i="7"/>
  <c r="B3097" i="7"/>
  <c r="B3098" i="7"/>
  <c r="B3099" i="7"/>
  <c r="B3100" i="7"/>
  <c r="B3101" i="7"/>
  <c r="B3102" i="7"/>
  <c r="B3103" i="7"/>
  <c r="B3104" i="7"/>
  <c r="B3105" i="7"/>
  <c r="B3106" i="7"/>
  <c r="B3107" i="7"/>
  <c r="B3108" i="7"/>
  <c r="B3109" i="7"/>
  <c r="B3110" i="7"/>
  <c r="B3111" i="7"/>
  <c r="B3112" i="7"/>
  <c r="B3113" i="7"/>
  <c r="B3114" i="7"/>
  <c r="B3115" i="7"/>
  <c r="B3116" i="7"/>
  <c r="B3117" i="7"/>
  <c r="B3118" i="7"/>
  <c r="B3119" i="7"/>
  <c r="B3120" i="7"/>
  <c r="B3121" i="7"/>
  <c r="B3122" i="7"/>
  <c r="B3123" i="7"/>
  <c r="B3124" i="7"/>
  <c r="B3125" i="7"/>
  <c r="B3126" i="7"/>
  <c r="B3127" i="7"/>
  <c r="B3128" i="7"/>
  <c r="B3129" i="7"/>
  <c r="B3130" i="7"/>
  <c r="B3131" i="7"/>
  <c r="B3132" i="7"/>
  <c r="B3133" i="7"/>
  <c r="B3134" i="7"/>
  <c r="B3135" i="7"/>
  <c r="B3136" i="7"/>
  <c r="B3137" i="7"/>
  <c r="B3138" i="7"/>
  <c r="B3139" i="7"/>
  <c r="B3140" i="7"/>
  <c r="B3141" i="7"/>
  <c r="B3142" i="7"/>
  <c r="B3143" i="7"/>
  <c r="B3144" i="7"/>
  <c r="B3145" i="7"/>
  <c r="B3146" i="7"/>
  <c r="B3147" i="7"/>
  <c r="B3148" i="7"/>
  <c r="B3149" i="7"/>
  <c r="B3150" i="7"/>
  <c r="B3151" i="7"/>
  <c r="B3152" i="7"/>
  <c r="B3153" i="7"/>
  <c r="B3154" i="7"/>
  <c r="B3155" i="7"/>
  <c r="B3156" i="7"/>
  <c r="B3157" i="7"/>
  <c r="B3158" i="7"/>
  <c r="B3159" i="7"/>
  <c r="B3160" i="7"/>
  <c r="B3161" i="7"/>
  <c r="B3162" i="7"/>
  <c r="B3163" i="7"/>
  <c r="B3164" i="7"/>
  <c r="B3165" i="7"/>
  <c r="B3166" i="7"/>
  <c r="B3167" i="7"/>
  <c r="B3168" i="7"/>
  <c r="B3169" i="7"/>
  <c r="B3170" i="7"/>
  <c r="B3171" i="7"/>
  <c r="B3172" i="7"/>
  <c r="B3173" i="7"/>
  <c r="B3174" i="7"/>
  <c r="B3175" i="7"/>
  <c r="B3176" i="7"/>
  <c r="B3177" i="7"/>
  <c r="B3178" i="7"/>
  <c r="B3179" i="7"/>
  <c r="B3180" i="7"/>
  <c r="B3181" i="7"/>
  <c r="B3182" i="7"/>
  <c r="B3183" i="7"/>
  <c r="B3184" i="7"/>
  <c r="B3185" i="7"/>
  <c r="B3186" i="7"/>
  <c r="B3187" i="7"/>
  <c r="B3188" i="7"/>
  <c r="B3189" i="7"/>
  <c r="B3190" i="7"/>
  <c r="B3191" i="7"/>
  <c r="B3192" i="7"/>
  <c r="B3193" i="7"/>
  <c r="B3194" i="7"/>
  <c r="B3195" i="7"/>
  <c r="B3196" i="7"/>
  <c r="B3197" i="7"/>
  <c r="B3198" i="7"/>
  <c r="B3199" i="7"/>
  <c r="B3200" i="7"/>
  <c r="B3201" i="7"/>
  <c r="B3202" i="7"/>
  <c r="B3203" i="7"/>
  <c r="B3204" i="7"/>
  <c r="B3205" i="7"/>
  <c r="B3206" i="7"/>
  <c r="B3207" i="7"/>
  <c r="B3208" i="7"/>
  <c r="B3209" i="7"/>
  <c r="B3210" i="7"/>
  <c r="B3211" i="7"/>
  <c r="B3212" i="7"/>
  <c r="B3213" i="7"/>
  <c r="B3214" i="7"/>
  <c r="B3215" i="7"/>
  <c r="B3216" i="7"/>
  <c r="B3217" i="7"/>
  <c r="B3218" i="7"/>
  <c r="B3219" i="7"/>
  <c r="B3220" i="7"/>
  <c r="B3221" i="7"/>
  <c r="B3222" i="7"/>
  <c r="B3223" i="7"/>
  <c r="B3224" i="7"/>
  <c r="B3225" i="7"/>
  <c r="B3226" i="7"/>
  <c r="B3227" i="7"/>
  <c r="B3228" i="7"/>
  <c r="B3229" i="7"/>
  <c r="B3230" i="7"/>
  <c r="B3231" i="7"/>
  <c r="B3232" i="7"/>
  <c r="B3233" i="7"/>
  <c r="B3234" i="7"/>
  <c r="B3235" i="7"/>
  <c r="B3236" i="7"/>
  <c r="B3237" i="7"/>
  <c r="B3238" i="7"/>
  <c r="B3239" i="7"/>
  <c r="B3240" i="7"/>
  <c r="B3241" i="7"/>
  <c r="B3242" i="7"/>
  <c r="B3243" i="7"/>
  <c r="B3244" i="7"/>
  <c r="B3245" i="7"/>
  <c r="B3246" i="7"/>
  <c r="B3247" i="7"/>
  <c r="B3248" i="7"/>
  <c r="B3249" i="7"/>
  <c r="B3250" i="7"/>
  <c r="B3251" i="7"/>
  <c r="B3252" i="7"/>
  <c r="B3253" i="7"/>
  <c r="B3254" i="7"/>
  <c r="B3255" i="7"/>
  <c r="B3256" i="7"/>
  <c r="B3257" i="7"/>
  <c r="B3258" i="7"/>
  <c r="B3259" i="7"/>
  <c r="B3260" i="7"/>
  <c r="B3261" i="7"/>
  <c r="B3262" i="7"/>
  <c r="B3263" i="7"/>
  <c r="B3264" i="7"/>
  <c r="B3265" i="7"/>
  <c r="B3266" i="7"/>
  <c r="B3267" i="7"/>
  <c r="B3268" i="7"/>
  <c r="B3269" i="7"/>
  <c r="B3270" i="7"/>
  <c r="B3271" i="7"/>
  <c r="B3272" i="7"/>
  <c r="B3273" i="7"/>
  <c r="B3274" i="7"/>
  <c r="B3275" i="7"/>
  <c r="B3276" i="7"/>
  <c r="B3277" i="7"/>
  <c r="B3278" i="7"/>
  <c r="B3279" i="7"/>
  <c r="B3280" i="7"/>
  <c r="B3281" i="7"/>
  <c r="B3282" i="7"/>
  <c r="B3283" i="7"/>
  <c r="B3284" i="7"/>
  <c r="B3285" i="7"/>
  <c r="B3286" i="7"/>
  <c r="B3287" i="7"/>
  <c r="B3288" i="7"/>
  <c r="B3289" i="7"/>
  <c r="B3290" i="7"/>
  <c r="B3291" i="7"/>
  <c r="B3292" i="7"/>
  <c r="B3293" i="7"/>
  <c r="B3294" i="7"/>
  <c r="B3295" i="7"/>
  <c r="B3296" i="7"/>
  <c r="B3297" i="7"/>
  <c r="B3298" i="7"/>
  <c r="B3299" i="7"/>
  <c r="B3300" i="7"/>
  <c r="B3301" i="7"/>
  <c r="B3302" i="7"/>
  <c r="B3303" i="7"/>
  <c r="B3304" i="7"/>
  <c r="B3305" i="7"/>
  <c r="B3306" i="7"/>
  <c r="B3307" i="7"/>
  <c r="B3308" i="7"/>
  <c r="B3309" i="7"/>
  <c r="B3310" i="7"/>
  <c r="B3311" i="7"/>
  <c r="B3312" i="7"/>
  <c r="B3313" i="7"/>
  <c r="B3314" i="7"/>
  <c r="B3315" i="7"/>
  <c r="B3316" i="7"/>
  <c r="B3317" i="7"/>
  <c r="B3318" i="7"/>
  <c r="B3319" i="7"/>
  <c r="B3320" i="7"/>
  <c r="B3321" i="7"/>
  <c r="B3322" i="7"/>
  <c r="B3323" i="7"/>
  <c r="B3324" i="7"/>
  <c r="B3325" i="7"/>
  <c r="B3326" i="7"/>
  <c r="B3327" i="7"/>
  <c r="B3328" i="7"/>
  <c r="B3329" i="7"/>
  <c r="B3330" i="7"/>
  <c r="B3331" i="7"/>
  <c r="B3332" i="7"/>
  <c r="B3333" i="7"/>
  <c r="B3334" i="7"/>
  <c r="B3335" i="7"/>
  <c r="B3336" i="7"/>
  <c r="B3337" i="7"/>
  <c r="B3338" i="7"/>
  <c r="B3339" i="7"/>
  <c r="B3340" i="7"/>
  <c r="B3341" i="7"/>
  <c r="B3342" i="7"/>
  <c r="B3343" i="7"/>
  <c r="B3344" i="7"/>
  <c r="B3345" i="7"/>
  <c r="B3346" i="7"/>
  <c r="B3347" i="7"/>
  <c r="B3348" i="7"/>
  <c r="B3349" i="7"/>
  <c r="B3350" i="7"/>
  <c r="B3351" i="7"/>
  <c r="B3352" i="7"/>
  <c r="B3353" i="7"/>
  <c r="B3354" i="7"/>
  <c r="B3355" i="7"/>
  <c r="B3356" i="7"/>
  <c r="B3357" i="7"/>
  <c r="B3358" i="7"/>
  <c r="B3359" i="7"/>
  <c r="B3360" i="7"/>
  <c r="B3361" i="7"/>
  <c r="B3362" i="7"/>
  <c r="B3363" i="7"/>
  <c r="B3364" i="7"/>
  <c r="B3365" i="7"/>
  <c r="B3366" i="7"/>
  <c r="B3367" i="7"/>
  <c r="B3368" i="7"/>
  <c r="B3369" i="7"/>
  <c r="B3370" i="7"/>
  <c r="B3371" i="7"/>
  <c r="B3372" i="7"/>
  <c r="B3373" i="7"/>
  <c r="B3374" i="7"/>
  <c r="B3375" i="7"/>
  <c r="B3376" i="7"/>
  <c r="B3377" i="7"/>
  <c r="B3378" i="7"/>
  <c r="B3379" i="7"/>
  <c r="B3380" i="7"/>
  <c r="B3381" i="7"/>
  <c r="B3382" i="7"/>
  <c r="B3383" i="7"/>
  <c r="B3384" i="7"/>
  <c r="B3385" i="7"/>
  <c r="B3386" i="7"/>
  <c r="B3387" i="7"/>
  <c r="B3388" i="7"/>
  <c r="B3389" i="7"/>
  <c r="B3390" i="7"/>
  <c r="B3391" i="7"/>
  <c r="B3392" i="7"/>
  <c r="B3393" i="7"/>
  <c r="B3394" i="7"/>
  <c r="B3395" i="7"/>
  <c r="B3396" i="7"/>
  <c r="B3397" i="7"/>
  <c r="B3398" i="7"/>
  <c r="B3399" i="7"/>
  <c r="B3400" i="7"/>
  <c r="B3401" i="7"/>
  <c r="B3402" i="7"/>
  <c r="B3403" i="7"/>
  <c r="B3404" i="7"/>
  <c r="B3405" i="7"/>
  <c r="B3406" i="7"/>
  <c r="B3407" i="7"/>
  <c r="B3408" i="7"/>
  <c r="B3409" i="7"/>
  <c r="B3410" i="7"/>
  <c r="B3411" i="7"/>
  <c r="B3412" i="7"/>
  <c r="B3413" i="7"/>
  <c r="B3414" i="7"/>
  <c r="B3415" i="7"/>
  <c r="B3416" i="7"/>
  <c r="B3417" i="7"/>
  <c r="B3418" i="7"/>
  <c r="B3419" i="7"/>
  <c r="B3420" i="7"/>
  <c r="B3421" i="7"/>
  <c r="B3422" i="7"/>
  <c r="B3423" i="7"/>
  <c r="B3424" i="7"/>
  <c r="B3425" i="7"/>
  <c r="B3426" i="7"/>
  <c r="B3427" i="7"/>
  <c r="B3428" i="7"/>
  <c r="B3429" i="7"/>
  <c r="B3430" i="7"/>
  <c r="B3431" i="7"/>
  <c r="B3432" i="7"/>
  <c r="B3433" i="7"/>
  <c r="B3434" i="7"/>
  <c r="B3435" i="7"/>
  <c r="B3436" i="7"/>
  <c r="B3437" i="7"/>
  <c r="B3438" i="7"/>
  <c r="B3439" i="7"/>
  <c r="B3440" i="7"/>
  <c r="B3441" i="7"/>
  <c r="B3442" i="7"/>
  <c r="B3443" i="7"/>
  <c r="B3444" i="7"/>
  <c r="B3445" i="7"/>
  <c r="B3446" i="7"/>
  <c r="B3447" i="7"/>
  <c r="B3448" i="7"/>
  <c r="B3449" i="7"/>
  <c r="B3450" i="7"/>
  <c r="B3451" i="7"/>
  <c r="B3452" i="7"/>
  <c r="B3453" i="7"/>
  <c r="B3454" i="7"/>
  <c r="B3455" i="7"/>
  <c r="B3456" i="7"/>
  <c r="B3457" i="7"/>
  <c r="B3458" i="7"/>
  <c r="B3459" i="7"/>
  <c r="B3460" i="7"/>
  <c r="B3461" i="7"/>
  <c r="B3462" i="7"/>
  <c r="B3463" i="7"/>
  <c r="B3464" i="7"/>
  <c r="B3465" i="7"/>
  <c r="B3466" i="7"/>
  <c r="B3467" i="7"/>
  <c r="B3468" i="7"/>
  <c r="B3469" i="7"/>
  <c r="B3470" i="7"/>
  <c r="B3471" i="7"/>
  <c r="B3472" i="7"/>
  <c r="B3473" i="7"/>
  <c r="B3474" i="7"/>
  <c r="B3475" i="7"/>
  <c r="B3476" i="7"/>
  <c r="B3477" i="7"/>
  <c r="B3478" i="7"/>
  <c r="B3479" i="7"/>
  <c r="B3480" i="7"/>
  <c r="B3481" i="7"/>
  <c r="B3482" i="7"/>
  <c r="B3483" i="7"/>
  <c r="B3484" i="7"/>
  <c r="B3485" i="7"/>
  <c r="B3486" i="7"/>
  <c r="B3487" i="7"/>
  <c r="B3488" i="7"/>
  <c r="B3489" i="7"/>
  <c r="B3490" i="7"/>
  <c r="B3491" i="7"/>
  <c r="B3492" i="7"/>
  <c r="B3493" i="7"/>
  <c r="B3494" i="7"/>
  <c r="B3495" i="7"/>
  <c r="B3496" i="7"/>
  <c r="B3497" i="7"/>
  <c r="B3498" i="7"/>
  <c r="B3499" i="7"/>
  <c r="B3500" i="7"/>
  <c r="B3501" i="7"/>
  <c r="B3502" i="7"/>
  <c r="B3503" i="7"/>
  <c r="B3504" i="7"/>
  <c r="B3505" i="7"/>
  <c r="B3506" i="7"/>
  <c r="B3507" i="7"/>
  <c r="B3508" i="7"/>
  <c r="B3509" i="7"/>
  <c r="B3510" i="7"/>
  <c r="B3511" i="7"/>
  <c r="B3512" i="7"/>
  <c r="B3513" i="7"/>
  <c r="B3514" i="7"/>
  <c r="B3515" i="7"/>
  <c r="B3516" i="7"/>
  <c r="B3517" i="7"/>
  <c r="B3518" i="7"/>
  <c r="B3519" i="7"/>
  <c r="B3520" i="7"/>
  <c r="B3521" i="7"/>
  <c r="B3522" i="7"/>
  <c r="B3523" i="7"/>
  <c r="B3524" i="7"/>
  <c r="B3525" i="7"/>
  <c r="B3526" i="7"/>
  <c r="B3527" i="7"/>
  <c r="B3528" i="7"/>
  <c r="B3529" i="7"/>
  <c r="B3530" i="7"/>
  <c r="B3531" i="7"/>
  <c r="B3532" i="7"/>
  <c r="B3533" i="7"/>
  <c r="B3534" i="7"/>
  <c r="B3535" i="7"/>
  <c r="B3536" i="7"/>
  <c r="B3537" i="7"/>
  <c r="B3538" i="7"/>
  <c r="B3539" i="7"/>
  <c r="B3540" i="7"/>
  <c r="B3541" i="7"/>
  <c r="B3542" i="7"/>
  <c r="B3543" i="7"/>
  <c r="B3544" i="7"/>
  <c r="B3545" i="7"/>
  <c r="B3546" i="7"/>
  <c r="B3547" i="7"/>
  <c r="B3548" i="7"/>
  <c r="B3549" i="7"/>
  <c r="B3550" i="7"/>
  <c r="B3551" i="7"/>
  <c r="B3552" i="7"/>
  <c r="B3553" i="7"/>
  <c r="B3554" i="7"/>
  <c r="B3555" i="7"/>
  <c r="B3556" i="7"/>
  <c r="B3557" i="7"/>
  <c r="B3558" i="7"/>
  <c r="B3559" i="7"/>
  <c r="B3560" i="7"/>
  <c r="B3561" i="7"/>
  <c r="B3562" i="7"/>
  <c r="B3563" i="7"/>
  <c r="B3564" i="7"/>
  <c r="B3565" i="7"/>
  <c r="B3566" i="7"/>
  <c r="B3567" i="7"/>
  <c r="B3568" i="7"/>
  <c r="B3569" i="7"/>
  <c r="B3570" i="7"/>
  <c r="B3571" i="7"/>
  <c r="B3572" i="7"/>
  <c r="B3573" i="7"/>
  <c r="B3574" i="7"/>
  <c r="B3575" i="7"/>
  <c r="B3576" i="7"/>
  <c r="B3577" i="7"/>
  <c r="B3578" i="7"/>
  <c r="B3579" i="7"/>
  <c r="B3580" i="7"/>
  <c r="B3581" i="7"/>
  <c r="B3582" i="7"/>
  <c r="B3583" i="7"/>
  <c r="B3584" i="7"/>
  <c r="B3585" i="7"/>
  <c r="B3586" i="7"/>
  <c r="B3587" i="7"/>
  <c r="B3588" i="7"/>
  <c r="B3589" i="7"/>
  <c r="B3590" i="7"/>
  <c r="B3591" i="7"/>
  <c r="B3592" i="7"/>
  <c r="B3593" i="7"/>
  <c r="B3594" i="7"/>
  <c r="B3595" i="7"/>
  <c r="B3596" i="7"/>
  <c r="B3597" i="7"/>
  <c r="B3598" i="7"/>
  <c r="B3599" i="7"/>
  <c r="B3600" i="7"/>
  <c r="B3601" i="7"/>
  <c r="B3602" i="7"/>
  <c r="B3603" i="7"/>
  <c r="B3604" i="7"/>
  <c r="B3605" i="7"/>
  <c r="B3606" i="7"/>
  <c r="B3607" i="7"/>
  <c r="B3608" i="7"/>
  <c r="B3609" i="7"/>
  <c r="B3610" i="7"/>
  <c r="B3611" i="7"/>
  <c r="B3612" i="7"/>
  <c r="B3613" i="7"/>
  <c r="B3614" i="7"/>
  <c r="B3615" i="7"/>
  <c r="B3616" i="7"/>
  <c r="B3617" i="7"/>
  <c r="B3618" i="7"/>
  <c r="B3619" i="7"/>
  <c r="B3620" i="7"/>
  <c r="B3621" i="7"/>
  <c r="B3622" i="7"/>
  <c r="B3623" i="7"/>
  <c r="B3624" i="7"/>
  <c r="B3625" i="7"/>
  <c r="B3626" i="7"/>
  <c r="B3627" i="7"/>
  <c r="B3628" i="7"/>
  <c r="B3629" i="7"/>
  <c r="B3630" i="7"/>
  <c r="B3631" i="7"/>
  <c r="B3632" i="7"/>
  <c r="B3633" i="7"/>
  <c r="B3634" i="7"/>
  <c r="B3635" i="7"/>
  <c r="B3636" i="7"/>
  <c r="B3637" i="7"/>
  <c r="B3638" i="7"/>
  <c r="B3639" i="7"/>
  <c r="B3640" i="7"/>
  <c r="B3641" i="7"/>
  <c r="B3642" i="7"/>
  <c r="B3643" i="7"/>
  <c r="B3644" i="7"/>
  <c r="B3645" i="7"/>
  <c r="B3646" i="7"/>
  <c r="B3647" i="7"/>
  <c r="B3648" i="7"/>
  <c r="B3649" i="7"/>
  <c r="B3650" i="7"/>
  <c r="B3651" i="7"/>
  <c r="B3652" i="7"/>
  <c r="B3653" i="7"/>
  <c r="B3654" i="7"/>
  <c r="B3655" i="7"/>
  <c r="B3656" i="7"/>
  <c r="B3657" i="7"/>
  <c r="B3658" i="7"/>
  <c r="B3659" i="7"/>
  <c r="B3660" i="7"/>
  <c r="B3661" i="7"/>
  <c r="B3662" i="7"/>
  <c r="B3663" i="7"/>
  <c r="B3664" i="7"/>
  <c r="B3665" i="7"/>
  <c r="B3666" i="7"/>
  <c r="B3667" i="7"/>
  <c r="B3668" i="7"/>
  <c r="B3669" i="7"/>
  <c r="B3670" i="7"/>
  <c r="B3671" i="7"/>
  <c r="B3672" i="7"/>
  <c r="B3673" i="7"/>
  <c r="B3674" i="7"/>
  <c r="B3675" i="7"/>
  <c r="B3676" i="7"/>
  <c r="B3677" i="7"/>
  <c r="B3678" i="7"/>
  <c r="B3679" i="7"/>
  <c r="B3680" i="7"/>
  <c r="B3681" i="7"/>
  <c r="B3682" i="7"/>
  <c r="B3683" i="7"/>
  <c r="B3684" i="7"/>
  <c r="B3685" i="7"/>
  <c r="B3686" i="7"/>
  <c r="B3687" i="7"/>
  <c r="B3688" i="7"/>
  <c r="B3689" i="7"/>
  <c r="B3690" i="7"/>
  <c r="B3691" i="7"/>
  <c r="B3692" i="7"/>
  <c r="B3693" i="7"/>
  <c r="B3694" i="7"/>
  <c r="B3695" i="7"/>
  <c r="B3696" i="7"/>
  <c r="B3697" i="7"/>
  <c r="B3698" i="7"/>
  <c r="B3699" i="7"/>
  <c r="B3700" i="7"/>
  <c r="B3701" i="7"/>
  <c r="B3702" i="7"/>
  <c r="B3703" i="7"/>
  <c r="B3704" i="7"/>
  <c r="B3705" i="7"/>
  <c r="B3706" i="7"/>
  <c r="B3707" i="7"/>
  <c r="B3708" i="7"/>
  <c r="B3709" i="7"/>
  <c r="B3710" i="7"/>
  <c r="B3711" i="7"/>
  <c r="B3712" i="7"/>
  <c r="B3713" i="7"/>
  <c r="B3714" i="7"/>
  <c r="B3715" i="7"/>
  <c r="B3716" i="7"/>
  <c r="B3717" i="7"/>
  <c r="B3718" i="7"/>
  <c r="B3719" i="7"/>
  <c r="B3720" i="7"/>
  <c r="B3721" i="7"/>
  <c r="B3722" i="7"/>
  <c r="B3723" i="7"/>
  <c r="B3724" i="7"/>
  <c r="B3725" i="7"/>
  <c r="B3726" i="7"/>
  <c r="B3727" i="7"/>
  <c r="B3728" i="7"/>
  <c r="B3729" i="7"/>
  <c r="B3730" i="7"/>
  <c r="B3731" i="7"/>
  <c r="B3732" i="7"/>
  <c r="B3733" i="7"/>
  <c r="B3734" i="7"/>
  <c r="B3735" i="7"/>
  <c r="B3736" i="7"/>
  <c r="B3737" i="7"/>
  <c r="B3738" i="7"/>
  <c r="B3739" i="7"/>
  <c r="B3740" i="7"/>
  <c r="B3741" i="7"/>
  <c r="B3742" i="7"/>
  <c r="B3743" i="7"/>
  <c r="B3744" i="7"/>
  <c r="B3745" i="7"/>
  <c r="B3746" i="7"/>
  <c r="B3747" i="7"/>
  <c r="B3748" i="7"/>
  <c r="B3749" i="7"/>
  <c r="B3750" i="7"/>
  <c r="B3751" i="7"/>
  <c r="B3752" i="7"/>
  <c r="B3753" i="7"/>
  <c r="B3754" i="7"/>
  <c r="B3755" i="7"/>
  <c r="B3756" i="7"/>
  <c r="B3757" i="7"/>
  <c r="B3758" i="7"/>
  <c r="B3759" i="7"/>
  <c r="B3760" i="7"/>
  <c r="B3761" i="7"/>
  <c r="B3762" i="7"/>
  <c r="B3763" i="7"/>
  <c r="B3764" i="7"/>
  <c r="B3765" i="7"/>
  <c r="B3766" i="7"/>
  <c r="B3767" i="7"/>
  <c r="B3768" i="7"/>
  <c r="B3769" i="7"/>
  <c r="B3770" i="7"/>
  <c r="B3771" i="7"/>
  <c r="B3772" i="7"/>
  <c r="B3773" i="7"/>
  <c r="B3774" i="7"/>
  <c r="B3775" i="7"/>
  <c r="B3776" i="7"/>
  <c r="B3777" i="7"/>
  <c r="B3778" i="7"/>
  <c r="B3779" i="7"/>
  <c r="B3780" i="7"/>
  <c r="B3781" i="7"/>
  <c r="B3782" i="7"/>
  <c r="B3783" i="7"/>
  <c r="B3784" i="7"/>
  <c r="B3785" i="7"/>
  <c r="B3786" i="7"/>
  <c r="B3787" i="7"/>
  <c r="B3788" i="7"/>
  <c r="B3789" i="7"/>
  <c r="B3790" i="7"/>
  <c r="B3791" i="7"/>
  <c r="B3792" i="7"/>
  <c r="B3793" i="7"/>
  <c r="B3794" i="7"/>
  <c r="B3795" i="7"/>
  <c r="B3796" i="7"/>
  <c r="B3797" i="7"/>
  <c r="B3798" i="7"/>
  <c r="B3799" i="7"/>
  <c r="B3800" i="7"/>
  <c r="B3801" i="7"/>
  <c r="B3802" i="7"/>
  <c r="B3803" i="7"/>
  <c r="B3804" i="7"/>
  <c r="B3805" i="7"/>
  <c r="B3806" i="7"/>
  <c r="B3807" i="7"/>
  <c r="B3808" i="7"/>
  <c r="B3809" i="7"/>
  <c r="B3810" i="7"/>
  <c r="B3811" i="7"/>
  <c r="B3812" i="7"/>
  <c r="B3813" i="7"/>
  <c r="B3814" i="7"/>
  <c r="B3815" i="7"/>
  <c r="B3816" i="7"/>
  <c r="B3817" i="7"/>
  <c r="B3818" i="7"/>
  <c r="B3819" i="7"/>
  <c r="B3820" i="7"/>
  <c r="B3821" i="7"/>
  <c r="B3822" i="7"/>
  <c r="B3823" i="7"/>
  <c r="B3824" i="7"/>
  <c r="B3825" i="7"/>
  <c r="B3826" i="7"/>
  <c r="B3827" i="7"/>
  <c r="B3828" i="7"/>
  <c r="B3829" i="7"/>
  <c r="B3830" i="7"/>
  <c r="B3831" i="7"/>
  <c r="B3832" i="7"/>
  <c r="B3833" i="7"/>
  <c r="B3834" i="7"/>
  <c r="B3835" i="7"/>
  <c r="B3836" i="7"/>
  <c r="B3837" i="7"/>
  <c r="B3838" i="7"/>
  <c r="B3839" i="7"/>
  <c r="B3840" i="7"/>
  <c r="B3841" i="7"/>
  <c r="B3842" i="7"/>
  <c r="B3843" i="7"/>
  <c r="B3844" i="7"/>
  <c r="B3845" i="7"/>
  <c r="B3846" i="7"/>
  <c r="B3847" i="7"/>
  <c r="B3848" i="7"/>
  <c r="B3849" i="7"/>
  <c r="B3850" i="7"/>
  <c r="B3851" i="7"/>
  <c r="B3852" i="7"/>
  <c r="B3853" i="7"/>
  <c r="B3854" i="7"/>
  <c r="B3855" i="7"/>
  <c r="B3856" i="7"/>
  <c r="B3857" i="7"/>
  <c r="B3858" i="7"/>
  <c r="B3859" i="7"/>
  <c r="B3860" i="7"/>
  <c r="B3861" i="7"/>
  <c r="B3862" i="7"/>
  <c r="B3863" i="7"/>
  <c r="B3864" i="7"/>
  <c r="B3865" i="7"/>
  <c r="B3866" i="7"/>
  <c r="B3867" i="7"/>
  <c r="B3868" i="7"/>
  <c r="B3869" i="7"/>
  <c r="B3870" i="7"/>
  <c r="B3871" i="7"/>
  <c r="B3872" i="7"/>
  <c r="B3873" i="7"/>
  <c r="B3874" i="7"/>
  <c r="B3875" i="7"/>
  <c r="B3876" i="7"/>
  <c r="B3877" i="7"/>
  <c r="B3878" i="7"/>
  <c r="B3879" i="7"/>
  <c r="B3880" i="7"/>
  <c r="B3881" i="7"/>
  <c r="B3882" i="7"/>
  <c r="B3883" i="7"/>
  <c r="B3884" i="7"/>
  <c r="B3885" i="7"/>
  <c r="B3886" i="7"/>
  <c r="B3887" i="7"/>
  <c r="B3888" i="7"/>
  <c r="B3889" i="7"/>
  <c r="B3890" i="7"/>
  <c r="B3891" i="7"/>
  <c r="B3892" i="7"/>
  <c r="B3893" i="7"/>
  <c r="B3894" i="7"/>
  <c r="B3895" i="7"/>
  <c r="B3896" i="7"/>
  <c r="B3897" i="7"/>
  <c r="B3898" i="7"/>
  <c r="B3899" i="7"/>
  <c r="B3900" i="7"/>
  <c r="B3901" i="7"/>
  <c r="B3902" i="7"/>
  <c r="B3903" i="7"/>
  <c r="B3904" i="7"/>
  <c r="B3905" i="7"/>
  <c r="B3906" i="7"/>
  <c r="B3907" i="7"/>
  <c r="B3908" i="7"/>
  <c r="B3909" i="7"/>
  <c r="B3910" i="7"/>
  <c r="B3911" i="7"/>
  <c r="B3912" i="7"/>
  <c r="B3913" i="7"/>
  <c r="B3914" i="7"/>
  <c r="B3915" i="7"/>
  <c r="B3916" i="7"/>
  <c r="B3917" i="7"/>
  <c r="B3918" i="7"/>
  <c r="B3919" i="7"/>
  <c r="B3920" i="7"/>
  <c r="B3921" i="7"/>
  <c r="B3922" i="7"/>
  <c r="B3923" i="7"/>
  <c r="B3924" i="7"/>
  <c r="B3925" i="7"/>
  <c r="B3926" i="7"/>
  <c r="B3927" i="7"/>
  <c r="B3928" i="7"/>
  <c r="B3929" i="7"/>
  <c r="B3930" i="7"/>
  <c r="B3931" i="7"/>
  <c r="B3932" i="7"/>
  <c r="B3933" i="7"/>
  <c r="B3934" i="7"/>
  <c r="B3935" i="7"/>
  <c r="B3936" i="7"/>
  <c r="B3937" i="7"/>
  <c r="B3938" i="7"/>
  <c r="B3939" i="7"/>
  <c r="B3940" i="7"/>
  <c r="B3941" i="7"/>
  <c r="B3942" i="7"/>
  <c r="B3943" i="7"/>
  <c r="B3944" i="7"/>
  <c r="B3945" i="7"/>
  <c r="B3946" i="7"/>
  <c r="B3947" i="7"/>
  <c r="B3948" i="7"/>
  <c r="B3949" i="7"/>
  <c r="B3950" i="7"/>
  <c r="B3951" i="7"/>
  <c r="B3952" i="7"/>
  <c r="B3953" i="7"/>
  <c r="B3954" i="7"/>
  <c r="B3955" i="7"/>
  <c r="B3956" i="7"/>
  <c r="B3957" i="7"/>
  <c r="B3958" i="7"/>
  <c r="B3959" i="7"/>
  <c r="B3960" i="7"/>
  <c r="B3961" i="7"/>
  <c r="B3962" i="7"/>
  <c r="B3963" i="7"/>
  <c r="B3964" i="7"/>
  <c r="B3965" i="7"/>
  <c r="B3966" i="7"/>
  <c r="B3967" i="7"/>
  <c r="B3968" i="7"/>
  <c r="B3969" i="7"/>
  <c r="B3970" i="7"/>
  <c r="B3971" i="7"/>
  <c r="B3972" i="7"/>
  <c r="B3973" i="7"/>
  <c r="B3974" i="7"/>
  <c r="B3975" i="7"/>
  <c r="B3976" i="7"/>
  <c r="B3977" i="7"/>
  <c r="B3978" i="7"/>
  <c r="B3979" i="7"/>
  <c r="B3980" i="7"/>
  <c r="B3981" i="7"/>
  <c r="B3982" i="7"/>
  <c r="B3983" i="7"/>
  <c r="B3984" i="7"/>
  <c r="B3985" i="7"/>
  <c r="B3986" i="7"/>
  <c r="B3987" i="7"/>
  <c r="B3988" i="7"/>
  <c r="B3989" i="7"/>
  <c r="B3990" i="7"/>
  <c r="B3991" i="7"/>
  <c r="B3992" i="7"/>
  <c r="B3993" i="7"/>
  <c r="B3994" i="7"/>
  <c r="B3995" i="7"/>
  <c r="B3996" i="7"/>
  <c r="B3997" i="7"/>
  <c r="B3998" i="7"/>
  <c r="B3999" i="7"/>
  <c r="B4000" i="7"/>
  <c r="B4001" i="7"/>
  <c r="B4002" i="7"/>
  <c r="B4003" i="7"/>
  <c r="B4004" i="7"/>
  <c r="B4005" i="7"/>
  <c r="B4006" i="7"/>
  <c r="B4007" i="7"/>
  <c r="B4008" i="7"/>
  <c r="B4009" i="7"/>
  <c r="B4010" i="7"/>
  <c r="B4011" i="7"/>
  <c r="B4012" i="7"/>
  <c r="B4013" i="7"/>
  <c r="B4014" i="7"/>
  <c r="B4015" i="7"/>
  <c r="B4016" i="7"/>
  <c r="B4017" i="7"/>
  <c r="B4018" i="7"/>
  <c r="B4019" i="7"/>
  <c r="B4020" i="7"/>
  <c r="B4021" i="7"/>
  <c r="B4022" i="7"/>
  <c r="B4023" i="7"/>
  <c r="B4024" i="7"/>
  <c r="B4025" i="7"/>
  <c r="B4026" i="7"/>
  <c r="B4027" i="7"/>
  <c r="B4028" i="7"/>
  <c r="B4029" i="7"/>
  <c r="B4030" i="7"/>
  <c r="B4031" i="7"/>
  <c r="B4032" i="7"/>
  <c r="B4033" i="7"/>
  <c r="B4034" i="7"/>
  <c r="B4035" i="7"/>
  <c r="B4036" i="7"/>
  <c r="B4037" i="7"/>
  <c r="B4038" i="7"/>
  <c r="B4039" i="7"/>
  <c r="B4040" i="7"/>
  <c r="B4041" i="7"/>
  <c r="B4042" i="7"/>
  <c r="B4043" i="7"/>
  <c r="B4044" i="7"/>
  <c r="B4045" i="7"/>
  <c r="B4046" i="7"/>
  <c r="B4047" i="7"/>
  <c r="B4048" i="7"/>
  <c r="B4049" i="7"/>
  <c r="B4050" i="7"/>
  <c r="B4051" i="7"/>
  <c r="B4052" i="7"/>
  <c r="B4053" i="7"/>
  <c r="B4054" i="7"/>
  <c r="B4055" i="7"/>
  <c r="B4056" i="7"/>
  <c r="B4057" i="7"/>
  <c r="B4058" i="7"/>
  <c r="B4059" i="7"/>
  <c r="B4060" i="7"/>
  <c r="B4061" i="7"/>
  <c r="B4062" i="7"/>
  <c r="B4063" i="7"/>
  <c r="B4064" i="7"/>
  <c r="B4065" i="7"/>
  <c r="B4066" i="7"/>
  <c r="B4067" i="7"/>
  <c r="B4068" i="7"/>
  <c r="B4069" i="7"/>
  <c r="B4070" i="7"/>
  <c r="B4071" i="7"/>
  <c r="B4072" i="7"/>
  <c r="B4073" i="7"/>
  <c r="B4074" i="7"/>
  <c r="B4075" i="7"/>
  <c r="B4076" i="7"/>
  <c r="B4077" i="7"/>
  <c r="B4078" i="7"/>
  <c r="B4079" i="7"/>
  <c r="B4080" i="7"/>
  <c r="B4081" i="7"/>
  <c r="B4082" i="7"/>
  <c r="B4083" i="7"/>
  <c r="B4084" i="7"/>
  <c r="B4085" i="7"/>
  <c r="B4086" i="7"/>
  <c r="B4087" i="7"/>
  <c r="B4088" i="7"/>
  <c r="B4089" i="7"/>
  <c r="B4090" i="7"/>
  <c r="B4091" i="7"/>
  <c r="B4092" i="7"/>
  <c r="B4093" i="7"/>
  <c r="B4094" i="7"/>
  <c r="B4095" i="7"/>
  <c r="B4096" i="7"/>
  <c r="B4097" i="7"/>
  <c r="B4098" i="7"/>
  <c r="B4099" i="7"/>
  <c r="B4100" i="7"/>
  <c r="B4101" i="7"/>
  <c r="B4102" i="7"/>
  <c r="B4103" i="7"/>
  <c r="B4104" i="7"/>
  <c r="B4105" i="7"/>
  <c r="B4106" i="7"/>
  <c r="B4107" i="7"/>
  <c r="B4108" i="7"/>
  <c r="B4109" i="7"/>
  <c r="B4110" i="7"/>
  <c r="B4111" i="7"/>
  <c r="B4112" i="7"/>
  <c r="B4113" i="7"/>
  <c r="B4114" i="7"/>
  <c r="B4115" i="7"/>
  <c r="B4116" i="7"/>
  <c r="B4117" i="7"/>
  <c r="B4118" i="7"/>
  <c r="B4119" i="7"/>
  <c r="B4120" i="7"/>
  <c r="B4121" i="7"/>
  <c r="B4122" i="7"/>
  <c r="B4123" i="7"/>
  <c r="B4124" i="7"/>
  <c r="B4125" i="7"/>
  <c r="B4126" i="7"/>
  <c r="B4127" i="7"/>
  <c r="B4128" i="7"/>
  <c r="B4129" i="7"/>
  <c r="B4130" i="7"/>
  <c r="B4131" i="7"/>
  <c r="B4132" i="7"/>
  <c r="B4133" i="7"/>
  <c r="B4134" i="7"/>
  <c r="B4135" i="7"/>
  <c r="B4136" i="7"/>
  <c r="B4137" i="7"/>
  <c r="B4138" i="7"/>
  <c r="B4139" i="7"/>
  <c r="B4140" i="7"/>
  <c r="B4141" i="7"/>
  <c r="B4142" i="7"/>
  <c r="B4143" i="7"/>
  <c r="B4144" i="7"/>
  <c r="B4145" i="7"/>
  <c r="B4146" i="7"/>
  <c r="B4147" i="7"/>
  <c r="B4148" i="7"/>
  <c r="B4149" i="7"/>
  <c r="B4150" i="7"/>
  <c r="B4151" i="7"/>
  <c r="B4152" i="7"/>
  <c r="B4153" i="7"/>
  <c r="B4154" i="7"/>
  <c r="B4155" i="7"/>
  <c r="B4156" i="7"/>
  <c r="B4157" i="7"/>
  <c r="B4158" i="7"/>
  <c r="B4159" i="7"/>
  <c r="B4160" i="7"/>
  <c r="B4161" i="7"/>
  <c r="B4162" i="7"/>
  <c r="B4163" i="7"/>
  <c r="B4164" i="7"/>
  <c r="B4165" i="7"/>
  <c r="B4166" i="7"/>
  <c r="B4167" i="7"/>
  <c r="B4168" i="7"/>
  <c r="B4169" i="7"/>
  <c r="B4170" i="7"/>
  <c r="B4171" i="7"/>
  <c r="B4172" i="7"/>
  <c r="B4173" i="7"/>
  <c r="B4174" i="7"/>
  <c r="B4175" i="7"/>
  <c r="B4176" i="7"/>
  <c r="B4177" i="7"/>
  <c r="B4178" i="7"/>
  <c r="B4179" i="7"/>
  <c r="B4180" i="7"/>
  <c r="B4181" i="7"/>
  <c r="B4182" i="7"/>
  <c r="B4183" i="7"/>
  <c r="B4184" i="7"/>
  <c r="B4185" i="7"/>
  <c r="B4186" i="7"/>
  <c r="B4187" i="7"/>
  <c r="B4188" i="7"/>
  <c r="B4189" i="7"/>
  <c r="B4190" i="7"/>
  <c r="B4191" i="7"/>
  <c r="B4192" i="7"/>
  <c r="B4193" i="7"/>
  <c r="B4194" i="7"/>
  <c r="B4195" i="7"/>
  <c r="B4196" i="7"/>
  <c r="B4197" i="7"/>
  <c r="B4198" i="7"/>
  <c r="B4199" i="7"/>
  <c r="B4200" i="7"/>
  <c r="B4201" i="7"/>
  <c r="B4202" i="7"/>
  <c r="B4203" i="7"/>
  <c r="B4204" i="7"/>
  <c r="B4205" i="7"/>
  <c r="B4206" i="7"/>
  <c r="B4207" i="7"/>
  <c r="B4208" i="7"/>
  <c r="B4209" i="7"/>
  <c r="B4210" i="7"/>
  <c r="B4211" i="7"/>
  <c r="B4212" i="7"/>
  <c r="B4213" i="7"/>
  <c r="B4214" i="7"/>
  <c r="B4215" i="7"/>
  <c r="B4216" i="7"/>
  <c r="B4217" i="7"/>
  <c r="B4218" i="7"/>
  <c r="B4219" i="7"/>
  <c r="B4220" i="7"/>
  <c r="B4221" i="7"/>
  <c r="B4222" i="7"/>
  <c r="B4223" i="7"/>
  <c r="B4224" i="7"/>
  <c r="B4225" i="7"/>
  <c r="B4226" i="7"/>
  <c r="B4227" i="7"/>
  <c r="B4228" i="7"/>
  <c r="B4229" i="7"/>
  <c r="B4230" i="7"/>
  <c r="B4231" i="7"/>
  <c r="B4232" i="7"/>
  <c r="B4233" i="7"/>
  <c r="B4234" i="7"/>
  <c r="B4235" i="7"/>
  <c r="B4236" i="7"/>
  <c r="B4237" i="7"/>
  <c r="B4238" i="7"/>
  <c r="B4239" i="7"/>
  <c r="B4240" i="7"/>
  <c r="B4241" i="7"/>
  <c r="B4242" i="7"/>
  <c r="B4243" i="7"/>
  <c r="B4244" i="7"/>
  <c r="B4245" i="7"/>
  <c r="B4246" i="7"/>
  <c r="B4247" i="7"/>
  <c r="B4248" i="7"/>
  <c r="B4249" i="7"/>
  <c r="B4250" i="7"/>
  <c r="B4251" i="7"/>
  <c r="B4252" i="7"/>
  <c r="B4253" i="7"/>
  <c r="B4254" i="7"/>
  <c r="B4255" i="7"/>
  <c r="B4256" i="7"/>
  <c r="B4257" i="7"/>
  <c r="B4258" i="7"/>
  <c r="B4259" i="7"/>
  <c r="B4260" i="7"/>
  <c r="B4261" i="7"/>
  <c r="B4262" i="7"/>
  <c r="B4263" i="7"/>
  <c r="B4264" i="7"/>
  <c r="B4265" i="7"/>
  <c r="B4266" i="7"/>
  <c r="B4267" i="7"/>
  <c r="B4268" i="7"/>
  <c r="B4269" i="7"/>
  <c r="B4270" i="7"/>
  <c r="B4271" i="7"/>
  <c r="B4272" i="7"/>
  <c r="B4273" i="7"/>
  <c r="B4274" i="7"/>
  <c r="B4275" i="7"/>
  <c r="B4276" i="7"/>
  <c r="B4277" i="7"/>
  <c r="B4278" i="7"/>
  <c r="B4279" i="7"/>
  <c r="B4280" i="7"/>
  <c r="B4281" i="7"/>
  <c r="B4282" i="7"/>
  <c r="B4283" i="7"/>
  <c r="B4284" i="7"/>
  <c r="B4285" i="7"/>
  <c r="B4286" i="7"/>
  <c r="B4287" i="7"/>
  <c r="B4288" i="7"/>
  <c r="B4289" i="7"/>
  <c r="B4290" i="7"/>
  <c r="B4291" i="7"/>
  <c r="B4292" i="7"/>
  <c r="B4293" i="7"/>
  <c r="B4294" i="7"/>
  <c r="B4295" i="7"/>
  <c r="B4296" i="7"/>
  <c r="B4297" i="7"/>
  <c r="B4298" i="7"/>
  <c r="B4299" i="7"/>
  <c r="B4300" i="7"/>
  <c r="B4301" i="7"/>
  <c r="B4302" i="7"/>
  <c r="B4303" i="7"/>
  <c r="B4304" i="7"/>
  <c r="B4305" i="7"/>
  <c r="B4306" i="7"/>
  <c r="B4307" i="7"/>
  <c r="B4308" i="7"/>
  <c r="B4309" i="7"/>
  <c r="B4310" i="7"/>
  <c r="B4311" i="7"/>
  <c r="B4312" i="7"/>
  <c r="B4313" i="7"/>
  <c r="B4314" i="7"/>
  <c r="B4315" i="7"/>
  <c r="B4316" i="7"/>
  <c r="B4317" i="7"/>
  <c r="B4318" i="7"/>
  <c r="B4319" i="7"/>
  <c r="B4320" i="7"/>
  <c r="B4321" i="7"/>
  <c r="B4322" i="7"/>
  <c r="B4323" i="7"/>
  <c r="B4324" i="7"/>
  <c r="B4325" i="7"/>
  <c r="B4326" i="7"/>
  <c r="B4327" i="7"/>
  <c r="B4328" i="7"/>
  <c r="B4329" i="7"/>
  <c r="B4330" i="7"/>
  <c r="B4331" i="7"/>
  <c r="B4332" i="7"/>
  <c r="B4333" i="7"/>
  <c r="B4334" i="7"/>
  <c r="B4335" i="7"/>
  <c r="B4336" i="7"/>
  <c r="B4337" i="7"/>
  <c r="B4338" i="7"/>
  <c r="B4339" i="7"/>
  <c r="B4340" i="7"/>
  <c r="B4341" i="7"/>
  <c r="B4342" i="7"/>
  <c r="B4343" i="7"/>
  <c r="B4344" i="7"/>
  <c r="B4345" i="7"/>
  <c r="B4346" i="7"/>
  <c r="B4347" i="7"/>
  <c r="B4348" i="7"/>
  <c r="B4349" i="7"/>
  <c r="B4350" i="7"/>
  <c r="B4351" i="7"/>
  <c r="B4352" i="7"/>
  <c r="B4353" i="7"/>
  <c r="B4354" i="7"/>
  <c r="B4355" i="7"/>
  <c r="B4356" i="7"/>
  <c r="B4357" i="7"/>
  <c r="B4358" i="7"/>
  <c r="B4359" i="7"/>
  <c r="B4360" i="7"/>
  <c r="B4361" i="7"/>
  <c r="B4362" i="7"/>
  <c r="B4363" i="7"/>
  <c r="B4364" i="7"/>
  <c r="B4365" i="7"/>
  <c r="B4366" i="7"/>
  <c r="B4367" i="7"/>
  <c r="B4368" i="7"/>
  <c r="B4369" i="7"/>
  <c r="B4370" i="7"/>
  <c r="B4371" i="7"/>
  <c r="B4372" i="7"/>
  <c r="B4373" i="7"/>
  <c r="B4374" i="7"/>
  <c r="B4375" i="7"/>
  <c r="B4376" i="7"/>
  <c r="B4377" i="7"/>
  <c r="B4378" i="7"/>
  <c r="B4379" i="7"/>
  <c r="B4380" i="7"/>
  <c r="B4381" i="7"/>
  <c r="B4382" i="7"/>
  <c r="B4383" i="7"/>
  <c r="B4384" i="7"/>
  <c r="B4385" i="7"/>
  <c r="B4386" i="7"/>
  <c r="B4387" i="7"/>
  <c r="B4388" i="7"/>
  <c r="B4389" i="7"/>
  <c r="B4390" i="7"/>
  <c r="B4391" i="7"/>
  <c r="B4392" i="7"/>
  <c r="B4393" i="7"/>
  <c r="B4394" i="7"/>
  <c r="B4395" i="7"/>
  <c r="B4396" i="7"/>
  <c r="B4397" i="7"/>
  <c r="B4398" i="7"/>
  <c r="B4399" i="7"/>
  <c r="B4400" i="7"/>
  <c r="B4401" i="7"/>
  <c r="B4402" i="7"/>
  <c r="B4403" i="7"/>
  <c r="B4404" i="7"/>
  <c r="B4405" i="7"/>
  <c r="B4406" i="7"/>
  <c r="B4407" i="7"/>
  <c r="B4408" i="7"/>
  <c r="B4409" i="7"/>
  <c r="B4410" i="7"/>
  <c r="B4411" i="7"/>
  <c r="B4412" i="7"/>
  <c r="B4413" i="7"/>
  <c r="B4414" i="7"/>
  <c r="B4415" i="7"/>
  <c r="B4416" i="7"/>
  <c r="B4417" i="7"/>
  <c r="B4418" i="7"/>
  <c r="B4419" i="7"/>
  <c r="B4420" i="7"/>
  <c r="B4421" i="7"/>
  <c r="B4422" i="7"/>
  <c r="B4423" i="7"/>
  <c r="B4424" i="7"/>
  <c r="B4425" i="7"/>
  <c r="B4426" i="7"/>
  <c r="B4427" i="7"/>
  <c r="B4428" i="7"/>
  <c r="B4429" i="7"/>
  <c r="B4430" i="7"/>
  <c r="B4431" i="7"/>
  <c r="B4432" i="7"/>
  <c r="B4433" i="7"/>
  <c r="B4434" i="7"/>
  <c r="B4435" i="7"/>
  <c r="B4436" i="7"/>
  <c r="B4437" i="7"/>
  <c r="B4438" i="7"/>
  <c r="B4439" i="7"/>
  <c r="B4440" i="7"/>
  <c r="B4441" i="7"/>
  <c r="B4442" i="7"/>
  <c r="B4443" i="7"/>
  <c r="B4444" i="7"/>
  <c r="B4445" i="7"/>
  <c r="B4446" i="7"/>
  <c r="B4447" i="7"/>
  <c r="B4448" i="7"/>
  <c r="B4449" i="7"/>
  <c r="B4450" i="7"/>
  <c r="B4451" i="7"/>
  <c r="B4452" i="7"/>
  <c r="B4453" i="7"/>
  <c r="B4454" i="7"/>
  <c r="B4455" i="7"/>
  <c r="B4456" i="7"/>
  <c r="B4457" i="7"/>
  <c r="B4458" i="7"/>
  <c r="B4459" i="7"/>
  <c r="B4460" i="7"/>
  <c r="B4461" i="7"/>
  <c r="B4462" i="7"/>
  <c r="B4463" i="7"/>
  <c r="B4464" i="7"/>
  <c r="B4465" i="7"/>
  <c r="B4466" i="7"/>
  <c r="B4467" i="7"/>
  <c r="B4468" i="7"/>
  <c r="B4469" i="7"/>
  <c r="B4470" i="7"/>
  <c r="B4471" i="7"/>
  <c r="B4472" i="7"/>
  <c r="B4473" i="7"/>
  <c r="B4474" i="7"/>
  <c r="B4475" i="7"/>
  <c r="B4476" i="7"/>
  <c r="B4477" i="7"/>
  <c r="B4478" i="7"/>
  <c r="B4479" i="7"/>
  <c r="B4480" i="7"/>
  <c r="B4481" i="7"/>
  <c r="B4482" i="7"/>
  <c r="B4483" i="7"/>
  <c r="B4484" i="7"/>
  <c r="B4485" i="7"/>
  <c r="B4486" i="7"/>
  <c r="B4487" i="7"/>
  <c r="B4488" i="7"/>
  <c r="B4489" i="7"/>
  <c r="B4490" i="7"/>
  <c r="B4491" i="7"/>
  <c r="B4492" i="7"/>
  <c r="B4493" i="7"/>
  <c r="B4494" i="7"/>
  <c r="B4495" i="7"/>
  <c r="B4496" i="7"/>
  <c r="B4497" i="7"/>
  <c r="B4498" i="7"/>
  <c r="B4499" i="7"/>
  <c r="B4500" i="7"/>
  <c r="B4501" i="7"/>
  <c r="B4502" i="7"/>
  <c r="B4503" i="7"/>
  <c r="B4504" i="7"/>
  <c r="B4505" i="7"/>
  <c r="B4506" i="7"/>
  <c r="B4507" i="7"/>
  <c r="B4508" i="7"/>
  <c r="B4509" i="7"/>
  <c r="B4510" i="7"/>
  <c r="B4511" i="7"/>
  <c r="B4512" i="7"/>
  <c r="B4513" i="7"/>
  <c r="B4514" i="7"/>
  <c r="B4515" i="7"/>
  <c r="B4516" i="7"/>
  <c r="B4517" i="7"/>
  <c r="B4518" i="7"/>
  <c r="B4519" i="7"/>
  <c r="B4520" i="7"/>
  <c r="B4521" i="7"/>
  <c r="B4522" i="7"/>
  <c r="B4523" i="7"/>
  <c r="B4524" i="7"/>
  <c r="B4525" i="7"/>
  <c r="B4526" i="7"/>
  <c r="B4527" i="7"/>
  <c r="B4528" i="7"/>
  <c r="B4529" i="7"/>
  <c r="B4530" i="7"/>
  <c r="B4531" i="7"/>
  <c r="B4532" i="7"/>
  <c r="B4533" i="7"/>
  <c r="B4534" i="7"/>
  <c r="B4535" i="7"/>
  <c r="B4536" i="7"/>
  <c r="B4537" i="7"/>
  <c r="B4538" i="7"/>
  <c r="B4539" i="7"/>
  <c r="B4540" i="7"/>
  <c r="B4541" i="7"/>
  <c r="B4542" i="7"/>
  <c r="B4543" i="7"/>
  <c r="B4544" i="7"/>
  <c r="B4545" i="7"/>
  <c r="B4546" i="7"/>
  <c r="B4547" i="7"/>
  <c r="B4548" i="7"/>
  <c r="B4549" i="7"/>
  <c r="B4550" i="7"/>
  <c r="B4551" i="7"/>
  <c r="B4552" i="7"/>
  <c r="B4553" i="7"/>
  <c r="B4554" i="7"/>
  <c r="B4555" i="7"/>
  <c r="B4556" i="7"/>
  <c r="B4557" i="7"/>
  <c r="B4558" i="7"/>
  <c r="B4559" i="7"/>
  <c r="B4560" i="7"/>
  <c r="B4561" i="7"/>
  <c r="B4562" i="7"/>
  <c r="B4563" i="7"/>
  <c r="B4564" i="7"/>
  <c r="B4565" i="7"/>
  <c r="B4566" i="7"/>
  <c r="B4567" i="7"/>
  <c r="B4568" i="7"/>
  <c r="B4569" i="7"/>
  <c r="B4570" i="7"/>
  <c r="B4571" i="7"/>
  <c r="B4572" i="7"/>
  <c r="B4573" i="7"/>
  <c r="B4574" i="7"/>
  <c r="B4575" i="7"/>
  <c r="B4576" i="7"/>
  <c r="B4577" i="7"/>
  <c r="B4578" i="7"/>
  <c r="B4579" i="7"/>
  <c r="B4580" i="7"/>
  <c r="B4581" i="7"/>
  <c r="B4582" i="7"/>
  <c r="B4583" i="7"/>
  <c r="B4584" i="7"/>
  <c r="B4585" i="7"/>
  <c r="B4586" i="7"/>
  <c r="B4587" i="7"/>
  <c r="B4588" i="7"/>
  <c r="B4589" i="7"/>
  <c r="B4590" i="7"/>
  <c r="B4591" i="7"/>
  <c r="B4592" i="7"/>
  <c r="B4593" i="7"/>
  <c r="B4594" i="7"/>
  <c r="B4595" i="7"/>
  <c r="B4596" i="7"/>
  <c r="B4597" i="7"/>
  <c r="B4598" i="7"/>
  <c r="B4599" i="7"/>
  <c r="B4600" i="7"/>
  <c r="B4601" i="7"/>
  <c r="B4602" i="7"/>
  <c r="B4603" i="7"/>
  <c r="B4604" i="7"/>
  <c r="B4605" i="7"/>
  <c r="B4606" i="7"/>
  <c r="B4607" i="7"/>
  <c r="B4608" i="7"/>
  <c r="B4609" i="7"/>
  <c r="B4610" i="7"/>
  <c r="B4611" i="7"/>
  <c r="B4612" i="7"/>
  <c r="B4613" i="7"/>
  <c r="B4614" i="7"/>
  <c r="B4615" i="7"/>
  <c r="B4616" i="7"/>
  <c r="B4617" i="7"/>
  <c r="B4618" i="7"/>
  <c r="B4619" i="7"/>
  <c r="B4620" i="7"/>
  <c r="B4621" i="7"/>
  <c r="B4622" i="7"/>
  <c r="B4623" i="7"/>
  <c r="B4624" i="7"/>
  <c r="B4625" i="7"/>
  <c r="B4626" i="7"/>
  <c r="B4627" i="7"/>
  <c r="B4628" i="7"/>
  <c r="B4629" i="7"/>
  <c r="B4630" i="7"/>
  <c r="B4631" i="7"/>
  <c r="B4632" i="7"/>
  <c r="B4633" i="7"/>
  <c r="B4634" i="7"/>
  <c r="B4635" i="7"/>
  <c r="B4636" i="7"/>
  <c r="B4637" i="7"/>
  <c r="B4638" i="7"/>
  <c r="B4639" i="7"/>
  <c r="B4640" i="7"/>
  <c r="B4641" i="7"/>
  <c r="B4642" i="7"/>
  <c r="B4643" i="7"/>
  <c r="B4644" i="7"/>
  <c r="B4645" i="7"/>
  <c r="B4646" i="7"/>
  <c r="B4647" i="7"/>
  <c r="B4648" i="7"/>
  <c r="B4649" i="7"/>
  <c r="B4650" i="7"/>
  <c r="B4651" i="7"/>
  <c r="B4652" i="7"/>
  <c r="B4653" i="7"/>
  <c r="B4654" i="7"/>
  <c r="B4655" i="7"/>
  <c r="B4656" i="7"/>
  <c r="B4657" i="7"/>
  <c r="B4658" i="7"/>
  <c r="B4659" i="7"/>
  <c r="B4660" i="7"/>
  <c r="B4661" i="7"/>
  <c r="B4662" i="7"/>
  <c r="B4663" i="7"/>
  <c r="B4664" i="7"/>
  <c r="B4665" i="7"/>
  <c r="B4666" i="7"/>
  <c r="B4667" i="7"/>
  <c r="B4668" i="7"/>
  <c r="B4669" i="7"/>
  <c r="B4670" i="7"/>
  <c r="B4671" i="7"/>
  <c r="B4672" i="7"/>
  <c r="B4673" i="7"/>
  <c r="B4674" i="7"/>
  <c r="B4675" i="7"/>
  <c r="B4676" i="7"/>
  <c r="B4677" i="7"/>
  <c r="B4678" i="7"/>
  <c r="B4679" i="7"/>
  <c r="B4680" i="7"/>
  <c r="B4681" i="7"/>
  <c r="B4682" i="7"/>
  <c r="B4683" i="7"/>
  <c r="B4684" i="7"/>
  <c r="B4685" i="7"/>
  <c r="B4686" i="7"/>
  <c r="B4687" i="7"/>
  <c r="B4688" i="7"/>
  <c r="B4689" i="7"/>
  <c r="B4690" i="7"/>
  <c r="B4691" i="7"/>
  <c r="B4692" i="7"/>
  <c r="B4693" i="7"/>
  <c r="B4694" i="7"/>
  <c r="B4695" i="7"/>
  <c r="B4696" i="7"/>
  <c r="B4697" i="7"/>
  <c r="B4698" i="7"/>
  <c r="B4699" i="7"/>
  <c r="B4700" i="7"/>
  <c r="B4701" i="7"/>
  <c r="B4702" i="7"/>
  <c r="B4703" i="7"/>
  <c r="B4704" i="7"/>
  <c r="B4705" i="7"/>
  <c r="B4706" i="7"/>
  <c r="B4707" i="7"/>
  <c r="B4708" i="7"/>
  <c r="B4709" i="7"/>
  <c r="B4710" i="7"/>
  <c r="B4711" i="7"/>
  <c r="B4712" i="7"/>
  <c r="B4713" i="7"/>
  <c r="B4714" i="7"/>
  <c r="B4715" i="7"/>
  <c r="B4716" i="7"/>
  <c r="B4717" i="7"/>
  <c r="B4718" i="7"/>
  <c r="B4719" i="7"/>
  <c r="B4720" i="7"/>
  <c r="B4721" i="7"/>
  <c r="B4722" i="7"/>
  <c r="B4723" i="7"/>
  <c r="B4724" i="7"/>
  <c r="B4725" i="7"/>
  <c r="B4726" i="7"/>
  <c r="B4727" i="7"/>
  <c r="B4728" i="7"/>
  <c r="B4729" i="7"/>
  <c r="B4730" i="7"/>
  <c r="B4731" i="7"/>
  <c r="B4732" i="7"/>
  <c r="B4733" i="7"/>
  <c r="B4734" i="7"/>
  <c r="B4735" i="7"/>
  <c r="B4736" i="7"/>
  <c r="B4737" i="7"/>
  <c r="B4738" i="7"/>
  <c r="B4739" i="7"/>
  <c r="B4740" i="7"/>
  <c r="B4741" i="7"/>
  <c r="B4742" i="7"/>
  <c r="B4743" i="7"/>
  <c r="B4744" i="7"/>
  <c r="B4745" i="7"/>
  <c r="B4746" i="7"/>
  <c r="B4747" i="7"/>
  <c r="B4748" i="7"/>
  <c r="B4749" i="7"/>
  <c r="B4750" i="7"/>
  <c r="B4751" i="7"/>
  <c r="B4752" i="7"/>
  <c r="B4753" i="7"/>
  <c r="B4754" i="7"/>
  <c r="B4755" i="7"/>
  <c r="B4756" i="7"/>
  <c r="B4757" i="7"/>
  <c r="B4758" i="7"/>
  <c r="B4759" i="7"/>
  <c r="B4760" i="7"/>
  <c r="B4761" i="7"/>
  <c r="B4762" i="7"/>
  <c r="B4763" i="7"/>
  <c r="B4764" i="7"/>
  <c r="B4765" i="7"/>
  <c r="B4766" i="7"/>
  <c r="B4767" i="7"/>
  <c r="B4768" i="7"/>
  <c r="B4769" i="7"/>
  <c r="B4770" i="7"/>
  <c r="B4771" i="7"/>
  <c r="B4772" i="7"/>
  <c r="B4773" i="7"/>
  <c r="B4774" i="7"/>
  <c r="B4775" i="7"/>
  <c r="B4776" i="7"/>
  <c r="B4777" i="7"/>
  <c r="B4778" i="7"/>
  <c r="B4779" i="7"/>
  <c r="B4780" i="7"/>
  <c r="B4781" i="7"/>
  <c r="B4782" i="7"/>
  <c r="B4783" i="7"/>
  <c r="B4784" i="7"/>
  <c r="B4785" i="7"/>
  <c r="B4786" i="7"/>
  <c r="B4787" i="7"/>
  <c r="B4788" i="7"/>
  <c r="B4789" i="7"/>
  <c r="B4790" i="7"/>
  <c r="B4791" i="7"/>
  <c r="B4792" i="7"/>
  <c r="B4793" i="7"/>
  <c r="B4794" i="7"/>
  <c r="B4795" i="7"/>
  <c r="B4796" i="7"/>
  <c r="B4797" i="7"/>
  <c r="B4798" i="7"/>
  <c r="B4799" i="7"/>
  <c r="B4800" i="7"/>
  <c r="B4801" i="7"/>
  <c r="B4802" i="7"/>
  <c r="B4803" i="7"/>
  <c r="B4804" i="7"/>
  <c r="B4805" i="7"/>
  <c r="B4806" i="7"/>
  <c r="B4807" i="7"/>
  <c r="B4808" i="7"/>
  <c r="B4809" i="7"/>
  <c r="B4810" i="7"/>
  <c r="B4811" i="7"/>
  <c r="B4812" i="7"/>
  <c r="B4813" i="7"/>
  <c r="B4814" i="7"/>
  <c r="B4815" i="7"/>
  <c r="B4816" i="7"/>
  <c r="B4817" i="7"/>
  <c r="B4818" i="7"/>
  <c r="B4819" i="7"/>
  <c r="B4820" i="7"/>
  <c r="B4821" i="7"/>
  <c r="B4822" i="7"/>
  <c r="B4823" i="7"/>
  <c r="B4824" i="7"/>
  <c r="B4825" i="7"/>
  <c r="B4826" i="7"/>
  <c r="B4827" i="7"/>
  <c r="B4828" i="7"/>
  <c r="B4829" i="7"/>
  <c r="B4830" i="7"/>
  <c r="B4831" i="7"/>
  <c r="B4832" i="7"/>
  <c r="B4833" i="7"/>
  <c r="B4834" i="7"/>
  <c r="B4835" i="7"/>
  <c r="B4836" i="7"/>
  <c r="B4837" i="7"/>
  <c r="B4838" i="7"/>
  <c r="B4839" i="7"/>
  <c r="B4840" i="7"/>
  <c r="B4841" i="7"/>
  <c r="B4842" i="7"/>
  <c r="B4843" i="7"/>
  <c r="B4844" i="7"/>
  <c r="B4845" i="7"/>
  <c r="B4846" i="7"/>
  <c r="B4847" i="7"/>
  <c r="B4848" i="7"/>
  <c r="B4849" i="7"/>
  <c r="B4850" i="7"/>
  <c r="B4851" i="7"/>
  <c r="B4852" i="7"/>
  <c r="B4853" i="7"/>
  <c r="B4854" i="7"/>
  <c r="B4855" i="7"/>
  <c r="B4856" i="7"/>
  <c r="B4857" i="7"/>
  <c r="B4858" i="7"/>
  <c r="B4859" i="7"/>
  <c r="B4860" i="7"/>
  <c r="B4861" i="7"/>
  <c r="B4862" i="7"/>
  <c r="B4863" i="7"/>
  <c r="B4864" i="7"/>
  <c r="B4865" i="7"/>
  <c r="B4866" i="7"/>
  <c r="B4867" i="7"/>
  <c r="B4868" i="7"/>
  <c r="B4869" i="7"/>
  <c r="B4870" i="7"/>
  <c r="B4871" i="7"/>
  <c r="B4872" i="7"/>
  <c r="B4873" i="7"/>
  <c r="B4874" i="7"/>
  <c r="B4875" i="7"/>
  <c r="B4876" i="7"/>
  <c r="B4877" i="7"/>
  <c r="B4878" i="7"/>
  <c r="B4879" i="7"/>
  <c r="B4880" i="7"/>
  <c r="B4881" i="7"/>
  <c r="B4882" i="7"/>
  <c r="B4883" i="7"/>
  <c r="B4884" i="7"/>
  <c r="B4885" i="7"/>
  <c r="B4886" i="7"/>
  <c r="B4887" i="7"/>
  <c r="B4888" i="7"/>
  <c r="B4889" i="7"/>
  <c r="B4890" i="7"/>
  <c r="B4891" i="7"/>
  <c r="B4892" i="7"/>
  <c r="B4893" i="7"/>
  <c r="B4894" i="7"/>
  <c r="B4895" i="7"/>
  <c r="B4896" i="7"/>
  <c r="B4897" i="7"/>
  <c r="B4898" i="7"/>
  <c r="B4899" i="7"/>
  <c r="B4900" i="7"/>
  <c r="B4901" i="7"/>
  <c r="B4902" i="7"/>
  <c r="B4903" i="7"/>
  <c r="B4904" i="7"/>
  <c r="B4905" i="7"/>
  <c r="B4906" i="7"/>
  <c r="B4907" i="7"/>
  <c r="B4908" i="7"/>
  <c r="B4909" i="7"/>
  <c r="B4910" i="7"/>
  <c r="B4911" i="7"/>
  <c r="B4912" i="7"/>
  <c r="B4913" i="7"/>
  <c r="B4914" i="7"/>
  <c r="B4915" i="7"/>
  <c r="B4916" i="7"/>
  <c r="B4917" i="7"/>
  <c r="B4918" i="7"/>
  <c r="B4919" i="7"/>
  <c r="B4920" i="7"/>
  <c r="B4921" i="7"/>
  <c r="B4922" i="7"/>
  <c r="B4923" i="7"/>
  <c r="B4924" i="7"/>
  <c r="B4925" i="7"/>
  <c r="B4926" i="7"/>
  <c r="B4927" i="7"/>
  <c r="B4928" i="7"/>
  <c r="B4929" i="7"/>
  <c r="B4930" i="7"/>
  <c r="B4931" i="7"/>
  <c r="B4932" i="7"/>
  <c r="B4933" i="7"/>
  <c r="B4934" i="7"/>
  <c r="B4935" i="7"/>
  <c r="B4936" i="7"/>
  <c r="B4937" i="7"/>
  <c r="B4938" i="7"/>
  <c r="B4939" i="7"/>
  <c r="B4940" i="7"/>
  <c r="B4941" i="7"/>
  <c r="B4942" i="7"/>
  <c r="B4943" i="7"/>
  <c r="B4944" i="7"/>
  <c r="B4945" i="7"/>
  <c r="B4946" i="7"/>
  <c r="B4947" i="7"/>
  <c r="B4948" i="7"/>
  <c r="B4949" i="7"/>
  <c r="B4950" i="7"/>
  <c r="B4951" i="7"/>
  <c r="B4952" i="7"/>
  <c r="B4953" i="7"/>
  <c r="B4954" i="7"/>
  <c r="B4955" i="7"/>
  <c r="B4956" i="7"/>
  <c r="B4957" i="7"/>
  <c r="B4958" i="7"/>
  <c r="B4959" i="7"/>
  <c r="B4960" i="7"/>
  <c r="B4961" i="7"/>
  <c r="B4962" i="7"/>
  <c r="B4963" i="7"/>
  <c r="B4964" i="7"/>
  <c r="B4965" i="7"/>
  <c r="B4966" i="7"/>
  <c r="B4967" i="7"/>
  <c r="B4968" i="7"/>
  <c r="B4969" i="7"/>
  <c r="B4970" i="7"/>
  <c r="B4971" i="7"/>
  <c r="B4972" i="7"/>
  <c r="B4973" i="7"/>
  <c r="B4974" i="7"/>
  <c r="B4975" i="7"/>
  <c r="B4976" i="7"/>
  <c r="B4977" i="7"/>
  <c r="B4978" i="7"/>
  <c r="B4979" i="7"/>
  <c r="B4980" i="7"/>
  <c r="B4981" i="7"/>
  <c r="B4982" i="7"/>
  <c r="B4983" i="7"/>
  <c r="B4984" i="7"/>
  <c r="B4985" i="7"/>
  <c r="B4986" i="7"/>
  <c r="B4987" i="7"/>
  <c r="B4988" i="7"/>
  <c r="B4989" i="7"/>
  <c r="B4990" i="7"/>
  <c r="B4991" i="7"/>
  <c r="B4992" i="7"/>
  <c r="B4993" i="7"/>
  <c r="B4994" i="7"/>
  <c r="B4995" i="7"/>
  <c r="B4996" i="7"/>
  <c r="B4997" i="7"/>
  <c r="B4998" i="7"/>
  <c r="B4999" i="7"/>
  <c r="B5000" i="7"/>
  <c r="B5001" i="7"/>
  <c r="B5002" i="7"/>
  <c r="B5003" i="7"/>
  <c r="B5004" i="7"/>
  <c r="B5005" i="7"/>
  <c r="B5006" i="7"/>
  <c r="B5007" i="7"/>
  <c r="B5008" i="7"/>
  <c r="B5009" i="7"/>
  <c r="B5010" i="7"/>
  <c r="B5011" i="7"/>
  <c r="B5012" i="7"/>
  <c r="B5013" i="7"/>
  <c r="B5014" i="7"/>
  <c r="B5015" i="7"/>
  <c r="B5016" i="7"/>
  <c r="B5017" i="7"/>
  <c r="B5018" i="7"/>
  <c r="B5019" i="7"/>
  <c r="B5020" i="7"/>
  <c r="B5021" i="7"/>
  <c r="B5022" i="7"/>
  <c r="B5023" i="7"/>
  <c r="B5024" i="7"/>
  <c r="B5025" i="7"/>
  <c r="B5026" i="7"/>
  <c r="B5027" i="7"/>
  <c r="B5028" i="7"/>
  <c r="B5029" i="7"/>
  <c r="B5030" i="7"/>
  <c r="B5031" i="7"/>
  <c r="B5032" i="7"/>
  <c r="B5033" i="7"/>
  <c r="B5034" i="7"/>
  <c r="B5035" i="7"/>
  <c r="B5036" i="7"/>
  <c r="B5037" i="7"/>
  <c r="B5038" i="7"/>
  <c r="B5039" i="7"/>
  <c r="B5040" i="7"/>
  <c r="B5041" i="7"/>
  <c r="B5042" i="7"/>
  <c r="B5043" i="7"/>
  <c r="B5044" i="7"/>
  <c r="B5045" i="7"/>
  <c r="B5046" i="7"/>
  <c r="B5047" i="7"/>
  <c r="B5048" i="7"/>
  <c r="B5049" i="7"/>
  <c r="B5050" i="7"/>
  <c r="B5051" i="7"/>
  <c r="B5052" i="7"/>
  <c r="B5053" i="7"/>
  <c r="B5054" i="7"/>
  <c r="B5055" i="7"/>
  <c r="B5056" i="7"/>
  <c r="B5057" i="7"/>
  <c r="B5058" i="7"/>
  <c r="B5059" i="7"/>
  <c r="B5060" i="7"/>
  <c r="B5061" i="7"/>
  <c r="B5062" i="7"/>
  <c r="B5063" i="7"/>
  <c r="B5064" i="7"/>
  <c r="B5065" i="7"/>
  <c r="B5066" i="7"/>
  <c r="B5067" i="7"/>
  <c r="B5068" i="7"/>
  <c r="B5069" i="7"/>
  <c r="B5070" i="7"/>
  <c r="B5071" i="7"/>
  <c r="B5072" i="7"/>
  <c r="B5073" i="7"/>
  <c r="B5074" i="7"/>
  <c r="B5075" i="7"/>
  <c r="B5076" i="7"/>
  <c r="B5077" i="7"/>
  <c r="B5078" i="7"/>
  <c r="B5079" i="7"/>
  <c r="B5080" i="7"/>
  <c r="B5081" i="7"/>
  <c r="B5082" i="7"/>
  <c r="B5083" i="7"/>
  <c r="B5084" i="7"/>
  <c r="B5085" i="7"/>
  <c r="B5086" i="7"/>
  <c r="B5087" i="7"/>
  <c r="B5088" i="7"/>
  <c r="B5089" i="7"/>
  <c r="B5090" i="7"/>
  <c r="B5091" i="7"/>
  <c r="B5092" i="7"/>
  <c r="B5093" i="7"/>
  <c r="B5094" i="7"/>
  <c r="B5095" i="7"/>
  <c r="B5096" i="7"/>
  <c r="B5097" i="7"/>
  <c r="B5098" i="7"/>
  <c r="B5099" i="7"/>
  <c r="B5100" i="7"/>
  <c r="B5101" i="7"/>
  <c r="B5102" i="7"/>
  <c r="B5103" i="7"/>
  <c r="B5104" i="7"/>
  <c r="B5105" i="7"/>
  <c r="B5106" i="7"/>
  <c r="B5107" i="7"/>
  <c r="B5108" i="7"/>
  <c r="B5109" i="7"/>
  <c r="B5110" i="7"/>
  <c r="B5111" i="7"/>
  <c r="B5112" i="7"/>
  <c r="B5113" i="7"/>
  <c r="B5114" i="7"/>
  <c r="B5115" i="7"/>
  <c r="B5116" i="7"/>
  <c r="B5117" i="7"/>
  <c r="B5118" i="7"/>
  <c r="B5119" i="7"/>
  <c r="B5120" i="7"/>
  <c r="B5121" i="7"/>
  <c r="B5122" i="7"/>
  <c r="B5123" i="7"/>
  <c r="B5124" i="7"/>
  <c r="B5125" i="7"/>
  <c r="B5126" i="7"/>
  <c r="B5127" i="7"/>
  <c r="B5128" i="7"/>
  <c r="B5129" i="7"/>
  <c r="B5130" i="7"/>
  <c r="B5131" i="7"/>
  <c r="B5132" i="7"/>
  <c r="B5133" i="7"/>
  <c r="B5134" i="7"/>
  <c r="B5135" i="7"/>
  <c r="B5136" i="7"/>
  <c r="B5137" i="7"/>
  <c r="B5138" i="7"/>
  <c r="B5139" i="7"/>
  <c r="B5140" i="7"/>
  <c r="B5141" i="7"/>
  <c r="B5142" i="7"/>
  <c r="B5143" i="7"/>
  <c r="B5144" i="7"/>
  <c r="B5145" i="7"/>
  <c r="B5146" i="7"/>
  <c r="B5147" i="7"/>
  <c r="B5148" i="7"/>
  <c r="B5149" i="7"/>
  <c r="B5150" i="7"/>
  <c r="B5151" i="7"/>
  <c r="B5152" i="7"/>
  <c r="B5153" i="7"/>
  <c r="B5154" i="7"/>
  <c r="B5155" i="7"/>
  <c r="B5156" i="7"/>
  <c r="B5157" i="7"/>
  <c r="B5158" i="7"/>
  <c r="B5159" i="7"/>
  <c r="B5160" i="7"/>
  <c r="B5161" i="7"/>
  <c r="B5162" i="7"/>
  <c r="B5163" i="7"/>
  <c r="B5164" i="7"/>
  <c r="B5165" i="7"/>
  <c r="B5166" i="7"/>
  <c r="B5167" i="7"/>
  <c r="B5168" i="7"/>
  <c r="B5169" i="7"/>
  <c r="B5170" i="7"/>
  <c r="B5171" i="7"/>
  <c r="B5172" i="7"/>
  <c r="B5173" i="7"/>
  <c r="B5174" i="7"/>
  <c r="B5175" i="7"/>
  <c r="B5176" i="7"/>
  <c r="B5177" i="7"/>
  <c r="B5178" i="7"/>
  <c r="B5179" i="7"/>
  <c r="B5180" i="7"/>
  <c r="B5181" i="7"/>
  <c r="B5182" i="7"/>
  <c r="B5183" i="7"/>
  <c r="B5184" i="7"/>
  <c r="B5185" i="7"/>
  <c r="B5186" i="7"/>
  <c r="B5187" i="7"/>
  <c r="B5188" i="7"/>
  <c r="B5189" i="7"/>
  <c r="B5190" i="7"/>
  <c r="B5191" i="7"/>
  <c r="B5192" i="7"/>
  <c r="B5193" i="7"/>
  <c r="B5194" i="7"/>
  <c r="B5195" i="7"/>
  <c r="B5196" i="7"/>
  <c r="B5197" i="7"/>
  <c r="B5198" i="7"/>
  <c r="B5199" i="7"/>
  <c r="B5200" i="7"/>
  <c r="B5201" i="7"/>
  <c r="B5202" i="7"/>
  <c r="B5203" i="7"/>
  <c r="B5204" i="7"/>
  <c r="B5205" i="7"/>
  <c r="B5206" i="7"/>
  <c r="B5207" i="7"/>
  <c r="B5208" i="7"/>
  <c r="B5209" i="7"/>
  <c r="B5210" i="7"/>
  <c r="B5211" i="7"/>
  <c r="B5212" i="7"/>
  <c r="B5213" i="7"/>
  <c r="B5214" i="7"/>
  <c r="B5215" i="7"/>
  <c r="B5216" i="7"/>
  <c r="B5217" i="7"/>
  <c r="B5218" i="7"/>
  <c r="B5219" i="7"/>
  <c r="B5220" i="7"/>
  <c r="B5221" i="7"/>
  <c r="B5222" i="7"/>
  <c r="B5223" i="7"/>
  <c r="B5224" i="7"/>
  <c r="B5225" i="7"/>
  <c r="B5226" i="7"/>
  <c r="B5227" i="7"/>
  <c r="B5228" i="7"/>
  <c r="B3" i="7"/>
  <c r="B4" i="7"/>
  <c r="B5" i="7"/>
  <c r="B6" i="7"/>
  <c r="B7" i="7"/>
  <c r="B8" i="7"/>
  <c r="B9" i="7"/>
  <c r="B10" i="7"/>
  <c r="B11" i="7"/>
  <c r="B12" i="7"/>
  <c r="B13" i="7"/>
  <c r="B14" i="7"/>
  <c r="B2" i="7"/>
  <c r="I117" i="6" l="1"/>
  <c r="I71" i="6"/>
  <c r="I23" i="6"/>
  <c r="I42" i="6"/>
  <c r="I53" i="6"/>
  <c r="I60" i="6"/>
  <c r="I111" i="6"/>
  <c r="I2" i="6"/>
  <c r="I3" i="6"/>
  <c r="I4" i="6"/>
  <c r="I5" i="6"/>
  <c r="I66" i="6"/>
  <c r="I7" i="6"/>
  <c r="I9" i="6"/>
  <c r="I10" i="6"/>
  <c r="I98" i="6"/>
  <c r="I16" i="6"/>
  <c r="I11" i="6"/>
  <c r="I14" i="6"/>
  <c r="I19" i="6"/>
  <c r="I21" i="6"/>
  <c r="I25" i="6"/>
  <c r="I26" i="6"/>
  <c r="I28" i="6"/>
  <c r="I30" i="6"/>
  <c r="I31" i="6"/>
  <c r="I34" i="6"/>
  <c r="I85" i="6"/>
  <c r="I37" i="6"/>
  <c r="I39" i="6"/>
  <c r="I55" i="6"/>
  <c r="I73" i="6"/>
  <c r="I83" i="6"/>
  <c r="I84" i="6"/>
  <c r="I64" i="6"/>
  <c r="I116" i="6"/>
  <c r="I82" i="6"/>
  <c r="I108" i="6"/>
  <c r="I61" i="6"/>
  <c r="I36" i="6"/>
  <c r="I101" i="6"/>
  <c r="I40" i="6"/>
  <c r="I43" i="6"/>
  <c r="I47" i="6"/>
  <c r="I52" i="6"/>
  <c r="I54" i="6"/>
  <c r="I56" i="6"/>
  <c r="I57" i="6"/>
  <c r="I102" i="6"/>
  <c r="I90" i="6"/>
  <c r="I99" i="6"/>
  <c r="I91" i="6"/>
  <c r="I74" i="6"/>
  <c r="I49" i="6"/>
  <c r="I12" i="6"/>
  <c r="I27" i="6"/>
  <c r="I17" i="6"/>
  <c r="I51" i="6"/>
  <c r="I75" i="6"/>
  <c r="I92" i="6"/>
  <c r="I103" i="6"/>
  <c r="I119" i="6"/>
  <c r="I29" i="6"/>
  <c r="I118" i="6"/>
  <c r="I32" i="6"/>
  <c r="I15" i="6"/>
  <c r="I18" i="6"/>
  <c r="I35" i="6"/>
  <c r="I89" i="6"/>
  <c r="I22" i="6"/>
  <c r="I58" i="6"/>
  <c r="I41" i="6"/>
  <c r="I93" i="6"/>
  <c r="I62" i="6"/>
  <c r="I63" i="6"/>
  <c r="I68" i="6"/>
  <c r="I70" i="6"/>
  <c r="I72" i="6"/>
  <c r="I76" i="6"/>
  <c r="I77" i="6"/>
  <c r="I79" i="6"/>
  <c r="I80" i="6"/>
  <c r="I86" i="6"/>
  <c r="I88" i="6"/>
  <c r="I95" i="6"/>
  <c r="I48" i="6"/>
  <c r="I96" i="6"/>
  <c r="I97" i="6"/>
  <c r="I104" i="6"/>
  <c r="I105" i="6"/>
  <c r="I109" i="6"/>
  <c r="I110" i="6"/>
  <c r="I114" i="6"/>
  <c r="I20" i="6"/>
  <c r="I24" i="6"/>
  <c r="I46" i="6"/>
  <c r="I107" i="6"/>
  <c r="I59" i="6"/>
  <c r="I65" i="6"/>
  <c r="I100" i="6"/>
  <c r="I44" i="6"/>
  <c r="I94" i="6"/>
  <c r="I113" i="6"/>
  <c r="I112" i="6"/>
  <c r="I6" i="6"/>
  <c r="I13" i="6"/>
  <c r="I33" i="6"/>
  <c r="I50" i="6"/>
  <c r="I81" i="6"/>
  <c r="I106" i="6"/>
  <c r="I115" i="6"/>
  <c r="I45" i="6"/>
  <c r="I78" i="6"/>
  <c r="I8" i="6"/>
  <c r="I38" i="6"/>
  <c r="I87" i="6"/>
  <c r="I69" i="6"/>
  <c r="I67" i="6"/>
  <c r="F310" i="5" l="1"/>
  <c r="F150" i="5"/>
  <c r="F348" i="5"/>
  <c r="F349" i="5"/>
  <c r="F142" i="5"/>
  <c r="F342" i="5"/>
  <c r="F9" i="5"/>
  <c r="F30" i="5"/>
  <c r="F98" i="5"/>
  <c r="F200" i="5"/>
  <c r="F237" i="5"/>
  <c r="F5" i="5"/>
  <c r="F116" i="5"/>
  <c r="F146" i="5"/>
  <c r="F479" i="5"/>
  <c r="F55" i="5"/>
  <c r="F205" i="5"/>
  <c r="F89" i="5"/>
  <c r="F143" i="5"/>
  <c r="F61" i="5"/>
  <c r="F234" i="5"/>
  <c r="F80" i="5"/>
  <c r="F20" i="5"/>
  <c r="F365" i="5"/>
  <c r="F3" i="5"/>
  <c r="F403" i="5"/>
  <c r="F413" i="5"/>
  <c r="F454" i="5"/>
  <c r="F318" i="5"/>
  <c r="F363" i="5"/>
  <c r="F122" i="5"/>
  <c r="F372" i="5"/>
  <c r="F231" i="5"/>
  <c r="F390" i="5"/>
  <c r="F47" i="5"/>
  <c r="F157" i="5"/>
  <c r="F16" i="5"/>
  <c r="F509" i="5"/>
  <c r="F3222" i="5"/>
  <c r="F42" i="5"/>
  <c r="F414" i="5"/>
  <c r="F138" i="5"/>
  <c r="F474" i="5"/>
  <c r="F486" i="5"/>
  <c r="F424" i="5"/>
  <c r="F392" i="5"/>
  <c r="F232" i="5"/>
  <c r="F276" i="5"/>
  <c r="F31" i="5"/>
  <c r="F194" i="5"/>
  <c r="F343" i="5"/>
  <c r="F210" i="5"/>
  <c r="F382" i="5"/>
  <c r="F56" i="5"/>
  <c r="F49" i="5"/>
  <c r="F603" i="5"/>
  <c r="F541" i="5"/>
  <c r="F450" i="5"/>
  <c r="F100" i="5"/>
  <c r="F77" i="5"/>
  <c r="F67" i="5"/>
  <c r="F198" i="5"/>
  <c r="F104" i="5"/>
  <c r="F511" i="5"/>
  <c r="F248" i="5"/>
  <c r="F256" i="5"/>
  <c r="F133" i="5"/>
  <c r="F132" i="5"/>
  <c r="F306" i="5"/>
  <c r="F460" i="5"/>
  <c r="F455" i="5"/>
  <c r="F50" i="5"/>
  <c r="F277" i="5"/>
  <c r="F206" i="5"/>
  <c r="F400" i="5"/>
  <c r="F195" i="5"/>
  <c r="F427" i="5"/>
  <c r="F18" i="5"/>
  <c r="F578" i="5"/>
  <c r="F452" i="5"/>
  <c r="F611" i="5"/>
  <c r="F495" i="5"/>
  <c r="F95" i="5"/>
  <c r="F4" i="5"/>
  <c r="F401" i="5"/>
  <c r="F88" i="5"/>
  <c r="F302" i="5"/>
  <c r="F82" i="5"/>
  <c r="F488" i="5"/>
  <c r="F114" i="5"/>
  <c r="F288" i="5"/>
  <c r="F597" i="5"/>
  <c r="F412" i="5"/>
  <c r="F27" i="5"/>
  <c r="F14" i="5"/>
  <c r="F26" i="5"/>
  <c r="F212" i="5"/>
  <c r="F75" i="5"/>
  <c r="F53" i="5"/>
  <c r="F481" i="5"/>
  <c r="F422" i="5"/>
  <c r="F352" i="5"/>
  <c r="F283" i="5"/>
  <c r="F565" i="5"/>
  <c r="F482" i="5"/>
  <c r="F175" i="5"/>
  <c r="F419" i="5"/>
  <c r="F57" i="5"/>
  <c r="F252" i="5"/>
  <c r="F112" i="5"/>
  <c r="F594" i="5"/>
  <c r="F39" i="5"/>
  <c r="F491" i="5"/>
  <c r="F38" i="5"/>
  <c r="F404" i="5"/>
  <c r="F217" i="5"/>
  <c r="F129" i="5"/>
  <c r="F44" i="5"/>
  <c r="F40" i="5"/>
  <c r="F398" i="5"/>
  <c r="F268" i="5"/>
  <c r="F514" i="5"/>
  <c r="F532" i="5"/>
  <c r="F367" i="5"/>
  <c r="F201" i="5"/>
  <c r="F128" i="5"/>
  <c r="F192" i="5"/>
  <c r="F130" i="5"/>
  <c r="F380" i="5"/>
  <c r="F394" i="5"/>
  <c r="F285" i="5"/>
  <c r="F117" i="5"/>
  <c r="F373" i="5"/>
  <c r="F86" i="5"/>
  <c r="F168" i="5"/>
  <c r="F253" i="5"/>
  <c r="F174" i="5"/>
  <c r="F191" i="5"/>
  <c r="F118" i="5"/>
  <c r="F311" i="5"/>
  <c r="F21" i="5"/>
  <c r="F36" i="5"/>
  <c r="F360" i="5"/>
  <c r="F402" i="5"/>
  <c r="F350" i="5"/>
  <c r="F161" i="5"/>
  <c r="F317" i="5"/>
  <c r="F331" i="5"/>
  <c r="F84" i="5"/>
  <c r="F451" i="5"/>
  <c r="F76" i="5"/>
  <c r="F362" i="5"/>
  <c r="F7" i="5"/>
  <c r="F512" i="5"/>
  <c r="F207" i="5"/>
  <c r="F93" i="5"/>
  <c r="F254" i="5"/>
  <c r="F265" i="5"/>
  <c r="F364" i="5"/>
  <c r="F374" i="5"/>
  <c r="F483" i="5"/>
  <c r="F202" i="5"/>
  <c r="F119" i="5"/>
  <c r="F105" i="5"/>
  <c r="F167" i="5"/>
  <c r="F505" i="5"/>
  <c r="F546" i="5"/>
  <c r="F540" i="5"/>
  <c r="F171" i="5"/>
  <c r="F552" i="5"/>
  <c r="F173" i="5"/>
  <c r="F462" i="5"/>
  <c r="F383" i="5"/>
  <c r="F458" i="5"/>
  <c r="F33" i="5"/>
  <c r="F266" i="5"/>
  <c r="F140" i="5"/>
  <c r="F278" i="5"/>
  <c r="F291" i="5"/>
  <c r="F312" i="5"/>
  <c r="F228" i="5"/>
  <c r="F290" i="5"/>
  <c r="F269" i="5"/>
  <c r="F186" i="5"/>
  <c r="F169" i="5"/>
  <c r="F188" i="5"/>
  <c r="F294" i="5"/>
  <c r="F257" i="5"/>
  <c r="F297" i="5"/>
  <c r="F126" i="5"/>
  <c r="F176" i="5"/>
  <c r="F585" i="5"/>
  <c r="F165" i="5"/>
  <c r="F227" i="5"/>
  <c r="F162" i="5"/>
  <c r="F12" i="5"/>
  <c r="F199" i="5"/>
  <c r="F58" i="5"/>
  <c r="F415" i="5"/>
  <c r="F378" i="5"/>
  <c r="F25" i="5"/>
  <c r="F170" i="5"/>
  <c r="F17" i="5"/>
  <c r="F417" i="5"/>
  <c r="F72" i="5"/>
  <c r="F233" i="5"/>
  <c r="F339" i="5"/>
  <c r="F109" i="5"/>
  <c r="F15" i="5"/>
  <c r="F319" i="5"/>
  <c r="F48" i="5"/>
  <c r="F180" i="5"/>
  <c r="F216" i="5"/>
  <c r="F249" i="5"/>
  <c r="F136" i="5"/>
  <c r="F242" i="5"/>
  <c r="F149" i="5"/>
  <c r="F547" i="5"/>
  <c r="F345" i="5"/>
  <c r="F305" i="5"/>
  <c r="F8" i="5"/>
  <c r="F182" i="5"/>
  <c r="F225" i="5"/>
  <c r="F644" i="5"/>
  <c r="F315" i="5"/>
  <c r="F527" i="5"/>
  <c r="F124" i="5"/>
  <c r="F501" i="5"/>
  <c r="F309" i="5"/>
  <c r="F304" i="5"/>
  <c r="F66" i="5"/>
  <c r="F498" i="5"/>
  <c r="F393" i="5"/>
  <c r="F46" i="5"/>
  <c r="F287" i="5"/>
  <c r="F69" i="5"/>
  <c r="F177" i="5"/>
  <c r="F189" i="5"/>
  <c r="F110" i="5"/>
  <c r="F338" i="5"/>
  <c r="F243" i="5"/>
  <c r="F113" i="5"/>
  <c r="F178" i="5"/>
  <c r="F369" i="5"/>
  <c r="F220" i="5"/>
  <c r="F389" i="5"/>
  <c r="F469" i="5"/>
  <c r="F121" i="5"/>
  <c r="F337" i="5"/>
  <c r="F91" i="5"/>
  <c r="F503" i="5"/>
  <c r="F62" i="5"/>
  <c r="F172" i="5"/>
  <c r="F197" i="5"/>
  <c r="F222" i="5"/>
  <c r="F386" i="5"/>
  <c r="F292" i="5"/>
  <c r="F523" i="5"/>
  <c r="F35" i="5"/>
  <c r="F262" i="5"/>
  <c r="F166" i="5"/>
  <c r="F213" i="5"/>
  <c r="F32" i="5"/>
  <c r="F203" i="5"/>
  <c r="F37" i="5"/>
  <c r="F271" i="5"/>
  <c r="F52" i="5"/>
  <c r="F270" i="5"/>
  <c r="F115" i="5"/>
  <c r="F151" i="5"/>
  <c r="F19" i="5"/>
  <c r="F275" i="5"/>
  <c r="F344" i="5"/>
  <c r="F396" i="5"/>
  <c r="F59" i="5"/>
  <c r="F295" i="5"/>
  <c r="F23" i="5"/>
  <c r="F159" i="5"/>
  <c r="F229" i="5"/>
  <c r="F103" i="5"/>
  <c r="F214" i="5"/>
  <c r="F284" i="5"/>
  <c r="F87" i="5"/>
  <c r="F405" i="5"/>
  <c r="F407" i="5"/>
  <c r="F457" i="5"/>
  <c r="F289" i="5"/>
  <c r="F272" i="5"/>
  <c r="F320" i="5"/>
  <c r="F555" i="5"/>
  <c r="F160" i="5"/>
  <c r="F22" i="5"/>
  <c r="F187" i="5"/>
  <c r="F152" i="5"/>
  <c r="F300" i="5"/>
  <c r="F377" i="5"/>
  <c r="F299" i="5"/>
  <c r="F184" i="5"/>
  <c r="F258" i="5"/>
  <c r="F442" i="5"/>
  <c r="F303" i="5"/>
  <c r="F45" i="5"/>
  <c r="F313" i="5"/>
  <c r="F164" i="5"/>
  <c r="F221" i="5"/>
  <c r="F308" i="5"/>
  <c r="F181" i="5"/>
  <c r="F434" i="5"/>
  <c r="F127" i="5"/>
  <c r="F463" i="5"/>
  <c r="F602" i="5"/>
  <c r="F328" i="5"/>
  <c r="F196" i="5"/>
  <c r="F316" i="5"/>
  <c r="F526" i="5"/>
  <c r="F322" i="5"/>
  <c r="F134" i="5"/>
  <c r="F537" i="5"/>
  <c r="F281" i="5"/>
  <c r="F259" i="5"/>
  <c r="F323" i="5"/>
  <c r="F141" i="5"/>
  <c r="F325" i="5"/>
  <c r="F326" i="5"/>
  <c r="F73" i="5"/>
  <c r="F211" i="5"/>
  <c r="F83" i="5"/>
  <c r="F92" i="5"/>
  <c r="F453" i="5"/>
  <c r="F332" i="5"/>
  <c r="F333" i="5"/>
  <c r="F375" i="5"/>
  <c r="F420" i="5"/>
  <c r="F472" i="5"/>
  <c r="F2" i="5"/>
  <c r="F81" i="5"/>
  <c r="F107" i="5"/>
  <c r="F435" i="5"/>
  <c r="F250" i="5"/>
  <c r="F106" i="5"/>
  <c r="F144" i="5"/>
  <c r="F60" i="5"/>
  <c r="F282" i="5"/>
  <c r="F255" i="5"/>
  <c r="F321" i="5"/>
  <c r="F123" i="5"/>
  <c r="F239" i="5"/>
  <c r="F185" i="5"/>
  <c r="F329" i="5"/>
  <c r="F395" i="5"/>
  <c r="F179" i="5"/>
  <c r="F334" i="5"/>
  <c r="F43" i="5"/>
  <c r="F356" i="5"/>
  <c r="F357" i="5"/>
  <c r="F358" i="5"/>
  <c r="F359" i="5"/>
  <c r="F101" i="5"/>
  <c r="F226" i="5"/>
  <c r="F387" i="5"/>
  <c r="F260" i="5"/>
  <c r="F370" i="5"/>
  <c r="F423" i="5"/>
  <c r="F366" i="5"/>
  <c r="F409" i="5"/>
  <c r="F368" i="5"/>
  <c r="F238" i="5"/>
  <c r="F154" i="5"/>
  <c r="F371" i="5"/>
  <c r="F327" i="5"/>
  <c r="F296" i="5"/>
  <c r="F346" i="5"/>
  <c r="F235" i="5"/>
  <c r="F376" i="5"/>
  <c r="F99" i="5"/>
  <c r="F209" i="5"/>
  <c r="F379" i="5"/>
  <c r="F96" i="5"/>
  <c r="F330" i="5"/>
  <c r="F314" i="5"/>
  <c r="F267" i="5"/>
  <c r="F436" i="5"/>
  <c r="F385" i="5"/>
  <c r="F487" i="5"/>
  <c r="F493" i="5"/>
  <c r="F85" i="5"/>
  <c r="F564" i="5"/>
  <c r="F273" i="5"/>
  <c r="F504" i="5"/>
  <c r="F41" i="5"/>
  <c r="F145" i="5"/>
  <c r="F51" i="5"/>
  <c r="F120" i="5"/>
  <c r="F54" i="5"/>
  <c r="F397" i="5"/>
  <c r="F681" i="5"/>
  <c r="F111" i="5"/>
  <c r="F494" i="5"/>
  <c r="F193" i="5"/>
  <c r="F204" i="5"/>
  <c r="F508" i="5"/>
  <c r="F155" i="5"/>
  <c r="F97" i="5"/>
  <c r="F406" i="5"/>
  <c r="F279" i="5"/>
  <c r="F408" i="5"/>
  <c r="F139" i="5"/>
  <c r="F410" i="5"/>
  <c r="F63" i="5"/>
  <c r="F441" i="5"/>
  <c r="F274" i="5"/>
  <c r="F163" i="5"/>
  <c r="F244" i="5"/>
  <c r="F416" i="5"/>
  <c r="F79" i="5"/>
  <c r="F418" i="5"/>
  <c r="F473" i="5"/>
  <c r="F399" i="5"/>
  <c r="F158" i="5"/>
  <c r="F223" i="5"/>
  <c r="F335" i="5"/>
  <c r="F208" i="5"/>
  <c r="F425" i="5"/>
  <c r="F34" i="5"/>
  <c r="F240" i="5"/>
  <c r="F428" i="5"/>
  <c r="F347" i="5"/>
  <c r="F432" i="5"/>
  <c r="F431" i="5"/>
  <c r="F147" i="5"/>
  <c r="F280" i="5"/>
  <c r="F125" i="5"/>
  <c r="F778" i="5"/>
  <c r="F411" i="5"/>
  <c r="F153" i="5"/>
  <c r="F353" i="5"/>
  <c r="F156" i="5"/>
  <c r="F440" i="5"/>
  <c r="F264" i="5"/>
  <c r="F65" i="5"/>
  <c r="F384" i="5"/>
  <c r="F444" i="5"/>
  <c r="F24" i="5"/>
  <c r="F446" i="5"/>
  <c r="F447" i="5"/>
  <c r="F298" i="5"/>
  <c r="F553" i="5"/>
  <c r="F430" i="5"/>
  <c r="F263" i="5"/>
  <c r="F293" i="5"/>
  <c r="F421" i="5"/>
  <c r="F484" i="5"/>
  <c r="F566" i="5"/>
  <c r="F456" i="5"/>
  <c r="F11" i="5"/>
  <c r="F429" i="5"/>
  <c r="F561" i="5"/>
  <c r="F361" i="5"/>
  <c r="F461" i="5"/>
  <c r="F550" i="5"/>
  <c r="F577" i="5"/>
  <c r="F464" i="5"/>
  <c r="F467" i="5"/>
  <c r="F466" i="5"/>
  <c r="F354" i="5"/>
  <c r="F468" i="5"/>
  <c r="F245" i="5"/>
  <c r="F470" i="5"/>
  <c r="F471" i="5"/>
  <c r="F388" i="5"/>
  <c r="F519" i="5"/>
  <c r="F437" i="5"/>
  <c r="F324" i="5"/>
  <c r="F443" i="5"/>
  <c r="F477" i="5"/>
  <c r="F301" i="5"/>
  <c r="F448" i="5"/>
  <c r="F74" i="5"/>
  <c r="F28" i="5"/>
  <c r="F241" i="5"/>
  <c r="F545" i="5"/>
  <c r="F148" i="5"/>
  <c r="F445" i="5"/>
  <c r="F70" i="5"/>
  <c r="F433" i="5"/>
  <c r="F480" i="5"/>
  <c r="F489" i="5"/>
  <c r="F94" i="5"/>
  <c r="F108" i="5"/>
  <c r="F492" i="5"/>
  <c r="F246" i="5"/>
  <c r="F137" i="5"/>
  <c r="F224" i="5"/>
  <c r="F496" i="5"/>
  <c r="F497" i="5"/>
  <c r="F215" i="5"/>
  <c r="F499" i="5"/>
  <c r="F500" i="5"/>
  <c r="F340" i="5"/>
  <c r="F502" i="5"/>
  <c r="F459" i="5"/>
  <c r="F90" i="5"/>
  <c r="F247" i="5"/>
  <c r="F506" i="5"/>
  <c r="F507" i="5"/>
  <c r="F183" i="5"/>
  <c r="F355" i="5"/>
  <c r="F510" i="5"/>
  <c r="F78" i="5"/>
  <c r="F449" i="5"/>
  <c r="F513" i="5"/>
  <c r="F261" i="5"/>
  <c r="F515" i="5"/>
  <c r="F516" i="5"/>
  <c r="F517" i="5"/>
  <c r="F518" i="5"/>
  <c r="F236" i="5"/>
  <c r="F520" i="5"/>
  <c r="F336" i="5"/>
  <c r="F522" i="5"/>
  <c r="F341" i="5"/>
  <c r="F524" i="5"/>
  <c r="F525" i="5"/>
  <c r="F478" i="5"/>
  <c r="F230" i="5"/>
  <c r="F528" i="5"/>
  <c r="F529" i="5"/>
  <c r="F530" i="5"/>
  <c r="F531" i="5"/>
  <c r="F64" i="5"/>
  <c r="F533" i="5"/>
  <c r="F534" i="5"/>
  <c r="F535" i="5"/>
  <c r="F536" i="5"/>
  <c r="F102" i="5"/>
  <c r="F538" i="5"/>
  <c r="F539" i="5"/>
  <c r="F251" i="5"/>
  <c r="F13" i="5"/>
  <c r="F521" i="5"/>
  <c r="F307" i="5"/>
  <c r="F544" i="5"/>
  <c r="F218" i="5"/>
  <c r="F71" i="5"/>
  <c r="F485" i="5"/>
  <c r="F548" i="5"/>
  <c r="F549" i="5"/>
  <c r="F286" i="5"/>
  <c r="F551" i="5"/>
  <c r="F426" i="5"/>
  <c r="F351" i="5"/>
  <c r="F554" i="5"/>
  <c r="F490" i="5"/>
  <c r="F556" i="5"/>
  <c r="F557" i="5"/>
  <c r="F558" i="5"/>
  <c r="F559" i="5"/>
  <c r="F560" i="5"/>
  <c r="F542" i="5"/>
  <c r="F562" i="5"/>
  <c r="F563" i="5"/>
  <c r="F465" i="5"/>
  <c r="F439" i="5"/>
  <c r="F475" i="5"/>
  <c r="F567" i="5"/>
  <c r="F568" i="5"/>
  <c r="F569" i="5"/>
  <c r="F570" i="5"/>
  <c r="F571" i="5"/>
  <c r="F572" i="5"/>
  <c r="F573" i="5"/>
  <c r="F574" i="5"/>
  <c r="F575" i="5"/>
  <c r="F576" i="5"/>
  <c r="F381" i="5"/>
  <c r="F68" i="5"/>
  <c r="F579" i="5"/>
  <c r="F580" i="5"/>
  <c r="F581" i="5"/>
  <c r="F582" i="5"/>
  <c r="F583" i="5"/>
  <c r="F584" i="5"/>
  <c r="F219" i="5"/>
  <c r="F586" i="5"/>
  <c r="F587" i="5"/>
  <c r="F588" i="5"/>
  <c r="F589" i="5"/>
  <c r="F590" i="5"/>
  <c r="F591" i="5"/>
  <c r="F592" i="5"/>
  <c r="F593" i="5"/>
  <c r="F6" i="5"/>
  <c r="F595" i="5"/>
  <c r="F596" i="5"/>
  <c r="F391" i="5"/>
  <c r="F598" i="5"/>
  <c r="F599" i="5"/>
  <c r="F600" i="5"/>
  <c r="F601" i="5"/>
  <c r="F438" i="5"/>
  <c r="F190" i="5"/>
  <c r="F604" i="5"/>
  <c r="F605" i="5"/>
  <c r="F606" i="5"/>
  <c r="F607" i="5"/>
  <c r="F608" i="5"/>
  <c r="F609" i="5"/>
  <c r="F610" i="5"/>
  <c r="F135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131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29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476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543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10" i="5"/>
</calcChain>
</file>

<file path=xl/sharedStrings.xml><?xml version="1.0" encoding="utf-8"?>
<sst xmlns="http://schemas.openxmlformats.org/spreadsheetml/2006/main" count="37197" uniqueCount="14949">
  <si>
    <t>证券简称</t>
  </si>
  <si>
    <t>证券代码</t>
  </si>
  <si>
    <t>ROIC中位数</t>
  </si>
  <si>
    <t>ROIC方差</t>
  </si>
  <si>
    <t>行业</t>
  </si>
  <si>
    <t>贵州茅台</t>
  </si>
  <si>
    <t>600519</t>
  </si>
  <si>
    <t>食品饮料-白酒-白酒Ⅲ</t>
  </si>
  <si>
    <t>中国石油</t>
  </si>
  <si>
    <t>601857</t>
  </si>
  <si>
    <t>石油石化-石油加工贸易-石油加工</t>
  </si>
  <si>
    <t>宁德时代</t>
  </si>
  <si>
    <t>300750</t>
  </si>
  <si>
    <t>电力设备-电池-锂电池</t>
  </si>
  <si>
    <t>中国石化</t>
  </si>
  <si>
    <t>600028</t>
  </si>
  <si>
    <t>比亚迪</t>
  </si>
  <si>
    <t>002594</t>
  </si>
  <si>
    <t>汽车-汽车整车-乘用车</t>
  </si>
  <si>
    <t>中国神华</t>
  </si>
  <si>
    <t>601088</t>
  </si>
  <si>
    <t>煤炭-煤炭开采加工-煤炭开采</t>
  </si>
  <si>
    <t>长江电力</t>
  </si>
  <si>
    <t>600900</t>
  </si>
  <si>
    <t>公用事业-电力-水电</t>
  </si>
  <si>
    <t>中国电信</t>
  </si>
  <si>
    <t>601728</t>
  </si>
  <si>
    <t>通信-通信服务-电信运营商</t>
  </si>
  <si>
    <t>五粮液</t>
  </si>
  <si>
    <t>000858</t>
  </si>
  <si>
    <t>美的集团</t>
  </si>
  <si>
    <t>000333</t>
  </si>
  <si>
    <t>家用电器-白色家电-空调</t>
  </si>
  <si>
    <t>工业富联</t>
  </si>
  <si>
    <t>601138</t>
  </si>
  <si>
    <t>电子-消费电子-消费电子零部件及组装</t>
  </si>
  <si>
    <t>紫金矿业</t>
  </si>
  <si>
    <t>601899</t>
  </si>
  <si>
    <t>有色金属-工业金属-铜</t>
  </si>
  <si>
    <t>迈瑞医疗</t>
  </si>
  <si>
    <t>300760</t>
  </si>
  <si>
    <t>医药生物-医疗器械-医疗设备</t>
  </si>
  <si>
    <t>恒瑞医药</t>
  </si>
  <si>
    <t>600276</t>
  </si>
  <si>
    <t>医药生物-化学制药-化学制剂</t>
  </si>
  <si>
    <t>立讯精密</t>
  </si>
  <si>
    <t>002475</t>
  </si>
  <si>
    <t>京沪高铁</t>
  </si>
  <si>
    <t>601816</t>
  </si>
  <si>
    <t>交通运输-公路铁路运输-铁路运输</t>
  </si>
  <si>
    <t>海康威视</t>
  </si>
  <si>
    <t>002415</t>
  </si>
  <si>
    <t>计算机-计算机设备-安防设备</t>
  </si>
  <si>
    <t>万华化学</t>
  </si>
  <si>
    <t>600309</t>
  </si>
  <si>
    <t>基础化工-化学制品-聚氨酯</t>
  </si>
  <si>
    <t>格力电器</t>
  </si>
  <si>
    <t>000651</t>
  </si>
  <si>
    <t>海尔智家</t>
  </si>
  <si>
    <t>600690</t>
  </si>
  <si>
    <t>家用电器-白色家电-冰洗</t>
  </si>
  <si>
    <t>陕西煤业</t>
  </si>
  <si>
    <t>601225</t>
  </si>
  <si>
    <t>牧原股份</t>
  </si>
  <si>
    <t>002714</t>
  </si>
  <si>
    <t>农林牧渔-养殖业-生猪养殖</t>
  </si>
  <si>
    <t>国电南瑞</t>
  </si>
  <si>
    <t>600406</t>
  </si>
  <si>
    <t>电力设备-电网设备-电气自控设备</t>
  </si>
  <si>
    <t>海天味业</t>
  </si>
  <si>
    <t>603288</t>
  </si>
  <si>
    <t>食品饮料-食品加工制造-调味发酵品</t>
  </si>
  <si>
    <t>中国建筑</t>
  </si>
  <si>
    <t>601668</t>
  </si>
  <si>
    <t>建筑装饰-建筑装饰-房屋建设</t>
  </si>
  <si>
    <t>山西汾酒</t>
  </si>
  <si>
    <t>600809</t>
  </si>
  <si>
    <t>华能水电</t>
  </si>
  <si>
    <t>600025</t>
  </si>
  <si>
    <t>中国广核</t>
  </si>
  <si>
    <t>003816</t>
  </si>
  <si>
    <t>公用事业-电力-新能源发电</t>
  </si>
  <si>
    <t>中国核电</t>
  </si>
  <si>
    <t>601985</t>
  </si>
  <si>
    <t>中国中车</t>
  </si>
  <si>
    <t>601766</t>
  </si>
  <si>
    <t>机械设备-轨交设备-轨交设备Ⅲ</t>
  </si>
  <si>
    <t>顺丰控股</t>
  </si>
  <si>
    <t>002352</t>
  </si>
  <si>
    <t>交通运输-物流-物流Ⅲ</t>
  </si>
  <si>
    <t>中远海控</t>
  </si>
  <si>
    <t>601919</t>
  </si>
  <si>
    <t>交通运输-港口航运-航运</t>
  </si>
  <si>
    <t>中芯国际</t>
  </si>
  <si>
    <t>688981</t>
  </si>
  <si>
    <t>电子-半导体-集成电路制造</t>
  </si>
  <si>
    <t>长城汽车</t>
  </si>
  <si>
    <t>601633</t>
  </si>
  <si>
    <t>东方财富</t>
  </si>
  <si>
    <t>300059</t>
  </si>
  <si>
    <t>非银金融-证券-证券Ⅲ</t>
  </si>
  <si>
    <t>阳光电源</t>
  </si>
  <si>
    <t>300274</t>
  </si>
  <si>
    <t>电力设备-光伏设备-逆变器</t>
  </si>
  <si>
    <t>北方华创</t>
  </si>
  <si>
    <t>002371</t>
  </si>
  <si>
    <t>电子-半导体-半导体设备</t>
  </si>
  <si>
    <t>泸州老窖</t>
  </si>
  <si>
    <t>000568</t>
  </si>
  <si>
    <t>中国船舶</t>
  </si>
  <si>
    <t>600150</t>
  </si>
  <si>
    <t>国防军工-军工装备-航海装备</t>
  </si>
  <si>
    <t>百济神州</t>
  </si>
  <si>
    <t>688235</t>
  </si>
  <si>
    <t>中煤能源</t>
  </si>
  <si>
    <t>601898</t>
  </si>
  <si>
    <t>中国联通</t>
  </si>
  <si>
    <t>600050</t>
  </si>
  <si>
    <t>伊利股份</t>
  </si>
  <si>
    <t>600887</t>
  </si>
  <si>
    <t>食品饮料-饮料制造-乳品</t>
  </si>
  <si>
    <t>京东方A</t>
  </si>
  <si>
    <t>000725</t>
  </si>
  <si>
    <t>电子-光学光电子-面板</t>
  </si>
  <si>
    <t>金龙鱼</t>
  </si>
  <si>
    <t>300999</t>
  </si>
  <si>
    <t>农林牧渔-农产品加工-粮油加工</t>
  </si>
  <si>
    <t>上汽集团</t>
  </si>
  <si>
    <t>600104</t>
  </si>
  <si>
    <t>洛阳钼业</t>
  </si>
  <si>
    <t>603993</t>
  </si>
  <si>
    <t>有色金属-小金属-钼</t>
  </si>
  <si>
    <t>上港集团</t>
  </si>
  <si>
    <t>600018</t>
  </si>
  <si>
    <t>交通运输-港口航运-港口</t>
  </si>
  <si>
    <t>三一重工</t>
  </si>
  <si>
    <t>600031</t>
  </si>
  <si>
    <t>机械设备-工程机械-工程机械Ⅲ</t>
  </si>
  <si>
    <t>片仔癀</t>
  </si>
  <si>
    <t>600436</t>
  </si>
  <si>
    <t>医药生物-中药-中药Ⅲ</t>
  </si>
  <si>
    <t>福耀玻璃</t>
  </si>
  <si>
    <t>600660</t>
  </si>
  <si>
    <t>汽车-汽车零部件-车身附件及饰件</t>
  </si>
  <si>
    <t>宝钢股份</t>
  </si>
  <si>
    <t>600019</t>
  </si>
  <si>
    <t>钢铁-钢铁-普钢</t>
  </si>
  <si>
    <t>中际旭创</t>
  </si>
  <si>
    <t>300308</t>
  </si>
  <si>
    <t>通信-通信设备-通信网络设备及器件</t>
  </si>
  <si>
    <t>中国中铁</t>
  </si>
  <si>
    <t>601390</t>
  </si>
  <si>
    <t>建筑装饰-建筑装饰-基础建设</t>
  </si>
  <si>
    <t>三峡能源</t>
  </si>
  <si>
    <t>600905</t>
  </si>
  <si>
    <t>汇川技术</t>
  </si>
  <si>
    <t>300124</t>
  </si>
  <si>
    <t>机械设备-自动化设备-工控设备</t>
  </si>
  <si>
    <t>赛力斯</t>
  </si>
  <si>
    <t>601127</t>
  </si>
  <si>
    <t>中国重工</t>
  </si>
  <si>
    <t>601989</t>
  </si>
  <si>
    <t>国投电力</t>
  </si>
  <si>
    <t>600886</t>
  </si>
  <si>
    <t>中国中免</t>
  </si>
  <si>
    <t>601888</t>
  </si>
  <si>
    <t>商贸零售-零售-旅游零售</t>
  </si>
  <si>
    <t>洋河股份</t>
  </si>
  <si>
    <t>002304</t>
  </si>
  <si>
    <t>中航沈飞</t>
  </si>
  <si>
    <t>600760</t>
  </si>
  <si>
    <t>国防军工-军工装备-航空装备</t>
  </si>
  <si>
    <t>兖矿能源</t>
  </si>
  <si>
    <t>600188</t>
  </si>
  <si>
    <t>药明康德</t>
  </si>
  <si>
    <t>603259</t>
  </si>
  <si>
    <t>医药生物-医疗服务-医疗研发外包</t>
  </si>
  <si>
    <t>温氏股份</t>
  </si>
  <si>
    <t>300498</t>
  </si>
  <si>
    <t>大秦铁路</t>
  </si>
  <si>
    <t>601006</t>
  </si>
  <si>
    <t>中兴通讯</t>
  </si>
  <si>
    <t>000063</t>
  </si>
  <si>
    <t>韦尔股份</t>
  </si>
  <si>
    <t>603501</t>
  </si>
  <si>
    <t>电子-半导体-数字芯片设计</t>
  </si>
  <si>
    <t>宝丰能源</t>
  </si>
  <si>
    <t>600989</t>
  </si>
  <si>
    <t>基础化工-化学原料-煤化工</t>
  </si>
  <si>
    <t>长安汽车</t>
  </si>
  <si>
    <t>000625</t>
  </si>
  <si>
    <t>山东黄金</t>
  </si>
  <si>
    <t>600547</t>
  </si>
  <si>
    <t>有色金属-贵金属-贵金属Ⅲ</t>
  </si>
  <si>
    <t>中国交建</t>
  </si>
  <si>
    <t>601800</t>
  </si>
  <si>
    <t>隆基绿能</t>
  </si>
  <si>
    <t>601012</t>
  </si>
  <si>
    <t>电力设备-光伏设备-光伏电池组件</t>
  </si>
  <si>
    <t>潍柴动力</t>
  </si>
  <si>
    <t>000338</t>
  </si>
  <si>
    <t>汽车-汽车零部件-底盘与发动机系统</t>
  </si>
  <si>
    <t>海螺水泥</t>
  </si>
  <si>
    <t>600585</t>
  </si>
  <si>
    <t>建筑材料-建筑材料-水泥</t>
  </si>
  <si>
    <t>中国铝业</t>
  </si>
  <si>
    <t>601600</t>
  </si>
  <si>
    <t>有色金属-工业金属-铝</t>
  </si>
  <si>
    <t>云南白药</t>
  </si>
  <si>
    <t>000538</t>
  </si>
  <si>
    <t>航发动力</t>
  </si>
  <si>
    <t>600893</t>
  </si>
  <si>
    <t>传音控股</t>
  </si>
  <si>
    <t>688036</t>
  </si>
  <si>
    <t>电子-消费电子-品牌消费电子</t>
  </si>
  <si>
    <t>中国国航</t>
  </si>
  <si>
    <t>601111</t>
  </si>
  <si>
    <t>交通运输-机场航运-航空运输</t>
  </si>
  <si>
    <t>保利发展</t>
  </si>
  <si>
    <t>600048</t>
  </si>
  <si>
    <t>房地产-房地产-住宅开发</t>
  </si>
  <si>
    <t>寒武纪</t>
  </si>
  <si>
    <t>688256</t>
  </si>
  <si>
    <t>华能国际</t>
  </si>
  <si>
    <t>600011</t>
  </si>
  <si>
    <t>公用事业-电力-火电</t>
  </si>
  <si>
    <t>爱尔眼科</t>
  </si>
  <si>
    <t>300015</t>
  </si>
  <si>
    <t>医药生物-医疗服务-医院</t>
  </si>
  <si>
    <t>万泰生物</t>
  </si>
  <si>
    <t>603392</t>
  </si>
  <si>
    <t>医药生物-生物制品-疫苗</t>
  </si>
  <si>
    <t>中国铁建</t>
  </si>
  <si>
    <t>601186</t>
  </si>
  <si>
    <t>龙源电力</t>
  </si>
  <si>
    <t>001289</t>
  </si>
  <si>
    <t>恒力石化</t>
  </si>
  <si>
    <t>600346</t>
  </si>
  <si>
    <t>通威股份</t>
  </si>
  <si>
    <t>600438</t>
  </si>
  <si>
    <t>电力设备-光伏设备-硅料硅片</t>
  </si>
  <si>
    <t>国电电力</t>
  </si>
  <si>
    <t>600795</t>
  </si>
  <si>
    <t>金山办公</t>
  </si>
  <si>
    <t>688111</t>
  </si>
  <si>
    <t>计算机-软件开发-横向通用软件</t>
  </si>
  <si>
    <t>川投能源</t>
  </si>
  <si>
    <t>600674</t>
  </si>
  <si>
    <t>南方航空</t>
  </si>
  <si>
    <t>600029</t>
  </si>
  <si>
    <t>荣盛石化</t>
  </si>
  <si>
    <t>002493</t>
  </si>
  <si>
    <t>盐湖股份</t>
  </si>
  <si>
    <t>000792</t>
  </si>
  <si>
    <t>基础化工-农化制品-钾肥</t>
  </si>
  <si>
    <t>公牛集团</t>
  </si>
  <si>
    <t>603195</t>
  </si>
  <si>
    <t>轻工制造-家居用品-其他家居用品</t>
  </si>
  <si>
    <t>分众传媒</t>
  </si>
  <si>
    <t>002027</t>
  </si>
  <si>
    <t>传媒-文化传媒-广告营销</t>
  </si>
  <si>
    <t>中微公司</t>
  </si>
  <si>
    <t>688012</t>
  </si>
  <si>
    <t>中航光电</t>
  </si>
  <si>
    <t>002179</t>
  </si>
  <si>
    <t>国防军工-军工电子-军工电子Ⅲ</t>
  </si>
  <si>
    <t>双汇发展</t>
  </si>
  <si>
    <t>000895</t>
  </si>
  <si>
    <t>食品饮料-食品加工制造-肉制品</t>
  </si>
  <si>
    <t>招商蛇口</t>
  </si>
  <si>
    <t>001979</t>
  </si>
  <si>
    <t>房地产-房地产-商业地产</t>
  </si>
  <si>
    <t>科大讯飞</t>
  </si>
  <si>
    <t>002230</t>
  </si>
  <si>
    <t>招商公路</t>
  </si>
  <si>
    <t>001965</t>
  </si>
  <si>
    <t>交通运输-公路铁路运输-高速公路</t>
  </si>
  <si>
    <t>蓝思科技</t>
  </si>
  <si>
    <t>300433</t>
  </si>
  <si>
    <t>上海机场</t>
  </si>
  <si>
    <t>600009</t>
  </si>
  <si>
    <t>交通运输-机场航运-机场</t>
  </si>
  <si>
    <t>中国电建</t>
  </si>
  <si>
    <t>601669</t>
  </si>
  <si>
    <t>鹏鼎控股</t>
  </si>
  <si>
    <t>002938</t>
  </si>
  <si>
    <t>电子-元件-印制电路板</t>
  </si>
  <si>
    <t>浙能电力</t>
  </si>
  <si>
    <t>600023</t>
  </si>
  <si>
    <t>古井贡酒</t>
  </si>
  <si>
    <t>000596</t>
  </si>
  <si>
    <t>徐工机械</t>
  </si>
  <si>
    <t>000425</t>
  </si>
  <si>
    <t>中国能建</t>
  </si>
  <si>
    <t>601868</t>
  </si>
  <si>
    <t>中国东航</t>
  </si>
  <si>
    <t>600115</t>
  </si>
  <si>
    <t>宝信软件</t>
  </si>
  <si>
    <t>600845</t>
  </si>
  <si>
    <t>计算机-IT服务-IT服务Ⅲ</t>
  </si>
  <si>
    <t>TCL科技</t>
  </si>
  <si>
    <t>000100</t>
  </si>
  <si>
    <t>恒立液压</t>
  </si>
  <si>
    <t>601100</t>
  </si>
  <si>
    <t>万科A</t>
  </si>
  <si>
    <t>000002</t>
  </si>
  <si>
    <t>亿纬锂能</t>
  </si>
  <si>
    <t>300014</t>
  </si>
  <si>
    <t>三花智控</t>
  </si>
  <si>
    <t>002050</t>
  </si>
  <si>
    <t>家用电器-白色家电-家电零部件</t>
  </si>
  <si>
    <t>新易盛</t>
  </si>
  <si>
    <t>300502</t>
  </si>
  <si>
    <t>青岛啤酒</t>
  </si>
  <si>
    <t>600600</t>
  </si>
  <si>
    <t>食品饮料-饮料制造-啤酒</t>
  </si>
  <si>
    <t>中航西飞</t>
  </si>
  <si>
    <t>000768</t>
  </si>
  <si>
    <t>歌尔股份</t>
  </si>
  <si>
    <t>002241</t>
  </si>
  <si>
    <t>中油资本</t>
  </si>
  <si>
    <t>000617</t>
  </si>
  <si>
    <t>非银金融-多元金融-多元金融Ⅲ</t>
  </si>
  <si>
    <t>包钢股份</t>
  </si>
  <si>
    <t>600010</t>
  </si>
  <si>
    <t>宁波港</t>
  </si>
  <si>
    <t>601018</t>
  </si>
  <si>
    <t>海大集团</t>
  </si>
  <si>
    <t>002311</t>
  </si>
  <si>
    <t>农林牧渔-农产品加工-水产饲料</t>
  </si>
  <si>
    <t>宁沪高速</t>
  </si>
  <si>
    <t>600377</t>
  </si>
  <si>
    <t>拓普集团</t>
  </si>
  <si>
    <t>601689</t>
  </si>
  <si>
    <t>中国卫通</t>
  </si>
  <si>
    <t>601698</t>
  </si>
  <si>
    <t>国防军工-军工装备-航天装备</t>
  </si>
  <si>
    <t>上海医药</t>
  </si>
  <si>
    <t>601607</t>
  </si>
  <si>
    <t>医药生物-医药商业-医药流通</t>
  </si>
  <si>
    <t>广汽集团</t>
  </si>
  <si>
    <t>601238</t>
  </si>
  <si>
    <t>特变电工</t>
  </si>
  <si>
    <t>600089</t>
  </si>
  <si>
    <t>综合-综合-综合Ⅲ</t>
  </si>
  <si>
    <t>北方稀土</t>
  </si>
  <si>
    <t>600111</t>
  </si>
  <si>
    <t>有色金属-小金属-稀土</t>
  </si>
  <si>
    <t>中金黄金</t>
  </si>
  <si>
    <t>600489</t>
  </si>
  <si>
    <t>沪电股份</t>
  </si>
  <si>
    <t>002463</t>
  </si>
  <si>
    <t>澜起科技</t>
  </si>
  <si>
    <t>688008</t>
  </si>
  <si>
    <t>合盛硅业</t>
  </si>
  <si>
    <t>603260</t>
  </si>
  <si>
    <t>基础化工-化学制品-有机硅</t>
  </si>
  <si>
    <t>新和成</t>
  </si>
  <si>
    <t>002001</t>
  </si>
  <si>
    <t>医药生物-化学制药-原料药</t>
  </si>
  <si>
    <t>三环集团</t>
  </si>
  <si>
    <t>300408</t>
  </si>
  <si>
    <t>电子-元件-被动元件</t>
  </si>
  <si>
    <t>中信特钢</t>
  </si>
  <si>
    <t>000708</t>
  </si>
  <si>
    <t>钢铁-钢铁-特钢</t>
  </si>
  <si>
    <t>新奥股份</t>
  </si>
  <si>
    <t>600803</t>
  </si>
  <si>
    <t>公用事业-燃气-燃气Ⅲ</t>
  </si>
  <si>
    <t>同花顺</t>
  </si>
  <si>
    <t>300033</t>
  </si>
  <si>
    <t>计算机-软件开发-垂直应用软件</t>
  </si>
  <si>
    <t>新产业</t>
  </si>
  <si>
    <t>300832</t>
  </si>
  <si>
    <t>医药生物-医疗器械-体外诊断</t>
  </si>
  <si>
    <t>复星医药</t>
  </si>
  <si>
    <t>600196</t>
  </si>
  <si>
    <t>江西铜业</t>
  </si>
  <si>
    <t>600362</t>
  </si>
  <si>
    <t>紫光股份</t>
  </si>
  <si>
    <t>000938</t>
  </si>
  <si>
    <t>圆通速递</t>
  </si>
  <si>
    <t>600233</t>
  </si>
  <si>
    <t>中科曙光</t>
  </si>
  <si>
    <t>603019</t>
  </si>
  <si>
    <t>计算机-计算机设备-其他计算机设备</t>
  </si>
  <si>
    <t>长电科技</t>
  </si>
  <si>
    <t>600584</t>
  </si>
  <si>
    <t>电子-半导体-集成电路封测</t>
  </si>
  <si>
    <t>思源电气</t>
  </si>
  <si>
    <t>002028</t>
  </si>
  <si>
    <t>电力设备-电网设备-输变电设备</t>
  </si>
  <si>
    <t>中远海能</t>
  </si>
  <si>
    <t>600026</t>
  </si>
  <si>
    <t>德赛西威</t>
  </si>
  <si>
    <t>002920</t>
  </si>
  <si>
    <t>汽车-汽车零部件-汽车电子电气系统</t>
  </si>
  <si>
    <t>中航机载</t>
  </si>
  <si>
    <t>600372</t>
  </si>
  <si>
    <t>智飞生物</t>
  </si>
  <si>
    <t>300122</t>
  </si>
  <si>
    <t>上海电气</t>
  </si>
  <si>
    <t>601727</t>
  </si>
  <si>
    <t>电力设备-其他电源设备-其他电源设备Ⅲ</t>
  </si>
  <si>
    <t>卫星化学</t>
  </si>
  <si>
    <t>002648</t>
  </si>
  <si>
    <t>基础化工-化学制品-其他化学制品</t>
  </si>
  <si>
    <t>赣锋锂业</t>
  </si>
  <si>
    <t>002460</t>
  </si>
  <si>
    <t>有色金属-能源金属-锂</t>
  </si>
  <si>
    <t>时代电气</t>
  </si>
  <si>
    <t>688187</t>
  </si>
  <si>
    <t>招商轮船</t>
  </si>
  <si>
    <t>601872</t>
  </si>
  <si>
    <t>科伦药业</t>
  </si>
  <si>
    <t>002422</t>
  </si>
  <si>
    <t>中国中冶</t>
  </si>
  <si>
    <t>601618</t>
  </si>
  <si>
    <t>建筑装饰-建筑装饰-专业工程</t>
  </si>
  <si>
    <t>三安光电</t>
  </si>
  <si>
    <t>600703</t>
  </si>
  <si>
    <t>电子-光学光电子-LED</t>
  </si>
  <si>
    <t>华域汽车</t>
  </si>
  <si>
    <t>600741</t>
  </si>
  <si>
    <t>华东医药</t>
  </si>
  <si>
    <t>000963</t>
  </si>
  <si>
    <t>华润三九</t>
  </si>
  <si>
    <t>000999</t>
  </si>
  <si>
    <t>中海油服</t>
  </si>
  <si>
    <t>601808</t>
  </si>
  <si>
    <t>石油石化-油气开采及服务-油服工程</t>
  </si>
  <si>
    <t>中国动力</t>
  </si>
  <si>
    <t>600482</t>
  </si>
  <si>
    <t>三六零</t>
  </si>
  <si>
    <t>601360</t>
  </si>
  <si>
    <t>江淮汽车</t>
  </si>
  <si>
    <t>600418</t>
  </si>
  <si>
    <t>汽车-汽车整车-商用载货车</t>
  </si>
  <si>
    <t>青岛港</t>
  </si>
  <si>
    <t>601298</t>
  </si>
  <si>
    <t>春秋航空</t>
  </si>
  <si>
    <t>601021</t>
  </si>
  <si>
    <t>桂冠电力</t>
  </si>
  <si>
    <t>600236</t>
  </si>
  <si>
    <t>华电国际</t>
  </si>
  <si>
    <t>600027</t>
  </si>
  <si>
    <t>中联重科</t>
  </si>
  <si>
    <t>000157</t>
  </si>
  <si>
    <t>东方盛虹</t>
  </si>
  <si>
    <t>000301</t>
  </si>
  <si>
    <t>基础化工-塑料制品-合成树脂</t>
  </si>
  <si>
    <t>今世缘</t>
  </si>
  <si>
    <t>603369</t>
  </si>
  <si>
    <t>四川路桥</t>
  </si>
  <si>
    <t>600039</t>
  </si>
  <si>
    <t>深南电路</t>
  </si>
  <si>
    <t>002916</t>
  </si>
  <si>
    <t>小商品城</t>
  </si>
  <si>
    <t>600415</t>
  </si>
  <si>
    <t>商贸零售-零售-商业物业经营</t>
  </si>
  <si>
    <t>宇通客车</t>
  </si>
  <si>
    <t>600066</t>
  </si>
  <si>
    <t>汽车-汽车整车-商用载客车</t>
  </si>
  <si>
    <t>浪潮信息</t>
  </si>
  <si>
    <t>000977</t>
  </si>
  <si>
    <t>三星医疗</t>
  </si>
  <si>
    <t>601567</t>
  </si>
  <si>
    <t>中国通号</t>
  </si>
  <si>
    <t>688009</t>
  </si>
  <si>
    <t>中天科技</t>
  </si>
  <si>
    <t>600522</t>
  </si>
  <si>
    <t>通信-通信设备-通信线缆及配套</t>
  </si>
  <si>
    <t>华润微</t>
  </si>
  <si>
    <t>688396</t>
  </si>
  <si>
    <t>天坛生物</t>
  </si>
  <si>
    <t>600161</t>
  </si>
  <si>
    <t>医药生物-生物制品-血液制品</t>
  </si>
  <si>
    <t>招商港口</t>
  </si>
  <si>
    <t>001872</t>
  </si>
  <si>
    <t>领益智造</t>
  </si>
  <si>
    <t>002600</t>
  </si>
  <si>
    <t>赛轮轮胎</t>
  </si>
  <si>
    <t>601058</t>
  </si>
  <si>
    <t>汽车-汽车零部件-轮胎轮毂</t>
  </si>
  <si>
    <t>上海莱士</t>
  </si>
  <si>
    <t>002252</t>
  </si>
  <si>
    <t>大华股份</t>
  </si>
  <si>
    <t>002236</t>
  </si>
  <si>
    <t>兆易创新</t>
  </si>
  <si>
    <t>603986</t>
  </si>
  <si>
    <t>海航控股</t>
  </si>
  <si>
    <t>600221</t>
  </si>
  <si>
    <t>山金国际</t>
  </si>
  <si>
    <t>000975</t>
  </si>
  <si>
    <t>同仁堂</t>
  </si>
  <si>
    <t>600085</t>
  </si>
  <si>
    <t>华鲁恒升</t>
  </si>
  <si>
    <t>600426</t>
  </si>
  <si>
    <t>基础化工-农化制品-氮肥</t>
  </si>
  <si>
    <t>亿联网络</t>
  </si>
  <si>
    <t>300628</t>
  </si>
  <si>
    <t>通信-通信设备-通信终端及配件</t>
  </si>
  <si>
    <t>山东高速</t>
  </si>
  <si>
    <t>600350</t>
  </si>
  <si>
    <t>石头科技</t>
  </si>
  <si>
    <t>688169</t>
  </si>
  <si>
    <t>家用电器-小家电-小家电Ⅲ</t>
  </si>
  <si>
    <t>天齐锂业</t>
  </si>
  <si>
    <t>002466</t>
  </si>
  <si>
    <t>巨化股份</t>
  </si>
  <si>
    <t>600160</t>
  </si>
  <si>
    <t>基础化工-化学制品-氟化工</t>
  </si>
  <si>
    <t>爱美客</t>
  </si>
  <si>
    <t>300896</t>
  </si>
  <si>
    <t>美容护理-美容护理-医疗美容</t>
  </si>
  <si>
    <t>生益科技</t>
  </si>
  <si>
    <t>600183</t>
  </si>
  <si>
    <t>苏泊尔</t>
  </si>
  <si>
    <t>002032</t>
  </si>
  <si>
    <t>光启技术</t>
  </si>
  <si>
    <t>002625</t>
  </si>
  <si>
    <t>天孚通信</t>
  </si>
  <si>
    <t>300394</t>
  </si>
  <si>
    <t>山西焦煤</t>
  </si>
  <si>
    <t>000983</t>
  </si>
  <si>
    <t>南山铝业</t>
  </si>
  <si>
    <t>600219</t>
  </si>
  <si>
    <t>北新建材</t>
  </si>
  <si>
    <t>000786</t>
  </si>
  <si>
    <t>建筑材料-建筑材料-其他建材</t>
  </si>
  <si>
    <t>迎驾贡酒</t>
  </si>
  <si>
    <t>603198</t>
  </si>
  <si>
    <t>正泰电器</t>
  </si>
  <si>
    <t>601877</t>
  </si>
  <si>
    <t>紫光国微</t>
  </si>
  <si>
    <t>002049</t>
  </si>
  <si>
    <t>泰格医药</t>
  </si>
  <si>
    <t>300347</t>
  </si>
  <si>
    <t>海油发展</t>
  </si>
  <si>
    <t>600968</t>
  </si>
  <si>
    <t>润泽科技</t>
  </si>
  <si>
    <t>300442</t>
  </si>
  <si>
    <t>通信-通信服务-通信应用增值服务</t>
  </si>
  <si>
    <t>潞安环能</t>
  </si>
  <si>
    <t>601699</t>
  </si>
  <si>
    <t>白云山</t>
  </si>
  <si>
    <t>600332</t>
  </si>
  <si>
    <t>云铝股份</t>
  </si>
  <si>
    <t>000807</t>
  </si>
  <si>
    <t>新希望</t>
  </si>
  <si>
    <t>000876</t>
  </si>
  <si>
    <t>农林牧渔-农产品加工-畜禽饲料</t>
  </si>
  <si>
    <t>华友钴业</t>
  </si>
  <si>
    <t>603799</t>
  </si>
  <si>
    <t>有色金属-能源金属-钴</t>
  </si>
  <si>
    <t>中国化学</t>
  </si>
  <si>
    <t>601117</t>
  </si>
  <si>
    <t>大全能源</t>
  </si>
  <si>
    <t>688303</t>
  </si>
  <si>
    <t>龙佰集团</t>
  </si>
  <si>
    <t>002601</t>
  </si>
  <si>
    <t>基础化工-化学原料-钛白粉</t>
  </si>
  <si>
    <t>海思科</t>
  </si>
  <si>
    <t>002653</t>
  </si>
  <si>
    <t>北汽蓝谷</t>
  </si>
  <si>
    <t>600733</t>
  </si>
  <si>
    <t>广汇能源</t>
  </si>
  <si>
    <t>600256</t>
  </si>
  <si>
    <t>石油石化-油气开采及服务-油气开采</t>
  </si>
  <si>
    <t>沪硅产业</t>
  </si>
  <si>
    <t>688126</t>
  </si>
  <si>
    <t>电子-半导体-半导体材料</t>
  </si>
  <si>
    <t>福斯特</t>
  </si>
  <si>
    <t>603806</t>
  </si>
  <si>
    <t>电力设备-光伏设备-光伏辅材</t>
  </si>
  <si>
    <t>大唐发电</t>
  </si>
  <si>
    <t>601991</t>
  </si>
  <si>
    <t>东方电气</t>
  </si>
  <si>
    <t>600875</t>
  </si>
  <si>
    <t>铜陵有色</t>
  </si>
  <si>
    <t>000630</t>
  </si>
  <si>
    <t>藏格矿业</t>
  </si>
  <si>
    <t>000408</t>
  </si>
  <si>
    <t>国投资本</t>
  </si>
  <si>
    <t>600061</t>
  </si>
  <si>
    <t>亨通光电</t>
  </si>
  <si>
    <t>600487</t>
  </si>
  <si>
    <t>珀莱雅</t>
  </si>
  <si>
    <t>603605</t>
  </si>
  <si>
    <t>美容护理-美容护理-化妆品</t>
  </si>
  <si>
    <t>信立泰</t>
  </si>
  <si>
    <t>002294</t>
  </si>
  <si>
    <t>安克创新</t>
  </si>
  <si>
    <t>300866</t>
  </si>
  <si>
    <t>中国巨石</t>
  </si>
  <si>
    <t>600176</t>
  </si>
  <si>
    <t>建筑材料-建筑材料-玻璃玻纤</t>
  </si>
  <si>
    <t>福莱特</t>
  </si>
  <si>
    <t>601865</t>
  </si>
  <si>
    <t>盛美上海</t>
  </si>
  <si>
    <t>688082</t>
  </si>
  <si>
    <t>天合光能</t>
  </si>
  <si>
    <t>688599</t>
  </si>
  <si>
    <t>深圳华强</t>
  </si>
  <si>
    <t>000062</t>
  </si>
  <si>
    <t>电子-其他电子-其他电子Ⅲ</t>
  </si>
  <si>
    <t>星宇股份</t>
  </si>
  <si>
    <t>601799</t>
  </si>
  <si>
    <t>淮北矿业</t>
  </si>
  <si>
    <t>600985</t>
  </si>
  <si>
    <t>一汽解放</t>
  </si>
  <si>
    <t>000800</t>
  </si>
  <si>
    <t>云天化</t>
  </si>
  <si>
    <t>600096</t>
  </si>
  <si>
    <t>基础化工-农化制品-磷肥及磷化工</t>
  </si>
  <si>
    <t>申能股份</t>
  </si>
  <si>
    <t>600642</t>
  </si>
  <si>
    <t>中国西电</t>
  </si>
  <si>
    <t>601179</t>
  </si>
  <si>
    <t>芒果超媒</t>
  </si>
  <si>
    <t>300413</t>
  </si>
  <si>
    <t>传媒-文化传媒-数字媒体</t>
  </si>
  <si>
    <t>东山精密</t>
  </si>
  <si>
    <t>002384</t>
  </si>
  <si>
    <t>柏楚电子</t>
  </si>
  <si>
    <t>688188</t>
  </si>
  <si>
    <t>海南机场</t>
  </si>
  <si>
    <t>600515</t>
  </si>
  <si>
    <t>豪迈科技</t>
  </si>
  <si>
    <t>002595</t>
  </si>
  <si>
    <t>机械设备-专用设备-其他专用设备</t>
  </si>
  <si>
    <t>昆仑万维</t>
  </si>
  <si>
    <t>300418</t>
  </si>
  <si>
    <t>传媒-游戏-游戏Ⅲ</t>
  </si>
  <si>
    <t>电投能源</t>
  </si>
  <si>
    <t>002128</t>
  </si>
  <si>
    <t>巨星科技</t>
  </si>
  <si>
    <t>002444</t>
  </si>
  <si>
    <t>机械设备-通用设备-其他通用设备</t>
  </si>
  <si>
    <t>纳思达</t>
  </si>
  <si>
    <t>002180</t>
  </si>
  <si>
    <t>西部矿业</t>
  </si>
  <si>
    <t>601168</t>
  </si>
  <si>
    <t>国轩高科</t>
  </si>
  <si>
    <t>002074</t>
  </si>
  <si>
    <t>惠泰医疗</t>
  </si>
  <si>
    <t>688617</t>
  </si>
  <si>
    <t>医药生物-医疗器械-医疗耗材</t>
  </si>
  <si>
    <t>陆家嘴</t>
  </si>
  <si>
    <t>600663</t>
  </si>
  <si>
    <t>华峰化学</t>
  </si>
  <si>
    <t>002064</t>
  </si>
  <si>
    <t>基础化工-化学纤维-氨纶</t>
  </si>
  <si>
    <t>晶澳科技</t>
  </si>
  <si>
    <t>002459</t>
  </si>
  <si>
    <t>卓胜微</t>
  </si>
  <si>
    <t>300782</t>
  </si>
  <si>
    <t>电子-半导体-模拟芯片设计</t>
  </si>
  <si>
    <t>康龙化成</t>
  </si>
  <si>
    <t>300759</t>
  </si>
  <si>
    <t>圣邦股份</t>
  </si>
  <si>
    <t>300661</t>
  </si>
  <si>
    <t>太阳纸业</t>
  </si>
  <si>
    <t>002078</t>
  </si>
  <si>
    <t>轻工制造-造纸-造纸Ⅲ</t>
  </si>
  <si>
    <t>东方电缆</t>
  </si>
  <si>
    <t>603606</t>
  </si>
  <si>
    <t>电力设备-电网设备-线缆部件及其他</t>
  </si>
  <si>
    <t>九号公司</t>
  </si>
  <si>
    <t>689009</t>
  </si>
  <si>
    <t>汽车-汽车服务及其他-其他运输设备</t>
  </si>
  <si>
    <t>海信家电</t>
  </si>
  <si>
    <t>000921</t>
  </si>
  <si>
    <t>新诺威</t>
  </si>
  <si>
    <t>300765</t>
  </si>
  <si>
    <t>长春高新</t>
  </si>
  <si>
    <t>000661</t>
  </si>
  <si>
    <t>医药生物-生物制品-其他生物制品</t>
  </si>
  <si>
    <t>TCL中环</t>
  </si>
  <si>
    <t>002129</t>
  </si>
  <si>
    <t>闻泰科技</t>
  </si>
  <si>
    <t>600745</t>
  </si>
  <si>
    <t>电子-半导体-分立器件</t>
  </si>
  <si>
    <t>金风科技</t>
  </si>
  <si>
    <t>002202</t>
  </si>
  <si>
    <t>电力设备-风电设备-风电整机</t>
  </si>
  <si>
    <t>鱼跃医疗</t>
  </si>
  <si>
    <t>002223</t>
  </si>
  <si>
    <t>雅戈尔</t>
  </si>
  <si>
    <t>600177</t>
  </si>
  <si>
    <t>纺织服饰-服装家纺-服装</t>
  </si>
  <si>
    <t>三七互娱</t>
  </si>
  <si>
    <t>002555</t>
  </si>
  <si>
    <t>恒生电子</t>
  </si>
  <si>
    <t>600570</t>
  </si>
  <si>
    <t>金钼股份</t>
  </si>
  <si>
    <t>601958</t>
  </si>
  <si>
    <t>伟明环保</t>
  </si>
  <si>
    <t>603568</t>
  </si>
  <si>
    <t>环保-环境治理-固废治理</t>
  </si>
  <si>
    <t>环旭电子</t>
  </si>
  <si>
    <t>601231</t>
  </si>
  <si>
    <t>供销大集</t>
  </si>
  <si>
    <t>000564</t>
  </si>
  <si>
    <t>商贸零售-零售-百货零售</t>
  </si>
  <si>
    <t>中控技术</t>
  </si>
  <si>
    <t>688777</t>
  </si>
  <si>
    <t>欣旺达</t>
  </si>
  <si>
    <t>300207</t>
  </si>
  <si>
    <t>士兰微</t>
  </si>
  <si>
    <t>600460</t>
  </si>
  <si>
    <t>中集集团</t>
  </si>
  <si>
    <t>000039</t>
  </si>
  <si>
    <t>机械设备-通用设备-金属制品</t>
  </si>
  <si>
    <t>天山股份</t>
  </si>
  <si>
    <t>000877</t>
  </si>
  <si>
    <t>许继电气</t>
  </si>
  <si>
    <t>000400</t>
  </si>
  <si>
    <t>东阿阿胶</t>
  </si>
  <si>
    <t>000423</t>
  </si>
  <si>
    <t>用友网络</t>
  </si>
  <si>
    <t>600588</t>
  </si>
  <si>
    <t>君正集团</t>
  </si>
  <si>
    <t>601216</t>
  </si>
  <si>
    <t>基础化工-化学原料-氯碱</t>
  </si>
  <si>
    <t>晶盛机电</t>
  </si>
  <si>
    <t>300316</t>
  </si>
  <si>
    <t>电力设备-光伏设备-光伏加工设备</t>
  </si>
  <si>
    <t>神火股份</t>
  </si>
  <si>
    <t>000933</t>
  </si>
  <si>
    <t>丽珠集团</t>
  </si>
  <si>
    <t>000513</t>
  </si>
  <si>
    <t>中直股份</t>
  </si>
  <si>
    <t>600038</t>
  </si>
  <si>
    <t>浙江龙盛</t>
  </si>
  <si>
    <t>600352</t>
  </si>
  <si>
    <t>基础化工-化学制品-纺织化学用品</t>
  </si>
  <si>
    <t>中国外运</t>
  </si>
  <si>
    <t>601598</t>
  </si>
  <si>
    <t>凤凰传媒</t>
  </si>
  <si>
    <t>601928</t>
  </si>
  <si>
    <t>传媒-文化传媒-出版</t>
  </si>
  <si>
    <t>华工科技</t>
  </si>
  <si>
    <t>000988</t>
  </si>
  <si>
    <t>机械设备-自动化设备-激光设备</t>
  </si>
  <si>
    <t>格林美</t>
  </si>
  <si>
    <t>002340</t>
  </si>
  <si>
    <t>电力设备-电池-电池化学品</t>
  </si>
  <si>
    <t>湖北能源</t>
  </si>
  <si>
    <t>000883</t>
  </si>
  <si>
    <t>公用事业-电力-电能综合服务</t>
  </si>
  <si>
    <t>天赐材料</t>
  </si>
  <si>
    <t>002709</t>
  </si>
  <si>
    <t>人福医药</t>
  </si>
  <si>
    <t>600079</t>
  </si>
  <si>
    <t>安琪酵母</t>
  </si>
  <si>
    <t>600298</t>
  </si>
  <si>
    <t>天山铝业</t>
  </si>
  <si>
    <t>002532</t>
  </si>
  <si>
    <t>南网储能</t>
  </si>
  <si>
    <t>600995</t>
  </si>
  <si>
    <t>赤峰黄金</t>
  </si>
  <si>
    <t>600988</t>
  </si>
  <si>
    <t>通富微电</t>
  </si>
  <si>
    <t>002156</t>
  </si>
  <si>
    <t>宏发股份</t>
  </si>
  <si>
    <t>600885</t>
  </si>
  <si>
    <t>张江高科</t>
  </si>
  <si>
    <t>600895</t>
  </si>
  <si>
    <t>房地产-房地产-产业地产</t>
  </si>
  <si>
    <t>中国软件</t>
  </si>
  <si>
    <t>600536</t>
  </si>
  <si>
    <t>中伟股份</t>
  </si>
  <si>
    <t>300919</t>
  </si>
  <si>
    <t>唐山港</t>
  </si>
  <si>
    <t>601000</t>
  </si>
  <si>
    <t>昊华科技</t>
  </si>
  <si>
    <t>600378</t>
  </si>
  <si>
    <t>中船防务</t>
  </si>
  <si>
    <t>600685</t>
  </si>
  <si>
    <t>万丰奥威</t>
  </si>
  <si>
    <t>002085</t>
  </si>
  <si>
    <t>杰瑞股份</t>
  </si>
  <si>
    <t>002353</t>
  </si>
  <si>
    <t>机械设备-专用设备-能源及重型设备</t>
  </si>
  <si>
    <t>欧菲光</t>
  </si>
  <si>
    <t>002456</t>
  </si>
  <si>
    <t>电子-光学光电子-光学元件</t>
  </si>
  <si>
    <t>汇顶科技</t>
  </si>
  <si>
    <t>603160</t>
  </si>
  <si>
    <t>格科微</t>
  </si>
  <si>
    <t>688728</t>
  </si>
  <si>
    <t>安迪苏</t>
  </si>
  <si>
    <t>600299</t>
  </si>
  <si>
    <t>基础化工-化学制品-食品及饲料添加剂</t>
  </si>
  <si>
    <t>华兰生物</t>
  </si>
  <si>
    <t>002007</t>
  </si>
  <si>
    <t>天能股份</t>
  </si>
  <si>
    <t>688819</t>
  </si>
  <si>
    <t>电力设备-电池-其他电池</t>
  </si>
  <si>
    <t>中国长城</t>
  </si>
  <si>
    <t>000066</t>
  </si>
  <si>
    <t>锦浪科技</t>
  </si>
  <si>
    <t>300763</t>
  </si>
  <si>
    <t>恩捷股份</t>
  </si>
  <si>
    <t>002812</t>
  </si>
  <si>
    <t>恩华药业</t>
  </si>
  <si>
    <t>002262</t>
  </si>
  <si>
    <t>梅花生物</t>
  </si>
  <si>
    <t>600873</t>
  </si>
  <si>
    <t>燕京啤酒</t>
  </si>
  <si>
    <t>000729</t>
  </si>
  <si>
    <t>山东出版</t>
  </si>
  <si>
    <t>601019</t>
  </si>
  <si>
    <t>石化油服</t>
  </si>
  <si>
    <t>600871</t>
  </si>
  <si>
    <t>桐昆股份</t>
  </si>
  <si>
    <t>601233</t>
  </si>
  <si>
    <t>基础化工-化学纤维-涤纶</t>
  </si>
  <si>
    <t>内蒙华电</t>
  </si>
  <si>
    <t>600863</t>
  </si>
  <si>
    <t>深圳能源</t>
  </si>
  <si>
    <t>000027</t>
  </si>
  <si>
    <t>重庆啤酒</t>
  </si>
  <si>
    <t>600132</t>
  </si>
  <si>
    <t>欧派家居</t>
  </si>
  <si>
    <t>603833</t>
  </si>
  <si>
    <t>轻工制造-家居用品-定制家居</t>
  </si>
  <si>
    <t>中航高科</t>
  </si>
  <si>
    <t>600862</t>
  </si>
  <si>
    <t>辽港股份</t>
  </si>
  <si>
    <t>601880</t>
  </si>
  <si>
    <t>高德红外</t>
  </si>
  <si>
    <t>002414</t>
  </si>
  <si>
    <t>海澜之家</t>
  </si>
  <si>
    <t>600398</t>
  </si>
  <si>
    <t>以岭药业</t>
  </si>
  <si>
    <t>002603</t>
  </si>
  <si>
    <t>浙江鼎力</t>
  </si>
  <si>
    <t>603338</t>
  </si>
  <si>
    <t>景嘉微</t>
  </si>
  <si>
    <t>300474</t>
  </si>
  <si>
    <t>中航重机</t>
  </si>
  <si>
    <t>600765</t>
  </si>
  <si>
    <t>南钢股份</t>
  </si>
  <si>
    <t>600282</t>
  </si>
  <si>
    <t>璞泰来</t>
  </si>
  <si>
    <t>603659</t>
  </si>
  <si>
    <t>东方雨虹</t>
  </si>
  <si>
    <t>002271</t>
  </si>
  <si>
    <t>新宙邦</t>
  </si>
  <si>
    <t>300037</t>
  </si>
  <si>
    <t>航发控制</t>
  </si>
  <si>
    <t>000738</t>
  </si>
  <si>
    <t>滨江集团</t>
  </si>
  <si>
    <t>002244</t>
  </si>
  <si>
    <t>森麒麟</t>
  </si>
  <si>
    <t>002984</t>
  </si>
  <si>
    <t>世纪华通</t>
  </si>
  <si>
    <t>002602</t>
  </si>
  <si>
    <t>晨光股份</t>
  </si>
  <si>
    <t>603899</t>
  </si>
  <si>
    <t>轻工制造-家居用品-文娱用品</t>
  </si>
  <si>
    <t>平高电气</t>
  </si>
  <si>
    <t>600312</t>
  </si>
  <si>
    <t>江苏国信</t>
  </si>
  <si>
    <t>002608</t>
  </si>
  <si>
    <t>东航物流</t>
  </si>
  <si>
    <t>601156</t>
  </si>
  <si>
    <t>越秀资本</t>
  </si>
  <si>
    <t>000987</t>
  </si>
  <si>
    <t>伯特利</t>
  </si>
  <si>
    <t>603596</t>
  </si>
  <si>
    <t>雅克科技</t>
  </si>
  <si>
    <t>002409</t>
  </si>
  <si>
    <t>国网英大</t>
  </si>
  <si>
    <t>600517</t>
  </si>
  <si>
    <t>中国稀土</t>
  </si>
  <si>
    <t>000831</t>
  </si>
  <si>
    <t>玲珑轮胎</t>
  </si>
  <si>
    <t>601966</t>
  </si>
  <si>
    <t>中国卫星</t>
  </si>
  <si>
    <t>600118</t>
  </si>
  <si>
    <t>中南传媒</t>
  </si>
  <si>
    <t>601098</t>
  </si>
  <si>
    <t>华天科技</t>
  </si>
  <si>
    <t>002185</t>
  </si>
  <si>
    <t>康美药业</t>
  </si>
  <si>
    <t>600518</t>
  </si>
  <si>
    <t>中航电测</t>
  </si>
  <si>
    <t>300114</t>
  </si>
  <si>
    <t>中材国际</t>
  </si>
  <si>
    <t>600970</t>
  </si>
  <si>
    <t>正邦科技</t>
  </si>
  <si>
    <t>002157</t>
  </si>
  <si>
    <t>厦门钨业</t>
  </si>
  <si>
    <t>600549</t>
  </si>
  <si>
    <t>有色金属-小金属-钨</t>
  </si>
  <si>
    <t>华海药业</t>
  </si>
  <si>
    <t>600521</t>
  </si>
  <si>
    <t>九州通</t>
  </si>
  <si>
    <t>600998</t>
  </si>
  <si>
    <t>胜宏科技</t>
  </si>
  <si>
    <t>300476</t>
  </si>
  <si>
    <t>中国国贸</t>
  </si>
  <si>
    <t>600007</t>
  </si>
  <si>
    <t>杭叉集团</t>
  </si>
  <si>
    <t>603298</t>
  </si>
  <si>
    <t>华菱钢铁</t>
  </si>
  <si>
    <t>000932</t>
  </si>
  <si>
    <t>福能股份</t>
  </si>
  <si>
    <t>600483</t>
  </si>
  <si>
    <t>科沃斯</t>
  </si>
  <si>
    <t>603486</t>
  </si>
  <si>
    <t>驰宏锌锗</t>
  </si>
  <si>
    <t>600497</t>
  </si>
  <si>
    <t>有色金属-工业金属-铅锌</t>
  </si>
  <si>
    <t>甘李药业</t>
  </si>
  <si>
    <t>603087</t>
  </si>
  <si>
    <t>华阳股份</t>
  </si>
  <si>
    <t>600348</t>
  </si>
  <si>
    <t>航天电子</t>
  </si>
  <si>
    <t>600879</t>
  </si>
  <si>
    <t>特宝生物</t>
  </si>
  <si>
    <t>688278</t>
  </si>
  <si>
    <t>永泰能源</t>
  </si>
  <si>
    <t>600157</t>
  </si>
  <si>
    <t>中远海发</t>
  </si>
  <si>
    <t>601866</t>
  </si>
  <si>
    <t>养元饮品</t>
  </si>
  <si>
    <t>603156</t>
  </si>
  <si>
    <t>食品饮料-饮料制造-软饮料</t>
  </si>
  <si>
    <t>吉祥航空</t>
  </si>
  <si>
    <t>603885</t>
  </si>
  <si>
    <t>广电运通</t>
  </si>
  <si>
    <t>002152</t>
  </si>
  <si>
    <t>四川长虹</t>
  </si>
  <si>
    <t>600839</t>
  </si>
  <si>
    <t>家用电器-黑色家电-彩电</t>
  </si>
  <si>
    <t>北大荒</t>
  </si>
  <si>
    <t>600598</t>
  </si>
  <si>
    <t>农林牧渔-种植业与林业-粮食种植</t>
  </si>
  <si>
    <t>视源股份</t>
  </si>
  <si>
    <t>002841</t>
  </si>
  <si>
    <t>济川药业</t>
  </si>
  <si>
    <t>600566</t>
  </si>
  <si>
    <t>华熙生物</t>
  </si>
  <si>
    <t>688363</t>
  </si>
  <si>
    <t>光威复材</t>
  </si>
  <si>
    <t>300699</t>
  </si>
  <si>
    <t>广州港</t>
  </si>
  <si>
    <t>601228</t>
  </si>
  <si>
    <t>建元信托</t>
  </si>
  <si>
    <t>600816</t>
  </si>
  <si>
    <t>安图生物</t>
  </si>
  <si>
    <t>603658</t>
  </si>
  <si>
    <t>锦江酒店</t>
  </si>
  <si>
    <t>600754</t>
  </si>
  <si>
    <t>社会服务-旅游及酒店-酒店</t>
  </si>
  <si>
    <t>益丰药房</t>
  </si>
  <si>
    <t>603939</t>
  </si>
  <si>
    <t>医药生物-医药商业-药店</t>
  </si>
  <si>
    <t>西部超导</t>
  </si>
  <si>
    <t>688122</t>
  </si>
  <si>
    <t>上海电力</t>
  </si>
  <si>
    <t>600021</t>
  </si>
  <si>
    <t>晋控煤业</t>
  </si>
  <si>
    <t>601001</t>
  </si>
  <si>
    <t>凯莱英</t>
  </si>
  <si>
    <t>002821</t>
  </si>
  <si>
    <t>景旺电子</t>
  </si>
  <si>
    <t>603228</t>
  </si>
  <si>
    <t>水晶光电</t>
  </si>
  <si>
    <t>002273</t>
  </si>
  <si>
    <t>春风动力</t>
  </si>
  <si>
    <t>603129</t>
  </si>
  <si>
    <t>华润双鹤</t>
  </si>
  <si>
    <t>600062</t>
  </si>
  <si>
    <t>海兴电力</t>
  </si>
  <si>
    <t>603556</t>
  </si>
  <si>
    <t>先导智能</t>
  </si>
  <si>
    <t>300450</t>
  </si>
  <si>
    <t>电力设备-电池-锂电专用设备</t>
  </si>
  <si>
    <t>新城控股</t>
  </si>
  <si>
    <t>601155</t>
  </si>
  <si>
    <t>金诚信</t>
  </si>
  <si>
    <t>603979</t>
  </si>
  <si>
    <t>科达利</t>
  </si>
  <si>
    <t>002850</t>
  </si>
  <si>
    <t>中矿资源</t>
  </si>
  <si>
    <t>002738</t>
  </si>
  <si>
    <t>彩虹股份</t>
  </si>
  <si>
    <t>600707</t>
  </si>
  <si>
    <t>迈为股份</t>
  </si>
  <si>
    <t>300751</t>
  </si>
  <si>
    <t>粤高速A</t>
  </si>
  <si>
    <t>000429</t>
  </si>
  <si>
    <t>建发股份</t>
  </si>
  <si>
    <t>600153</t>
  </si>
  <si>
    <t>北京君正</t>
  </si>
  <si>
    <t>300223</t>
  </si>
  <si>
    <t>晶晨股份</t>
  </si>
  <si>
    <t>688099</t>
  </si>
  <si>
    <t>山煤国际</t>
  </si>
  <si>
    <t>600546</t>
  </si>
  <si>
    <t>韵达股份</t>
  </si>
  <si>
    <t>002120</t>
  </si>
  <si>
    <t>天地科技</t>
  </si>
  <si>
    <t>600582</t>
  </si>
  <si>
    <t>鄂尔多斯</t>
  </si>
  <si>
    <t>600295</t>
  </si>
  <si>
    <t>钢铁-钢铁-冶钢原料</t>
  </si>
  <si>
    <t>口子窖</t>
  </si>
  <si>
    <t>603589</t>
  </si>
  <si>
    <t>光迅科技</t>
  </si>
  <si>
    <t>002281</t>
  </si>
  <si>
    <t>健友股份</t>
  </si>
  <si>
    <t>603707</t>
  </si>
  <si>
    <t>海油工程</t>
  </si>
  <si>
    <t>600583</t>
  </si>
  <si>
    <t>云南铜业</t>
  </si>
  <si>
    <t>000878</t>
  </si>
  <si>
    <t>上海石化</t>
  </si>
  <si>
    <t>600688</t>
  </si>
  <si>
    <t>航天电器</t>
  </si>
  <si>
    <t>002025</t>
  </si>
  <si>
    <t>海信视像</t>
  </si>
  <si>
    <t>600060</t>
  </si>
  <si>
    <t>国药股份</t>
  </si>
  <si>
    <t>600511</t>
  </si>
  <si>
    <t>君实生物</t>
  </si>
  <si>
    <t>688180</t>
  </si>
  <si>
    <t>锡业股份</t>
  </si>
  <si>
    <t>000960</t>
  </si>
  <si>
    <t>有色金属-小金属-其他小金属</t>
  </si>
  <si>
    <t>瑞芯微</t>
  </si>
  <si>
    <t>603893</t>
  </si>
  <si>
    <t>物产中大</t>
  </si>
  <si>
    <t>600704</t>
  </si>
  <si>
    <t>安井食品</t>
  </si>
  <si>
    <t>603345</t>
  </si>
  <si>
    <t>食品饮料-食品加工制造-预加工食品</t>
  </si>
  <si>
    <t>皖通高速</t>
  </si>
  <si>
    <t>600012</t>
  </si>
  <si>
    <t>钒钛股份</t>
  </si>
  <si>
    <t>000629</t>
  </si>
  <si>
    <t>蓝晓科技</t>
  </si>
  <si>
    <t>300487</t>
  </si>
  <si>
    <t>海格通信</t>
  </si>
  <si>
    <t>002465</t>
  </si>
  <si>
    <t>艾力斯</t>
  </si>
  <si>
    <t>688578</t>
  </si>
  <si>
    <t>恺英网络</t>
  </si>
  <si>
    <t>002517</t>
  </si>
  <si>
    <t>老凤祥</t>
  </si>
  <si>
    <t>600612</t>
  </si>
  <si>
    <t>纺织服饰-服装家纺-饰品</t>
  </si>
  <si>
    <t>新天绿能</t>
  </si>
  <si>
    <t>600956</t>
  </si>
  <si>
    <t>裕同科技</t>
  </si>
  <si>
    <t>002831</t>
  </si>
  <si>
    <t>轻工制造-包装印刷-包装</t>
  </si>
  <si>
    <t>白云机场</t>
  </si>
  <si>
    <t>600004</t>
  </si>
  <si>
    <t>东方明珠</t>
  </si>
  <si>
    <t>600637</t>
  </si>
  <si>
    <t>传媒-文化传媒-电视广播</t>
  </si>
  <si>
    <t>天士力</t>
  </si>
  <si>
    <t>600535</t>
  </si>
  <si>
    <t>九安医疗</t>
  </si>
  <si>
    <t>002432</t>
  </si>
  <si>
    <t>深科技</t>
  </si>
  <si>
    <t>000021</t>
  </si>
  <si>
    <t>恒逸石化</t>
  </si>
  <si>
    <t>000703</t>
  </si>
  <si>
    <t>永辉超市</t>
  </si>
  <si>
    <t>601933</t>
  </si>
  <si>
    <t>中国核建</t>
  </si>
  <si>
    <t>601611</t>
  </si>
  <si>
    <t>健帆生物</t>
  </si>
  <si>
    <t>300529</t>
  </si>
  <si>
    <t>上海临港</t>
  </si>
  <si>
    <t>600848</t>
  </si>
  <si>
    <t>广深铁路</t>
  </si>
  <si>
    <t>601333</t>
  </si>
  <si>
    <t>兴发集团</t>
  </si>
  <si>
    <t>600141</t>
  </si>
  <si>
    <t>国网信通</t>
  </si>
  <si>
    <t>600131</t>
  </si>
  <si>
    <t>海南橡胶</t>
  </si>
  <si>
    <t>601118</t>
  </si>
  <si>
    <t>农林牧渔-种植业与林业-其他种植业</t>
  </si>
  <si>
    <t>万达电影</t>
  </si>
  <si>
    <t>002739</t>
  </si>
  <si>
    <t>传媒-影视院线-影视院线Ⅲ</t>
  </si>
  <si>
    <t>科博达</t>
  </si>
  <si>
    <t>603786</t>
  </si>
  <si>
    <t>首创环保</t>
  </si>
  <si>
    <t>600008</t>
  </si>
  <si>
    <t>环保-环境治理-综合环境治理</t>
  </si>
  <si>
    <t>重庆水务</t>
  </si>
  <si>
    <t>601158</t>
  </si>
  <si>
    <t>环保-环境治理-水务及水治理</t>
  </si>
  <si>
    <t>凯赛生物</t>
  </si>
  <si>
    <t>688065</t>
  </si>
  <si>
    <t>柳工</t>
  </si>
  <si>
    <t>000528</t>
  </si>
  <si>
    <t>兆驰股份</t>
  </si>
  <si>
    <t>002429</t>
  </si>
  <si>
    <t>粤电力A</t>
  </si>
  <si>
    <t>000539</t>
  </si>
  <si>
    <t>京能电力</t>
  </si>
  <si>
    <t>600578</t>
  </si>
  <si>
    <t>人民网</t>
  </si>
  <si>
    <t>603000</t>
  </si>
  <si>
    <t>中航产融</t>
  </si>
  <si>
    <t>600705</t>
  </si>
  <si>
    <t>中国宝安</t>
  </si>
  <si>
    <t>000009</t>
  </si>
  <si>
    <t>大族激光</t>
  </si>
  <si>
    <t>002008</t>
  </si>
  <si>
    <t>光线传媒</t>
  </si>
  <si>
    <t>300251</t>
  </si>
  <si>
    <t>首钢股份</t>
  </si>
  <si>
    <t>000959</t>
  </si>
  <si>
    <t>平煤股份</t>
  </si>
  <si>
    <t>601666</t>
  </si>
  <si>
    <t>均胜电子</t>
  </si>
  <si>
    <t>600699</t>
  </si>
  <si>
    <t>横店东磁</t>
  </si>
  <si>
    <t>002056</t>
  </si>
  <si>
    <t>法拉电子</t>
  </si>
  <si>
    <t>600563</t>
  </si>
  <si>
    <t>顺络电子</t>
  </si>
  <si>
    <t>002138</t>
  </si>
  <si>
    <t>深信服</t>
  </si>
  <si>
    <t>300454</t>
  </si>
  <si>
    <t>扬农化工</t>
  </si>
  <si>
    <t>600486</t>
  </si>
  <si>
    <t>基础化工-农化制品-农药</t>
  </si>
  <si>
    <t>宋城演艺</t>
  </si>
  <si>
    <t>300144</t>
  </si>
  <si>
    <t>社会服务-旅游及酒店-人工景点</t>
  </si>
  <si>
    <t>顾家家居</t>
  </si>
  <si>
    <t>603816</t>
  </si>
  <si>
    <t>轻工制造-家居用品-成品家居</t>
  </si>
  <si>
    <t>豫园股份</t>
  </si>
  <si>
    <t>600655</t>
  </si>
  <si>
    <t>东阳光</t>
  </si>
  <si>
    <t>600673</t>
  </si>
  <si>
    <t>广州发展</t>
  </si>
  <si>
    <t>600098</t>
  </si>
  <si>
    <t>振华科技</t>
  </si>
  <si>
    <t>000733</t>
  </si>
  <si>
    <t>通策医疗</t>
  </si>
  <si>
    <t>600763</t>
  </si>
  <si>
    <t>坤彩科技</t>
  </si>
  <si>
    <t>603826</t>
  </si>
  <si>
    <t>基础化工-非金属材料-非金属材料Ⅲ</t>
  </si>
  <si>
    <t>明阳智能</t>
  </si>
  <si>
    <t>601615</t>
  </si>
  <si>
    <t>扬杰科技</t>
  </si>
  <si>
    <t>300373</t>
  </si>
  <si>
    <t>新泉股份</t>
  </si>
  <si>
    <t>603179</t>
  </si>
  <si>
    <t>绿地控股</t>
  </si>
  <si>
    <t>600606</t>
  </si>
  <si>
    <t>中文传媒</t>
  </si>
  <si>
    <t>600373</t>
  </si>
  <si>
    <t>巨人网络</t>
  </si>
  <si>
    <t>002558</t>
  </si>
  <si>
    <t>金发科技</t>
  </si>
  <si>
    <t>600143</t>
  </si>
  <si>
    <t>基础化工-塑料制品-改性塑料</t>
  </si>
  <si>
    <t>久立特材</t>
  </si>
  <si>
    <t>002318</t>
  </si>
  <si>
    <t>鲁西化工</t>
  </si>
  <si>
    <t>000830</t>
  </si>
  <si>
    <t>珠江啤酒</t>
  </si>
  <si>
    <t>002461</t>
  </si>
  <si>
    <t>特锐德</t>
  </si>
  <si>
    <t>300001</t>
  </si>
  <si>
    <t>永兴材料</t>
  </si>
  <si>
    <t>002756</t>
  </si>
  <si>
    <t>远兴能源</t>
  </si>
  <si>
    <t>000683</t>
  </si>
  <si>
    <t>基础化工-化学原料-纯碱</t>
  </si>
  <si>
    <t>中船科技</t>
  </si>
  <si>
    <t>600072</t>
  </si>
  <si>
    <t>白银有色</t>
  </si>
  <si>
    <t>601212</t>
  </si>
  <si>
    <t>郑煤机</t>
  </si>
  <si>
    <t>601717</t>
  </si>
  <si>
    <t>兴蓉环境</t>
  </si>
  <si>
    <t>000598</t>
  </si>
  <si>
    <t>冀中能源</t>
  </si>
  <si>
    <t>000937</t>
  </si>
  <si>
    <t>汤臣倍健</t>
  </si>
  <si>
    <t>300146</t>
  </si>
  <si>
    <t>食品饮料-食品加工制造-其他食品</t>
  </si>
  <si>
    <t>福田汽车</t>
  </si>
  <si>
    <t>600166</t>
  </si>
  <si>
    <t>盐田港</t>
  </si>
  <si>
    <t>000088</t>
  </si>
  <si>
    <t>华新水泥</t>
  </si>
  <si>
    <t>600801</t>
  </si>
  <si>
    <t>神州泰岳</t>
  </si>
  <si>
    <t>300002</t>
  </si>
  <si>
    <t>中国电影</t>
  </si>
  <si>
    <t>600977</t>
  </si>
  <si>
    <t>深圳燃气</t>
  </si>
  <si>
    <t>601139</t>
  </si>
  <si>
    <t>新集能源</t>
  </si>
  <si>
    <t>601918</t>
  </si>
  <si>
    <t>健康元</t>
  </si>
  <si>
    <t>600380</t>
  </si>
  <si>
    <t>长川科技</t>
  </si>
  <si>
    <t>300604</t>
  </si>
  <si>
    <t>双环传动</t>
  </si>
  <si>
    <t>002472</t>
  </si>
  <si>
    <t>英科医疗</t>
  </si>
  <si>
    <t>300677</t>
  </si>
  <si>
    <t>鼎龙股份</t>
  </si>
  <si>
    <t>300054</t>
  </si>
  <si>
    <t>电子-电子化学品-电子化学品Ⅲ</t>
  </si>
  <si>
    <t>湖南黄金</t>
  </si>
  <si>
    <t>002155</t>
  </si>
  <si>
    <t>贝泰妮</t>
  </si>
  <si>
    <t>300957</t>
  </si>
  <si>
    <t>五矿资本</t>
  </si>
  <si>
    <t>600390</t>
  </si>
  <si>
    <t>乐普医疗</t>
  </si>
  <si>
    <t>300003</t>
  </si>
  <si>
    <t>深高速</t>
  </si>
  <si>
    <t>600548</t>
  </si>
  <si>
    <t>兴业银锡</t>
  </si>
  <si>
    <t>000426</t>
  </si>
  <si>
    <t>国机重装</t>
  </si>
  <si>
    <t>601399</t>
  </si>
  <si>
    <t>联泓新科</t>
  </si>
  <si>
    <t>003022</t>
  </si>
  <si>
    <t>华测检测</t>
  </si>
  <si>
    <t>300012</t>
  </si>
  <si>
    <t>社会服务-其他社会服务-专业服务</t>
  </si>
  <si>
    <t>普洛药业</t>
  </si>
  <si>
    <t>000739</t>
  </si>
  <si>
    <t>百润股份</t>
  </si>
  <si>
    <t>002568</t>
  </si>
  <si>
    <t>食品饮料-饮料制造-其他酒类</t>
  </si>
  <si>
    <t>力帆科技</t>
  </si>
  <si>
    <t>601777</t>
  </si>
  <si>
    <t>嘉友国际</t>
  </si>
  <si>
    <t>603871</t>
  </si>
  <si>
    <t>斯达半导</t>
  </si>
  <si>
    <t>603290</t>
  </si>
  <si>
    <t>川能动力</t>
  </si>
  <si>
    <t>000155</t>
  </si>
  <si>
    <t>电投产融</t>
  </si>
  <si>
    <t>000958</t>
  </si>
  <si>
    <t>派林生物</t>
  </si>
  <si>
    <t>000403</t>
  </si>
  <si>
    <t>伟星新材</t>
  </si>
  <si>
    <t>002372</t>
  </si>
  <si>
    <t>建筑材料-建筑材料-管材</t>
  </si>
  <si>
    <t>河钢股份</t>
  </si>
  <si>
    <t>000709</t>
  </si>
  <si>
    <t>中粮糖业</t>
  </si>
  <si>
    <t>600737</t>
  </si>
  <si>
    <t>农林牧渔-农产品加工-其他农产品加工</t>
  </si>
  <si>
    <t>国盛金控</t>
  </si>
  <si>
    <t>002670</t>
  </si>
  <si>
    <t>杭氧股份</t>
  </si>
  <si>
    <t>002430</t>
  </si>
  <si>
    <t>老板电器</t>
  </si>
  <si>
    <t>002508</t>
  </si>
  <si>
    <t>家用电器-厨卫电器-厨卫电器Ⅲ</t>
  </si>
  <si>
    <t>太钢不锈</t>
  </si>
  <si>
    <t>000825</t>
  </si>
  <si>
    <t>恒玄科技</t>
  </si>
  <si>
    <t>688608</t>
  </si>
  <si>
    <t>中国汽研</t>
  </si>
  <si>
    <t>601965</t>
  </si>
  <si>
    <t>汽车-汽车服务及其他-汽车服务</t>
  </si>
  <si>
    <t>美锦能源</t>
  </si>
  <si>
    <t>000723</t>
  </si>
  <si>
    <t>煤炭-煤炭开采加工-焦炭加工</t>
  </si>
  <si>
    <t>湘财股份</t>
  </si>
  <si>
    <t>600095</t>
  </si>
  <si>
    <t>节能风电</t>
  </si>
  <si>
    <t>601016</t>
  </si>
  <si>
    <t>信维通信</t>
  </si>
  <si>
    <t>300136</t>
  </si>
  <si>
    <t>三美股份</t>
  </si>
  <si>
    <t>603379</t>
  </si>
  <si>
    <t>上海建工</t>
  </si>
  <si>
    <t>600170</t>
  </si>
  <si>
    <t>贝达药业</t>
  </si>
  <si>
    <t>300558</t>
  </si>
  <si>
    <t>禾迈股份</t>
  </si>
  <si>
    <t>688032</t>
  </si>
  <si>
    <t>皖能电力</t>
  </si>
  <si>
    <t>000543</t>
  </si>
  <si>
    <t>博雅生物</t>
  </si>
  <si>
    <t>300294</t>
  </si>
  <si>
    <t>威胜信息</t>
  </si>
  <si>
    <t>688100</t>
  </si>
  <si>
    <t>深天马A</t>
  </si>
  <si>
    <t>000050</t>
  </si>
  <si>
    <t>大北农</t>
  </si>
  <si>
    <t>002385</t>
  </si>
  <si>
    <t>山东药玻</t>
  </si>
  <si>
    <t>600529</t>
  </si>
  <si>
    <t>烽火通信</t>
  </si>
  <si>
    <t>600498</t>
  </si>
  <si>
    <t>隧道股份</t>
  </si>
  <si>
    <t>600820</t>
  </si>
  <si>
    <t>网宿科技</t>
  </si>
  <si>
    <t>300017</t>
  </si>
  <si>
    <t>中粮资本</t>
  </si>
  <si>
    <t>002423</t>
  </si>
  <si>
    <t>金地集团</t>
  </si>
  <si>
    <t>600383</t>
  </si>
  <si>
    <t>秦港股份</t>
  </si>
  <si>
    <t>601326</t>
  </si>
  <si>
    <t>财富趋势</t>
  </si>
  <si>
    <t>688318</t>
  </si>
  <si>
    <t>神州数码</t>
  </si>
  <si>
    <t>000034</t>
  </si>
  <si>
    <t>当升科技</t>
  </si>
  <si>
    <t>300073</t>
  </si>
  <si>
    <t>中绿电</t>
  </si>
  <si>
    <t>000537</t>
  </si>
  <si>
    <t>杉杉股份</t>
  </si>
  <si>
    <t>600884</t>
  </si>
  <si>
    <t>安徽合力</t>
  </si>
  <si>
    <t>600761</t>
  </si>
  <si>
    <t>中交设计</t>
  </si>
  <si>
    <t>600720</t>
  </si>
  <si>
    <t>建筑装饰-建筑装饰-工程咨询服务</t>
  </si>
  <si>
    <t>沃森生物</t>
  </si>
  <si>
    <t>300142</t>
  </si>
  <si>
    <t>捷佳伟创</t>
  </si>
  <si>
    <t>300724</t>
  </si>
  <si>
    <t>泽璟制药</t>
  </si>
  <si>
    <t>688266</t>
  </si>
  <si>
    <t>润和软件</t>
  </si>
  <si>
    <t>300339</t>
  </si>
  <si>
    <t>四维图新</t>
  </si>
  <si>
    <t>002405</t>
  </si>
  <si>
    <t>同方股份</t>
  </si>
  <si>
    <t>600100</t>
  </si>
  <si>
    <t>鞍钢股份</t>
  </si>
  <si>
    <t>000898</t>
  </si>
  <si>
    <t>中油工程</t>
  </si>
  <si>
    <t>600339</t>
  </si>
  <si>
    <t>中材科技</t>
  </si>
  <si>
    <t>002080</t>
  </si>
  <si>
    <t>中国重汽</t>
  </si>
  <si>
    <t>000951</t>
  </si>
  <si>
    <t>菲利华</t>
  </si>
  <si>
    <t>300395</t>
  </si>
  <si>
    <t>康弘药业</t>
  </si>
  <si>
    <t>002773</t>
  </si>
  <si>
    <t>万向钱潮</t>
  </si>
  <si>
    <t>000559</t>
  </si>
  <si>
    <t>海亮股份</t>
  </si>
  <si>
    <t>002203</t>
  </si>
  <si>
    <t>瀚蓝环境</t>
  </si>
  <si>
    <t>600323</t>
  </si>
  <si>
    <t>中瓷电子</t>
  </si>
  <si>
    <t>003031</t>
  </si>
  <si>
    <t>申通快递</t>
  </si>
  <si>
    <t>002468</t>
  </si>
  <si>
    <t>水井坊</t>
  </si>
  <si>
    <t>600779</t>
  </si>
  <si>
    <t>太阳能</t>
  </si>
  <si>
    <t>000591</t>
  </si>
  <si>
    <t>华测导航</t>
  </si>
  <si>
    <t>300627</t>
  </si>
  <si>
    <t>中兵红箭</t>
  </si>
  <si>
    <t>000519</t>
  </si>
  <si>
    <t>国防军工-军工装备-地面兵装</t>
  </si>
  <si>
    <t>石基信息</t>
  </si>
  <si>
    <t>002153</t>
  </si>
  <si>
    <t>步长制药</t>
  </si>
  <si>
    <t>603858</t>
  </si>
  <si>
    <t>广联达</t>
  </si>
  <si>
    <t>002410</t>
  </si>
  <si>
    <t>彤程新材</t>
  </si>
  <si>
    <t>603650</t>
  </si>
  <si>
    <t>基础化工-橡胶制品-其他橡胶制品</t>
  </si>
  <si>
    <t>启明星辰</t>
  </si>
  <si>
    <t>002439</t>
  </si>
  <si>
    <t>中科创达</t>
  </si>
  <si>
    <t>300496</t>
  </si>
  <si>
    <t>国睿科技</t>
  </si>
  <si>
    <t>600562</t>
  </si>
  <si>
    <t>岱美股份</t>
  </si>
  <si>
    <t>603730</t>
  </si>
  <si>
    <t>九丰能源</t>
  </si>
  <si>
    <t>605090</t>
  </si>
  <si>
    <t>中鼎股份</t>
  </si>
  <si>
    <t>000887</t>
  </si>
  <si>
    <t>汽车-汽车零部件-其他汽车零部件</t>
  </si>
  <si>
    <t>华明装备</t>
  </si>
  <si>
    <t>002270</t>
  </si>
  <si>
    <t>北部湾港</t>
  </si>
  <si>
    <t>000582</t>
  </si>
  <si>
    <t>方大炭素</t>
  </si>
  <si>
    <t>600516</t>
  </si>
  <si>
    <t>达仁堂</t>
  </si>
  <si>
    <t>600329</t>
  </si>
  <si>
    <t>华侨城A</t>
  </si>
  <si>
    <t>000069</t>
  </si>
  <si>
    <t>老白干酒</t>
  </si>
  <si>
    <t>600559</t>
  </si>
  <si>
    <t>中信重工</t>
  </si>
  <si>
    <t>601608</t>
  </si>
  <si>
    <t>广东宏大</t>
  </si>
  <si>
    <t>002683</t>
  </si>
  <si>
    <t>基础化工-化学制品-民爆用品</t>
  </si>
  <si>
    <t>吉林敖东</t>
  </si>
  <si>
    <t>000623</t>
  </si>
  <si>
    <t>新洋丰</t>
  </si>
  <si>
    <t>000902</t>
  </si>
  <si>
    <t>基础化工-农化制品-复合肥</t>
  </si>
  <si>
    <t>风华高科</t>
  </si>
  <si>
    <t>000636</t>
  </si>
  <si>
    <t>中国一重</t>
  </si>
  <si>
    <t>601106</t>
  </si>
  <si>
    <t>圣泉集团</t>
  </si>
  <si>
    <t>605589</t>
  </si>
  <si>
    <t>贝特瑞</t>
  </si>
  <si>
    <t>835185</t>
  </si>
  <si>
    <t>鸣志电器</t>
  </si>
  <si>
    <t>603728</t>
  </si>
  <si>
    <t>电力设备-电机-电机Ⅲ</t>
  </si>
  <si>
    <t>衢州发展</t>
  </si>
  <si>
    <t>600208</t>
  </si>
  <si>
    <t>继峰股份</t>
  </si>
  <si>
    <t>603997</t>
  </si>
  <si>
    <t>康泰生物</t>
  </si>
  <si>
    <t>300601</t>
  </si>
  <si>
    <t>中国海防</t>
  </si>
  <si>
    <t>600764</t>
  </si>
  <si>
    <t>上海贝岭</t>
  </si>
  <si>
    <t>600171</t>
  </si>
  <si>
    <t>新凤鸣</t>
  </si>
  <si>
    <t>603225</t>
  </si>
  <si>
    <t>南网能源</t>
  </si>
  <si>
    <t>003035</t>
  </si>
  <si>
    <t>英维克</t>
  </si>
  <si>
    <t>002837</t>
  </si>
  <si>
    <t>新华文轩</t>
  </si>
  <si>
    <t>601811</t>
  </si>
  <si>
    <t>威孚高科</t>
  </si>
  <si>
    <t>000581</t>
  </si>
  <si>
    <t>立华股份</t>
  </si>
  <si>
    <t>300761</t>
  </si>
  <si>
    <t>农林牧渔-养殖业-肉鸡养殖</t>
  </si>
  <si>
    <t>洪都航空</t>
  </si>
  <si>
    <t>600316</t>
  </si>
  <si>
    <t>吉比特</t>
  </si>
  <si>
    <t>603444</t>
  </si>
  <si>
    <t>航天信息</t>
  </si>
  <si>
    <t>600271</t>
  </si>
  <si>
    <t>神州细胞</t>
  </si>
  <si>
    <t>688520</t>
  </si>
  <si>
    <t>爱博医疗</t>
  </si>
  <si>
    <t>688050</t>
  </si>
  <si>
    <t>中金岭南</t>
  </si>
  <si>
    <t>000060</t>
  </si>
  <si>
    <t>和邦生物</t>
  </si>
  <si>
    <t>603077</t>
  </si>
  <si>
    <t>拓维信息</t>
  </si>
  <si>
    <t>002261</t>
  </si>
  <si>
    <t>中铁工业</t>
  </si>
  <si>
    <t>600528</t>
  </si>
  <si>
    <t>中科星图</t>
  </si>
  <si>
    <t>688568</t>
  </si>
  <si>
    <t>国瓷材料</t>
  </si>
  <si>
    <t>300285</t>
  </si>
  <si>
    <t>中国医药</t>
  </si>
  <si>
    <t>600056</t>
  </si>
  <si>
    <t>稳健医疗</t>
  </si>
  <si>
    <t>300888</t>
  </si>
  <si>
    <t>美容护理-美容护理-个护用品</t>
  </si>
  <si>
    <t>通化东宝</t>
  </si>
  <si>
    <t>600867</t>
  </si>
  <si>
    <t>深桑达A</t>
  </si>
  <si>
    <t>000032</t>
  </si>
  <si>
    <t>明泰铝业</t>
  </si>
  <si>
    <t>601677</t>
  </si>
  <si>
    <t>华电能源</t>
  </si>
  <si>
    <t>600726</t>
  </si>
  <si>
    <t>中华企业</t>
  </si>
  <si>
    <t>600675</t>
  </si>
  <si>
    <t>大参林</t>
  </si>
  <si>
    <t>603233</t>
  </si>
  <si>
    <t>北元集团</t>
  </si>
  <si>
    <t>601568</t>
  </si>
  <si>
    <t>川发龙蟒</t>
  </si>
  <si>
    <t>002312</t>
  </si>
  <si>
    <t>南大光电</t>
  </si>
  <si>
    <t>300346</t>
  </si>
  <si>
    <t>居然之家</t>
  </si>
  <si>
    <t>000785</t>
  </si>
  <si>
    <t>创新新材</t>
  </si>
  <si>
    <t>600361</t>
  </si>
  <si>
    <t>东华软件</t>
  </si>
  <si>
    <t>002065</t>
  </si>
  <si>
    <t>爱旭股份</t>
  </si>
  <si>
    <t>600732</t>
  </si>
  <si>
    <t>机器人</t>
  </si>
  <si>
    <t>300024</t>
  </si>
  <si>
    <t>机械设备-自动化设备-机器人</t>
  </si>
  <si>
    <t>完美世界</t>
  </si>
  <si>
    <t>002624</t>
  </si>
  <si>
    <t>中谷物流</t>
  </si>
  <si>
    <t>603565</t>
  </si>
  <si>
    <t>沃尔核材</t>
  </si>
  <si>
    <t>002130</t>
  </si>
  <si>
    <t>飞科电器</t>
  </si>
  <si>
    <t>603868</t>
  </si>
  <si>
    <t>三棵树</t>
  </si>
  <si>
    <t>603737</t>
  </si>
  <si>
    <t>华大基因</t>
  </si>
  <si>
    <t>300676</t>
  </si>
  <si>
    <t>医药生物-医疗服务-其他医疗服务</t>
  </si>
  <si>
    <t>华发股份</t>
  </si>
  <si>
    <t>600325</t>
  </si>
  <si>
    <t>伟星股份</t>
  </si>
  <si>
    <t>002003</t>
  </si>
  <si>
    <t>纺织服饰-纺织制造-辅料</t>
  </si>
  <si>
    <t>兴森科技</t>
  </si>
  <si>
    <t>002436</t>
  </si>
  <si>
    <t>浙富控股</t>
  </si>
  <si>
    <t>002266</t>
  </si>
  <si>
    <t>奇安信</t>
  </si>
  <si>
    <t>688561</t>
  </si>
  <si>
    <t>纽威股份</t>
  </si>
  <si>
    <t>603699</t>
  </si>
  <si>
    <t>易普力</t>
  </si>
  <si>
    <t>002096</t>
  </si>
  <si>
    <t>林洋能源</t>
  </si>
  <si>
    <t>601222</t>
  </si>
  <si>
    <t>长盈精密</t>
  </si>
  <si>
    <t>300115</t>
  </si>
  <si>
    <t>天华新能</t>
  </si>
  <si>
    <t>300390</t>
  </si>
  <si>
    <t>生益电子</t>
  </si>
  <si>
    <t>688183</t>
  </si>
  <si>
    <t>华峰铝业</t>
  </si>
  <si>
    <t>601702</t>
  </si>
  <si>
    <t>涪陵榨菜</t>
  </si>
  <si>
    <t>002507</t>
  </si>
  <si>
    <t>浙江医药</t>
  </si>
  <si>
    <t>600216</t>
  </si>
  <si>
    <t>舍得酒业</t>
  </si>
  <si>
    <t>600702</t>
  </si>
  <si>
    <t>光环新网</t>
  </si>
  <si>
    <t>300383</t>
  </si>
  <si>
    <t>指南针</t>
  </si>
  <si>
    <t>300803</t>
  </si>
  <si>
    <t>宗申动力</t>
  </si>
  <si>
    <t>001696</t>
  </si>
  <si>
    <t>江铃汽车</t>
  </si>
  <si>
    <t>000550</t>
  </si>
  <si>
    <t>大众交通</t>
  </si>
  <si>
    <t>600611</t>
  </si>
  <si>
    <t>交通运输-公路铁路运输-公交</t>
  </si>
  <si>
    <t>亚钾国际</t>
  </si>
  <si>
    <t>000893</t>
  </si>
  <si>
    <t>金盘科技</t>
  </si>
  <si>
    <t>688676</t>
  </si>
  <si>
    <t>隆鑫通用</t>
  </si>
  <si>
    <t>603766</t>
  </si>
  <si>
    <t>陕国投A</t>
  </si>
  <si>
    <t>000563</t>
  </si>
  <si>
    <t>四方股份</t>
  </si>
  <si>
    <t>601126</t>
  </si>
  <si>
    <t>东方电子</t>
  </si>
  <si>
    <t>000682</t>
  </si>
  <si>
    <t>金石资源</t>
  </si>
  <si>
    <t>603505</t>
  </si>
  <si>
    <t>银轮股份</t>
  </si>
  <si>
    <t>002126</t>
  </si>
  <si>
    <t>圣农发展</t>
  </si>
  <si>
    <t>002299</t>
  </si>
  <si>
    <t>盛和资源</t>
  </si>
  <si>
    <t>600392</t>
  </si>
  <si>
    <t>国联股份</t>
  </si>
  <si>
    <t>603613</t>
  </si>
  <si>
    <t>商贸零售-互联网电商-互联网电商Ⅲ</t>
  </si>
  <si>
    <t>三诺生物</t>
  </si>
  <si>
    <t>300298</t>
  </si>
  <si>
    <t>振华重工</t>
  </si>
  <si>
    <t>600320</t>
  </si>
  <si>
    <t>科达制造</t>
  </si>
  <si>
    <t>600499</t>
  </si>
  <si>
    <t>安集科技</t>
  </si>
  <si>
    <t>688019</t>
  </si>
  <si>
    <t>中国铁物</t>
  </si>
  <si>
    <t>000927</t>
  </si>
  <si>
    <t>国药现代</t>
  </si>
  <si>
    <t>600420</t>
  </si>
  <si>
    <t>精测电子</t>
  </si>
  <si>
    <t>300567</t>
  </si>
  <si>
    <t>机械设备-通用设备-仪器仪表</t>
  </si>
  <si>
    <t>电连技术</t>
  </si>
  <si>
    <t>300679</t>
  </si>
  <si>
    <t>一拖股份</t>
  </si>
  <si>
    <t>601038</t>
  </si>
  <si>
    <t>机械设备-专用设备-农用机械</t>
  </si>
  <si>
    <t>世运电路</t>
  </si>
  <si>
    <t>603920</t>
  </si>
  <si>
    <t>北方铜业</t>
  </si>
  <si>
    <t>000737</t>
  </si>
  <si>
    <t>节能环境</t>
  </si>
  <si>
    <t>300140</t>
  </si>
  <si>
    <t>王府井</t>
  </si>
  <si>
    <t>600859</t>
  </si>
  <si>
    <t>涪陵电力</t>
  </si>
  <si>
    <t>600452</t>
  </si>
  <si>
    <t>通化金马</t>
  </si>
  <si>
    <t>000766</t>
  </si>
  <si>
    <t>中国科传</t>
  </si>
  <si>
    <t>601858</t>
  </si>
  <si>
    <t>江苏有线</t>
  </si>
  <si>
    <t>600959</t>
  </si>
  <si>
    <t>卧龙电驱</t>
  </si>
  <si>
    <t>600580</t>
  </si>
  <si>
    <t>蓝色光标</t>
  </si>
  <si>
    <t>300058</t>
  </si>
  <si>
    <t>中信博</t>
  </si>
  <si>
    <t>688408</t>
  </si>
  <si>
    <t>中炬高新</t>
  </si>
  <si>
    <t>600872</t>
  </si>
  <si>
    <t>光弘科技</t>
  </si>
  <si>
    <t>300735</t>
  </si>
  <si>
    <t>兴齐眼药</t>
  </si>
  <si>
    <t>300573</t>
  </si>
  <si>
    <t>高新发展</t>
  </si>
  <si>
    <t>000628</t>
  </si>
  <si>
    <t>金域医学</t>
  </si>
  <si>
    <t>603882</t>
  </si>
  <si>
    <t>芯原股份</t>
  </si>
  <si>
    <t>688521</t>
  </si>
  <si>
    <t>华鑫股份</t>
  </si>
  <si>
    <t>600621</t>
  </si>
  <si>
    <t>江丰电子</t>
  </si>
  <si>
    <t>300666</t>
  </si>
  <si>
    <t>招商南油</t>
  </si>
  <si>
    <t>601975</t>
  </si>
  <si>
    <t>齐翔腾达</t>
  </si>
  <si>
    <t>002408</t>
  </si>
  <si>
    <t>美年健康</t>
  </si>
  <si>
    <t>002044</t>
  </si>
  <si>
    <t>佰仁医疗</t>
  </si>
  <si>
    <t>688198</t>
  </si>
  <si>
    <t>中国黄金</t>
  </si>
  <si>
    <t>600916</t>
  </si>
  <si>
    <t>捷捷微电</t>
  </si>
  <si>
    <t>300623</t>
  </si>
  <si>
    <t>中科软</t>
  </si>
  <si>
    <t>603927</t>
  </si>
  <si>
    <t>苏垦农发</t>
  </si>
  <si>
    <t>601952</t>
  </si>
  <si>
    <t>金禾实业</t>
  </si>
  <si>
    <t>002597</t>
  </si>
  <si>
    <t>全志科技</t>
  </si>
  <si>
    <t>300458</t>
  </si>
  <si>
    <t>常山北明</t>
  </si>
  <si>
    <t>000158</t>
  </si>
  <si>
    <t>安科生物</t>
  </si>
  <si>
    <t>300009</t>
  </si>
  <si>
    <t>新天然气</t>
  </si>
  <si>
    <t>603393</t>
  </si>
  <si>
    <t>金力永磁</t>
  </si>
  <si>
    <t>300748</t>
  </si>
  <si>
    <t>有色金属-金属新材料-磁性材料</t>
  </si>
  <si>
    <t>中化国际</t>
  </si>
  <si>
    <t>600500</t>
  </si>
  <si>
    <t>佛燃能源</t>
  </si>
  <si>
    <t>002911</t>
  </si>
  <si>
    <t>华阳集团</t>
  </si>
  <si>
    <t>002906</t>
  </si>
  <si>
    <t>三峰环境</t>
  </si>
  <si>
    <t>601827</t>
  </si>
  <si>
    <t>洽洽食品</t>
  </si>
  <si>
    <t>002557</t>
  </si>
  <si>
    <t>食品饮料-食品加工制造-休闲食品</t>
  </si>
  <si>
    <t>湖北宜化</t>
  </si>
  <si>
    <t>000422</t>
  </si>
  <si>
    <t>皖新传媒</t>
  </si>
  <si>
    <t>601801</t>
  </si>
  <si>
    <t>翱捷科技</t>
  </si>
  <si>
    <t>688220</t>
  </si>
  <si>
    <t>国药一致</t>
  </si>
  <si>
    <t>000028</t>
  </si>
  <si>
    <t>渤海租赁</t>
  </si>
  <si>
    <t>000415</t>
  </si>
  <si>
    <t>上能电气</t>
  </si>
  <si>
    <t>300827</t>
  </si>
  <si>
    <t>旗滨集团</t>
  </si>
  <si>
    <t>601636</t>
  </si>
  <si>
    <t>德邦股份</t>
  </si>
  <si>
    <t>603056</t>
  </si>
  <si>
    <t>航天彩虹</t>
  </si>
  <si>
    <t>002389</t>
  </si>
  <si>
    <t>杰克股份</t>
  </si>
  <si>
    <t>603337</t>
  </si>
  <si>
    <t>机械设备-专用设备-纺织服装设备</t>
  </si>
  <si>
    <t>中核钛白</t>
  </si>
  <si>
    <t>002145</t>
  </si>
  <si>
    <t>陕鼓动力</t>
  </si>
  <si>
    <t>601369</t>
  </si>
  <si>
    <t>华达科技</t>
  </si>
  <si>
    <t>603358</t>
  </si>
  <si>
    <t>昊海生科</t>
  </si>
  <si>
    <t>688366</t>
  </si>
  <si>
    <t>新大陆</t>
  </si>
  <si>
    <t>000997</t>
  </si>
  <si>
    <t>爱柯迪</t>
  </si>
  <si>
    <t>600933</t>
  </si>
  <si>
    <t>山东钢铁</t>
  </si>
  <si>
    <t>600022</t>
  </si>
  <si>
    <t>奕瑞科技</t>
  </si>
  <si>
    <t>688301</t>
  </si>
  <si>
    <t>首旅酒店</t>
  </si>
  <si>
    <t>600258</t>
  </si>
  <si>
    <t>北方导航</t>
  </si>
  <si>
    <t>600435</t>
  </si>
  <si>
    <t>保变电气</t>
  </si>
  <si>
    <t>600550</t>
  </si>
  <si>
    <t>东华能源</t>
  </si>
  <si>
    <t>002221</t>
  </si>
  <si>
    <t>立昂微</t>
  </si>
  <si>
    <t>605358</t>
  </si>
  <si>
    <t>索菲亚</t>
  </si>
  <si>
    <t>002572</t>
  </si>
  <si>
    <t>陕建股份</t>
  </si>
  <si>
    <t>600248</t>
  </si>
  <si>
    <t>海普瑞</t>
  </si>
  <si>
    <t>002399</t>
  </si>
  <si>
    <t>宝钛股份</t>
  </si>
  <si>
    <t>600456</t>
  </si>
  <si>
    <t>石英股份</t>
  </si>
  <si>
    <t>603688</t>
  </si>
  <si>
    <t>开立医疗</t>
  </si>
  <si>
    <t>300633</t>
  </si>
  <si>
    <t>欧普康视</t>
  </si>
  <si>
    <t>300595</t>
  </si>
  <si>
    <t>亿帆医药</t>
  </si>
  <si>
    <t>002019</t>
  </si>
  <si>
    <t>大金重工</t>
  </si>
  <si>
    <t>002487</t>
  </si>
  <si>
    <t>电力设备-风电设备-风电零部件</t>
  </si>
  <si>
    <t>艾迪精密</t>
  </si>
  <si>
    <t>603638</t>
  </si>
  <si>
    <t>百联股份</t>
  </si>
  <si>
    <t>600827</t>
  </si>
  <si>
    <t>金隅集团</t>
  </si>
  <si>
    <t>601992</t>
  </si>
  <si>
    <t>三峡水利</t>
  </si>
  <si>
    <t>600116</t>
  </si>
  <si>
    <t>中文在线</t>
  </si>
  <si>
    <t>300364</t>
  </si>
  <si>
    <t>淮河能源</t>
  </si>
  <si>
    <t>600575</t>
  </si>
  <si>
    <t>湘电股份</t>
  </si>
  <si>
    <t>600416</t>
  </si>
  <si>
    <t>沈阳机床</t>
  </si>
  <si>
    <t>000410</t>
  </si>
  <si>
    <t>机械设备-通用设备-机床工具</t>
  </si>
  <si>
    <t>岩山科技</t>
  </si>
  <si>
    <t>002195</t>
  </si>
  <si>
    <t>中集车辆</t>
  </si>
  <si>
    <t>301039</t>
  </si>
  <si>
    <t>鹏辉能源</t>
  </si>
  <si>
    <t>300438</t>
  </si>
  <si>
    <t>北斗星通</t>
  </si>
  <si>
    <t>002151</t>
  </si>
  <si>
    <t>诺泰生物</t>
  </si>
  <si>
    <t>688076</t>
  </si>
  <si>
    <t>新兴铸管</t>
  </si>
  <si>
    <t>000778</t>
  </si>
  <si>
    <t>天顺风能</t>
  </si>
  <si>
    <t>002531</t>
  </si>
  <si>
    <t>森马服饰</t>
  </si>
  <si>
    <t>002563</t>
  </si>
  <si>
    <t>厦门国贸</t>
  </si>
  <si>
    <t>600755</t>
  </si>
  <si>
    <t>汤姆猫</t>
  </si>
  <si>
    <t>300459</t>
  </si>
  <si>
    <t>国盾量子</t>
  </si>
  <si>
    <t>688027</t>
  </si>
  <si>
    <t>深圳机场</t>
  </si>
  <si>
    <t>000089</t>
  </si>
  <si>
    <t>隆平高科</t>
  </si>
  <si>
    <t>000998</t>
  </si>
  <si>
    <t>农林牧渔-种植业与林业-种子生产</t>
  </si>
  <si>
    <t>老百姓</t>
  </si>
  <si>
    <t>603883</t>
  </si>
  <si>
    <t>四川成渝</t>
  </si>
  <si>
    <t>601107</t>
  </si>
  <si>
    <t>辽宁成大</t>
  </si>
  <si>
    <t>600739</t>
  </si>
  <si>
    <t>吉电股份</t>
  </si>
  <si>
    <t>000875</t>
  </si>
  <si>
    <t>甘肃能化</t>
  </si>
  <si>
    <t>000552</t>
  </si>
  <si>
    <t>马钢股份</t>
  </si>
  <si>
    <t>600808</t>
  </si>
  <si>
    <t>电科数字</t>
  </si>
  <si>
    <t>600850</t>
  </si>
  <si>
    <t>大豪科技</t>
  </si>
  <si>
    <t>603025</t>
  </si>
  <si>
    <t>盈峰环境</t>
  </si>
  <si>
    <t>000967</t>
  </si>
  <si>
    <t>环保-环保设备-环保设备Ⅲ</t>
  </si>
  <si>
    <t>千方科技</t>
  </si>
  <si>
    <t>002373</t>
  </si>
  <si>
    <t>睿创微纳</t>
  </si>
  <si>
    <t>688002</t>
  </si>
  <si>
    <t>天津港</t>
  </si>
  <si>
    <t>600717</t>
  </si>
  <si>
    <t>多氟多</t>
  </si>
  <si>
    <t>002407</t>
  </si>
  <si>
    <t>凯盛科技</t>
  </si>
  <si>
    <t>600552</t>
  </si>
  <si>
    <t>麦格米特</t>
  </si>
  <si>
    <t>002851</t>
  </si>
  <si>
    <t>博实股份</t>
  </si>
  <si>
    <t>002698</t>
  </si>
  <si>
    <t>太极集团</t>
  </si>
  <si>
    <t>600129</t>
  </si>
  <si>
    <t>长信科技</t>
  </si>
  <si>
    <t>300088</t>
  </si>
  <si>
    <t>江中药业</t>
  </si>
  <si>
    <t>600750</t>
  </si>
  <si>
    <t>新洁能</t>
  </si>
  <si>
    <t>605111</t>
  </si>
  <si>
    <t>万通发展</t>
  </si>
  <si>
    <t>600246</t>
  </si>
  <si>
    <t>固德威</t>
  </si>
  <si>
    <t>688390</t>
  </si>
  <si>
    <t>电科芯片</t>
  </si>
  <si>
    <t>600877</t>
  </si>
  <si>
    <t>莱克电气</t>
  </si>
  <si>
    <t>603355</t>
  </si>
  <si>
    <t>罗博特科</t>
  </si>
  <si>
    <t>300757</t>
  </si>
  <si>
    <t>机械设备-自动化设备-其他自动化设备</t>
  </si>
  <si>
    <t>浙江东方</t>
  </si>
  <si>
    <t>600120</t>
  </si>
  <si>
    <t>酒鬼酒</t>
  </si>
  <si>
    <t>000799</t>
  </si>
  <si>
    <t>芯源微</t>
  </si>
  <si>
    <t>688037</t>
  </si>
  <si>
    <t>江特电机</t>
  </si>
  <si>
    <t>002176</t>
  </si>
  <si>
    <t>长飞光纤</t>
  </si>
  <si>
    <t>601869</t>
  </si>
  <si>
    <t>南玻A</t>
  </si>
  <si>
    <t>000012</t>
  </si>
  <si>
    <t>广东建工</t>
  </si>
  <si>
    <t>002060</t>
  </si>
  <si>
    <t>联美控股</t>
  </si>
  <si>
    <t>600167</t>
  </si>
  <si>
    <t>公用事业-电力-热力</t>
  </si>
  <si>
    <t>中公教育</t>
  </si>
  <si>
    <t>002607</t>
  </si>
  <si>
    <t>社会服务-教育-教育Ⅲ</t>
  </si>
  <si>
    <t>中远海特</t>
  </si>
  <si>
    <t>600428</t>
  </si>
  <si>
    <t>爱施德</t>
  </si>
  <si>
    <t>002416</t>
  </si>
  <si>
    <t>商贸零售-零售-专业连锁</t>
  </si>
  <si>
    <t>协创数据</t>
  </si>
  <si>
    <t>300857</t>
  </si>
  <si>
    <t>碧水源</t>
  </si>
  <si>
    <t>300070</t>
  </si>
  <si>
    <t>晶方科技</t>
  </si>
  <si>
    <t>603005</t>
  </si>
  <si>
    <t>拓邦股份</t>
  </si>
  <si>
    <t>002139</t>
  </si>
  <si>
    <t>东风股份</t>
  </si>
  <si>
    <t>600006</t>
  </si>
  <si>
    <t>南微医学</t>
  </si>
  <si>
    <t>688029</t>
  </si>
  <si>
    <t>厦钨新能</t>
  </si>
  <si>
    <t>688778</t>
  </si>
  <si>
    <t>宏达股份</t>
  </si>
  <si>
    <t>600331</t>
  </si>
  <si>
    <t>大洋电机</t>
  </si>
  <si>
    <t>002249</t>
  </si>
  <si>
    <t>华数传媒</t>
  </si>
  <si>
    <t>000156</t>
  </si>
  <si>
    <t>大智慧</t>
  </si>
  <si>
    <t>601519</t>
  </si>
  <si>
    <t>周大生</t>
  </si>
  <si>
    <t>002867</t>
  </si>
  <si>
    <t>羚锐制药</t>
  </si>
  <si>
    <t>600285</t>
  </si>
  <si>
    <t>掌趣科技</t>
  </si>
  <si>
    <t>300315</t>
  </si>
  <si>
    <t>七一二</t>
  </si>
  <si>
    <t>603712</t>
  </si>
  <si>
    <t>华谊集团</t>
  </si>
  <si>
    <t>600623</t>
  </si>
  <si>
    <t>移远通信</t>
  </si>
  <si>
    <t>603236</t>
  </si>
  <si>
    <t>日月股份</t>
  </si>
  <si>
    <t>603218</t>
  </si>
  <si>
    <t>仙琚制药</t>
  </si>
  <si>
    <t>002332</t>
  </si>
  <si>
    <t>中信海直</t>
  </si>
  <si>
    <t>000099</t>
  </si>
  <si>
    <t>帝尔激光</t>
  </si>
  <si>
    <t>300776</t>
  </si>
  <si>
    <t>卫宁健康</t>
  </si>
  <si>
    <t>300253</t>
  </si>
  <si>
    <t>宏华数科</t>
  </si>
  <si>
    <t>688789</t>
  </si>
  <si>
    <t>三角防务</t>
  </si>
  <si>
    <t>300775</t>
  </si>
  <si>
    <t>铂力特</t>
  </si>
  <si>
    <t>688333</t>
  </si>
  <si>
    <t>九洲药业</t>
  </si>
  <si>
    <t>603456</t>
  </si>
  <si>
    <t>云赛智联</t>
  </si>
  <si>
    <t>600602</t>
  </si>
  <si>
    <t>冀东水泥</t>
  </si>
  <si>
    <t>000401</t>
  </si>
  <si>
    <t>赛腾股份</t>
  </si>
  <si>
    <t>603283</t>
  </si>
  <si>
    <t>南方传媒</t>
  </si>
  <si>
    <t>601900</t>
  </si>
  <si>
    <t>孚能科技</t>
  </si>
  <si>
    <t>688567</t>
  </si>
  <si>
    <t>香农芯创</t>
  </si>
  <si>
    <t>300475</t>
  </si>
  <si>
    <t>兰花科创</t>
  </si>
  <si>
    <t>600123</t>
  </si>
  <si>
    <t>大中矿业</t>
  </si>
  <si>
    <t>001203</t>
  </si>
  <si>
    <t>美亚光电</t>
  </si>
  <si>
    <t>002690</t>
  </si>
  <si>
    <t>杭钢股份</t>
  </si>
  <si>
    <t>600126</t>
  </si>
  <si>
    <t>盐津铺子</t>
  </si>
  <si>
    <t>002847</t>
  </si>
  <si>
    <t>洪城环境</t>
  </si>
  <si>
    <t>600461</t>
  </si>
  <si>
    <t>葵花药业</t>
  </si>
  <si>
    <t>002737</t>
  </si>
  <si>
    <t>南都电源</t>
  </si>
  <si>
    <t>300068</t>
  </si>
  <si>
    <t>中原传媒</t>
  </si>
  <si>
    <t>000719</t>
  </si>
  <si>
    <t>龙净环保</t>
  </si>
  <si>
    <t>600388</t>
  </si>
  <si>
    <t>内蒙一机</t>
  </si>
  <si>
    <t>600967</t>
  </si>
  <si>
    <t>盾安环境</t>
  </si>
  <si>
    <t>002011</t>
  </si>
  <si>
    <t>普天科技</t>
  </si>
  <si>
    <t>002544</t>
  </si>
  <si>
    <t>通信-通信服务-通信工程及服务</t>
  </si>
  <si>
    <t>沪光股份</t>
  </si>
  <si>
    <t>605333</t>
  </si>
  <si>
    <t>昊华能源</t>
  </si>
  <si>
    <t>601101</t>
  </si>
  <si>
    <t>三维股份</t>
  </si>
  <si>
    <t>603033</t>
  </si>
  <si>
    <t>奥特维</t>
  </si>
  <si>
    <t>688516</t>
  </si>
  <si>
    <t>协鑫能科</t>
  </si>
  <si>
    <t>002015</t>
  </si>
  <si>
    <t>千禾味业</t>
  </si>
  <si>
    <t>603027</t>
  </si>
  <si>
    <t>张裕A</t>
  </si>
  <si>
    <t>000869</t>
  </si>
  <si>
    <t>江海股份</t>
  </si>
  <si>
    <t>002484</t>
  </si>
  <si>
    <t>联创光电</t>
  </si>
  <si>
    <t>600363</t>
  </si>
  <si>
    <t>长源电力</t>
  </si>
  <si>
    <t>000966</t>
  </si>
  <si>
    <t>沙钢股份</t>
  </si>
  <si>
    <t>002075</t>
  </si>
  <si>
    <t>创维数字</t>
  </si>
  <si>
    <t>000810</t>
  </si>
  <si>
    <t>家用电器-黑色家电-其他黑色家电</t>
  </si>
  <si>
    <t>博威合金</t>
  </si>
  <si>
    <t>601137</t>
  </si>
  <si>
    <t>有色金属-金属新材料-其他金属新材料</t>
  </si>
  <si>
    <t>方正科技</t>
  </si>
  <si>
    <t>600601</t>
  </si>
  <si>
    <t>奥瑞金</t>
  </si>
  <si>
    <t>002701</t>
  </si>
  <si>
    <t>润丰股份</t>
  </si>
  <si>
    <t>301035</t>
  </si>
  <si>
    <t>盛新锂能</t>
  </si>
  <si>
    <t>002240</t>
  </si>
  <si>
    <t>顺鑫农业</t>
  </si>
  <si>
    <t>000860</t>
  </si>
  <si>
    <t>三生国健</t>
  </si>
  <si>
    <t>688336</t>
  </si>
  <si>
    <t>绿的谐波</t>
  </si>
  <si>
    <t>688017</t>
  </si>
  <si>
    <t>道通科技</t>
  </si>
  <si>
    <t>688208</t>
  </si>
  <si>
    <t>东方日升</t>
  </si>
  <si>
    <t>300118</t>
  </si>
  <si>
    <t>长江传媒</t>
  </si>
  <si>
    <t>600757</t>
  </si>
  <si>
    <t>仙鹤股份</t>
  </si>
  <si>
    <t>603733</t>
  </si>
  <si>
    <t>太极实业</t>
  </si>
  <si>
    <t>600667</t>
  </si>
  <si>
    <t>三角轮胎</t>
  </si>
  <si>
    <t>601163</t>
  </si>
  <si>
    <t>海南矿业</t>
  </si>
  <si>
    <t>601969</t>
  </si>
  <si>
    <t>华力创通</t>
  </si>
  <si>
    <t>300045</t>
  </si>
  <si>
    <t>厦门象屿</t>
  </si>
  <si>
    <t>600057</t>
  </si>
  <si>
    <t>中国出版</t>
  </si>
  <si>
    <t>601949</t>
  </si>
  <si>
    <t>瑞丰新材</t>
  </si>
  <si>
    <t>300910</t>
  </si>
  <si>
    <t>捷成股份</t>
  </si>
  <si>
    <t>300182</t>
  </si>
  <si>
    <t>江苏国泰</t>
  </si>
  <si>
    <t>002091</t>
  </si>
  <si>
    <t>商贸零售-贸易-贸易Ⅲ</t>
  </si>
  <si>
    <t>盘江股份</t>
  </si>
  <si>
    <t>600395</t>
  </si>
  <si>
    <t>欧普照明</t>
  </si>
  <si>
    <t>603515</t>
  </si>
  <si>
    <t>外服控股</t>
  </si>
  <si>
    <t>600662</t>
  </si>
  <si>
    <t>铂科新材</t>
  </si>
  <si>
    <t>300811</t>
  </si>
  <si>
    <t>西藏药业</t>
  </si>
  <si>
    <t>600211</t>
  </si>
  <si>
    <t>协鑫集成</t>
  </si>
  <si>
    <t>002506</t>
  </si>
  <si>
    <t>中山公用</t>
  </si>
  <si>
    <t>000685</t>
  </si>
  <si>
    <t>苏美达</t>
  </si>
  <si>
    <t>600710</t>
  </si>
  <si>
    <t>华峰测控</t>
  </si>
  <si>
    <t>688200</t>
  </si>
  <si>
    <t>易华录</t>
  </si>
  <si>
    <t>300212</t>
  </si>
  <si>
    <t>赛微电子</t>
  </si>
  <si>
    <t>300456</t>
  </si>
  <si>
    <t>银都股份</t>
  </si>
  <si>
    <t>603277</t>
  </si>
  <si>
    <t>机械设备-通用设备-制冷空调设备</t>
  </si>
  <si>
    <t>中国天楹</t>
  </si>
  <si>
    <t>000035</t>
  </si>
  <si>
    <t>中盐化工</t>
  </si>
  <si>
    <t>600328</t>
  </si>
  <si>
    <t>基础化工-化学原料-无机盐</t>
  </si>
  <si>
    <t>埃斯顿</t>
  </si>
  <si>
    <t>002747</t>
  </si>
  <si>
    <t>中钨高新</t>
  </si>
  <si>
    <t>000657</t>
  </si>
  <si>
    <t>木林森</t>
  </si>
  <si>
    <t>002745</t>
  </si>
  <si>
    <t>海峡股份</t>
  </si>
  <si>
    <t>002320</t>
  </si>
  <si>
    <t>乐鑫科技</t>
  </si>
  <si>
    <t>688018</t>
  </si>
  <si>
    <t>山子高科</t>
  </si>
  <si>
    <t>000981</t>
  </si>
  <si>
    <t>钢研高纳</t>
  </si>
  <si>
    <t>300034</t>
  </si>
  <si>
    <t>新宝股份</t>
  </si>
  <si>
    <t>002705</t>
  </si>
  <si>
    <t>西藏城投</t>
  </si>
  <si>
    <t>600773</t>
  </si>
  <si>
    <t>电科网安</t>
  </si>
  <si>
    <t>002268</t>
  </si>
  <si>
    <t>中铝国际</t>
  </si>
  <si>
    <t>601068</t>
  </si>
  <si>
    <t>康恩贝</t>
  </si>
  <si>
    <t>600572</t>
  </si>
  <si>
    <t>浙数文化</t>
  </si>
  <si>
    <t>600633</t>
  </si>
  <si>
    <t>心脉医疗</t>
  </si>
  <si>
    <t>688016</t>
  </si>
  <si>
    <t>福晶科技</t>
  </si>
  <si>
    <t>002222</t>
  </si>
  <si>
    <t>光明乳业</t>
  </si>
  <si>
    <t>600597</t>
  </si>
  <si>
    <t>恒邦股份</t>
  </si>
  <si>
    <t>002237</t>
  </si>
  <si>
    <t>露笑科技</t>
  </si>
  <si>
    <t>002617</t>
  </si>
  <si>
    <t>怡合达</t>
  </si>
  <si>
    <t>301029</t>
  </si>
  <si>
    <t>福瑞股份</t>
  </si>
  <si>
    <t>300049</t>
  </si>
  <si>
    <t>航天智造</t>
  </si>
  <si>
    <t>300446</t>
  </si>
  <si>
    <t>东软集团</t>
  </si>
  <si>
    <t>600718</t>
  </si>
  <si>
    <t>际华集团</t>
  </si>
  <si>
    <t>601718</t>
  </si>
  <si>
    <t>恒源煤电</t>
  </si>
  <si>
    <t>600971</t>
  </si>
  <si>
    <t>东诚药业</t>
  </si>
  <si>
    <t>002675</t>
  </si>
  <si>
    <t>大博医疗</t>
  </si>
  <si>
    <t>002901</t>
  </si>
  <si>
    <t>奥赛康</t>
  </si>
  <si>
    <t>002755</t>
  </si>
  <si>
    <t>深深房A</t>
  </si>
  <si>
    <t>000029</t>
  </si>
  <si>
    <t>利亚德</t>
  </si>
  <si>
    <t>300296</t>
  </si>
  <si>
    <t>抚顺特钢</t>
  </si>
  <si>
    <t>600399</t>
  </si>
  <si>
    <t>星源材质</t>
  </si>
  <si>
    <t>300568</t>
  </si>
  <si>
    <t>山推股份</t>
  </si>
  <si>
    <t>000680</t>
  </si>
  <si>
    <t>新华网</t>
  </si>
  <si>
    <t>603888</t>
  </si>
  <si>
    <t>国城矿业</t>
  </si>
  <si>
    <t>000688</t>
  </si>
  <si>
    <t>博瑞医药</t>
  </si>
  <si>
    <t>688166</t>
  </si>
  <si>
    <t>雅化集团</t>
  </si>
  <si>
    <t>002497</t>
  </si>
  <si>
    <t>华兴源创</t>
  </si>
  <si>
    <t>688001</t>
  </si>
  <si>
    <t>容百科技</t>
  </si>
  <si>
    <t>688005</t>
  </si>
  <si>
    <t>TCL智家</t>
  </si>
  <si>
    <t>002668</t>
  </si>
  <si>
    <t>惠城环保</t>
  </si>
  <si>
    <t>300779</t>
  </si>
  <si>
    <t>上海机电</t>
  </si>
  <si>
    <t>600835</t>
  </si>
  <si>
    <t>机械设备-专用设备-楼宇设备</t>
  </si>
  <si>
    <t>圣湘生物</t>
  </si>
  <si>
    <t>688289</t>
  </si>
  <si>
    <t>金开新能</t>
  </si>
  <si>
    <t>600821</t>
  </si>
  <si>
    <t>百亚股份</t>
  </si>
  <si>
    <t>003006</t>
  </si>
  <si>
    <t>国际医学</t>
  </si>
  <si>
    <t>000516</t>
  </si>
  <si>
    <t>嘉化能源</t>
  </si>
  <si>
    <t>600273</t>
  </si>
  <si>
    <t>万孚生物</t>
  </si>
  <si>
    <t>300482</t>
  </si>
  <si>
    <t>奇正藏药</t>
  </si>
  <si>
    <t>002287</t>
  </si>
  <si>
    <t>西藏矿业</t>
  </si>
  <si>
    <t>000762</t>
  </si>
  <si>
    <t>海天精工</t>
  </si>
  <si>
    <t>601882</t>
  </si>
  <si>
    <t>比音勒芬</t>
  </si>
  <si>
    <t>002832</t>
  </si>
  <si>
    <t>马应龙</t>
  </si>
  <si>
    <t>600993</t>
  </si>
  <si>
    <t>航锦科技</t>
  </si>
  <si>
    <t>000818</t>
  </si>
  <si>
    <t>创世纪</t>
  </si>
  <si>
    <t>300083</t>
  </si>
  <si>
    <t>赣粤高速</t>
  </si>
  <si>
    <t>600269</t>
  </si>
  <si>
    <t>航天发展</t>
  </si>
  <si>
    <t>000547</t>
  </si>
  <si>
    <t>宁波华翔</t>
  </si>
  <si>
    <t>002048</t>
  </si>
  <si>
    <t>中科三环</t>
  </si>
  <si>
    <t>000970</t>
  </si>
  <si>
    <t>景津装备</t>
  </si>
  <si>
    <t>603279</t>
  </si>
  <si>
    <t>大悦城</t>
  </si>
  <si>
    <t>000031</t>
  </si>
  <si>
    <t>虹软科技</t>
  </si>
  <si>
    <t>688088</t>
  </si>
  <si>
    <t>众生药业</t>
  </si>
  <si>
    <t>002317</t>
  </si>
  <si>
    <t>哈投股份</t>
  </si>
  <si>
    <t>600864</t>
  </si>
  <si>
    <t>上海环境</t>
  </si>
  <si>
    <t>601200</t>
  </si>
  <si>
    <t>传化智联</t>
  </si>
  <si>
    <t>002010</t>
  </si>
  <si>
    <t>朗新集团</t>
  </si>
  <si>
    <t>300682</t>
  </si>
  <si>
    <t>国科微</t>
  </si>
  <si>
    <t>300672</t>
  </si>
  <si>
    <t>上海家化</t>
  </si>
  <si>
    <t>600315</t>
  </si>
  <si>
    <t>珍宝岛</t>
  </si>
  <si>
    <t>603567</t>
  </si>
  <si>
    <t>思瑞浦</t>
  </si>
  <si>
    <t>688536</t>
  </si>
  <si>
    <t>安宁股份</t>
  </si>
  <si>
    <t>002978</t>
  </si>
  <si>
    <t>江南化工</t>
  </si>
  <si>
    <t>002226</t>
  </si>
  <si>
    <t>华策影视</t>
  </si>
  <si>
    <t>300133</t>
  </si>
  <si>
    <t>开滦股份</t>
  </si>
  <si>
    <t>600997</t>
  </si>
  <si>
    <t>新华医疗</t>
  </si>
  <si>
    <t>600587</t>
  </si>
  <si>
    <t>九典制药</t>
  </si>
  <si>
    <t>300705</t>
  </si>
  <si>
    <t>中新集团</t>
  </si>
  <si>
    <t>601512</t>
  </si>
  <si>
    <t>西部黄金</t>
  </si>
  <si>
    <t>601069</t>
  </si>
  <si>
    <t>昆药集团</t>
  </si>
  <si>
    <t>600422</t>
  </si>
  <si>
    <t>科士达</t>
  </si>
  <si>
    <t>002518</t>
  </si>
  <si>
    <t>红日药业</t>
  </si>
  <si>
    <t>300026</t>
  </si>
  <si>
    <t>汉缆股份</t>
  </si>
  <si>
    <t>002498</t>
  </si>
  <si>
    <t>玉龙股份</t>
  </si>
  <si>
    <t>601028</t>
  </si>
  <si>
    <t>成大生物</t>
  </si>
  <si>
    <t>688739</t>
  </si>
  <si>
    <t>川恒股份</t>
  </si>
  <si>
    <t>002895</t>
  </si>
  <si>
    <t>容大感光</t>
  </si>
  <si>
    <t>300576</t>
  </si>
  <si>
    <t>安道麦A</t>
  </si>
  <si>
    <t>000553</t>
  </si>
  <si>
    <t>利欧股份</t>
  </si>
  <si>
    <t>002131</t>
  </si>
  <si>
    <t>正丹股份</t>
  </si>
  <si>
    <t>300641</t>
  </si>
  <si>
    <t>京新药业</t>
  </si>
  <si>
    <t>002020</t>
  </si>
  <si>
    <t>南京高科</t>
  </si>
  <si>
    <t>600064</t>
  </si>
  <si>
    <t>华宝股份</t>
  </si>
  <si>
    <t>300741</t>
  </si>
  <si>
    <t>天味食品</t>
  </si>
  <si>
    <t>603317</t>
  </si>
  <si>
    <t>新安股份</t>
  </si>
  <si>
    <t>600596</t>
  </si>
  <si>
    <t>拉卡拉</t>
  </si>
  <si>
    <t>300773</t>
  </si>
  <si>
    <t>昭衍新药</t>
  </si>
  <si>
    <t>603127</t>
  </si>
  <si>
    <t>三友化工</t>
  </si>
  <si>
    <t>600409</t>
  </si>
  <si>
    <t>浦东金桥</t>
  </si>
  <si>
    <t>600639</t>
  </si>
  <si>
    <t>常山药业</t>
  </si>
  <si>
    <t>300255</t>
  </si>
  <si>
    <t>奥锐特</t>
  </si>
  <si>
    <t>605116</t>
  </si>
  <si>
    <t>云南能投</t>
  </si>
  <si>
    <t>002053</t>
  </si>
  <si>
    <t>神马电力</t>
  </si>
  <si>
    <t>603530</t>
  </si>
  <si>
    <t>中储股份</t>
  </si>
  <si>
    <t>600787</t>
  </si>
  <si>
    <t>嘉益股份</t>
  </si>
  <si>
    <t>301004</t>
  </si>
  <si>
    <t>华图山鼎</t>
  </si>
  <si>
    <t>300492</t>
  </si>
  <si>
    <t>华锡有色</t>
  </si>
  <si>
    <t>600301</t>
  </si>
  <si>
    <t>火炬电子</t>
  </si>
  <si>
    <t>603678</t>
  </si>
  <si>
    <t>拓尔思</t>
  </si>
  <si>
    <t>300229</t>
  </si>
  <si>
    <t>中孚实业</t>
  </si>
  <si>
    <t>600595</t>
  </si>
  <si>
    <t>宏达电子</t>
  </si>
  <si>
    <t>300726</t>
  </si>
  <si>
    <t>上海新阳</t>
  </si>
  <si>
    <t>300236</t>
  </si>
  <si>
    <t>中简科技</t>
  </si>
  <si>
    <t>300777</t>
  </si>
  <si>
    <t>盈趣科技</t>
  </si>
  <si>
    <t>002925</t>
  </si>
  <si>
    <t>广信股份</t>
  </si>
  <si>
    <t>603599</t>
  </si>
  <si>
    <t>赢合科技</t>
  </si>
  <si>
    <t>300457</t>
  </si>
  <si>
    <t>太极股份</t>
  </si>
  <si>
    <t>002368</t>
  </si>
  <si>
    <t>贵研铂业</t>
  </si>
  <si>
    <t>600459</t>
  </si>
  <si>
    <t>东莞控股</t>
  </si>
  <si>
    <t>000828</t>
  </si>
  <si>
    <t>我武生物</t>
  </si>
  <si>
    <t>300357</t>
  </si>
  <si>
    <t>派能科技</t>
  </si>
  <si>
    <t>688063</t>
  </si>
  <si>
    <t>大富科技</t>
  </si>
  <si>
    <t>300134</t>
  </si>
  <si>
    <t>国投智能</t>
  </si>
  <si>
    <t>300188</t>
  </si>
  <si>
    <t>科华数据</t>
  </si>
  <si>
    <t>002335</t>
  </si>
  <si>
    <t>维信诺</t>
  </si>
  <si>
    <t>002387</t>
  </si>
  <si>
    <t>金证股份</t>
  </si>
  <si>
    <t>600446</t>
  </si>
  <si>
    <t>广日股份</t>
  </si>
  <si>
    <t>600894</t>
  </si>
  <si>
    <t>华润材料</t>
  </si>
  <si>
    <t>301090</t>
  </si>
  <si>
    <t>汉钟精机</t>
  </si>
  <si>
    <t>002158</t>
  </si>
  <si>
    <t>重庆钢铁</t>
  </si>
  <si>
    <t>601005</t>
  </si>
  <si>
    <t>博众精工</t>
  </si>
  <si>
    <t>688097</t>
  </si>
  <si>
    <t>东睦股份</t>
  </si>
  <si>
    <t>600114</t>
  </si>
  <si>
    <t>农产品</t>
  </si>
  <si>
    <t>000061</t>
  </si>
  <si>
    <t>立中集团</t>
  </si>
  <si>
    <t>300428</t>
  </si>
  <si>
    <t>外高桥</t>
  </si>
  <si>
    <t>600648</t>
  </si>
  <si>
    <t>贵广网络</t>
  </si>
  <si>
    <t>600996</t>
  </si>
  <si>
    <t>丸美股份</t>
  </si>
  <si>
    <t>603983</t>
  </si>
  <si>
    <t>台华新材</t>
  </si>
  <si>
    <t>603055</t>
  </si>
  <si>
    <t>纺织服饰-纺织制造-其他纺织</t>
  </si>
  <si>
    <t>蓝天燃气</t>
  </si>
  <si>
    <t>605368</t>
  </si>
  <si>
    <t>博思软件</t>
  </si>
  <si>
    <t>300525</t>
  </si>
  <si>
    <t>杭可科技</t>
  </si>
  <si>
    <t>688006</t>
  </si>
  <si>
    <t>上海电影</t>
  </si>
  <si>
    <t>601595</t>
  </si>
  <si>
    <t>招商积余</t>
  </si>
  <si>
    <t>001914</t>
  </si>
  <si>
    <t>房地产-房地产-房地产服务</t>
  </si>
  <si>
    <t>宝武镁业</t>
  </si>
  <si>
    <t>002182</t>
  </si>
  <si>
    <t>万业企业</t>
  </si>
  <si>
    <t>600641</t>
  </si>
  <si>
    <t>中信国安</t>
  </si>
  <si>
    <t>000839</t>
  </si>
  <si>
    <t>海德股份</t>
  </si>
  <si>
    <t>000567</t>
  </si>
  <si>
    <t>骆驼股份</t>
  </si>
  <si>
    <t>601311</t>
  </si>
  <si>
    <t>安通控股</t>
  </si>
  <si>
    <t>600179</t>
  </si>
  <si>
    <t>钧达股份</t>
  </si>
  <si>
    <t>002865</t>
  </si>
  <si>
    <t>华钰矿业</t>
  </si>
  <si>
    <t>601020</t>
  </si>
  <si>
    <t>东方通信</t>
  </si>
  <si>
    <t>600776</t>
  </si>
  <si>
    <t>通信-通信设备-其他通信设备</t>
  </si>
  <si>
    <t>弘元绿能</t>
  </si>
  <si>
    <t>603185</t>
  </si>
  <si>
    <t>天音控股</t>
  </si>
  <si>
    <t>000829</t>
  </si>
  <si>
    <t>福建高速</t>
  </si>
  <si>
    <t>600033</t>
  </si>
  <si>
    <t>益生股份</t>
  </si>
  <si>
    <t>002458</t>
  </si>
  <si>
    <t>新疆众和</t>
  </si>
  <si>
    <t>600888</t>
  </si>
  <si>
    <t>姚记科技</t>
  </si>
  <si>
    <t>002605</t>
  </si>
  <si>
    <t>漫步者</t>
  </si>
  <si>
    <t>002351</t>
  </si>
  <si>
    <t>新国都</t>
  </si>
  <si>
    <t>300130</t>
  </si>
  <si>
    <t>冠捷科技</t>
  </si>
  <si>
    <t>000727</t>
  </si>
  <si>
    <t>兆威机电</t>
  </si>
  <si>
    <t>003021</t>
  </si>
  <si>
    <t>联创电子</t>
  </si>
  <si>
    <t>002036</t>
  </si>
  <si>
    <t>海翔药业</t>
  </si>
  <si>
    <t>002099</t>
  </si>
  <si>
    <t>山西焦化</t>
  </si>
  <si>
    <t>600740</t>
  </si>
  <si>
    <t>佐力药业</t>
  </si>
  <si>
    <t>300181</t>
  </si>
  <si>
    <t>万东医疗</t>
  </si>
  <si>
    <t>600055</t>
  </si>
  <si>
    <t>格力地产</t>
  </si>
  <si>
    <t>600185</t>
  </si>
  <si>
    <t>钱江摩托</t>
  </si>
  <si>
    <t>000913</t>
  </si>
  <si>
    <t>龙腾光电</t>
  </si>
  <si>
    <t>688055</t>
  </si>
  <si>
    <t>本钢板材</t>
  </si>
  <si>
    <t>000761</t>
  </si>
  <si>
    <t>海正药业</t>
  </si>
  <si>
    <t>600267</t>
  </si>
  <si>
    <t>华铁应急</t>
  </si>
  <si>
    <t>603300</t>
  </si>
  <si>
    <t>中源协和</t>
  </si>
  <si>
    <t>600645</t>
  </si>
  <si>
    <t>奥飞数据</t>
  </si>
  <si>
    <t>300738</t>
  </si>
  <si>
    <t>远光软件</t>
  </si>
  <si>
    <t>002063</t>
  </si>
  <si>
    <t>洲际油气</t>
  </si>
  <si>
    <t>600759</t>
  </si>
  <si>
    <t>三全食品</t>
  </si>
  <si>
    <t>002216</t>
  </si>
  <si>
    <t>润达医疗</t>
  </si>
  <si>
    <t>603108</t>
  </si>
  <si>
    <t>建设工业</t>
  </si>
  <si>
    <t>002265</t>
  </si>
  <si>
    <t>金龙汽车</t>
  </si>
  <si>
    <t>600686</t>
  </si>
  <si>
    <t>和而泰</t>
  </si>
  <si>
    <t>002402</t>
  </si>
  <si>
    <t>浙江交科</t>
  </si>
  <si>
    <t>002061</t>
  </si>
  <si>
    <t>甘肃能源</t>
  </si>
  <si>
    <t>000791</t>
  </si>
  <si>
    <t>精达股份</t>
  </si>
  <si>
    <t>600577</t>
  </si>
  <si>
    <t>安洁科技</t>
  </si>
  <si>
    <t>002635</t>
  </si>
  <si>
    <t>川仪股份</t>
  </si>
  <si>
    <t>603100</t>
  </si>
  <si>
    <t>云图控股</t>
  </si>
  <si>
    <t>002539</t>
  </si>
  <si>
    <t>伊之密</t>
  </si>
  <si>
    <t>300415</t>
  </si>
  <si>
    <t>中粮科技</t>
  </si>
  <si>
    <t>000930</t>
  </si>
  <si>
    <t>城建发展</t>
  </si>
  <si>
    <t>600266</t>
  </si>
  <si>
    <t>长虹美菱</t>
  </si>
  <si>
    <t>000521</t>
  </si>
  <si>
    <t>安泰科技</t>
  </si>
  <si>
    <t>000969</t>
  </si>
  <si>
    <t>新钢股份</t>
  </si>
  <si>
    <t>600782</t>
  </si>
  <si>
    <t>四川九洲</t>
  </si>
  <si>
    <t>000801</t>
  </si>
  <si>
    <t>美畅股份</t>
  </si>
  <si>
    <t>300861</t>
  </si>
  <si>
    <t>机械设备-通用设备-磨具磨料</t>
  </si>
  <si>
    <t>富森美</t>
  </si>
  <si>
    <t>002818</t>
  </si>
  <si>
    <t>巨星农牧</t>
  </si>
  <si>
    <t>603477</t>
  </si>
  <si>
    <t>雪天盐业</t>
  </si>
  <si>
    <t>600929</t>
  </si>
  <si>
    <t>科思股份</t>
  </si>
  <si>
    <t>300856</t>
  </si>
  <si>
    <t>蔚蓝锂芯</t>
  </si>
  <si>
    <t>002245</t>
  </si>
  <si>
    <t>金徽酒</t>
  </si>
  <si>
    <t>603919</t>
  </si>
  <si>
    <t>桃李面包</t>
  </si>
  <si>
    <t>603866</t>
  </si>
  <si>
    <t>飞荣达</t>
  </si>
  <si>
    <t>300602</t>
  </si>
  <si>
    <t>富临精工</t>
  </si>
  <si>
    <t>300432</t>
  </si>
  <si>
    <t>宝新能源</t>
  </si>
  <si>
    <t>000690</t>
  </si>
  <si>
    <t>百奥泰</t>
  </si>
  <si>
    <t>688177</t>
  </si>
  <si>
    <t>华映科技</t>
  </si>
  <si>
    <t>000536</t>
  </si>
  <si>
    <t>德赛电池</t>
  </si>
  <si>
    <t>000049</t>
  </si>
  <si>
    <t>中原高速</t>
  </si>
  <si>
    <t>600020</t>
  </si>
  <si>
    <t>晶科科技</t>
  </si>
  <si>
    <t>601778</t>
  </si>
  <si>
    <t>美凯龙</t>
  </si>
  <si>
    <t>601828</t>
  </si>
  <si>
    <t>重药控股</t>
  </si>
  <si>
    <t>000950</t>
  </si>
  <si>
    <t>西藏珠峰</t>
  </si>
  <si>
    <t>600338</t>
  </si>
  <si>
    <t>上海瀚讯</t>
  </si>
  <si>
    <t>300762</t>
  </si>
  <si>
    <t>北方国际</t>
  </si>
  <si>
    <t>000065</t>
  </si>
  <si>
    <t>旭升集团</t>
  </si>
  <si>
    <t>603305</t>
  </si>
  <si>
    <t>崇达技术</t>
  </si>
  <si>
    <t>002815</t>
  </si>
  <si>
    <t>图南股份</t>
  </si>
  <si>
    <t>300855</t>
  </si>
  <si>
    <t>星湖科技</t>
  </si>
  <si>
    <t>600866</t>
  </si>
  <si>
    <t>广誉远</t>
  </si>
  <si>
    <t>600771</t>
  </si>
  <si>
    <t>光库科技</t>
  </si>
  <si>
    <t>300620</t>
  </si>
  <si>
    <t>方大特钢</t>
  </si>
  <si>
    <t>600507</t>
  </si>
  <si>
    <t>远东股份</t>
  </si>
  <si>
    <t>600869</t>
  </si>
  <si>
    <t>新乳业</t>
  </si>
  <si>
    <t>002946</t>
  </si>
  <si>
    <t>普利特</t>
  </si>
  <si>
    <t>002324</t>
  </si>
  <si>
    <t>重庆燃气</t>
  </si>
  <si>
    <t>600917</t>
  </si>
  <si>
    <t>福蓉科技</t>
  </si>
  <si>
    <t>603327</t>
  </si>
  <si>
    <t>天康生物</t>
  </si>
  <si>
    <t>002100</t>
  </si>
  <si>
    <t>悦康药业</t>
  </si>
  <si>
    <t>688658</t>
  </si>
  <si>
    <t>信达地产</t>
  </si>
  <si>
    <t>600657</t>
  </si>
  <si>
    <t>广晟有色</t>
  </si>
  <si>
    <t>600259</t>
  </si>
  <si>
    <t>佳都科技</t>
  </si>
  <si>
    <t>600728</t>
  </si>
  <si>
    <t>海尔生物</t>
  </si>
  <si>
    <t>688139</t>
  </si>
  <si>
    <t>星网锐捷</t>
  </si>
  <si>
    <t>002396</t>
  </si>
  <si>
    <t>中望软件</t>
  </si>
  <si>
    <t>688083</t>
  </si>
  <si>
    <t>省广集团</t>
  </si>
  <si>
    <t>002400</t>
  </si>
  <si>
    <t>中闽能源</t>
  </si>
  <si>
    <t>600163</t>
  </si>
  <si>
    <t>重庆百货</t>
  </si>
  <si>
    <t>600729</t>
  </si>
  <si>
    <t>翰宇药业</t>
  </si>
  <si>
    <t>300199</t>
  </si>
  <si>
    <t>奥飞娱乐</t>
  </si>
  <si>
    <t>002292</t>
  </si>
  <si>
    <t>融捷股份</t>
  </si>
  <si>
    <t>002192</t>
  </si>
  <si>
    <t>广和通</t>
  </si>
  <si>
    <t>300638</t>
  </si>
  <si>
    <t>中顺洁柔</t>
  </si>
  <si>
    <t>002511</t>
  </si>
  <si>
    <t>苏交科</t>
  </si>
  <si>
    <t>300284</t>
  </si>
  <si>
    <t>宝明科技</t>
  </si>
  <si>
    <t>002992</t>
  </si>
  <si>
    <t>北京人力</t>
  </si>
  <si>
    <t>600861</t>
  </si>
  <si>
    <t>中工国际</t>
  </si>
  <si>
    <t>002051</t>
  </si>
  <si>
    <t>英杰电气</t>
  </si>
  <si>
    <t>300820</t>
  </si>
  <si>
    <t>万兴科技</t>
  </si>
  <si>
    <t>300624</t>
  </si>
  <si>
    <t>神州信息</t>
  </si>
  <si>
    <t>000555</t>
  </si>
  <si>
    <t>中曼石油</t>
  </si>
  <si>
    <t>603619</t>
  </si>
  <si>
    <t>金达威</t>
  </si>
  <si>
    <t>002626</t>
  </si>
  <si>
    <t>华邦健康</t>
  </si>
  <si>
    <t>002004</t>
  </si>
  <si>
    <t>浙江建投</t>
  </si>
  <si>
    <t>002761</t>
  </si>
  <si>
    <t>日照港</t>
  </si>
  <si>
    <t>600017</t>
  </si>
  <si>
    <t>歌华有线</t>
  </si>
  <si>
    <t>600037</t>
  </si>
  <si>
    <t>新华联</t>
  </si>
  <si>
    <t>000620</t>
  </si>
  <si>
    <t>史丹利</t>
  </si>
  <si>
    <t>002588</t>
  </si>
  <si>
    <t>河钢资源</t>
  </si>
  <si>
    <t>000923</t>
  </si>
  <si>
    <t>国机汽车</t>
  </si>
  <si>
    <t>600335</t>
  </si>
  <si>
    <t>新华制药</t>
  </si>
  <si>
    <t>000756</t>
  </si>
  <si>
    <t>锐科激光</t>
  </si>
  <si>
    <t>300747</t>
  </si>
  <si>
    <t>数据港</t>
  </si>
  <si>
    <t>603881</t>
  </si>
  <si>
    <t>中色股份</t>
  </si>
  <si>
    <t>000758</t>
  </si>
  <si>
    <t>桂林三金</t>
  </si>
  <si>
    <t>002275</t>
  </si>
  <si>
    <t>鼎胜新材</t>
  </si>
  <si>
    <t>603876</t>
  </si>
  <si>
    <t>四川双马</t>
  </si>
  <si>
    <t>000935</t>
  </si>
  <si>
    <t>鸿路钢构</t>
  </si>
  <si>
    <t>002541</t>
  </si>
  <si>
    <t>新媒股份</t>
  </si>
  <si>
    <t>300770</t>
  </si>
  <si>
    <t>广州酒家</t>
  </si>
  <si>
    <t>603043</t>
  </si>
  <si>
    <t>塔牌集团</t>
  </si>
  <si>
    <t>002233</t>
  </si>
  <si>
    <t>金固股份</t>
  </si>
  <si>
    <t>002488</t>
  </si>
  <si>
    <t>城投控股</t>
  </si>
  <si>
    <t>600649</t>
  </si>
  <si>
    <t>华北制药</t>
  </si>
  <si>
    <t>600812</t>
  </si>
  <si>
    <t>中贝通信</t>
  </si>
  <si>
    <t>603220</t>
  </si>
  <si>
    <t>迪普科技</t>
  </si>
  <si>
    <t>300768</t>
  </si>
  <si>
    <t>华光环能</t>
  </si>
  <si>
    <t>600475</t>
  </si>
  <si>
    <t>上海能源</t>
  </si>
  <si>
    <t>600508</t>
  </si>
  <si>
    <t>云南锗业</t>
  </si>
  <si>
    <t>002428</t>
  </si>
  <si>
    <t>东富龙</t>
  </si>
  <si>
    <t>300171</t>
  </si>
  <si>
    <t>恒铭达</t>
  </si>
  <si>
    <t>002947</t>
  </si>
  <si>
    <t>湖南白银</t>
  </si>
  <si>
    <t>002716</t>
  </si>
  <si>
    <t>兔宝宝</t>
  </si>
  <si>
    <t>002043</t>
  </si>
  <si>
    <t>艾德生物</t>
  </si>
  <si>
    <t>300685</t>
  </si>
  <si>
    <t>绝味食品</t>
  </si>
  <si>
    <t>603517</t>
  </si>
  <si>
    <t>昌红科技</t>
  </si>
  <si>
    <t>300151</t>
  </si>
  <si>
    <t>哈药股份</t>
  </si>
  <si>
    <t>600664</t>
  </si>
  <si>
    <t>建投能源</t>
  </si>
  <si>
    <t>000600</t>
  </si>
  <si>
    <t>诚志股份</t>
  </si>
  <si>
    <t>000990</t>
  </si>
  <si>
    <t>雷电微力</t>
  </si>
  <si>
    <t>301050</t>
  </si>
  <si>
    <t>万润科技</t>
  </si>
  <si>
    <t>002654</t>
  </si>
  <si>
    <t>恒顺醋业</t>
  </si>
  <si>
    <t>600305</t>
  </si>
  <si>
    <t>国脉文化</t>
  </si>
  <si>
    <t>600640</t>
  </si>
  <si>
    <t>依顿电子</t>
  </si>
  <si>
    <t>603328</t>
  </si>
  <si>
    <t>视觉中国</t>
  </si>
  <si>
    <t>000681</t>
  </si>
  <si>
    <t>苏盐井神</t>
  </si>
  <si>
    <t>603299</t>
  </si>
  <si>
    <t>开山股份</t>
  </si>
  <si>
    <t>300257</t>
  </si>
  <si>
    <t>宇信科技</t>
  </si>
  <si>
    <t>300674</t>
  </si>
  <si>
    <t>诺普信</t>
  </si>
  <si>
    <t>002215</t>
  </si>
  <si>
    <t>东湖高新</t>
  </si>
  <si>
    <t>600133</t>
  </si>
  <si>
    <t>大众公用</t>
  </si>
  <si>
    <t>600635</t>
  </si>
  <si>
    <t>金螳螂</t>
  </si>
  <si>
    <t>002081</t>
  </si>
  <si>
    <t>建筑装饰-建筑装饰-装饰园林</t>
  </si>
  <si>
    <t>雪峰科技</t>
  </si>
  <si>
    <t>603227</t>
  </si>
  <si>
    <t>基础化工-化学原料-其他化学原料</t>
  </si>
  <si>
    <t>金宏气体</t>
  </si>
  <si>
    <t>688106</t>
  </si>
  <si>
    <t>焦点科技</t>
  </si>
  <si>
    <t>002315</t>
  </si>
  <si>
    <t>大连重工</t>
  </si>
  <si>
    <t>002204</t>
  </si>
  <si>
    <t>有研新材</t>
  </si>
  <si>
    <t>600206</t>
  </si>
  <si>
    <t>博俊科技</t>
  </si>
  <si>
    <t>300926</t>
  </si>
  <si>
    <t>江苏新能</t>
  </si>
  <si>
    <t>603693</t>
  </si>
  <si>
    <t>东岳硅材</t>
  </si>
  <si>
    <t>300821</t>
  </si>
  <si>
    <t>紫江企业</t>
  </si>
  <si>
    <t>600210</t>
  </si>
  <si>
    <t>友发集团</t>
  </si>
  <si>
    <t>601686</t>
  </si>
  <si>
    <t>富瀚微</t>
  </si>
  <si>
    <t>300613</t>
  </si>
  <si>
    <t>奥特佳</t>
  </si>
  <si>
    <t>002239</t>
  </si>
  <si>
    <t>富奥股份</t>
  </si>
  <si>
    <t>000030</t>
  </si>
  <si>
    <t>江苏雷利</t>
  </si>
  <si>
    <t>300660</t>
  </si>
  <si>
    <t>剑桥科技</t>
  </si>
  <si>
    <t>603083</t>
  </si>
  <si>
    <t>众泰汽车</t>
  </si>
  <si>
    <t>000980</t>
  </si>
  <si>
    <t>山东路桥</t>
  </si>
  <si>
    <t>000498</t>
  </si>
  <si>
    <t>中钢国际</t>
  </si>
  <si>
    <t>000928</t>
  </si>
  <si>
    <t>坚朗五金</t>
  </si>
  <si>
    <t>002791</t>
  </si>
  <si>
    <t>南京新百</t>
  </si>
  <si>
    <t>600682</t>
  </si>
  <si>
    <t>酒钢宏兴</t>
  </si>
  <si>
    <t>600307</t>
  </si>
  <si>
    <t>长鸿高科</t>
  </si>
  <si>
    <t>605008</t>
  </si>
  <si>
    <t>基础化工-塑料制品-其他塑料制品</t>
  </si>
  <si>
    <t>鲁信创投</t>
  </si>
  <si>
    <t>600783</t>
  </si>
  <si>
    <t>万润股份</t>
  </si>
  <si>
    <t>002643</t>
  </si>
  <si>
    <t>航天科技</t>
  </si>
  <si>
    <t>000901</t>
  </si>
  <si>
    <t>伊戈尔</t>
  </si>
  <si>
    <t>002922</t>
  </si>
  <si>
    <t>联瑞新材</t>
  </si>
  <si>
    <t>688300</t>
  </si>
  <si>
    <t>万达信息</t>
  </si>
  <si>
    <t>300168</t>
  </si>
  <si>
    <t>承德露露</t>
  </si>
  <si>
    <t>000848</t>
  </si>
  <si>
    <t>大名城</t>
  </si>
  <si>
    <t>600094</t>
  </si>
  <si>
    <t>松霖科技</t>
  </si>
  <si>
    <t>603992</t>
  </si>
  <si>
    <t>仁和药业</t>
  </si>
  <si>
    <t>000650</t>
  </si>
  <si>
    <t>德方纳米</t>
  </si>
  <si>
    <t>300769</t>
  </si>
  <si>
    <t>株冶集团</t>
  </si>
  <si>
    <t>600961</t>
  </si>
  <si>
    <t>永太科技</t>
  </si>
  <si>
    <t>002326</t>
  </si>
  <si>
    <t>奥士康</t>
  </si>
  <si>
    <t>002913</t>
  </si>
  <si>
    <t>怡亚通</t>
  </si>
  <si>
    <t>002183</t>
  </si>
  <si>
    <t>数字政通</t>
  </si>
  <si>
    <t>300075</t>
  </si>
  <si>
    <t>顺网科技</t>
  </si>
  <si>
    <t>300113</t>
  </si>
  <si>
    <t>航天智装</t>
  </si>
  <si>
    <t>300455</t>
  </si>
  <si>
    <t>广电计量</t>
  </si>
  <si>
    <t>002967</t>
  </si>
  <si>
    <t>泛微网络</t>
  </si>
  <si>
    <t>603039</t>
  </si>
  <si>
    <t>楚江新材</t>
  </si>
  <si>
    <t>002171</t>
  </si>
  <si>
    <t>时代新材</t>
  </si>
  <si>
    <t>600458</t>
  </si>
  <si>
    <t>康缘药业</t>
  </si>
  <si>
    <t>600557</t>
  </si>
  <si>
    <t>麦捷科技</t>
  </si>
  <si>
    <t>300319</t>
  </si>
  <si>
    <t>东方铁塔</t>
  </si>
  <si>
    <t>002545</t>
  </si>
  <si>
    <t>智度股份</t>
  </si>
  <si>
    <t>000676</t>
  </si>
  <si>
    <t>天通股份</t>
  </si>
  <si>
    <t>600330</t>
  </si>
  <si>
    <t>江苏索普</t>
  </si>
  <si>
    <t>600746</t>
  </si>
  <si>
    <t>共创草坪</t>
  </si>
  <si>
    <t>605099</t>
  </si>
  <si>
    <t>达安基因</t>
  </si>
  <si>
    <t>002030</t>
  </si>
  <si>
    <t>天奈科技</t>
  </si>
  <si>
    <t>688116</t>
  </si>
  <si>
    <t>东方中科</t>
  </si>
  <si>
    <t>002819</t>
  </si>
  <si>
    <t>凌云股份</t>
  </si>
  <si>
    <t>600480</t>
  </si>
  <si>
    <t>迈克生物</t>
  </si>
  <si>
    <t>300463</t>
  </si>
  <si>
    <t>正帆科技</t>
  </si>
  <si>
    <t>688596</t>
  </si>
  <si>
    <t>东方国信</t>
  </si>
  <si>
    <t>300166</t>
  </si>
  <si>
    <t>中再资环</t>
  </si>
  <si>
    <t>600217</t>
  </si>
  <si>
    <t>贵州燃气</t>
  </si>
  <si>
    <t>600903</t>
  </si>
  <si>
    <t>振芯科技</t>
  </si>
  <si>
    <t>300101</t>
  </si>
  <si>
    <t>九强生物</t>
  </si>
  <si>
    <t>300406</t>
  </si>
  <si>
    <t>赣能股份</t>
  </si>
  <si>
    <t>000899</t>
  </si>
  <si>
    <t>成都燃气</t>
  </si>
  <si>
    <t>603053</t>
  </si>
  <si>
    <t>鸿远电子</t>
  </si>
  <si>
    <t>603267</t>
  </si>
  <si>
    <t>炬华科技</t>
  </si>
  <si>
    <t>300360</t>
  </si>
  <si>
    <t>聚辰股份</t>
  </si>
  <si>
    <t>688123</t>
  </si>
  <si>
    <t>义翘神州</t>
  </si>
  <si>
    <t>301047</t>
  </si>
  <si>
    <t>陕天然气</t>
  </si>
  <si>
    <t>002267</t>
  </si>
  <si>
    <t>晨鸣纸业</t>
  </si>
  <si>
    <t>000488</t>
  </si>
  <si>
    <t>龙大美食</t>
  </si>
  <si>
    <t>002726</t>
  </si>
  <si>
    <t>柯力传感</t>
  </si>
  <si>
    <t>603662</t>
  </si>
  <si>
    <t>力源信息</t>
  </si>
  <si>
    <t>300184</t>
  </si>
  <si>
    <t>航天机电</t>
  </si>
  <si>
    <t>600151</t>
  </si>
  <si>
    <t>洁美科技</t>
  </si>
  <si>
    <t>002859</t>
  </si>
  <si>
    <t>密尔克卫</t>
  </si>
  <si>
    <t>603713</t>
  </si>
  <si>
    <t>西部建设</t>
  </si>
  <si>
    <t>002302</t>
  </si>
  <si>
    <t>奋达科技</t>
  </si>
  <si>
    <t>002681</t>
  </si>
  <si>
    <t>华夏航空</t>
  </si>
  <si>
    <t>002928</t>
  </si>
  <si>
    <t>兆龙互连</t>
  </si>
  <si>
    <t>300913</t>
  </si>
  <si>
    <t>金晶科技</t>
  </si>
  <si>
    <t>600586</t>
  </si>
  <si>
    <t>航天工程</t>
  </si>
  <si>
    <t>603698</t>
  </si>
  <si>
    <t>西子洁能</t>
  </si>
  <si>
    <t>002534</t>
  </si>
  <si>
    <t>通裕重工</t>
  </si>
  <si>
    <t>300185</t>
  </si>
  <si>
    <t>金田股份</t>
  </si>
  <si>
    <t>601609</t>
  </si>
  <si>
    <t>华峰超纤</t>
  </si>
  <si>
    <t>300180</t>
  </si>
  <si>
    <t>飞乐音响</t>
  </si>
  <si>
    <t>600651</t>
  </si>
  <si>
    <t>广东鸿图</t>
  </si>
  <si>
    <t>002101</t>
  </si>
  <si>
    <t>掌阅科技</t>
  </si>
  <si>
    <t>603533</t>
  </si>
  <si>
    <t>至纯科技</t>
  </si>
  <si>
    <t>603690</t>
  </si>
  <si>
    <t>润建股份</t>
  </si>
  <si>
    <t>002929</t>
  </si>
  <si>
    <t>航民股份</t>
  </si>
  <si>
    <t>600987</t>
  </si>
  <si>
    <t>纺织服饰-纺织制造-印染</t>
  </si>
  <si>
    <t>古越龙山</t>
  </si>
  <si>
    <t>600059</t>
  </si>
  <si>
    <t>通用股份</t>
  </si>
  <si>
    <t>601500</t>
  </si>
  <si>
    <t>氯碱化工</t>
  </si>
  <si>
    <t>600618</t>
  </si>
  <si>
    <t>九阳股份</t>
  </si>
  <si>
    <t>002242</t>
  </si>
  <si>
    <t>秦川机床</t>
  </si>
  <si>
    <t>000837</t>
  </si>
  <si>
    <t>京基智农</t>
  </si>
  <si>
    <t>000048</t>
  </si>
  <si>
    <t>盛达资源</t>
  </si>
  <si>
    <t>000603</t>
  </si>
  <si>
    <t>高能环境</t>
  </si>
  <si>
    <t>603588</t>
  </si>
  <si>
    <t>新莱应材</t>
  </si>
  <si>
    <t>300260</t>
  </si>
  <si>
    <t>运达股份</t>
  </si>
  <si>
    <t>300772</t>
  </si>
  <si>
    <t>寒锐钴业</t>
  </si>
  <si>
    <t>300618</t>
  </si>
  <si>
    <t>中原环保</t>
  </si>
  <si>
    <t>000544</t>
  </si>
  <si>
    <t>双良节能</t>
  </si>
  <si>
    <t>600481</t>
  </si>
  <si>
    <t>深赛格</t>
  </si>
  <si>
    <t>000058</t>
  </si>
  <si>
    <t>泰和新材</t>
  </si>
  <si>
    <t>002254</t>
  </si>
  <si>
    <t>百隆东方</t>
  </si>
  <si>
    <t>601339</t>
  </si>
  <si>
    <t>纺织服饰-纺织制造-棉纺</t>
  </si>
  <si>
    <t>康希诺</t>
  </si>
  <si>
    <t>688185</t>
  </si>
  <si>
    <t>金种子酒</t>
  </si>
  <si>
    <t>600199</t>
  </si>
  <si>
    <t>青鸟消防</t>
  </si>
  <si>
    <t>002960</t>
  </si>
  <si>
    <t>一心堂</t>
  </si>
  <si>
    <t>002727</t>
  </si>
  <si>
    <t>唐人神</t>
  </si>
  <si>
    <t>002567</t>
  </si>
  <si>
    <t>登海种业</t>
  </si>
  <si>
    <t>002041</t>
  </si>
  <si>
    <t>海目星</t>
  </si>
  <si>
    <t>688559</t>
  </si>
  <si>
    <t>贝斯特</t>
  </si>
  <si>
    <t>300580</t>
  </si>
  <si>
    <t>吉林化纤</t>
  </si>
  <si>
    <t>000420</t>
  </si>
  <si>
    <t>基础化工-化学纤维-粘胶</t>
  </si>
  <si>
    <t>保隆科技</t>
  </si>
  <si>
    <t>603197</t>
  </si>
  <si>
    <t>晶瑞电材</t>
  </si>
  <si>
    <t>300655</t>
  </si>
  <si>
    <t>力合科创</t>
  </si>
  <si>
    <t>002243</t>
  </si>
  <si>
    <t>伊力特</t>
  </si>
  <si>
    <t>600197</t>
  </si>
  <si>
    <t>国新健康</t>
  </si>
  <si>
    <t>000503</t>
  </si>
  <si>
    <t>皖维高新</t>
  </si>
  <si>
    <t>600063</t>
  </si>
  <si>
    <t>基础化工-化学纤维-其他纤维</t>
  </si>
  <si>
    <t>安徽建工</t>
  </si>
  <si>
    <t>600502</t>
  </si>
  <si>
    <t>海能达</t>
  </si>
  <si>
    <t>002583</t>
  </si>
  <si>
    <t>正海磁材</t>
  </si>
  <si>
    <t>300224</t>
  </si>
  <si>
    <t>城发环境</t>
  </si>
  <si>
    <t>000885</t>
  </si>
  <si>
    <t>软控股份</t>
  </si>
  <si>
    <t>002073</t>
  </si>
  <si>
    <t>贵州轮胎</t>
  </si>
  <si>
    <t>000589</t>
  </si>
  <si>
    <t>铁龙物流</t>
  </si>
  <si>
    <t>600125</t>
  </si>
  <si>
    <t>创业环保</t>
  </si>
  <si>
    <t>600874</t>
  </si>
  <si>
    <t>游族网络</t>
  </si>
  <si>
    <t>002174</t>
  </si>
  <si>
    <t>电广传媒</t>
  </si>
  <si>
    <t>000917</t>
  </si>
  <si>
    <t>盛弘股份</t>
  </si>
  <si>
    <t>300693</t>
  </si>
  <si>
    <t>华恒生物</t>
  </si>
  <si>
    <t>688639</t>
  </si>
  <si>
    <t>亚普股份</t>
  </si>
  <si>
    <t>603013</t>
  </si>
  <si>
    <t>浙江世宝</t>
  </si>
  <si>
    <t>002703</t>
  </si>
  <si>
    <t>诚迈科技</t>
  </si>
  <si>
    <t>300598</t>
  </si>
  <si>
    <t>华灿光电</t>
  </si>
  <si>
    <t>300323</t>
  </si>
  <si>
    <t>新五丰</t>
  </si>
  <si>
    <t>600975</t>
  </si>
  <si>
    <t>三只松鼠</t>
  </si>
  <si>
    <t>300783</t>
  </si>
  <si>
    <t>滨化股份</t>
  </si>
  <si>
    <t>601678</t>
  </si>
  <si>
    <t>章源钨业</t>
  </si>
  <si>
    <t>002378</t>
  </si>
  <si>
    <t>应流股份</t>
  </si>
  <si>
    <t>603308</t>
  </si>
  <si>
    <t>中密控股</t>
  </si>
  <si>
    <t>300470</t>
  </si>
  <si>
    <t>大唐电信</t>
  </si>
  <si>
    <t>600198</t>
  </si>
  <si>
    <t>沐邦高科</t>
  </si>
  <si>
    <t>603398</t>
  </si>
  <si>
    <t>聚飞光电</t>
  </si>
  <si>
    <t>300303</t>
  </si>
  <si>
    <t>华贸物流</t>
  </si>
  <si>
    <t>603128</t>
  </si>
  <si>
    <t>良信股份</t>
  </si>
  <si>
    <t>002706</t>
  </si>
  <si>
    <t>花园生物</t>
  </si>
  <si>
    <t>300401</t>
  </si>
  <si>
    <t>思维列控</t>
  </si>
  <si>
    <t>603508</t>
  </si>
  <si>
    <t>天富能源</t>
  </si>
  <si>
    <t>600509</t>
  </si>
  <si>
    <t>奥海科技</t>
  </si>
  <si>
    <t>002993</t>
  </si>
  <si>
    <t>晋控电力</t>
  </si>
  <si>
    <t>000767</t>
  </si>
  <si>
    <t>万马股份</t>
  </si>
  <si>
    <t>002276</t>
  </si>
  <si>
    <t>微芯生物</t>
  </si>
  <si>
    <t>688321</t>
  </si>
  <si>
    <t>新点软件</t>
  </si>
  <si>
    <t>688232</t>
  </si>
  <si>
    <t>可孚医疗</t>
  </si>
  <si>
    <t>301087</t>
  </si>
  <si>
    <t>确成股份</t>
  </si>
  <si>
    <t>605183</t>
  </si>
  <si>
    <t>基础化工-橡胶制品-炭黑</t>
  </si>
  <si>
    <t>文灿股份</t>
  </si>
  <si>
    <t>603348</t>
  </si>
  <si>
    <t>亚星锚链</t>
  </si>
  <si>
    <t>601890</t>
  </si>
  <si>
    <t>嘉泽新能</t>
  </si>
  <si>
    <t>601619</t>
  </si>
  <si>
    <t>凌霄泵业</t>
  </si>
  <si>
    <t>002884</t>
  </si>
  <si>
    <t>弘信电子</t>
  </si>
  <si>
    <t>300657</t>
  </si>
  <si>
    <t>意华股份</t>
  </si>
  <si>
    <t>002897</t>
  </si>
  <si>
    <t>京北方</t>
  </si>
  <si>
    <t>002987</t>
  </si>
  <si>
    <t>西藏天路</t>
  </si>
  <si>
    <t>600326</t>
  </si>
  <si>
    <t>双鹭药业</t>
  </si>
  <si>
    <t>002038</t>
  </si>
  <si>
    <t>中青旅</t>
  </si>
  <si>
    <t>600138</t>
  </si>
  <si>
    <t>千红制药</t>
  </si>
  <si>
    <t>002550</t>
  </si>
  <si>
    <t>博腾股份</t>
  </si>
  <si>
    <t>300363</t>
  </si>
  <si>
    <t>中恒集团</t>
  </si>
  <si>
    <t>600252</t>
  </si>
  <si>
    <t>高争民爆</t>
  </si>
  <si>
    <t>002827</t>
  </si>
  <si>
    <t>融发核电</t>
  </si>
  <si>
    <t>002366</t>
  </si>
  <si>
    <t>华统股份</t>
  </si>
  <si>
    <t>002840</t>
  </si>
  <si>
    <t>长城军工</t>
  </si>
  <si>
    <t>601606</t>
  </si>
  <si>
    <t>深粮控股</t>
  </si>
  <si>
    <t>000019</t>
  </si>
  <si>
    <t>航天晨光</t>
  </si>
  <si>
    <t>600501</t>
  </si>
  <si>
    <t>航宇微</t>
  </si>
  <si>
    <t>300053</t>
  </si>
  <si>
    <t>生物股份</t>
  </si>
  <si>
    <t>600201</t>
  </si>
  <si>
    <t>农林牧渔-养殖业-动物保健</t>
  </si>
  <si>
    <t>中船应急</t>
  </si>
  <si>
    <t>300527</t>
  </si>
  <si>
    <t>黄山旅游</t>
  </si>
  <si>
    <t>600054</t>
  </si>
  <si>
    <t>社会服务-旅游及酒店-自然景点</t>
  </si>
  <si>
    <t>五矿发展</t>
  </si>
  <si>
    <t>600058</t>
  </si>
  <si>
    <t>超图软件</t>
  </si>
  <si>
    <t>300036</t>
  </si>
  <si>
    <t>南极电商</t>
  </si>
  <si>
    <t>002127</t>
  </si>
  <si>
    <t>西宁特钢</t>
  </si>
  <si>
    <t>600117</t>
  </si>
  <si>
    <t>银邦股份</t>
  </si>
  <si>
    <t>300337</t>
  </si>
  <si>
    <t>岳阳林纸</t>
  </si>
  <si>
    <t>600963</t>
  </si>
  <si>
    <t>黔源电力</t>
  </si>
  <si>
    <t>002039</t>
  </si>
  <si>
    <t>横店影视</t>
  </si>
  <si>
    <t>603103</t>
  </si>
  <si>
    <t>高新兴</t>
  </si>
  <si>
    <t>300098</t>
  </si>
  <si>
    <t>绿色动力</t>
  </si>
  <si>
    <t>601330</t>
  </si>
  <si>
    <t>恒为科技</t>
  </si>
  <si>
    <t>603496</t>
  </si>
  <si>
    <t>闰土股份</t>
  </si>
  <si>
    <t>002440</t>
  </si>
  <si>
    <t>华昌化工</t>
  </si>
  <si>
    <t>002274</t>
  </si>
  <si>
    <t>百傲化学</t>
  </si>
  <si>
    <t>603360</t>
  </si>
  <si>
    <t>健民集团</t>
  </si>
  <si>
    <t>600976</t>
  </si>
  <si>
    <t>汉得信息</t>
  </si>
  <si>
    <t>300170</t>
  </si>
  <si>
    <t>北特科技</t>
  </si>
  <si>
    <t>603009</t>
  </si>
  <si>
    <t>万和电气</t>
  </si>
  <si>
    <t>002543</t>
  </si>
  <si>
    <t>科林电气</t>
  </si>
  <si>
    <t>603050</t>
  </si>
  <si>
    <t>柳钢股份</t>
  </si>
  <si>
    <t>601003</t>
  </si>
  <si>
    <t>中科信息</t>
  </si>
  <si>
    <t>300678</t>
  </si>
  <si>
    <t>太辰光</t>
  </si>
  <si>
    <t>300570</t>
  </si>
  <si>
    <t>大港股份</t>
  </si>
  <si>
    <t>002077</t>
  </si>
  <si>
    <t>东方精工</t>
  </si>
  <si>
    <t>002611</t>
  </si>
  <si>
    <t>机械设备-专用设备-印刷包装机械</t>
  </si>
  <si>
    <t>神马股份</t>
  </si>
  <si>
    <t>600810</t>
  </si>
  <si>
    <t>天下秀</t>
  </si>
  <si>
    <t>600556</t>
  </si>
  <si>
    <t>新疆天业</t>
  </si>
  <si>
    <t>600075</t>
  </si>
  <si>
    <t>中体产业</t>
  </si>
  <si>
    <t>600158</t>
  </si>
  <si>
    <t>社会服务-其他社会服务-体育</t>
  </si>
  <si>
    <t>万里扬</t>
  </si>
  <si>
    <t>002434</t>
  </si>
  <si>
    <t>中国电研</t>
  </si>
  <si>
    <t>688128</t>
  </si>
  <si>
    <t>康华生物</t>
  </si>
  <si>
    <t>300841</t>
  </si>
  <si>
    <t>一品红</t>
  </si>
  <si>
    <t>300723</t>
  </si>
  <si>
    <t>实达集团</t>
  </si>
  <si>
    <t>600734</t>
  </si>
  <si>
    <t>妙可蓝多</t>
  </si>
  <si>
    <t>600882</t>
  </si>
  <si>
    <t>启明信息</t>
  </si>
  <si>
    <t>002232</t>
  </si>
  <si>
    <t>弘亚数控</t>
  </si>
  <si>
    <t>002833</t>
  </si>
  <si>
    <t>东材科技</t>
  </si>
  <si>
    <t>601208</t>
  </si>
  <si>
    <t>基础化工-塑料制品-膜材料</t>
  </si>
  <si>
    <t>国光电器</t>
  </si>
  <si>
    <t>002045</t>
  </si>
  <si>
    <t>鲁抗医药</t>
  </si>
  <si>
    <t>600789</t>
  </si>
  <si>
    <t>宁波韵升</t>
  </si>
  <si>
    <t>600366</t>
  </si>
  <si>
    <t>山鹰国际</t>
  </si>
  <si>
    <t>600567</t>
  </si>
  <si>
    <t>恒通股份</t>
  </si>
  <si>
    <t>603223</t>
  </si>
  <si>
    <t>石油石化-石油加工贸易-油品石化贸易</t>
  </si>
  <si>
    <t>安德利</t>
  </si>
  <si>
    <t>605198</t>
  </si>
  <si>
    <t>京山轻机</t>
  </si>
  <si>
    <t>000821</t>
  </si>
  <si>
    <t>新里程</t>
  </si>
  <si>
    <t>002219</t>
  </si>
  <si>
    <t>华懋科技</t>
  </si>
  <si>
    <t>603306</t>
  </si>
  <si>
    <t>迪安诊断</t>
  </si>
  <si>
    <t>300244</t>
  </si>
  <si>
    <t>蓝特光学</t>
  </si>
  <si>
    <t>688127</t>
  </si>
  <si>
    <t>宝通科技</t>
  </si>
  <si>
    <t>300031</t>
  </si>
  <si>
    <t>金融街</t>
  </si>
  <si>
    <t>000402</t>
  </si>
  <si>
    <t>佛山照明</t>
  </si>
  <si>
    <t>000541</t>
  </si>
  <si>
    <t>雷赛智能</t>
  </si>
  <si>
    <t>002979</t>
  </si>
  <si>
    <t>松原股份</t>
  </si>
  <si>
    <t>300893</t>
  </si>
  <si>
    <t>三钢闽光</t>
  </si>
  <si>
    <t>002110</t>
  </si>
  <si>
    <t>起帆电缆</t>
  </si>
  <si>
    <t>605222</t>
  </si>
  <si>
    <t>爱建集团</t>
  </si>
  <si>
    <t>600643</t>
  </si>
  <si>
    <t>能特科技</t>
  </si>
  <si>
    <t>002102</t>
  </si>
  <si>
    <t>苑东生物</t>
  </si>
  <si>
    <t>688513</t>
  </si>
  <si>
    <t>彩讯股份</t>
  </si>
  <si>
    <t>300634</t>
  </si>
  <si>
    <t>大立科技</t>
  </si>
  <si>
    <t>002214</t>
  </si>
  <si>
    <t>学大教育</t>
  </si>
  <si>
    <t>000526</t>
  </si>
  <si>
    <t>三祥新材</t>
  </si>
  <si>
    <t>603663</t>
  </si>
  <si>
    <t>天海防务</t>
  </si>
  <si>
    <t>300008</t>
  </si>
  <si>
    <t>长亮科技</t>
  </si>
  <si>
    <t>300348</t>
  </si>
  <si>
    <t>福瑞达</t>
  </si>
  <si>
    <t>600223</t>
  </si>
  <si>
    <t>东鹏控股</t>
  </si>
  <si>
    <t>003012</t>
  </si>
  <si>
    <t>轻工制造-家居用品-瓷砖地板</t>
  </si>
  <si>
    <t>奥普光电</t>
  </si>
  <si>
    <t>002338</t>
  </si>
  <si>
    <t>江航装备</t>
  </si>
  <si>
    <t>688586</t>
  </si>
  <si>
    <t>冰轮环境</t>
  </si>
  <si>
    <t>000811</t>
  </si>
  <si>
    <t>西部材料</t>
  </si>
  <si>
    <t>002149</t>
  </si>
  <si>
    <t>中安科</t>
  </si>
  <si>
    <t>600654</t>
  </si>
  <si>
    <t>中宠股份</t>
  </si>
  <si>
    <t>002891</t>
  </si>
  <si>
    <t>农林牧渔-农产品加工-宠物食品</t>
  </si>
  <si>
    <t>长白山</t>
  </si>
  <si>
    <t>603099</t>
  </si>
  <si>
    <t>光峰科技</t>
  </si>
  <si>
    <t>688007</t>
  </si>
  <si>
    <t>海特高新</t>
  </si>
  <si>
    <t>002023</t>
  </si>
  <si>
    <t>山西高速</t>
  </si>
  <si>
    <t>000755</t>
  </si>
  <si>
    <t>泰胜风能</t>
  </si>
  <si>
    <t>300129</t>
  </si>
  <si>
    <t>银之杰</t>
  </si>
  <si>
    <t>300085</t>
  </si>
  <si>
    <t>金龙羽</t>
  </si>
  <si>
    <t>002882</t>
  </si>
  <si>
    <t>岳阳兴长</t>
  </si>
  <si>
    <t>000819</t>
  </si>
  <si>
    <t>苏州固锝</t>
  </si>
  <si>
    <t>002079</t>
  </si>
  <si>
    <t>中颖电子</t>
  </si>
  <si>
    <t>300327</t>
  </si>
  <si>
    <t>浙文互联</t>
  </si>
  <si>
    <t>600986</t>
  </si>
  <si>
    <t>力量钻石</t>
  </si>
  <si>
    <t>301071</t>
  </si>
  <si>
    <t>宏和科技</t>
  </si>
  <si>
    <t>603256</t>
  </si>
  <si>
    <t>天健集团</t>
  </si>
  <si>
    <t>000090</t>
  </si>
  <si>
    <t>太原重工</t>
  </si>
  <si>
    <t>600169</t>
  </si>
  <si>
    <t>科陆电子</t>
  </si>
  <si>
    <t>002121</t>
  </si>
  <si>
    <t>科德数控</t>
  </si>
  <si>
    <t>688305</t>
  </si>
  <si>
    <t>禾丰股份</t>
  </si>
  <si>
    <t>603609</t>
  </si>
  <si>
    <t>焦作万方</t>
  </si>
  <si>
    <t>000612</t>
  </si>
  <si>
    <t>合兴股份</t>
  </si>
  <si>
    <t>605005</t>
  </si>
  <si>
    <t>众信旅游</t>
  </si>
  <si>
    <t>002707</t>
  </si>
  <si>
    <t>社会服务-旅游及酒店-旅游综合</t>
  </si>
  <si>
    <t>富安娜</t>
  </si>
  <si>
    <t>002327</t>
  </si>
  <si>
    <t>纺织服饰-服装家纺-家纺</t>
  </si>
  <si>
    <t>峨眉山A</t>
  </si>
  <si>
    <t>000888</t>
  </si>
  <si>
    <t>永新光学</t>
  </si>
  <si>
    <t>603297</t>
  </si>
  <si>
    <t>亚太科技</t>
  </si>
  <si>
    <t>002540</t>
  </si>
  <si>
    <t>荣安地产</t>
  </si>
  <si>
    <t>000517</t>
  </si>
  <si>
    <t>金杯电工</t>
  </si>
  <si>
    <t>002533</t>
  </si>
  <si>
    <t>英洛华</t>
  </si>
  <si>
    <t>000795</t>
  </si>
  <si>
    <t>柳药集团</t>
  </si>
  <si>
    <t>603368</t>
  </si>
  <si>
    <t>数码视讯</t>
  </si>
  <si>
    <t>300079</t>
  </si>
  <si>
    <t>东北制药</t>
  </si>
  <si>
    <t>000597</t>
  </si>
  <si>
    <t>中来股份</t>
  </si>
  <si>
    <t>300393</t>
  </si>
  <si>
    <t>国光股份</t>
  </si>
  <si>
    <t>002749</t>
  </si>
  <si>
    <t>国脉科技</t>
  </si>
  <si>
    <t>002093</t>
  </si>
  <si>
    <t>甬金股份</t>
  </si>
  <si>
    <t>603995</t>
  </si>
  <si>
    <t>海联金汇</t>
  </si>
  <si>
    <t>002537</t>
  </si>
  <si>
    <t>江苏吴中</t>
  </si>
  <si>
    <t>600200</t>
  </si>
  <si>
    <t>豫光金铅</t>
  </si>
  <si>
    <t>600531</t>
  </si>
  <si>
    <t>楚天高速</t>
  </si>
  <si>
    <t>600035</t>
  </si>
  <si>
    <t>新疆交建</t>
  </si>
  <si>
    <t>002941</t>
  </si>
  <si>
    <t>东方生物</t>
  </si>
  <si>
    <t>688298</t>
  </si>
  <si>
    <t>上峰水泥</t>
  </si>
  <si>
    <t>000672</t>
  </si>
  <si>
    <t>中牧股份</t>
  </si>
  <si>
    <t>600195</t>
  </si>
  <si>
    <t>北摩高科</t>
  </si>
  <si>
    <t>002985</t>
  </si>
  <si>
    <t>捷昌驱动</t>
  </si>
  <si>
    <t>603583</t>
  </si>
  <si>
    <t>华锦股份</t>
  </si>
  <si>
    <t>000059</t>
  </si>
  <si>
    <t>普门科技</t>
  </si>
  <si>
    <t>688389</t>
  </si>
  <si>
    <t>天准科技</t>
  </si>
  <si>
    <t>688003</t>
  </si>
  <si>
    <t>海南海药</t>
  </si>
  <si>
    <t>000566</t>
  </si>
  <si>
    <t>荣科科技</t>
  </si>
  <si>
    <t>300290</t>
  </si>
  <si>
    <t>浙江永强</t>
  </si>
  <si>
    <t>002489</t>
  </si>
  <si>
    <t>信邦制药</t>
  </si>
  <si>
    <t>002390</t>
  </si>
  <si>
    <t>仙乐健康</t>
  </si>
  <si>
    <t>300791</t>
  </si>
  <si>
    <t>华特达因</t>
  </si>
  <si>
    <t>000915</t>
  </si>
  <si>
    <t>海航科技</t>
  </si>
  <si>
    <t>600751</t>
  </si>
  <si>
    <t>联创股份</t>
  </si>
  <si>
    <t>300343</t>
  </si>
  <si>
    <t>飞凯材料</t>
  </si>
  <si>
    <t>300398</t>
  </si>
  <si>
    <t>力鼎光电</t>
  </si>
  <si>
    <t>605118</t>
  </si>
  <si>
    <t>精研科技</t>
  </si>
  <si>
    <t>300709</t>
  </si>
  <si>
    <t>国泰集团</t>
  </si>
  <si>
    <t>603977</t>
  </si>
  <si>
    <t>旺能环境</t>
  </si>
  <si>
    <t>002034</t>
  </si>
  <si>
    <t>国民技术</t>
  </si>
  <si>
    <t>300077</t>
  </si>
  <si>
    <t>卫光生物</t>
  </si>
  <si>
    <t>002880</t>
  </si>
  <si>
    <t>万集科技</t>
  </si>
  <si>
    <t>300552</t>
  </si>
  <si>
    <t>胜利精密</t>
  </si>
  <si>
    <t>002426</t>
  </si>
  <si>
    <t>红旗连锁</t>
  </si>
  <si>
    <t>002697</t>
  </si>
  <si>
    <t>英唐智控</t>
  </si>
  <si>
    <t>300131</t>
  </si>
  <si>
    <t>奥普特</t>
  </si>
  <si>
    <t>688686</t>
  </si>
  <si>
    <t>旷达科技</t>
  </si>
  <si>
    <t>002516</t>
  </si>
  <si>
    <t>武汉凡谷</t>
  </si>
  <si>
    <t>002194</t>
  </si>
  <si>
    <t>朗姿股份</t>
  </si>
  <si>
    <t>002612</t>
  </si>
  <si>
    <t>山河智能</t>
  </si>
  <si>
    <t>002097</t>
  </si>
  <si>
    <t>锐明技术</t>
  </si>
  <si>
    <t>002970</t>
  </si>
  <si>
    <t>天威视讯</t>
  </si>
  <si>
    <t>002238</t>
  </si>
  <si>
    <t>东软载波</t>
  </si>
  <si>
    <t>300183</t>
  </si>
  <si>
    <t>纳微科技</t>
  </si>
  <si>
    <t>688690</t>
  </si>
  <si>
    <t>万辰集团</t>
  </si>
  <si>
    <t>300972</t>
  </si>
  <si>
    <t>小熊电器</t>
  </si>
  <si>
    <t>002959</t>
  </si>
  <si>
    <t>我爱我家</t>
  </si>
  <si>
    <t>000560</t>
  </si>
  <si>
    <t>西部创业</t>
  </si>
  <si>
    <t>000557</t>
  </si>
  <si>
    <t>天马科技</t>
  </si>
  <si>
    <t>603668</t>
  </si>
  <si>
    <t>石大胜华</t>
  </si>
  <si>
    <t>603026</t>
  </si>
  <si>
    <t>派克新材</t>
  </si>
  <si>
    <t>605123</t>
  </si>
  <si>
    <t>亨通股份</t>
  </si>
  <si>
    <t>600226</t>
  </si>
  <si>
    <t>瑞鹄模具</t>
  </si>
  <si>
    <t>002997</t>
  </si>
  <si>
    <t>富满微</t>
  </si>
  <si>
    <t>300671</t>
  </si>
  <si>
    <t>光明肉业</t>
  </si>
  <si>
    <t>600073</t>
  </si>
  <si>
    <t>岭南控股</t>
  </si>
  <si>
    <t>000524</t>
  </si>
  <si>
    <t>通宇通讯</t>
  </si>
  <si>
    <t>002792</t>
  </si>
  <si>
    <t>莲花控股</t>
  </si>
  <si>
    <t>600186</t>
  </si>
  <si>
    <t>泸天化</t>
  </si>
  <si>
    <t>000912</t>
  </si>
  <si>
    <t>博迁新材</t>
  </si>
  <si>
    <t>605376</t>
  </si>
  <si>
    <t>有色金属-能源金属-镍</t>
  </si>
  <si>
    <t>中科电气</t>
  </si>
  <si>
    <t>300035</t>
  </si>
  <si>
    <t>长园集团</t>
  </si>
  <si>
    <t>600525</t>
  </si>
  <si>
    <t>农发种业</t>
  </si>
  <si>
    <t>600313</t>
  </si>
  <si>
    <t>华谊兄弟</t>
  </si>
  <si>
    <t>300027</t>
  </si>
  <si>
    <t>海王生物</t>
  </si>
  <si>
    <t>000078</t>
  </si>
  <si>
    <t>兰石重装</t>
  </si>
  <si>
    <t>603169</t>
  </si>
  <si>
    <t>洲明科技</t>
  </si>
  <si>
    <t>300232</t>
  </si>
  <si>
    <t>江山股份</t>
  </si>
  <si>
    <t>600389</t>
  </si>
  <si>
    <t>上海谊众</t>
  </si>
  <si>
    <t>688091</t>
  </si>
  <si>
    <t>广田集团</t>
  </si>
  <si>
    <t>002482</t>
  </si>
  <si>
    <t>荃银高科</t>
  </si>
  <si>
    <t>300087</t>
  </si>
  <si>
    <t>奥翔药业</t>
  </si>
  <si>
    <t>603229</t>
  </si>
  <si>
    <t>共进股份</t>
  </si>
  <si>
    <t>603118</t>
  </si>
  <si>
    <t>索通发展</t>
  </si>
  <si>
    <t>603612</t>
  </si>
  <si>
    <t>华银电力</t>
  </si>
  <si>
    <t>600744</t>
  </si>
  <si>
    <t>通宝能源</t>
  </si>
  <si>
    <t>600780</t>
  </si>
  <si>
    <t>理工能科</t>
  </si>
  <si>
    <t>002322</t>
  </si>
  <si>
    <t>特力A</t>
  </si>
  <si>
    <t>000025</t>
  </si>
  <si>
    <t>利尔化学</t>
  </si>
  <si>
    <t>002258</t>
  </si>
  <si>
    <t>国电南自</t>
  </si>
  <si>
    <t>600268</t>
  </si>
  <si>
    <t>中天火箭</t>
  </si>
  <si>
    <t>003009</t>
  </si>
  <si>
    <t>深振业A</t>
  </si>
  <si>
    <t>000006</t>
  </si>
  <si>
    <t>永贵电器</t>
  </si>
  <si>
    <t>300351</t>
  </si>
  <si>
    <t>东威科技</t>
  </si>
  <si>
    <t>688700</t>
  </si>
  <si>
    <t>中广核技</t>
  </si>
  <si>
    <t>000881</t>
  </si>
  <si>
    <t>辰欣药业</t>
  </si>
  <si>
    <t>603367</t>
  </si>
  <si>
    <t>罗莱生活</t>
  </si>
  <si>
    <t>002293</t>
  </si>
  <si>
    <t>道氏技术</t>
  </si>
  <si>
    <t>300409</t>
  </si>
  <si>
    <t>精华制药</t>
  </si>
  <si>
    <t>002349</t>
  </si>
  <si>
    <t>时代出版</t>
  </si>
  <si>
    <t>600551</t>
  </si>
  <si>
    <t>星星科技</t>
  </si>
  <si>
    <t>300256</t>
  </si>
  <si>
    <t>南京医药</t>
  </si>
  <si>
    <t>600713</t>
  </si>
  <si>
    <t>今创集团</t>
  </si>
  <si>
    <t>603680</t>
  </si>
  <si>
    <t>高测股份</t>
  </si>
  <si>
    <t>688556</t>
  </si>
  <si>
    <t>大有能源</t>
  </si>
  <si>
    <t>600403</t>
  </si>
  <si>
    <t>陕西黑猫</t>
  </si>
  <si>
    <t>601015</t>
  </si>
  <si>
    <t>瑞普生物</t>
  </si>
  <si>
    <t>300119</t>
  </si>
  <si>
    <t>万安科技</t>
  </si>
  <si>
    <t>002590</t>
  </si>
  <si>
    <t>科力尔</t>
  </si>
  <si>
    <t>002892</t>
  </si>
  <si>
    <t>宏创控股</t>
  </si>
  <si>
    <t>002379</t>
  </si>
  <si>
    <t>皓元医药</t>
  </si>
  <si>
    <t>688131</t>
  </si>
  <si>
    <t>振德医疗</t>
  </si>
  <si>
    <t>603301</t>
  </si>
  <si>
    <t>一汽富维</t>
  </si>
  <si>
    <t>600742</t>
  </si>
  <si>
    <t>聚灿光电</t>
  </si>
  <si>
    <t>300708</t>
  </si>
  <si>
    <t>湘潭电化</t>
  </si>
  <si>
    <t>002125</t>
  </si>
  <si>
    <t>商络电子</t>
  </si>
  <si>
    <t>300975</t>
  </si>
  <si>
    <t>万里石</t>
  </si>
  <si>
    <t>002785</t>
  </si>
  <si>
    <t>科力远</t>
  </si>
  <si>
    <t>600478</t>
  </si>
  <si>
    <t>利安隆</t>
  </si>
  <si>
    <t>300596</t>
  </si>
  <si>
    <t>南京熊猫</t>
  </si>
  <si>
    <t>600775</t>
  </si>
  <si>
    <t>东方电热</t>
  </si>
  <si>
    <t>300217</t>
  </si>
  <si>
    <t>三人行</t>
  </si>
  <si>
    <t>605168</t>
  </si>
  <si>
    <t>莱宝高科</t>
  </si>
  <si>
    <t>002106</t>
  </si>
  <si>
    <t>神州高铁</t>
  </si>
  <si>
    <t>000008</t>
  </si>
  <si>
    <t>三元股份</t>
  </si>
  <si>
    <t>600429</t>
  </si>
  <si>
    <t>乾照光电</t>
  </si>
  <si>
    <t>300102</t>
  </si>
  <si>
    <t>未名医药</t>
  </si>
  <si>
    <t>002581</t>
  </si>
  <si>
    <t>东方通</t>
  </si>
  <si>
    <t>300379</t>
  </si>
  <si>
    <t>科前生物</t>
  </si>
  <si>
    <t>688526</t>
  </si>
  <si>
    <t>首开股份</t>
  </si>
  <si>
    <t>600376</t>
  </si>
  <si>
    <t>美格智能</t>
  </si>
  <si>
    <t>002881</t>
  </si>
  <si>
    <t>中交地产</t>
  </si>
  <si>
    <t>000736</t>
  </si>
  <si>
    <t>新强联</t>
  </si>
  <si>
    <t>300850</t>
  </si>
  <si>
    <t>上海凯宝</t>
  </si>
  <si>
    <t>300039</t>
  </si>
  <si>
    <t>科森科技</t>
  </si>
  <si>
    <t>603626</t>
  </si>
  <si>
    <t>罗牛山</t>
  </si>
  <si>
    <t>000735</t>
  </si>
  <si>
    <t>中通客车</t>
  </si>
  <si>
    <t>000957</t>
  </si>
  <si>
    <t>华荣股份</t>
  </si>
  <si>
    <t>603855</t>
  </si>
  <si>
    <t>太平鸟</t>
  </si>
  <si>
    <t>603877</t>
  </si>
  <si>
    <t>中视传媒</t>
  </si>
  <si>
    <t>600088</t>
  </si>
  <si>
    <t>佳电股份</t>
  </si>
  <si>
    <t>000922</t>
  </si>
  <si>
    <t>理邦仪器</t>
  </si>
  <si>
    <t>300206</t>
  </si>
  <si>
    <t>南天信息</t>
  </si>
  <si>
    <t>000948</t>
  </si>
  <si>
    <t>首药控股</t>
  </si>
  <si>
    <t>688197</t>
  </si>
  <si>
    <t>华电重工</t>
  </si>
  <si>
    <t>601226</t>
  </si>
  <si>
    <t>宝塔实业</t>
  </si>
  <si>
    <t>000595</t>
  </si>
  <si>
    <t>万祥科技</t>
  </si>
  <si>
    <t>301180</t>
  </si>
  <si>
    <t>新乡化纤</t>
  </si>
  <si>
    <t>000949</t>
  </si>
  <si>
    <t>新余国科</t>
  </si>
  <si>
    <t>300722</t>
  </si>
  <si>
    <t>美瑞新材</t>
  </si>
  <si>
    <t>300848</t>
  </si>
  <si>
    <t>芭田股份</t>
  </si>
  <si>
    <t>002170</t>
  </si>
  <si>
    <t>祥源文旅</t>
  </si>
  <si>
    <t>600576</t>
  </si>
  <si>
    <t>德展健康</t>
  </si>
  <si>
    <t>000813</t>
  </si>
  <si>
    <t>武商集团</t>
  </si>
  <si>
    <t>000501</t>
  </si>
  <si>
    <t>蓝英装备</t>
  </si>
  <si>
    <t>300293</t>
  </si>
  <si>
    <t>市北高新</t>
  </si>
  <si>
    <t>600604</t>
  </si>
  <si>
    <t>京运通</t>
  </si>
  <si>
    <t>601908</t>
  </si>
  <si>
    <t>中信尼雅</t>
  </si>
  <si>
    <t>600084</t>
  </si>
  <si>
    <t>淳中科技</t>
  </si>
  <si>
    <t>603516</t>
  </si>
  <si>
    <t>惠而浦</t>
  </si>
  <si>
    <t>600983</t>
  </si>
  <si>
    <t>厦门空港</t>
  </si>
  <si>
    <t>600897</t>
  </si>
  <si>
    <t>顶点软件</t>
  </si>
  <si>
    <t>603383</t>
  </si>
  <si>
    <t>天银机电</t>
  </si>
  <si>
    <t>300342</t>
  </si>
  <si>
    <t>喜临门</t>
  </si>
  <si>
    <t>603008</t>
  </si>
  <si>
    <t>顺发恒业</t>
  </si>
  <si>
    <t>000631</t>
  </si>
  <si>
    <t>贵州三力</t>
  </si>
  <si>
    <t>603439</t>
  </si>
  <si>
    <t>禾望电气</t>
  </si>
  <si>
    <t>603063</t>
  </si>
  <si>
    <t>华旺科技</t>
  </si>
  <si>
    <t>605377</t>
  </si>
  <si>
    <t>复旦张江</t>
  </si>
  <si>
    <t>688505</t>
  </si>
  <si>
    <t>国茂股份</t>
  </si>
  <si>
    <t>603915</t>
  </si>
  <si>
    <t>久远银海</t>
  </si>
  <si>
    <t>002777</t>
  </si>
  <si>
    <t>赛意信息</t>
  </si>
  <si>
    <t>300687</t>
  </si>
  <si>
    <t>药石科技</t>
  </si>
  <si>
    <t>300725</t>
  </si>
  <si>
    <t>翠微股份</t>
  </si>
  <si>
    <t>603123</t>
  </si>
  <si>
    <t>五洲交通</t>
  </si>
  <si>
    <t>600368</t>
  </si>
  <si>
    <t>豆神教育</t>
  </si>
  <si>
    <t>300010</t>
  </si>
  <si>
    <t>蓝焰控股</t>
  </si>
  <si>
    <t>000968</t>
  </si>
  <si>
    <t>数字认证</t>
  </si>
  <si>
    <t>300579</t>
  </si>
  <si>
    <t>创业慧康</t>
  </si>
  <si>
    <t>300451</t>
  </si>
  <si>
    <t>振华股份</t>
  </si>
  <si>
    <t>603067</t>
  </si>
  <si>
    <t>华帝股份</t>
  </si>
  <si>
    <t>002035</t>
  </si>
  <si>
    <t>莱茵生物</t>
  </si>
  <si>
    <t>002166</t>
  </si>
  <si>
    <t>宝丽迪</t>
  </si>
  <si>
    <t>300905</t>
  </si>
  <si>
    <t>南山控股</t>
  </si>
  <si>
    <t>002314</t>
  </si>
  <si>
    <t>康泰医学</t>
  </si>
  <si>
    <t>300869</t>
  </si>
  <si>
    <t>特发服务</t>
  </si>
  <si>
    <t>300917</t>
  </si>
  <si>
    <t>凯盛新材</t>
  </si>
  <si>
    <t>301069</t>
  </si>
  <si>
    <t>天宇股份</t>
  </si>
  <si>
    <t>300702</t>
  </si>
  <si>
    <t>斯迪克</t>
  </si>
  <si>
    <t>300806</t>
  </si>
  <si>
    <t>松炀资源</t>
  </si>
  <si>
    <t>603863</t>
  </si>
  <si>
    <t>模塑科技</t>
  </si>
  <si>
    <t>000700</t>
  </si>
  <si>
    <t>汇通能源</t>
  </si>
  <si>
    <t>600605</t>
  </si>
  <si>
    <t>现代投资</t>
  </si>
  <si>
    <t>000900</t>
  </si>
  <si>
    <t>易成新能</t>
  </si>
  <si>
    <t>300080</t>
  </si>
  <si>
    <t>伟创电气</t>
  </si>
  <si>
    <t>688698</t>
  </si>
  <si>
    <t>苏宁环球</t>
  </si>
  <si>
    <t>000718</t>
  </si>
  <si>
    <t>江河集团</t>
  </si>
  <si>
    <t>601886</t>
  </si>
  <si>
    <t>雅本化学</t>
  </si>
  <si>
    <t>300261</t>
  </si>
  <si>
    <t>双星新材</t>
  </si>
  <si>
    <t>002585</t>
  </si>
  <si>
    <t>新开源</t>
  </si>
  <si>
    <t>300109</t>
  </si>
  <si>
    <t>豫能控股</t>
  </si>
  <si>
    <t>001896</t>
  </si>
  <si>
    <t>博汇纸业</t>
  </si>
  <si>
    <t>600966</t>
  </si>
  <si>
    <t>杭萧钢构</t>
  </si>
  <si>
    <t>600477</t>
  </si>
  <si>
    <t>东方集团</t>
  </si>
  <si>
    <t>600811</t>
  </si>
  <si>
    <t>九鼎投资</t>
  </si>
  <si>
    <t>600053</t>
  </si>
  <si>
    <t>豪悦护理</t>
  </si>
  <si>
    <t>605009</t>
  </si>
  <si>
    <t>可立克</t>
  </si>
  <si>
    <t>002782</t>
  </si>
  <si>
    <t>祥鑫科技</t>
  </si>
  <si>
    <t>002965</t>
  </si>
  <si>
    <t>永新股份</t>
  </si>
  <si>
    <t>002014</t>
  </si>
  <si>
    <t>宇通重工</t>
  </si>
  <si>
    <t>600817</t>
  </si>
  <si>
    <t>上海钢联</t>
  </si>
  <si>
    <t>300226</t>
  </si>
  <si>
    <t>华特气体</t>
  </si>
  <si>
    <t>688268</t>
  </si>
  <si>
    <t>天源迪科</t>
  </si>
  <si>
    <t>300047</t>
  </si>
  <si>
    <t>亚太股份</t>
  </si>
  <si>
    <t>002284</t>
  </si>
  <si>
    <t>万盛股份</t>
  </si>
  <si>
    <t>603010</t>
  </si>
  <si>
    <t>飞龙股份</t>
  </si>
  <si>
    <t>002536</t>
  </si>
  <si>
    <t>江苏神通</t>
  </si>
  <si>
    <t>002438</t>
  </si>
  <si>
    <t>苏试试验</t>
  </si>
  <si>
    <t>300416</t>
  </si>
  <si>
    <t>鸿合科技</t>
  </si>
  <si>
    <t>002955</t>
  </si>
  <si>
    <t>震裕科技</t>
  </si>
  <si>
    <t>300953</t>
  </si>
  <si>
    <t>鲁阳节能</t>
  </si>
  <si>
    <t>002088</t>
  </si>
  <si>
    <t>建筑材料-建筑材料-耐火材料</t>
  </si>
  <si>
    <t>北信源</t>
  </si>
  <si>
    <t>300352</t>
  </si>
  <si>
    <t>金雷股份</t>
  </si>
  <si>
    <t>300443</t>
  </si>
  <si>
    <t>盈康生命</t>
  </si>
  <si>
    <t>300143</t>
  </si>
  <si>
    <t>东方钽业</t>
  </si>
  <si>
    <t>000962</t>
  </si>
  <si>
    <t>兴瑞科技</t>
  </si>
  <si>
    <t>002937</t>
  </si>
  <si>
    <t>卓朗科技</t>
  </si>
  <si>
    <t>600225</t>
  </si>
  <si>
    <t>巨轮智能</t>
  </si>
  <si>
    <t>002031</t>
  </si>
  <si>
    <t>新雷能</t>
  </si>
  <si>
    <t>300593</t>
  </si>
  <si>
    <t>隆华科技</t>
  </si>
  <si>
    <t>300263</t>
  </si>
  <si>
    <t>华翔股份</t>
  </si>
  <si>
    <t>603112</t>
  </si>
  <si>
    <t>华致酒行</t>
  </si>
  <si>
    <t>300755</t>
  </si>
  <si>
    <t>荣盛发展</t>
  </si>
  <si>
    <t>002146</t>
  </si>
  <si>
    <t>世荣兆业</t>
  </si>
  <si>
    <t>002016</t>
  </si>
  <si>
    <t>双林股份</t>
  </si>
  <si>
    <t>300100</t>
  </si>
  <si>
    <t>卡倍亿</t>
  </si>
  <si>
    <t>300863</t>
  </si>
  <si>
    <t>天奥电子</t>
  </si>
  <si>
    <t>002935</t>
  </si>
  <si>
    <t>云意电气</t>
  </si>
  <si>
    <t>300304</t>
  </si>
  <si>
    <t>利君股份</t>
  </si>
  <si>
    <t>002651</t>
  </si>
  <si>
    <t>精工科技</t>
  </si>
  <si>
    <t>002006</t>
  </si>
  <si>
    <t>三房巷</t>
  </si>
  <si>
    <t>600370</t>
  </si>
  <si>
    <t>法本信息</t>
  </si>
  <si>
    <t>300925</t>
  </si>
  <si>
    <t>海马汽车</t>
  </si>
  <si>
    <t>000572</t>
  </si>
  <si>
    <t>华孚时尚</t>
  </si>
  <si>
    <t>002042</t>
  </si>
  <si>
    <t>强力新材</t>
  </si>
  <si>
    <t>300429</t>
  </si>
  <si>
    <t>博创科技</t>
  </si>
  <si>
    <t>300548</t>
  </si>
  <si>
    <t>宏昌电子</t>
  </si>
  <si>
    <t>603002</t>
  </si>
  <si>
    <t>聚光科技</t>
  </si>
  <si>
    <t>300203</t>
  </si>
  <si>
    <t>中核科技</t>
  </si>
  <si>
    <t>000777</t>
  </si>
  <si>
    <t>云南旅游</t>
  </si>
  <si>
    <t>002059</t>
  </si>
  <si>
    <t>地铁设计</t>
  </si>
  <si>
    <t>003013</t>
  </si>
  <si>
    <t>东方创业</t>
  </si>
  <si>
    <t>600278</t>
  </si>
  <si>
    <t>沧州明珠</t>
  </si>
  <si>
    <t>002108</t>
  </si>
  <si>
    <t>冠农股份</t>
  </si>
  <si>
    <t>600251</t>
  </si>
  <si>
    <t>农林牧渔-农产品加工-果蔬加工</t>
  </si>
  <si>
    <t>家家悦</t>
  </si>
  <si>
    <t>603708</t>
  </si>
  <si>
    <t>地素时尚</t>
  </si>
  <si>
    <t>603587</t>
  </si>
  <si>
    <t>金杯汽车</t>
  </si>
  <si>
    <t>600609</t>
  </si>
  <si>
    <t>华森制药</t>
  </si>
  <si>
    <t>002907</t>
  </si>
  <si>
    <t>皇马科技</t>
  </si>
  <si>
    <t>603181</t>
  </si>
  <si>
    <t>永鼎股份</t>
  </si>
  <si>
    <t>600105</t>
  </si>
  <si>
    <t>天融信</t>
  </si>
  <si>
    <t>002212</t>
  </si>
  <si>
    <t>达实智能</t>
  </si>
  <si>
    <t>002421</t>
  </si>
  <si>
    <t>科瑞技术</t>
  </si>
  <si>
    <t>002957</t>
  </si>
  <si>
    <t>银河电子</t>
  </si>
  <si>
    <t>002519</t>
  </si>
  <si>
    <t>盛路通信</t>
  </si>
  <si>
    <t>002446</t>
  </si>
  <si>
    <t>梦网科技</t>
  </si>
  <si>
    <t>002123</t>
  </si>
  <si>
    <t>美利云</t>
  </si>
  <si>
    <t>000815</t>
  </si>
  <si>
    <t>科蓝软件</t>
  </si>
  <si>
    <t>300663</t>
  </si>
  <si>
    <t>金字火腿</t>
  </si>
  <si>
    <t>002515</t>
  </si>
  <si>
    <t>金安国纪</t>
  </si>
  <si>
    <t>002636</t>
  </si>
  <si>
    <t>长江通信</t>
  </si>
  <si>
    <t>600345</t>
  </si>
  <si>
    <t>成飞集成</t>
  </si>
  <si>
    <t>002190</t>
  </si>
  <si>
    <t>久之洋</t>
  </si>
  <si>
    <t>300516</t>
  </si>
  <si>
    <t>宁波富达</t>
  </si>
  <si>
    <t>600724</t>
  </si>
  <si>
    <t>得邦照明</t>
  </si>
  <si>
    <t>603303</t>
  </si>
  <si>
    <t>劲仔食品</t>
  </si>
  <si>
    <t>003000</t>
  </si>
  <si>
    <t>广西能源</t>
  </si>
  <si>
    <t>600310</t>
  </si>
  <si>
    <t>青松建化</t>
  </si>
  <si>
    <t>600425</t>
  </si>
  <si>
    <t>报喜鸟</t>
  </si>
  <si>
    <t>002154</t>
  </si>
  <si>
    <t>双塔食品</t>
  </si>
  <si>
    <t>002481</t>
  </si>
  <si>
    <t>神宇股份</t>
  </si>
  <si>
    <t>300563</t>
  </si>
  <si>
    <t>泰晶科技</t>
  </si>
  <si>
    <t>603738</t>
  </si>
  <si>
    <t>同有科技</t>
  </si>
  <si>
    <t>300302</t>
  </si>
  <si>
    <t>国恩股份</t>
  </si>
  <si>
    <t>002768</t>
  </si>
  <si>
    <t>石化机械</t>
  </si>
  <si>
    <t>000852</t>
  </si>
  <si>
    <t>国机精工</t>
  </si>
  <si>
    <t>002046</t>
  </si>
  <si>
    <t>金财互联</t>
  </si>
  <si>
    <t>002530</t>
  </si>
  <si>
    <t>劲嘉股份</t>
  </si>
  <si>
    <t>002191</t>
  </si>
  <si>
    <t>甘源食品</t>
  </si>
  <si>
    <t>002991</t>
  </si>
  <si>
    <t>艾华集团</t>
  </si>
  <si>
    <t>603989</t>
  </si>
  <si>
    <t>常熟汽饰</t>
  </si>
  <si>
    <t>603035</t>
  </si>
  <si>
    <t>浙大网新</t>
  </si>
  <si>
    <t>600797</t>
  </si>
  <si>
    <t>浦东建设</t>
  </si>
  <si>
    <t>600284</t>
  </si>
  <si>
    <t>合康新能</t>
  </si>
  <si>
    <t>300048</t>
  </si>
  <si>
    <t>东土科技</t>
  </si>
  <si>
    <t>300353</t>
  </si>
  <si>
    <t>中际联合</t>
  </si>
  <si>
    <t>605305</t>
  </si>
  <si>
    <t>建霖家居</t>
  </si>
  <si>
    <t>603408</t>
  </si>
  <si>
    <t>航发科技</t>
  </si>
  <si>
    <t>600391</t>
  </si>
  <si>
    <t>大商股份</t>
  </si>
  <si>
    <t>600694</t>
  </si>
  <si>
    <t>帝科股份</t>
  </si>
  <si>
    <t>300842</t>
  </si>
  <si>
    <t>红豆股份</t>
  </si>
  <si>
    <t>600400</t>
  </si>
  <si>
    <t>航天动力</t>
  </si>
  <si>
    <t>600343</t>
  </si>
  <si>
    <t>宝钢包装</t>
  </si>
  <si>
    <t>601968</t>
  </si>
  <si>
    <t>五洲新春</t>
  </si>
  <si>
    <t>603667</t>
  </si>
  <si>
    <t>江南水务</t>
  </si>
  <si>
    <t>601199</t>
  </si>
  <si>
    <t>云鼎科技</t>
  </si>
  <si>
    <t>000409</t>
  </si>
  <si>
    <t>拱东医疗</t>
  </si>
  <si>
    <t>605369</t>
  </si>
  <si>
    <t>天原股份</t>
  </si>
  <si>
    <t>002386</t>
  </si>
  <si>
    <t>威海广泰</t>
  </si>
  <si>
    <t>002111</t>
  </si>
  <si>
    <t>鼎通科技</t>
  </si>
  <si>
    <t>688668</t>
  </si>
  <si>
    <t>建新股份</t>
  </si>
  <si>
    <t>300107</t>
  </si>
  <si>
    <t>泉阳泉</t>
  </si>
  <si>
    <t>600189</t>
  </si>
  <si>
    <t>珠江钢琴</t>
  </si>
  <si>
    <t>002678</t>
  </si>
  <si>
    <t>海南发展</t>
  </si>
  <si>
    <t>002163</t>
  </si>
  <si>
    <t>公元股份</t>
  </si>
  <si>
    <t>002641</t>
  </si>
  <si>
    <t>通润装备</t>
  </si>
  <si>
    <t>002150</t>
  </si>
  <si>
    <t>精工钢构</t>
  </si>
  <si>
    <t>600496</t>
  </si>
  <si>
    <t>科顺股份</t>
  </si>
  <si>
    <t>300737</t>
  </si>
  <si>
    <t>海立股份</t>
  </si>
  <si>
    <t>600619</t>
  </si>
  <si>
    <t>方盛制药</t>
  </si>
  <si>
    <t>603998</t>
  </si>
  <si>
    <t>开润股份</t>
  </si>
  <si>
    <t>300577</t>
  </si>
  <si>
    <t>诺德股份</t>
  </si>
  <si>
    <t>600110</t>
  </si>
  <si>
    <t>中远海科</t>
  </si>
  <si>
    <t>002401</t>
  </si>
  <si>
    <t>博彦科技</t>
  </si>
  <si>
    <t>002649</t>
  </si>
  <si>
    <t>微光股份</t>
  </si>
  <si>
    <t>002801</t>
  </si>
  <si>
    <t>四方精创</t>
  </si>
  <si>
    <t>300468</t>
  </si>
  <si>
    <t>轻纺城</t>
  </si>
  <si>
    <t>600790</t>
  </si>
  <si>
    <t>英特集团</t>
  </si>
  <si>
    <t>000411</t>
  </si>
  <si>
    <t>安孚科技</t>
  </si>
  <si>
    <t>603031</t>
  </si>
  <si>
    <t>亿华通</t>
  </si>
  <si>
    <t>688339</t>
  </si>
  <si>
    <t>海汽集团</t>
  </si>
  <si>
    <t>603069</t>
  </si>
  <si>
    <t>好太太</t>
  </si>
  <si>
    <t>603848</t>
  </si>
  <si>
    <t>三丰智能</t>
  </si>
  <si>
    <t>300276</t>
  </si>
  <si>
    <t>重庆路桥</t>
  </si>
  <si>
    <t>600106</t>
  </si>
  <si>
    <t>移为通信</t>
  </si>
  <si>
    <t>300590</t>
  </si>
  <si>
    <t>华西股份</t>
  </si>
  <si>
    <t>000936</t>
  </si>
  <si>
    <t>华凯易佰</t>
  </si>
  <si>
    <t>300592</t>
  </si>
  <si>
    <t>信质集团</t>
  </si>
  <si>
    <t>002664</t>
  </si>
  <si>
    <t>仕净科技</t>
  </si>
  <si>
    <t>301030</t>
  </si>
  <si>
    <t>炼石航空</t>
  </si>
  <si>
    <t>000697</t>
  </si>
  <si>
    <t>英科再生</t>
  </si>
  <si>
    <t>688087</t>
  </si>
  <si>
    <t>探路者</t>
  </si>
  <si>
    <t>300005</t>
  </si>
  <si>
    <t>首都在线</t>
  </si>
  <si>
    <t>300846</t>
  </si>
  <si>
    <t>天虹股份</t>
  </si>
  <si>
    <t>002419</t>
  </si>
  <si>
    <t>国检集团</t>
  </si>
  <si>
    <t>603060</t>
  </si>
  <si>
    <t>康尼机电</t>
  </si>
  <si>
    <t>603111</t>
  </si>
  <si>
    <t>华辰装备</t>
  </si>
  <si>
    <t>300809</t>
  </si>
  <si>
    <t>元力股份</t>
  </si>
  <si>
    <t>300174</t>
  </si>
  <si>
    <t>江化微</t>
  </si>
  <si>
    <t>603078</t>
  </si>
  <si>
    <t>凤凰光学</t>
  </si>
  <si>
    <t>600071</t>
  </si>
  <si>
    <t>奥美医疗</t>
  </si>
  <si>
    <t>002950</t>
  </si>
  <si>
    <t>中海达</t>
  </si>
  <si>
    <t>300177</t>
  </si>
  <si>
    <t>浩洋股份</t>
  </si>
  <si>
    <t>300833</t>
  </si>
  <si>
    <t>新澳股份</t>
  </si>
  <si>
    <t>603889</t>
  </si>
  <si>
    <t>东峰集团</t>
  </si>
  <si>
    <t>601515</t>
  </si>
  <si>
    <t>福昕软件</t>
  </si>
  <si>
    <t>688095</t>
  </si>
  <si>
    <t>五洲特纸</t>
  </si>
  <si>
    <t>605007</t>
  </si>
  <si>
    <t>吴通控股</t>
  </si>
  <si>
    <t>300292</t>
  </si>
  <si>
    <t>清新环境</t>
  </si>
  <si>
    <t>002573</t>
  </si>
  <si>
    <t>环保-环境治理-大气治理</t>
  </si>
  <si>
    <t>东信和平</t>
  </si>
  <si>
    <t>002017</t>
  </si>
  <si>
    <t>东华科技</t>
  </si>
  <si>
    <t>002140</t>
  </si>
  <si>
    <t>赛伍技术</t>
  </si>
  <si>
    <t>603212</t>
  </si>
  <si>
    <t>华泰股份</t>
  </si>
  <si>
    <t>600308</t>
  </si>
  <si>
    <t>鹏欣资源</t>
  </si>
  <si>
    <t>600490</t>
  </si>
  <si>
    <t>天润工业</t>
  </si>
  <si>
    <t>002283</t>
  </si>
  <si>
    <t>科大智能</t>
  </si>
  <si>
    <t>300222</t>
  </si>
  <si>
    <t>三友医疗</t>
  </si>
  <si>
    <t>688085</t>
  </si>
  <si>
    <t>海达股份</t>
  </si>
  <si>
    <t>300320</t>
  </si>
  <si>
    <t>奥泰生物</t>
  </si>
  <si>
    <t>688606</t>
  </si>
  <si>
    <t>凯中精密</t>
  </si>
  <si>
    <t>002823</t>
  </si>
  <si>
    <t>尔康制药</t>
  </si>
  <si>
    <t>300267</t>
  </si>
  <si>
    <t>光华科技</t>
  </si>
  <si>
    <t>002741</t>
  </si>
  <si>
    <t>普瑞眼科</t>
  </si>
  <si>
    <t>301239</t>
  </si>
  <si>
    <t>亚盛集团</t>
  </si>
  <si>
    <t>600108</t>
  </si>
  <si>
    <t>盛视科技</t>
  </si>
  <si>
    <t>002990</t>
  </si>
  <si>
    <t>穗恒运A</t>
  </si>
  <si>
    <t>000531</t>
  </si>
  <si>
    <t>南威软件</t>
  </si>
  <si>
    <t>603636</t>
  </si>
  <si>
    <t>广聚能源</t>
  </si>
  <si>
    <t>000096</t>
  </si>
  <si>
    <t>中石科技</t>
  </si>
  <si>
    <t>300684</t>
  </si>
  <si>
    <t>中信出版</t>
  </si>
  <si>
    <t>300788</t>
  </si>
  <si>
    <t>二六三</t>
  </si>
  <si>
    <t>002467</t>
  </si>
  <si>
    <t>雷科防务</t>
  </si>
  <si>
    <t>002413</t>
  </si>
  <si>
    <t>清溢光电</t>
  </si>
  <si>
    <t>688138</t>
  </si>
  <si>
    <t>亚光科技</t>
  </si>
  <si>
    <t>300123</t>
  </si>
  <si>
    <t>苏州高新</t>
  </si>
  <si>
    <t>600736</t>
  </si>
  <si>
    <t>仙坛股份</t>
  </si>
  <si>
    <t>002746</t>
  </si>
  <si>
    <t>硕世生物</t>
  </si>
  <si>
    <t>688399</t>
  </si>
  <si>
    <t>克来机电</t>
  </si>
  <si>
    <t>603960</t>
  </si>
  <si>
    <t>因赛集团</t>
  </si>
  <si>
    <t>300781</t>
  </si>
  <si>
    <t>赢时胜</t>
  </si>
  <si>
    <t>300377</t>
  </si>
  <si>
    <t>海兰信</t>
  </si>
  <si>
    <t>300065</t>
  </si>
  <si>
    <t>火星人</t>
  </si>
  <si>
    <t>300894</t>
  </si>
  <si>
    <t>蓝帆医疗</t>
  </si>
  <si>
    <t>002382</t>
  </si>
  <si>
    <t>英威腾</t>
  </si>
  <si>
    <t>002334</t>
  </si>
  <si>
    <t>东风科技</t>
  </si>
  <si>
    <t>600081</t>
  </si>
  <si>
    <t>怡球资源</t>
  </si>
  <si>
    <t>601388</t>
  </si>
  <si>
    <t>硅宝科技</t>
  </si>
  <si>
    <t>300019</t>
  </si>
  <si>
    <t>福安药业</t>
  </si>
  <si>
    <t>300194</t>
  </si>
  <si>
    <t>中钢天源</t>
  </si>
  <si>
    <t>002057</t>
  </si>
  <si>
    <t>今天国际</t>
  </si>
  <si>
    <t>300532</t>
  </si>
  <si>
    <t>万泽股份</t>
  </si>
  <si>
    <t>000534</t>
  </si>
  <si>
    <t>丽江股份</t>
  </si>
  <si>
    <t>002033</t>
  </si>
  <si>
    <t>国中水务</t>
  </si>
  <si>
    <t>600187</t>
  </si>
  <si>
    <t>北化股份</t>
  </si>
  <si>
    <t>002246</t>
  </si>
  <si>
    <t>铭普光磁</t>
  </si>
  <si>
    <t>002902</t>
  </si>
  <si>
    <t>快克智能</t>
  </si>
  <si>
    <t>603203</t>
  </si>
  <si>
    <t>广联航空</t>
  </si>
  <si>
    <t>300900</t>
  </si>
  <si>
    <t>硕贝德</t>
  </si>
  <si>
    <t>300322</t>
  </si>
  <si>
    <t>双杰电气</t>
  </si>
  <si>
    <t>300444</t>
  </si>
  <si>
    <t>圣龙股份</t>
  </si>
  <si>
    <t>603178</t>
  </si>
  <si>
    <t>齐峰新材</t>
  </si>
  <si>
    <t>002521</t>
  </si>
  <si>
    <t>盛天网络</t>
  </si>
  <si>
    <t>300494</t>
  </si>
  <si>
    <t>泰达股份</t>
  </si>
  <si>
    <t>000652</t>
  </si>
  <si>
    <t>冠豪高新</t>
  </si>
  <si>
    <t>600433</t>
  </si>
  <si>
    <t>玉禾田</t>
  </si>
  <si>
    <t>300815</t>
  </si>
  <si>
    <t>动力新科</t>
  </si>
  <si>
    <t>600841</t>
  </si>
  <si>
    <t>鼎捷软件</t>
  </si>
  <si>
    <t>300378</t>
  </si>
  <si>
    <t>南亚新材</t>
  </si>
  <si>
    <t>688519</t>
  </si>
  <si>
    <t>麦克奥迪</t>
  </si>
  <si>
    <t>300341</t>
  </si>
  <si>
    <t>香飘飘</t>
  </si>
  <si>
    <t>603711</t>
  </si>
  <si>
    <t>金信诺</t>
  </si>
  <si>
    <t>300252</t>
  </si>
  <si>
    <t>上实发展</t>
  </si>
  <si>
    <t>600748</t>
  </si>
  <si>
    <t>振华新材</t>
  </si>
  <si>
    <t>688707</t>
  </si>
  <si>
    <t>凯盛新能</t>
  </si>
  <si>
    <t>600876</t>
  </si>
  <si>
    <t>美盈森</t>
  </si>
  <si>
    <t>002303</t>
  </si>
  <si>
    <t>呈和科技</t>
  </si>
  <si>
    <t>688625</t>
  </si>
  <si>
    <t>红棉股份</t>
  </si>
  <si>
    <t>000523</t>
  </si>
  <si>
    <t>华强科技</t>
  </si>
  <si>
    <t>688151</t>
  </si>
  <si>
    <t>捷荣技术</t>
  </si>
  <si>
    <t>002855</t>
  </si>
  <si>
    <t>亚翔集成</t>
  </si>
  <si>
    <t>603929</t>
  </si>
  <si>
    <t>华胜天成</t>
  </si>
  <si>
    <t>600410</t>
  </si>
  <si>
    <t>锦江在线</t>
  </si>
  <si>
    <t>600650</t>
  </si>
  <si>
    <t>会稽山</t>
  </si>
  <si>
    <t>601579</t>
  </si>
  <si>
    <t>鸿博股份</t>
  </si>
  <si>
    <t>002229</t>
  </si>
  <si>
    <t>轻工制造-包装印刷-印刷</t>
  </si>
  <si>
    <t>香雪制药</t>
  </si>
  <si>
    <t>300147</t>
  </si>
  <si>
    <t>松井股份</t>
  </si>
  <si>
    <t>688157</t>
  </si>
  <si>
    <t>基础化工-化学制品-涂料油墨</t>
  </si>
  <si>
    <t>吉林高速</t>
  </si>
  <si>
    <t>601518</t>
  </si>
  <si>
    <t>宁夏建材</t>
  </si>
  <si>
    <t>600449</t>
  </si>
  <si>
    <t>道明光学</t>
  </si>
  <si>
    <t>002632</t>
  </si>
  <si>
    <t>阿尔特</t>
  </si>
  <si>
    <t>300825</t>
  </si>
  <si>
    <t>风语筑</t>
  </si>
  <si>
    <t>603466</t>
  </si>
  <si>
    <t>宏川智慧</t>
  </si>
  <si>
    <t>002930</t>
  </si>
  <si>
    <t>创意信息</t>
  </si>
  <si>
    <t>300366</t>
  </si>
  <si>
    <t>新益昌</t>
  </si>
  <si>
    <t>688383</t>
  </si>
  <si>
    <t>捷顺科技</t>
  </si>
  <si>
    <t>002609</t>
  </si>
  <si>
    <t>金卡智能</t>
  </si>
  <si>
    <t>300349</t>
  </si>
  <si>
    <t>茂业商业</t>
  </si>
  <si>
    <t>600828</t>
  </si>
  <si>
    <t>博士眼镜</t>
  </si>
  <si>
    <t>300622</t>
  </si>
  <si>
    <t>宝胜股份</t>
  </si>
  <si>
    <t>600973</t>
  </si>
  <si>
    <t>佳禾食品</t>
  </si>
  <si>
    <t>605300</t>
  </si>
  <si>
    <t>深康佳A</t>
  </si>
  <si>
    <t>000016</t>
  </si>
  <si>
    <t>合众思壮</t>
  </si>
  <si>
    <t>002383</t>
  </si>
  <si>
    <t>美联新材</t>
  </si>
  <si>
    <t>300586</t>
  </si>
  <si>
    <t>晶丰明源</t>
  </si>
  <si>
    <t>688368</t>
  </si>
  <si>
    <t>七彩化学</t>
  </si>
  <si>
    <t>300758</t>
  </si>
  <si>
    <t>亚信安全</t>
  </si>
  <si>
    <t>688225</t>
  </si>
  <si>
    <t>城市传媒</t>
  </si>
  <si>
    <t>600229</t>
  </si>
  <si>
    <t>金正大</t>
  </si>
  <si>
    <t>002470</t>
  </si>
  <si>
    <t>长高电新</t>
  </si>
  <si>
    <t>002452</t>
  </si>
  <si>
    <t>绿盟科技</t>
  </si>
  <si>
    <t>300369</t>
  </si>
  <si>
    <t>伟时电子</t>
  </si>
  <si>
    <t>605218</t>
  </si>
  <si>
    <t>宝鼎科技</t>
  </si>
  <si>
    <t>002552</t>
  </si>
  <si>
    <t>海新能科</t>
  </si>
  <si>
    <t>300072</t>
  </si>
  <si>
    <t>优刻得</t>
  </si>
  <si>
    <t>688158</t>
  </si>
  <si>
    <t>中船汉光</t>
  </si>
  <si>
    <t>300847</t>
  </si>
  <si>
    <t>恒林股份</t>
  </si>
  <si>
    <t>603661</t>
  </si>
  <si>
    <t>宜通世纪</t>
  </si>
  <si>
    <t>300310</t>
  </si>
  <si>
    <t>博硕科技</t>
  </si>
  <si>
    <t>300951</t>
  </si>
  <si>
    <t>设计总院</t>
  </si>
  <si>
    <t>603357</t>
  </si>
  <si>
    <t>乐歌股份</t>
  </si>
  <si>
    <t>300729</t>
  </si>
  <si>
    <t>安凯客车</t>
  </si>
  <si>
    <t>000868</t>
  </si>
  <si>
    <t>联化科技</t>
  </si>
  <si>
    <t>002250</t>
  </si>
  <si>
    <t>百川能源</t>
  </si>
  <si>
    <t>600681</t>
  </si>
  <si>
    <t>金城医药</t>
  </si>
  <si>
    <t>300233</t>
  </si>
  <si>
    <t>博敏电子</t>
  </si>
  <si>
    <t>603936</t>
  </si>
  <si>
    <t>天阳科技</t>
  </si>
  <si>
    <t>300872</t>
  </si>
  <si>
    <t>天娱数科</t>
  </si>
  <si>
    <t>002354</t>
  </si>
  <si>
    <t>S佳通</t>
  </si>
  <si>
    <t>600182</t>
  </si>
  <si>
    <t>银河磁体</t>
  </si>
  <si>
    <t>300127</t>
  </si>
  <si>
    <t>康力电梯</t>
  </si>
  <si>
    <t>002367</t>
  </si>
  <si>
    <t>连城数控</t>
  </si>
  <si>
    <t>835368</t>
  </si>
  <si>
    <t>同济科技</t>
  </si>
  <si>
    <t>600846</t>
  </si>
  <si>
    <t>立高食品</t>
  </si>
  <si>
    <t>300973</t>
  </si>
  <si>
    <t>天铁股份</t>
  </si>
  <si>
    <t>300587</t>
  </si>
  <si>
    <t>昇兴股份</t>
  </si>
  <si>
    <t>002752</t>
  </si>
  <si>
    <t>东方嘉盛</t>
  </si>
  <si>
    <t>002889</t>
  </si>
  <si>
    <t>多伦科技</t>
  </si>
  <si>
    <t>603528</t>
  </si>
  <si>
    <t>华设集团</t>
  </si>
  <si>
    <t>603018</t>
  </si>
  <si>
    <t>山东海化</t>
  </si>
  <si>
    <t>000822</t>
  </si>
  <si>
    <t>中光学</t>
  </si>
  <si>
    <t>002189</t>
  </si>
  <si>
    <t>锦富技术</t>
  </si>
  <si>
    <t>300128</t>
  </si>
  <si>
    <t>漱玉平民</t>
  </si>
  <si>
    <t>301017</t>
  </si>
  <si>
    <t>中金环境</t>
  </si>
  <si>
    <t>300145</t>
  </si>
  <si>
    <t>润欣科技</t>
  </si>
  <si>
    <t>300493</t>
  </si>
  <si>
    <t>同庆楼</t>
  </si>
  <si>
    <t>605108</t>
  </si>
  <si>
    <t>社会服务-旅游及酒店-餐饮</t>
  </si>
  <si>
    <t>天奇股份</t>
  </si>
  <si>
    <t>002009</t>
  </si>
  <si>
    <t>旭光电子</t>
  </si>
  <si>
    <t>600353</t>
  </si>
  <si>
    <t>利群股份</t>
  </si>
  <si>
    <t>601366</t>
  </si>
  <si>
    <t>富祥药业</t>
  </si>
  <si>
    <t>300497</t>
  </si>
  <si>
    <t>亚厦股份</t>
  </si>
  <si>
    <t>002375</t>
  </si>
  <si>
    <t>八方股份</t>
  </si>
  <si>
    <t>603489</t>
  </si>
  <si>
    <t>辉隆股份</t>
  </si>
  <si>
    <t>002556</t>
  </si>
  <si>
    <t>农林牧渔-种植业与林业-农业综合</t>
  </si>
  <si>
    <t>信雅达</t>
  </si>
  <si>
    <t>600571</t>
  </si>
  <si>
    <t>联得装备</t>
  </si>
  <si>
    <t>300545</t>
  </si>
  <si>
    <t>华昌达</t>
  </si>
  <si>
    <t>300278</t>
  </si>
  <si>
    <t>海欣股份</t>
  </si>
  <si>
    <t>600851</t>
  </si>
  <si>
    <t>香江控股</t>
  </si>
  <si>
    <t>600162</t>
  </si>
  <si>
    <t>华联控股</t>
  </si>
  <si>
    <t>000036</t>
  </si>
  <si>
    <t>杭州解百</t>
  </si>
  <si>
    <t>600814</t>
  </si>
  <si>
    <t>风范股份</t>
  </si>
  <si>
    <t>601700</t>
  </si>
  <si>
    <t>西域旅游</t>
  </si>
  <si>
    <t>300859</t>
  </si>
  <si>
    <t>海利得</t>
  </si>
  <si>
    <t>002206</t>
  </si>
  <si>
    <t>拓斯达</t>
  </si>
  <si>
    <t>300607</t>
  </si>
  <si>
    <t>雄韬股份</t>
  </si>
  <si>
    <t>002733</t>
  </si>
  <si>
    <t>同飞股份</t>
  </si>
  <si>
    <t>300990</t>
  </si>
  <si>
    <t>葫芦娃</t>
  </si>
  <si>
    <t>605199</t>
  </si>
  <si>
    <t>上海沪工</t>
  </si>
  <si>
    <t>603131</t>
  </si>
  <si>
    <t>誉衡药业</t>
  </si>
  <si>
    <t>002437</t>
  </si>
  <si>
    <t>长虹华意</t>
  </si>
  <si>
    <t>000404</t>
  </si>
  <si>
    <t>苏大维格</t>
  </si>
  <si>
    <t>300331</t>
  </si>
  <si>
    <t>联合光电</t>
  </si>
  <si>
    <t>300691</t>
  </si>
  <si>
    <t>浙江美大</t>
  </si>
  <si>
    <t>002677</t>
  </si>
  <si>
    <t>兰生股份</t>
  </si>
  <si>
    <t>600826</t>
  </si>
  <si>
    <t>三联虹普</t>
  </si>
  <si>
    <t>300384</t>
  </si>
  <si>
    <t>光力科技</t>
  </si>
  <si>
    <t>300480</t>
  </si>
  <si>
    <t>津药药业</t>
  </si>
  <si>
    <t>600488</t>
  </si>
  <si>
    <t>国星光电</t>
  </si>
  <si>
    <t>002449</t>
  </si>
  <si>
    <t>锋尚文化</t>
  </si>
  <si>
    <t>300860</t>
  </si>
  <si>
    <t>海利生物</t>
  </si>
  <si>
    <t>603718</t>
  </si>
  <si>
    <t>深物业A</t>
  </si>
  <si>
    <t>000011</t>
  </si>
  <si>
    <t>慈星股份</t>
  </si>
  <si>
    <t>300307</t>
  </si>
  <si>
    <t>恒润股份</t>
  </si>
  <si>
    <t>603985</t>
  </si>
  <si>
    <t>联赢激光</t>
  </si>
  <si>
    <t>688518</t>
  </si>
  <si>
    <t>万马科技</t>
  </si>
  <si>
    <t>300698</t>
  </si>
  <si>
    <t>科大国创</t>
  </si>
  <si>
    <t>300520</t>
  </si>
  <si>
    <t>宇瞳光学</t>
  </si>
  <si>
    <t>300790</t>
  </si>
  <si>
    <t>豪能股份</t>
  </si>
  <si>
    <t>603809</t>
  </si>
  <si>
    <t>斯莱克</t>
  </si>
  <si>
    <t>300382</t>
  </si>
  <si>
    <t>先惠技术</t>
  </si>
  <si>
    <t>688155</t>
  </si>
  <si>
    <t>力芯微</t>
  </si>
  <si>
    <t>688601</t>
  </si>
  <si>
    <t>百利电气</t>
  </si>
  <si>
    <t>600468</t>
  </si>
  <si>
    <t>航天长峰</t>
  </si>
  <si>
    <t>600855</t>
  </si>
  <si>
    <t>苏奥传感</t>
  </si>
  <si>
    <t>300507</t>
  </si>
  <si>
    <t>东方锆业</t>
  </si>
  <si>
    <t>002167</t>
  </si>
  <si>
    <t>华建集团</t>
  </si>
  <si>
    <t>600629</t>
  </si>
  <si>
    <t>诺禾致源</t>
  </si>
  <si>
    <t>688315</t>
  </si>
  <si>
    <t>四创电子</t>
  </si>
  <si>
    <t>600990</t>
  </si>
  <si>
    <t>重庆港</t>
  </si>
  <si>
    <t>600279</t>
  </si>
  <si>
    <t>志邦家居</t>
  </si>
  <si>
    <t>603801</t>
  </si>
  <si>
    <t>佳禾智能</t>
  </si>
  <si>
    <t>300793</t>
  </si>
  <si>
    <t>达华智能</t>
  </si>
  <si>
    <t>002512</t>
  </si>
  <si>
    <t>东南网架</t>
  </si>
  <si>
    <t>002135</t>
  </si>
  <si>
    <t>海南高速</t>
  </si>
  <si>
    <t>000886</t>
  </si>
  <si>
    <t>光洋股份</t>
  </si>
  <si>
    <t>002708</t>
  </si>
  <si>
    <t>森特股份</t>
  </si>
  <si>
    <t>603098</t>
  </si>
  <si>
    <t>光电股份</t>
  </si>
  <si>
    <t>600184</t>
  </si>
  <si>
    <t>博晖创新</t>
  </si>
  <si>
    <t>300318</t>
  </si>
  <si>
    <t>中京电子</t>
  </si>
  <si>
    <t>002579</t>
  </si>
  <si>
    <t>回天新材</t>
  </si>
  <si>
    <t>300041</t>
  </si>
  <si>
    <t>重庆建工</t>
  </si>
  <si>
    <t>600939</t>
  </si>
  <si>
    <t>信捷电气</t>
  </si>
  <si>
    <t>603416</t>
  </si>
  <si>
    <t>电魂网络</t>
  </si>
  <si>
    <t>603258</t>
  </si>
  <si>
    <t>天佑德酒</t>
  </si>
  <si>
    <t>002646</t>
  </si>
  <si>
    <t>网达软件</t>
  </si>
  <si>
    <t>603189</t>
  </si>
  <si>
    <t>天能重工</t>
  </si>
  <si>
    <t>300569</t>
  </si>
  <si>
    <t>东华测试</t>
  </si>
  <si>
    <t>300354</t>
  </si>
  <si>
    <t>汉威科技</t>
  </si>
  <si>
    <t>300007</t>
  </si>
  <si>
    <t>宜安科技</t>
  </si>
  <si>
    <t>300328</t>
  </si>
  <si>
    <t>连云港</t>
  </si>
  <si>
    <t>601008</t>
  </si>
  <si>
    <t>超讯通信</t>
  </si>
  <si>
    <t>603322</t>
  </si>
  <si>
    <t>三江购物</t>
  </si>
  <si>
    <t>601116</t>
  </si>
  <si>
    <t>超声电子</t>
  </si>
  <si>
    <t>000823</t>
  </si>
  <si>
    <t>良品铺子</t>
  </si>
  <si>
    <t>603719</t>
  </si>
  <si>
    <t>宇新股份</t>
  </si>
  <si>
    <t>002986</t>
  </si>
  <si>
    <t>电气风电</t>
  </si>
  <si>
    <t>688660</t>
  </si>
  <si>
    <t>芯朋微</t>
  </si>
  <si>
    <t>688508</t>
  </si>
  <si>
    <t>中晶科技</t>
  </si>
  <si>
    <t>003026</t>
  </si>
  <si>
    <t>中坚科技</t>
  </si>
  <si>
    <t>002779</t>
  </si>
  <si>
    <t>金溢科技</t>
  </si>
  <si>
    <t>002869</t>
  </si>
  <si>
    <t>合肥城建</t>
  </si>
  <si>
    <t>002208</t>
  </si>
  <si>
    <t>汇洲智能</t>
  </si>
  <si>
    <t>002122</t>
  </si>
  <si>
    <t>鸿利智汇</t>
  </si>
  <si>
    <t>300219</t>
  </si>
  <si>
    <t>华夏幸福</t>
  </si>
  <si>
    <t>600340</t>
  </si>
  <si>
    <t>黑猫股份</t>
  </si>
  <si>
    <t>002068</t>
  </si>
  <si>
    <t>常宝股份</t>
  </si>
  <si>
    <t>002478</t>
  </si>
  <si>
    <t>拓日新能</t>
  </si>
  <si>
    <t>002218</t>
  </si>
  <si>
    <t>华星创业</t>
  </si>
  <si>
    <t>300025</t>
  </si>
  <si>
    <t>中粮科工</t>
  </si>
  <si>
    <t>301058</t>
  </si>
  <si>
    <t>国新能源</t>
  </si>
  <si>
    <t>600617</t>
  </si>
  <si>
    <t>世华科技</t>
  </si>
  <si>
    <t>688093</t>
  </si>
  <si>
    <t>百普赛斯</t>
  </si>
  <si>
    <t>301080</t>
  </si>
  <si>
    <t>汇鸿集团</t>
  </si>
  <si>
    <t>600981</t>
  </si>
  <si>
    <t>金盾股份</t>
  </si>
  <si>
    <t>300411</t>
  </si>
  <si>
    <t>司尔特</t>
  </si>
  <si>
    <t>002538</t>
  </si>
  <si>
    <t>珠海港</t>
  </si>
  <si>
    <t>000507</t>
  </si>
  <si>
    <t>日久光电</t>
  </si>
  <si>
    <t>003015</t>
  </si>
  <si>
    <t>新华传媒</t>
  </si>
  <si>
    <t>600825</t>
  </si>
  <si>
    <t>申达股份</t>
  </si>
  <si>
    <t>600626</t>
  </si>
  <si>
    <t>百川股份</t>
  </si>
  <si>
    <t>002455</t>
  </si>
  <si>
    <t>厦门港务</t>
  </si>
  <si>
    <t>000905</t>
  </si>
  <si>
    <t>潮宏基</t>
  </si>
  <si>
    <t>002345</t>
  </si>
  <si>
    <t>山东赫达</t>
  </si>
  <si>
    <t>002810</t>
  </si>
  <si>
    <t>长盛轴承</t>
  </si>
  <si>
    <t>300718</t>
  </si>
  <si>
    <t>凌钢股份</t>
  </si>
  <si>
    <t>600231</t>
  </si>
  <si>
    <t>振江股份</t>
  </si>
  <si>
    <t>603507</t>
  </si>
  <si>
    <t>飞马国际</t>
  </si>
  <si>
    <t>002210</t>
  </si>
  <si>
    <t>宸展光电</t>
  </si>
  <si>
    <t>003019</t>
  </si>
  <si>
    <t>诺力股份</t>
  </si>
  <si>
    <t>603611</t>
  </si>
  <si>
    <t>华康股份</t>
  </si>
  <si>
    <t>605077</t>
  </si>
  <si>
    <t>天和防务</t>
  </si>
  <si>
    <t>300397</t>
  </si>
  <si>
    <t>普莱柯</t>
  </si>
  <si>
    <t>603566</t>
  </si>
  <si>
    <t>遥望科技</t>
  </si>
  <si>
    <t>002291</t>
  </si>
  <si>
    <t>风神股份</t>
  </si>
  <si>
    <t>600469</t>
  </si>
  <si>
    <t>水羊股份</t>
  </si>
  <si>
    <t>300740</t>
  </si>
  <si>
    <t>新时达</t>
  </si>
  <si>
    <t>002527</t>
  </si>
  <si>
    <t>锌业股份</t>
  </si>
  <si>
    <t>000751</t>
  </si>
  <si>
    <t>龙江交通</t>
  </si>
  <si>
    <t>601188</t>
  </si>
  <si>
    <t>欧陆通</t>
  </si>
  <si>
    <t>300870</t>
  </si>
  <si>
    <t>光明地产</t>
  </si>
  <si>
    <t>600708</t>
  </si>
  <si>
    <t>粤桂股份</t>
  </si>
  <si>
    <t>000833</t>
  </si>
  <si>
    <t>飞利信</t>
  </si>
  <si>
    <t>300287</t>
  </si>
  <si>
    <t>道恩股份</t>
  </si>
  <si>
    <t>002838</t>
  </si>
  <si>
    <t>华中数控</t>
  </si>
  <si>
    <t>300161</t>
  </si>
  <si>
    <t>迈信林</t>
  </si>
  <si>
    <t>688685</t>
  </si>
  <si>
    <t>龙蟠科技</t>
  </si>
  <si>
    <t>603906</t>
  </si>
  <si>
    <t>安彩高科</t>
  </si>
  <si>
    <t>600207</t>
  </si>
  <si>
    <t>中南股份</t>
  </si>
  <si>
    <t>000717</t>
  </si>
  <si>
    <t>京威股份</t>
  </si>
  <si>
    <t>002662</t>
  </si>
  <si>
    <t>久其软件</t>
  </si>
  <si>
    <t>002279</t>
  </si>
  <si>
    <t>江龙船艇</t>
  </si>
  <si>
    <t>300589</t>
  </si>
  <si>
    <t>新劲刚</t>
  </si>
  <si>
    <t>300629</t>
  </si>
  <si>
    <t>鲍斯股份</t>
  </si>
  <si>
    <t>300441</t>
  </si>
  <si>
    <t>日发精机</t>
  </si>
  <si>
    <t>002520</t>
  </si>
  <si>
    <t>鲁泰A</t>
  </si>
  <si>
    <t>000726</t>
  </si>
  <si>
    <t>汇绿生态</t>
  </si>
  <si>
    <t>001267</t>
  </si>
  <si>
    <t>贵航股份</t>
  </si>
  <si>
    <t>600523</t>
  </si>
  <si>
    <t>福然德</t>
  </si>
  <si>
    <t>605050</t>
  </si>
  <si>
    <t>博瑞传播</t>
  </si>
  <si>
    <t>600880</t>
  </si>
  <si>
    <t>雪人股份</t>
  </si>
  <si>
    <t>002639</t>
  </si>
  <si>
    <t>通鼎互联</t>
  </si>
  <si>
    <t>002491</t>
  </si>
  <si>
    <t>中南文化</t>
  </si>
  <si>
    <t>002445</t>
  </si>
  <si>
    <t>旋极信息</t>
  </si>
  <si>
    <t>300324</t>
  </si>
  <si>
    <t>吉贝尔</t>
  </si>
  <si>
    <t>688566</t>
  </si>
  <si>
    <t>沃格光电</t>
  </si>
  <si>
    <t>603773</t>
  </si>
  <si>
    <t>沧州大化</t>
  </si>
  <si>
    <t>600230</t>
  </si>
  <si>
    <t>金健米业</t>
  </si>
  <si>
    <t>600127</t>
  </si>
  <si>
    <t>安诺其</t>
  </si>
  <si>
    <t>300067</t>
  </si>
  <si>
    <t>北辰实业</t>
  </si>
  <si>
    <t>601588</t>
  </si>
  <si>
    <t>康强电子</t>
  </si>
  <si>
    <t>002119</t>
  </si>
  <si>
    <t>中红医疗</t>
  </si>
  <si>
    <t>300981</t>
  </si>
  <si>
    <t>寿仙谷</t>
  </si>
  <si>
    <t>603896</t>
  </si>
  <si>
    <t>矩子科技</t>
  </si>
  <si>
    <t>300802</t>
  </si>
  <si>
    <t>极米科技</t>
  </si>
  <si>
    <t>688696</t>
  </si>
  <si>
    <t>每日互动</t>
  </si>
  <si>
    <t>300766</t>
  </si>
  <si>
    <t>千金药业</t>
  </si>
  <si>
    <t>600479</t>
  </si>
  <si>
    <t>银宝山新</t>
  </si>
  <si>
    <t>002786</t>
  </si>
  <si>
    <t>晨曦航空</t>
  </si>
  <si>
    <t>300581</t>
  </si>
  <si>
    <t>奥瑞德</t>
  </si>
  <si>
    <t>600666</t>
  </si>
  <si>
    <t>海宁皮城</t>
  </si>
  <si>
    <t>002344</t>
  </si>
  <si>
    <t>昊志机电</t>
  </si>
  <si>
    <t>300503</t>
  </si>
  <si>
    <t>天壕能源</t>
  </si>
  <si>
    <t>300332</t>
  </si>
  <si>
    <t>铁科轨道</t>
  </si>
  <si>
    <t>688569</t>
  </si>
  <si>
    <t>百诚医药</t>
  </si>
  <si>
    <t>301096</t>
  </si>
  <si>
    <t>中大力德</t>
  </si>
  <si>
    <t>002896</t>
  </si>
  <si>
    <t>中国武夷</t>
  </si>
  <si>
    <t>000797</t>
  </si>
  <si>
    <t>上工申贝</t>
  </si>
  <si>
    <t>600843</t>
  </si>
  <si>
    <t>仕佳光子</t>
  </si>
  <si>
    <t>688313</t>
  </si>
  <si>
    <t>恒宝股份</t>
  </si>
  <si>
    <t>002104</t>
  </si>
  <si>
    <t>荣联科技</t>
  </si>
  <si>
    <t>002642</t>
  </si>
  <si>
    <t>九牧王</t>
  </si>
  <si>
    <t>601566</t>
  </si>
  <si>
    <t>晋西车轴</t>
  </si>
  <si>
    <t>600495</t>
  </si>
  <si>
    <t>长城科技</t>
  </si>
  <si>
    <t>603897</t>
  </si>
  <si>
    <t>飞天诚信</t>
  </si>
  <si>
    <t>300386</t>
  </si>
  <si>
    <t>深纺织A</t>
  </si>
  <si>
    <t>000045</t>
  </si>
  <si>
    <t>香山股份</t>
  </si>
  <si>
    <t>002870</t>
  </si>
  <si>
    <t>五方光电</t>
  </si>
  <si>
    <t>002962</t>
  </si>
  <si>
    <t>中国海诚</t>
  </si>
  <si>
    <t>002116</t>
  </si>
  <si>
    <t>亚威股份</t>
  </si>
  <si>
    <t>002559</t>
  </si>
  <si>
    <t>埃夫特</t>
  </si>
  <si>
    <t>688165</t>
  </si>
  <si>
    <t>中泰股份</t>
  </si>
  <si>
    <t>300435</t>
  </si>
  <si>
    <t>三孚股份</t>
  </si>
  <si>
    <t>603938</t>
  </si>
  <si>
    <t>赛诺医疗</t>
  </si>
  <si>
    <t>688108</t>
  </si>
  <si>
    <t>湖北广电</t>
  </si>
  <si>
    <t>000665</t>
  </si>
  <si>
    <t>青山纸业</t>
  </si>
  <si>
    <t>600103</t>
  </si>
  <si>
    <t>吉宏股份</t>
  </si>
  <si>
    <t>002803</t>
  </si>
  <si>
    <t>烽火电子</t>
  </si>
  <si>
    <t>000561</t>
  </si>
  <si>
    <t>银星能源</t>
  </si>
  <si>
    <t>000862</t>
  </si>
  <si>
    <t>八一钢铁</t>
  </si>
  <si>
    <t>600581</t>
  </si>
  <si>
    <t>明星电力</t>
  </si>
  <si>
    <t>600101</t>
  </si>
  <si>
    <t>金冠股份</t>
  </si>
  <si>
    <t>300510</t>
  </si>
  <si>
    <t>旗天科技</t>
  </si>
  <si>
    <t>300061</t>
  </si>
  <si>
    <t>濮阳惠成</t>
  </si>
  <si>
    <t>300481</t>
  </si>
  <si>
    <t>世联行</t>
  </si>
  <si>
    <t>002285</t>
  </si>
  <si>
    <t>利通电子</t>
  </si>
  <si>
    <t>603629</t>
  </si>
  <si>
    <t>奥普科技</t>
  </si>
  <si>
    <t>603551</t>
  </si>
  <si>
    <t>华宇软件</t>
  </si>
  <si>
    <t>300271</t>
  </si>
  <si>
    <t>朗玛信息</t>
  </si>
  <si>
    <t>300288</t>
  </si>
  <si>
    <t>亚宝药业</t>
  </si>
  <si>
    <t>600351</t>
  </si>
  <si>
    <t>三达膜</t>
  </si>
  <si>
    <t>688101</t>
  </si>
  <si>
    <t>四川美丰</t>
  </si>
  <si>
    <t>000731</t>
  </si>
  <si>
    <t>湖南发展</t>
  </si>
  <si>
    <t>000722</t>
  </si>
  <si>
    <t>三湘印象</t>
  </si>
  <si>
    <t>000863</t>
  </si>
  <si>
    <t>众合科技</t>
  </si>
  <si>
    <t>000925</t>
  </si>
  <si>
    <t>赞宇科技</t>
  </si>
  <si>
    <t>002637</t>
  </si>
  <si>
    <t>瑞茂通</t>
  </si>
  <si>
    <t>600180</t>
  </si>
  <si>
    <t>长海股份</t>
  </si>
  <si>
    <t>300196</t>
  </si>
  <si>
    <t>钱江水利</t>
  </si>
  <si>
    <t>600283</t>
  </si>
  <si>
    <t>力生制药</t>
  </si>
  <si>
    <t>002393</t>
  </si>
  <si>
    <t>中科金财</t>
  </si>
  <si>
    <t>002657</t>
  </si>
  <si>
    <t>激智科技</t>
  </si>
  <si>
    <t>300566</t>
  </si>
  <si>
    <t>安靠智电</t>
  </si>
  <si>
    <t>300617</t>
  </si>
  <si>
    <t>长久物流</t>
  </si>
  <si>
    <t>603569</t>
  </si>
  <si>
    <t>节能铁汉</t>
  </si>
  <si>
    <t>300197</t>
  </si>
  <si>
    <t>金能科技</t>
  </si>
  <si>
    <t>603113</t>
  </si>
  <si>
    <t>潜能恒信</t>
  </si>
  <si>
    <t>300191</t>
  </si>
  <si>
    <t>新世界</t>
  </si>
  <si>
    <t>600628</t>
  </si>
  <si>
    <t>万顺新材</t>
  </si>
  <si>
    <t>300057</t>
  </si>
  <si>
    <t>大丰实业</t>
  </si>
  <si>
    <t>603081</t>
  </si>
  <si>
    <t>汉宇集团</t>
  </si>
  <si>
    <t>300403</t>
  </si>
  <si>
    <t>新亚电子</t>
  </si>
  <si>
    <t>605277</t>
  </si>
  <si>
    <t>罗欣药业</t>
  </si>
  <si>
    <t>002793</t>
  </si>
  <si>
    <t>东安动力</t>
  </si>
  <si>
    <t>600178</t>
  </si>
  <si>
    <t>基蛋生物</t>
  </si>
  <si>
    <t>603387</t>
  </si>
  <si>
    <t>壹网壹创</t>
  </si>
  <si>
    <t>300792</t>
  </si>
  <si>
    <t>维维股份</t>
  </si>
  <si>
    <t>600300</t>
  </si>
  <si>
    <t>盛洋科技</t>
  </si>
  <si>
    <t>603703</t>
  </si>
  <si>
    <t>广安爱众</t>
  </si>
  <si>
    <t>600979</t>
  </si>
  <si>
    <t>瑞松科技</t>
  </si>
  <si>
    <t>688090</t>
  </si>
  <si>
    <t>隆盛科技</t>
  </si>
  <si>
    <t>300680</t>
  </si>
  <si>
    <t>龙元建设</t>
  </si>
  <si>
    <t>600491</t>
  </si>
  <si>
    <t>华英农业</t>
  </si>
  <si>
    <t>002321</t>
  </si>
  <si>
    <t>农林牧渔-养殖业-其他养殖</t>
  </si>
  <si>
    <t>春秋电子</t>
  </si>
  <si>
    <t>603890</t>
  </si>
  <si>
    <t>楚天科技</t>
  </si>
  <si>
    <t>300358</t>
  </si>
  <si>
    <t>明德生物</t>
  </si>
  <si>
    <t>002932</t>
  </si>
  <si>
    <t>森远股份</t>
  </si>
  <si>
    <t>300210</t>
  </si>
  <si>
    <t>海利尔</t>
  </si>
  <si>
    <t>603639</t>
  </si>
  <si>
    <t>芯瑞达</t>
  </si>
  <si>
    <t>002983</t>
  </si>
  <si>
    <t>佳士科技</t>
  </si>
  <si>
    <t>300193</t>
  </si>
  <si>
    <t>嘉元科技</t>
  </si>
  <si>
    <t>688388</t>
  </si>
  <si>
    <t>台基股份</t>
  </si>
  <si>
    <t>300046</t>
  </si>
  <si>
    <t>晨光生物</t>
  </si>
  <si>
    <t>300138</t>
  </si>
  <si>
    <t>澳柯玛</t>
  </si>
  <si>
    <t>600336</t>
  </si>
  <si>
    <t>海容冷链</t>
  </si>
  <si>
    <t>603187</t>
  </si>
  <si>
    <t>汉王科技</t>
  </si>
  <si>
    <t>002362</t>
  </si>
  <si>
    <t>同兴达</t>
  </si>
  <si>
    <t>002845</t>
  </si>
  <si>
    <t>百纳千成</t>
  </si>
  <si>
    <t>300291</t>
  </si>
  <si>
    <t>迪瑞医疗</t>
  </si>
  <si>
    <t>300396</t>
  </si>
  <si>
    <t>山东矿机</t>
  </si>
  <si>
    <t>002526</t>
  </si>
  <si>
    <t>百合花</t>
  </si>
  <si>
    <t>603823</t>
  </si>
  <si>
    <t>韶能股份</t>
  </si>
  <si>
    <t>000601</t>
  </si>
  <si>
    <t>安阳钢铁</t>
  </si>
  <si>
    <t>600569</t>
  </si>
  <si>
    <t>翔宇医疗</t>
  </si>
  <si>
    <t>688626</t>
  </si>
  <si>
    <t>金圆股份</t>
  </si>
  <si>
    <t>000546</t>
  </si>
  <si>
    <t>西安饮食</t>
  </si>
  <si>
    <t>000721</t>
  </si>
  <si>
    <t>科远智慧</t>
  </si>
  <si>
    <t>002380</t>
  </si>
  <si>
    <t>安达维尔</t>
  </si>
  <si>
    <t>300719</t>
  </si>
  <si>
    <t>宁波建工</t>
  </si>
  <si>
    <t>601789</t>
  </si>
  <si>
    <t>长源东谷</t>
  </si>
  <si>
    <t>603950</t>
  </si>
  <si>
    <t>金陵药业</t>
  </si>
  <si>
    <t>000919</t>
  </si>
  <si>
    <t>郑州煤电</t>
  </si>
  <si>
    <t>600121</t>
  </si>
  <si>
    <t>创业黑马</t>
  </si>
  <si>
    <t>300688</t>
  </si>
  <si>
    <t>和胜股份</t>
  </si>
  <si>
    <t>002824</t>
  </si>
  <si>
    <t>节能国祯</t>
  </si>
  <si>
    <t>300388</t>
  </si>
  <si>
    <t>蒙草生态</t>
  </si>
  <si>
    <t>300355</t>
  </si>
  <si>
    <t>浙农股份</t>
  </si>
  <si>
    <t>002758</t>
  </si>
  <si>
    <t>盈方微</t>
  </si>
  <si>
    <t>000670</t>
  </si>
  <si>
    <t>先进数通</t>
  </si>
  <si>
    <t>300541</t>
  </si>
  <si>
    <t>格林精密</t>
  </si>
  <si>
    <t>300968</t>
  </si>
  <si>
    <t>华金资本</t>
  </si>
  <si>
    <t>000532</t>
  </si>
  <si>
    <t>真视通</t>
  </si>
  <si>
    <t>002771</t>
  </si>
  <si>
    <t>宇晶股份</t>
  </si>
  <si>
    <t>002943</t>
  </si>
  <si>
    <t>皖天然气</t>
  </si>
  <si>
    <t>603689</t>
  </si>
  <si>
    <t>广西广电</t>
  </si>
  <si>
    <t>600936</t>
  </si>
  <si>
    <t>上声电子</t>
  </si>
  <si>
    <t>688533</t>
  </si>
  <si>
    <t>科拓生物</t>
  </si>
  <si>
    <t>300858</t>
  </si>
  <si>
    <t>特一药业</t>
  </si>
  <si>
    <t>002728</t>
  </si>
  <si>
    <t>利源股份</t>
  </si>
  <si>
    <t>002501</t>
  </si>
  <si>
    <t>武汉控股</t>
  </si>
  <si>
    <t>600168</t>
  </si>
  <si>
    <t>大连电瓷</t>
  </si>
  <si>
    <t>002606</t>
  </si>
  <si>
    <t>北新路桥</t>
  </si>
  <si>
    <t>002307</t>
  </si>
  <si>
    <t>凯因科技</t>
  </si>
  <si>
    <t>688687</t>
  </si>
  <si>
    <t>新化股份</t>
  </si>
  <si>
    <t>603867</t>
  </si>
  <si>
    <t>润邦股份</t>
  </si>
  <si>
    <t>002483</t>
  </si>
  <si>
    <t>北京利尔</t>
  </si>
  <si>
    <t>002392</t>
  </si>
  <si>
    <t>芯能科技</t>
  </si>
  <si>
    <t>603105</t>
  </si>
  <si>
    <t>粤传媒</t>
  </si>
  <si>
    <t>002181</t>
  </si>
  <si>
    <t>吉视传媒</t>
  </si>
  <si>
    <t>601929</t>
  </si>
  <si>
    <t>华宏科技</t>
  </si>
  <si>
    <t>002645</t>
  </si>
  <si>
    <t>钢研纳克</t>
  </si>
  <si>
    <t>300797</t>
  </si>
  <si>
    <t>宁波能源</t>
  </si>
  <si>
    <t>600982</t>
  </si>
  <si>
    <t>航亚科技</t>
  </si>
  <si>
    <t>688510</t>
  </si>
  <si>
    <t>德新科技</t>
  </si>
  <si>
    <t>603032</t>
  </si>
  <si>
    <t>京粮控股</t>
  </si>
  <si>
    <t>000505</t>
  </si>
  <si>
    <t>东方海洋</t>
  </si>
  <si>
    <t>002086</t>
  </si>
  <si>
    <t>九华旅游</t>
  </si>
  <si>
    <t>603199</t>
  </si>
  <si>
    <t>万胜智能</t>
  </si>
  <si>
    <t>300882</t>
  </si>
  <si>
    <t>西陇科学</t>
  </si>
  <si>
    <t>002584</t>
  </si>
  <si>
    <t>金桥信息</t>
  </si>
  <si>
    <t>603918</t>
  </si>
  <si>
    <t>传艺科技</t>
  </si>
  <si>
    <t>002866</t>
  </si>
  <si>
    <t>海量数据</t>
  </si>
  <si>
    <t>603138</t>
  </si>
  <si>
    <t>京城股份</t>
  </si>
  <si>
    <t>600860</t>
  </si>
  <si>
    <t>华民股份</t>
  </si>
  <si>
    <t>300345</t>
  </si>
  <si>
    <t>沃顿科技</t>
  </si>
  <si>
    <t>000920</t>
  </si>
  <si>
    <t>绿城水务</t>
  </si>
  <si>
    <t>601368</t>
  </si>
  <si>
    <t>派瑞股份</t>
  </si>
  <si>
    <t>300831</t>
  </si>
  <si>
    <t>华仁药业</t>
  </si>
  <si>
    <t>300110</t>
  </si>
  <si>
    <t>海陆重工</t>
  </si>
  <si>
    <t>002255</t>
  </si>
  <si>
    <t>东尼电子</t>
  </si>
  <si>
    <t>603595</t>
  </si>
  <si>
    <t>雷柏科技</t>
  </si>
  <si>
    <t>002577</t>
  </si>
  <si>
    <t>佛塑科技</t>
  </si>
  <si>
    <t>000973</t>
  </si>
  <si>
    <t>黑牡丹</t>
  </si>
  <si>
    <t>600510</t>
  </si>
  <si>
    <t>三维通信</t>
  </si>
  <si>
    <t>002115</t>
  </si>
  <si>
    <t>远达环保</t>
  </si>
  <si>
    <t>600292</t>
  </si>
  <si>
    <t>华纳药厂</t>
  </si>
  <si>
    <t>688799</t>
  </si>
  <si>
    <t>耀皮玻璃</t>
  </si>
  <si>
    <t>600819</t>
  </si>
  <si>
    <t>上海凤凰</t>
  </si>
  <si>
    <t>600679</t>
  </si>
  <si>
    <t>阳煤化工</t>
  </si>
  <si>
    <t>600691</t>
  </si>
  <si>
    <t>永福股份</t>
  </si>
  <si>
    <t>300712</t>
  </si>
  <si>
    <t>长阳科技</t>
  </si>
  <si>
    <t>688299</t>
  </si>
  <si>
    <t>宏润建设</t>
  </si>
  <si>
    <t>002062</t>
  </si>
  <si>
    <t>新北洋</t>
  </si>
  <si>
    <t>002376</t>
  </si>
  <si>
    <t>优博讯</t>
  </si>
  <si>
    <t>300531</t>
  </si>
  <si>
    <t>爱乐达</t>
  </si>
  <si>
    <t>300696</t>
  </si>
  <si>
    <t>普利制药</t>
  </si>
  <si>
    <t>300630</t>
  </si>
  <si>
    <t>赫美集团</t>
  </si>
  <si>
    <t>002356</t>
  </si>
  <si>
    <t>兄弟科技</t>
  </si>
  <si>
    <t>002562</t>
  </si>
  <si>
    <t>司太立</t>
  </si>
  <si>
    <t>603520</t>
  </si>
  <si>
    <t>云内动力</t>
  </si>
  <si>
    <t>000903</t>
  </si>
  <si>
    <t>远东传动</t>
  </si>
  <si>
    <t>002406</t>
  </si>
  <si>
    <t>得润电子</t>
  </si>
  <si>
    <t>002055</t>
  </si>
  <si>
    <t>格林达</t>
  </si>
  <si>
    <t>603931</t>
  </si>
  <si>
    <t>天汽模</t>
  </si>
  <si>
    <t>002510</t>
  </si>
  <si>
    <t>索菱股份</t>
  </si>
  <si>
    <t>002766</t>
  </si>
  <si>
    <t>成都先导</t>
  </si>
  <si>
    <t>688222</t>
  </si>
  <si>
    <t>瑞康医药</t>
  </si>
  <si>
    <t>002589</t>
  </si>
  <si>
    <t>新亚强</t>
  </si>
  <si>
    <t>603155</t>
  </si>
  <si>
    <t>湖南天雁</t>
  </si>
  <si>
    <t>600698</t>
  </si>
  <si>
    <t>天邑股份</t>
  </si>
  <si>
    <t>300504</t>
  </si>
  <si>
    <t>艾迪药业</t>
  </si>
  <si>
    <t>688488</t>
  </si>
  <si>
    <t>健盛集团</t>
  </si>
  <si>
    <t>603558</t>
  </si>
  <si>
    <t>纺织服饰-服装家纺-鞋帽及其他</t>
  </si>
  <si>
    <t>佳讯飞鸿</t>
  </si>
  <si>
    <t>300213</t>
  </si>
  <si>
    <t>胜蓝股份</t>
  </si>
  <si>
    <t>300843</t>
  </si>
  <si>
    <t>信息发展</t>
  </si>
  <si>
    <t>300469</t>
  </si>
  <si>
    <t>阳光诺和</t>
  </si>
  <si>
    <t>688621</t>
  </si>
  <si>
    <t>保税科技</t>
  </si>
  <si>
    <t>600794</t>
  </si>
  <si>
    <t>博杰股份</t>
  </si>
  <si>
    <t>002975</t>
  </si>
  <si>
    <t>中恒电气</t>
  </si>
  <si>
    <t>002364</t>
  </si>
  <si>
    <t>钱江生化</t>
  </si>
  <si>
    <t>600796</t>
  </si>
  <si>
    <t>北京文化</t>
  </si>
  <si>
    <t>000802</t>
  </si>
  <si>
    <t>双象股份</t>
  </si>
  <si>
    <t>002395</t>
  </si>
  <si>
    <t>福日电子</t>
  </si>
  <si>
    <t>600203</t>
  </si>
  <si>
    <t>凯龙股份</t>
  </si>
  <si>
    <t>002783</t>
  </si>
  <si>
    <t>迦南智能</t>
  </si>
  <si>
    <t>300880</t>
  </si>
  <si>
    <t>科德教育</t>
  </si>
  <si>
    <t>300192</t>
  </si>
  <si>
    <t>共达电声</t>
  </si>
  <si>
    <t>002655</t>
  </si>
  <si>
    <t>能科科技</t>
  </si>
  <si>
    <t>603859</t>
  </si>
  <si>
    <t>闽东电力</t>
  </si>
  <si>
    <t>000993</t>
  </si>
  <si>
    <t>一鸣食品</t>
  </si>
  <si>
    <t>605179</t>
  </si>
  <si>
    <t>尤洛卡</t>
  </si>
  <si>
    <t>300099</t>
  </si>
  <si>
    <t>香溢融通</t>
  </si>
  <si>
    <t>600830</t>
  </si>
  <si>
    <t>欧林生物</t>
  </si>
  <si>
    <t>688319</t>
  </si>
  <si>
    <t>美康生物</t>
  </si>
  <si>
    <t>300439</t>
  </si>
  <si>
    <t>凯美特气</t>
  </si>
  <si>
    <t>002549</t>
  </si>
  <si>
    <t>铜牛信息</t>
  </si>
  <si>
    <t>300895</t>
  </si>
  <si>
    <t>煌上煌</t>
  </si>
  <si>
    <t>002695</t>
  </si>
  <si>
    <t>广哈通信</t>
  </si>
  <si>
    <t>300711</t>
  </si>
  <si>
    <t>松芝股份</t>
  </si>
  <si>
    <t>002454</t>
  </si>
  <si>
    <t>美邦服饰</t>
  </si>
  <si>
    <t>002269</t>
  </si>
  <si>
    <t>辽宁能源</t>
  </si>
  <si>
    <t>600758</t>
  </si>
  <si>
    <t>银龙股份</t>
  </si>
  <si>
    <t>603969</t>
  </si>
  <si>
    <t>七匹狼</t>
  </si>
  <si>
    <t>002029</t>
  </si>
  <si>
    <t>辰安科技</t>
  </si>
  <si>
    <t>300523</t>
  </si>
  <si>
    <t>正海生物</t>
  </si>
  <si>
    <t>300653</t>
  </si>
  <si>
    <t>雪迪龙</t>
  </si>
  <si>
    <t>002658</t>
  </si>
  <si>
    <t>飞亚达</t>
  </si>
  <si>
    <t>000026</t>
  </si>
  <si>
    <t>齐心集团</t>
  </si>
  <si>
    <t>002301</t>
  </si>
  <si>
    <t>奥拓电子</t>
  </si>
  <si>
    <t>002587</t>
  </si>
  <si>
    <t>浙文影业</t>
  </si>
  <si>
    <t>601599</t>
  </si>
  <si>
    <t>骏亚科技</t>
  </si>
  <si>
    <t>603386</t>
  </si>
  <si>
    <t>康辰药业</t>
  </si>
  <si>
    <t>603590</t>
  </si>
  <si>
    <t>山东威达</t>
  </si>
  <si>
    <t>002026</t>
  </si>
  <si>
    <t>亚世光电</t>
  </si>
  <si>
    <t>002952</t>
  </si>
  <si>
    <t>蓝盾光电</t>
  </si>
  <si>
    <t>300862</t>
  </si>
  <si>
    <t>永杉锂业</t>
  </si>
  <si>
    <t>603399</t>
  </si>
  <si>
    <t>秀强股份</t>
  </si>
  <si>
    <t>300160</t>
  </si>
  <si>
    <t>厚普股份</t>
  </si>
  <si>
    <t>300471</t>
  </si>
  <si>
    <t>奥克股份</t>
  </si>
  <si>
    <t>300082</t>
  </si>
  <si>
    <t>道森股份</t>
  </si>
  <si>
    <t>603800</t>
  </si>
  <si>
    <t>凯普生物</t>
  </si>
  <si>
    <t>300639</t>
  </si>
  <si>
    <t>金辰股份</t>
  </si>
  <si>
    <t>603396</t>
  </si>
  <si>
    <t>新晨科技</t>
  </si>
  <si>
    <t>300542</t>
  </si>
  <si>
    <t>振东制药</t>
  </si>
  <si>
    <t>300158</t>
  </si>
  <si>
    <t>日丰股份</t>
  </si>
  <si>
    <t>002953</t>
  </si>
  <si>
    <t>精锻科技</t>
  </si>
  <si>
    <t>300258</t>
  </si>
  <si>
    <t>三力士</t>
  </si>
  <si>
    <t>002224</t>
  </si>
  <si>
    <t>创元科技</t>
  </si>
  <si>
    <t>000551</t>
  </si>
  <si>
    <t>孚日股份</t>
  </si>
  <si>
    <t>002083</t>
  </si>
  <si>
    <t>艾比森</t>
  </si>
  <si>
    <t>300389</t>
  </si>
  <si>
    <t>东港股份</t>
  </si>
  <si>
    <t>002117</t>
  </si>
  <si>
    <t>神通科技</t>
  </si>
  <si>
    <t>605228</t>
  </si>
  <si>
    <t>鼎汉技术</t>
  </si>
  <si>
    <t>300011</t>
  </si>
  <si>
    <t>大东南</t>
  </si>
  <si>
    <t>002263</t>
  </si>
  <si>
    <t>众业达</t>
  </si>
  <si>
    <t>002441</t>
  </si>
  <si>
    <t>长华集团</t>
  </si>
  <si>
    <t>605018</t>
  </si>
  <si>
    <t>清源股份</t>
  </si>
  <si>
    <t>603628</t>
  </si>
  <si>
    <t>星网宇达</t>
  </si>
  <si>
    <t>002829</t>
  </si>
  <si>
    <t>贝斯美</t>
  </si>
  <si>
    <t>300796</t>
  </si>
  <si>
    <t>英搏尔</t>
  </si>
  <si>
    <t>300681</t>
  </si>
  <si>
    <t>泰嘉股份</t>
  </si>
  <si>
    <t>002843</t>
  </si>
  <si>
    <t>圣诺生物</t>
  </si>
  <si>
    <t>688117</t>
  </si>
  <si>
    <t>仲景食品</t>
  </si>
  <si>
    <t>300908</t>
  </si>
  <si>
    <t>丰乐种业</t>
  </si>
  <si>
    <t>000713</t>
  </si>
  <si>
    <t>厦工股份</t>
  </si>
  <si>
    <t>600815</t>
  </si>
  <si>
    <t>芯海科技</t>
  </si>
  <si>
    <t>688595</t>
  </si>
  <si>
    <t>亿嘉和</t>
  </si>
  <si>
    <t>603666</t>
  </si>
  <si>
    <t>谱尼测试</t>
  </si>
  <si>
    <t>300887</t>
  </si>
  <si>
    <t>万年青</t>
  </si>
  <si>
    <t>000789</t>
  </si>
  <si>
    <t>晓程科技</t>
  </si>
  <si>
    <t>300139</t>
  </si>
  <si>
    <t>东亚机械</t>
  </si>
  <si>
    <t>301028</t>
  </si>
  <si>
    <t>侨银股份</t>
  </si>
  <si>
    <t>002973</t>
  </si>
  <si>
    <t>豪美新材</t>
  </si>
  <si>
    <t>002988</t>
  </si>
  <si>
    <t>大亚圣象</t>
  </si>
  <si>
    <t>000910</t>
  </si>
  <si>
    <t>澄星股份</t>
  </si>
  <si>
    <t>600078</t>
  </si>
  <si>
    <t>沃特股份</t>
  </si>
  <si>
    <t>002886</t>
  </si>
  <si>
    <t>中科微至</t>
  </si>
  <si>
    <t>688211</t>
  </si>
  <si>
    <t>南兴股份</t>
  </si>
  <si>
    <t>002757</t>
  </si>
  <si>
    <t>中成股份</t>
  </si>
  <si>
    <t>000151</t>
  </si>
  <si>
    <t>名臣健康</t>
  </si>
  <si>
    <t>002919</t>
  </si>
  <si>
    <t>天成自控</t>
  </si>
  <si>
    <t>603085</t>
  </si>
  <si>
    <t>安科瑞</t>
  </si>
  <si>
    <t>300286</t>
  </si>
  <si>
    <t>立方制药</t>
  </si>
  <si>
    <t>003020</t>
  </si>
  <si>
    <t>渤海轮渡</t>
  </si>
  <si>
    <t>603167</t>
  </si>
  <si>
    <t>明阳电路</t>
  </si>
  <si>
    <t>300739</t>
  </si>
  <si>
    <t>立昂技术</t>
  </si>
  <si>
    <t>300603</t>
  </si>
  <si>
    <t>奥佳华</t>
  </si>
  <si>
    <t>002614</t>
  </si>
  <si>
    <t>顺博合金</t>
  </si>
  <si>
    <t>002996</t>
  </si>
  <si>
    <t>交运股份</t>
  </si>
  <si>
    <t>600676</t>
  </si>
  <si>
    <t>三利谱</t>
  </si>
  <si>
    <t>002876</t>
  </si>
  <si>
    <t>全信股份</t>
  </si>
  <si>
    <t>300447</t>
  </si>
  <si>
    <t>振邦智能</t>
  </si>
  <si>
    <t>003028</t>
  </si>
  <si>
    <t>金银河</t>
  </si>
  <si>
    <t>300619</t>
  </si>
  <si>
    <t>新研股份</t>
  </si>
  <si>
    <t>300159</t>
  </si>
  <si>
    <t>新朋股份</t>
  </si>
  <si>
    <t>002328</t>
  </si>
  <si>
    <t>电科院</t>
  </si>
  <si>
    <t>300215</t>
  </si>
  <si>
    <t>瑞联新材</t>
  </si>
  <si>
    <t>688550</t>
  </si>
  <si>
    <t>耐普矿机</t>
  </si>
  <si>
    <t>300818</t>
  </si>
  <si>
    <t>美迪西</t>
  </si>
  <si>
    <t>688202</t>
  </si>
  <si>
    <t>梅雁吉祥</t>
  </si>
  <si>
    <t>600868</t>
  </si>
  <si>
    <t>卫信康</t>
  </si>
  <si>
    <t>603676</t>
  </si>
  <si>
    <t>宝馨科技</t>
  </si>
  <si>
    <t>002514</t>
  </si>
  <si>
    <t>白云电器</t>
  </si>
  <si>
    <t>603861</t>
  </si>
  <si>
    <t>浙江东日</t>
  </si>
  <si>
    <t>600113</t>
  </si>
  <si>
    <t>亚泰集团</t>
  </si>
  <si>
    <t>600881</t>
  </si>
  <si>
    <t>智光电气</t>
  </si>
  <si>
    <t>002169</t>
  </si>
  <si>
    <t>海泰新光</t>
  </si>
  <si>
    <t>688677</t>
  </si>
  <si>
    <t>东江环保</t>
  </si>
  <si>
    <t>002672</t>
  </si>
  <si>
    <t>兆新股份</t>
  </si>
  <si>
    <t>002256</t>
  </si>
  <si>
    <t>茶花股份</t>
  </si>
  <si>
    <t>603615</t>
  </si>
  <si>
    <t>菲达环保</t>
  </si>
  <si>
    <t>600526</t>
  </si>
  <si>
    <t>华正新材</t>
  </si>
  <si>
    <t>603186</t>
  </si>
  <si>
    <t>赛摩智能</t>
  </si>
  <si>
    <t>300466</t>
  </si>
  <si>
    <t>三川智慧</t>
  </si>
  <si>
    <t>300066</t>
  </si>
  <si>
    <t>巴比食品</t>
  </si>
  <si>
    <t>605338</t>
  </si>
  <si>
    <t>上海洗霸</t>
  </si>
  <si>
    <t>603200</t>
  </si>
  <si>
    <t>电子城</t>
  </si>
  <si>
    <t>600658</t>
  </si>
  <si>
    <t>罗普斯金</t>
  </si>
  <si>
    <t>002333</t>
  </si>
  <si>
    <t>太阳电缆</t>
  </si>
  <si>
    <t>002300</t>
  </si>
  <si>
    <t>甘咨询</t>
  </si>
  <si>
    <t>000779</t>
  </si>
  <si>
    <t>嵘泰股份</t>
  </si>
  <si>
    <t>605133</t>
  </si>
  <si>
    <t>高伟达</t>
  </si>
  <si>
    <t>300465</t>
  </si>
  <si>
    <t>华达新材</t>
  </si>
  <si>
    <t>605158</t>
  </si>
  <si>
    <t>交建股份</t>
  </si>
  <si>
    <t>603815</t>
  </si>
  <si>
    <t>普联软件</t>
  </si>
  <si>
    <t>300996</t>
  </si>
  <si>
    <t>至正股份</t>
  </si>
  <si>
    <t>603991</t>
  </si>
  <si>
    <t>李子园</t>
  </si>
  <si>
    <t>605337</t>
  </si>
  <si>
    <t>朗科科技</t>
  </si>
  <si>
    <t>300042</t>
  </si>
  <si>
    <t>云煤能源</t>
  </si>
  <si>
    <t>600792</t>
  </si>
  <si>
    <t>苏文电能</t>
  </si>
  <si>
    <t>300982</t>
  </si>
  <si>
    <t>中农立华</t>
  </si>
  <si>
    <t>603970</t>
  </si>
  <si>
    <t>浪潮软件</t>
  </si>
  <si>
    <t>600756</t>
  </si>
  <si>
    <t>易德龙</t>
  </si>
  <si>
    <t>603380</t>
  </si>
  <si>
    <t>中路股份</t>
  </si>
  <si>
    <t>600818</t>
  </si>
  <si>
    <t>汇创达</t>
  </si>
  <si>
    <t>300909</t>
  </si>
  <si>
    <t>浙商中拓</t>
  </si>
  <si>
    <t>000906</t>
  </si>
  <si>
    <t>航天宏图</t>
  </si>
  <si>
    <t>688066</t>
  </si>
  <si>
    <t>佛慈制药</t>
  </si>
  <si>
    <t>002644</t>
  </si>
  <si>
    <t>富瑞特装</t>
  </si>
  <si>
    <t>300228</t>
  </si>
  <si>
    <t>海洋王</t>
  </si>
  <si>
    <t>002724</t>
  </si>
  <si>
    <t>鼎信通讯</t>
  </si>
  <si>
    <t>603421</t>
  </si>
  <si>
    <t>值得买</t>
  </si>
  <si>
    <t>300785</t>
  </si>
  <si>
    <t>吉大正元</t>
  </si>
  <si>
    <t>003029</t>
  </si>
  <si>
    <t>腾龙股份</t>
  </si>
  <si>
    <t>603158</t>
  </si>
  <si>
    <t>三峡旅游</t>
  </si>
  <si>
    <t>002627</t>
  </si>
  <si>
    <t>传智教育</t>
  </si>
  <si>
    <t>003032</t>
  </si>
  <si>
    <t>中铁装配</t>
  </si>
  <si>
    <t>300374</t>
  </si>
  <si>
    <t>绿能慧充</t>
  </si>
  <si>
    <t>600212</t>
  </si>
  <si>
    <t>冰川网络</t>
  </si>
  <si>
    <t>300533</t>
  </si>
  <si>
    <t>鲁北化工</t>
  </si>
  <si>
    <t>600727</t>
  </si>
  <si>
    <t>华东重机</t>
  </si>
  <si>
    <t>002685</t>
  </si>
  <si>
    <t>大胜达</t>
  </si>
  <si>
    <t>603687</t>
  </si>
  <si>
    <t>广东榕泰</t>
  </si>
  <si>
    <t>600589</t>
  </si>
  <si>
    <t>冠盛股份</t>
  </si>
  <si>
    <t>605088</t>
  </si>
  <si>
    <t>华鼎股份</t>
  </si>
  <si>
    <t>601113</t>
  </si>
  <si>
    <t>天力锂能</t>
  </si>
  <si>
    <t>301152</t>
  </si>
  <si>
    <t>新开普</t>
  </si>
  <si>
    <t>300248</t>
  </si>
  <si>
    <t>富春环保</t>
  </si>
  <si>
    <t>002479</t>
  </si>
  <si>
    <t>上海物贸</t>
  </si>
  <si>
    <t>600822</t>
  </si>
  <si>
    <t>阳光照明</t>
  </si>
  <si>
    <t>600261</t>
  </si>
  <si>
    <t>华联股份</t>
  </si>
  <si>
    <t>000882</t>
  </si>
  <si>
    <t>四方达</t>
  </si>
  <si>
    <t>300179</t>
  </si>
  <si>
    <t>三鑫医疗</t>
  </si>
  <si>
    <t>300453</t>
  </si>
  <si>
    <t>湘油泵</t>
  </si>
  <si>
    <t>603319</t>
  </si>
  <si>
    <t>申通地铁</t>
  </si>
  <si>
    <t>600834</t>
  </si>
  <si>
    <t>万邦达</t>
  </si>
  <si>
    <t>300055</t>
  </si>
  <si>
    <t>新华都</t>
  </si>
  <si>
    <t>002264</t>
  </si>
  <si>
    <t>鲁银投资</t>
  </si>
  <si>
    <t>600784</t>
  </si>
  <si>
    <t>丰元股份</t>
  </si>
  <si>
    <t>002805</t>
  </si>
  <si>
    <t>王子新材</t>
  </si>
  <si>
    <t>002735</t>
  </si>
  <si>
    <t>天宸股份</t>
  </si>
  <si>
    <t>600620</t>
  </si>
  <si>
    <t>津滨发展</t>
  </si>
  <si>
    <t>000897</t>
  </si>
  <si>
    <t>国新文化</t>
  </si>
  <si>
    <t>600636</t>
  </si>
  <si>
    <t>濮耐股份</t>
  </si>
  <si>
    <t>002225</t>
  </si>
  <si>
    <t>中孚信息</t>
  </si>
  <si>
    <t>300659</t>
  </si>
  <si>
    <t>中天精装</t>
  </si>
  <si>
    <t>002989</t>
  </si>
  <si>
    <t>景兴纸业</t>
  </si>
  <si>
    <t>002067</t>
  </si>
  <si>
    <t>杰普特</t>
  </si>
  <si>
    <t>688025</t>
  </si>
  <si>
    <t>梅安森</t>
  </si>
  <si>
    <t>300275</t>
  </si>
  <si>
    <t>天龙集团</t>
  </si>
  <si>
    <t>300063</t>
  </si>
  <si>
    <t>浙江仙通</t>
  </si>
  <si>
    <t>603239</t>
  </si>
  <si>
    <t>晨光新材</t>
  </si>
  <si>
    <t>605399</t>
  </si>
  <si>
    <t>梦百合</t>
  </si>
  <si>
    <t>603313</t>
  </si>
  <si>
    <t>博深股份</t>
  </si>
  <si>
    <t>002282</t>
  </si>
  <si>
    <t>秋田微</t>
  </si>
  <si>
    <t>300939</t>
  </si>
  <si>
    <t>蓝黛科技</t>
  </si>
  <si>
    <t>002765</t>
  </si>
  <si>
    <t>竞业达</t>
  </si>
  <si>
    <t>003005</t>
  </si>
  <si>
    <t>龙溪股份</t>
  </si>
  <si>
    <t>600592</t>
  </si>
  <si>
    <t>银信科技</t>
  </si>
  <si>
    <t>300231</t>
  </si>
  <si>
    <t>合百集团</t>
  </si>
  <si>
    <t>000417</t>
  </si>
  <si>
    <t>哈尔斯</t>
  </si>
  <si>
    <t>002615</t>
  </si>
  <si>
    <t>益民集团</t>
  </si>
  <si>
    <t>600824</t>
  </si>
  <si>
    <t>世名科技</t>
  </si>
  <si>
    <t>300522</t>
  </si>
  <si>
    <t>永艺股份</t>
  </si>
  <si>
    <t>603600</t>
  </si>
  <si>
    <t>贵绳股份</t>
  </si>
  <si>
    <t>600992</t>
  </si>
  <si>
    <t>佳发教育</t>
  </si>
  <si>
    <t>300559</t>
  </si>
  <si>
    <t>博云新材</t>
  </si>
  <si>
    <t>002297</t>
  </si>
  <si>
    <t>柘中股份</t>
  </si>
  <si>
    <t>002346</t>
  </si>
  <si>
    <t>海晨股份</t>
  </si>
  <si>
    <t>300873</t>
  </si>
  <si>
    <t>上海沿浦</t>
  </si>
  <si>
    <t>605128</t>
  </si>
  <si>
    <t>德生科技</t>
  </si>
  <si>
    <t>002908</t>
  </si>
  <si>
    <t>保利联合</t>
  </si>
  <si>
    <t>002037</t>
  </si>
  <si>
    <t>人民同泰</t>
  </si>
  <si>
    <t>600829</t>
  </si>
  <si>
    <t>国联水产</t>
  </si>
  <si>
    <t>300094</t>
  </si>
  <si>
    <t>农林牧渔-养殖业-水产养殖</t>
  </si>
  <si>
    <t>中原内配</t>
  </si>
  <si>
    <t>002448</t>
  </si>
  <si>
    <t>福龙马</t>
  </si>
  <si>
    <t>603686</t>
  </si>
  <si>
    <t>海伦哲</t>
  </si>
  <si>
    <t>300201</t>
  </si>
  <si>
    <t>金博股份</t>
  </si>
  <si>
    <t>688598</t>
  </si>
  <si>
    <t>北大医药</t>
  </si>
  <si>
    <t>000788</t>
  </si>
  <si>
    <t>阿科力</t>
  </si>
  <si>
    <t>603722</t>
  </si>
  <si>
    <t>朗特智能</t>
  </si>
  <si>
    <t>300916</t>
  </si>
  <si>
    <t>会通股份</t>
  </si>
  <si>
    <t>688219</t>
  </si>
  <si>
    <t>维力医疗</t>
  </si>
  <si>
    <t>603309</t>
  </si>
  <si>
    <t>大元泵业</t>
  </si>
  <si>
    <t>603757</t>
  </si>
  <si>
    <t>宏柏新材</t>
  </si>
  <si>
    <t>605366</t>
  </si>
  <si>
    <t>文峰股份</t>
  </si>
  <si>
    <t>601010</t>
  </si>
  <si>
    <t>北玻股份</t>
  </si>
  <si>
    <t>002613</t>
  </si>
  <si>
    <t>中马传动</t>
  </si>
  <si>
    <t>603767</t>
  </si>
  <si>
    <t>优利德</t>
  </si>
  <si>
    <t>688628</t>
  </si>
  <si>
    <t>米奥会展</t>
  </si>
  <si>
    <t>300795</t>
  </si>
  <si>
    <t>南方精工</t>
  </si>
  <si>
    <t>002553</t>
  </si>
  <si>
    <t>和远气体</t>
  </si>
  <si>
    <t>002971</t>
  </si>
  <si>
    <t>天桥起重</t>
  </si>
  <si>
    <t>002523</t>
  </si>
  <si>
    <t>思进智能</t>
  </si>
  <si>
    <t>003025</t>
  </si>
  <si>
    <t>圣元环保</t>
  </si>
  <si>
    <t>300867</t>
  </si>
  <si>
    <t>恒锋工具</t>
  </si>
  <si>
    <t>300488</t>
  </si>
  <si>
    <t>龙建股份</t>
  </si>
  <si>
    <t>600853</t>
  </si>
  <si>
    <t>健之佳</t>
  </si>
  <si>
    <t>605266</t>
  </si>
  <si>
    <t>宝泰隆</t>
  </si>
  <si>
    <t>601011</t>
  </si>
  <si>
    <t>华媒控股</t>
  </si>
  <si>
    <t>000607</t>
  </si>
  <si>
    <t>创识科技</t>
  </si>
  <si>
    <t>300941</t>
  </si>
  <si>
    <t>嘉事堂</t>
  </si>
  <si>
    <t>002462</t>
  </si>
  <si>
    <t>赛升药业</t>
  </si>
  <si>
    <t>300485</t>
  </si>
  <si>
    <t>川金诺</t>
  </si>
  <si>
    <t>300505</t>
  </si>
  <si>
    <t>嘉应制药</t>
  </si>
  <si>
    <t>002198</t>
  </si>
  <si>
    <t>电工合金</t>
  </si>
  <si>
    <t>300697</t>
  </si>
  <si>
    <t>华电辽能</t>
  </si>
  <si>
    <t>600396</t>
  </si>
  <si>
    <t>引力传媒</t>
  </si>
  <si>
    <t>603598</t>
  </si>
  <si>
    <t>佳力图</t>
  </si>
  <si>
    <t>603912</t>
  </si>
  <si>
    <t>华控赛格</t>
  </si>
  <si>
    <t>000068</t>
  </si>
  <si>
    <t>恒星科技</t>
  </si>
  <si>
    <t>002132</t>
  </si>
  <si>
    <t>三维化学</t>
  </si>
  <si>
    <t>002469</t>
  </si>
  <si>
    <t>九洲集团</t>
  </si>
  <si>
    <t>300040</t>
  </si>
  <si>
    <t>红星发展</t>
  </si>
  <si>
    <t>600367</t>
  </si>
  <si>
    <t>生意宝</t>
  </si>
  <si>
    <t>002095</t>
  </si>
  <si>
    <t>高澜股份</t>
  </si>
  <si>
    <t>300499</t>
  </si>
  <si>
    <t>致远新能</t>
  </si>
  <si>
    <t>300985</t>
  </si>
  <si>
    <t>福达股份</t>
  </si>
  <si>
    <t>603166</t>
  </si>
  <si>
    <t>宁波海运</t>
  </si>
  <si>
    <t>600798</t>
  </si>
  <si>
    <t>鑫科材料</t>
  </si>
  <si>
    <t>600255</t>
  </si>
  <si>
    <t>浩云科技</t>
  </si>
  <si>
    <t>300448</t>
  </si>
  <si>
    <t>汇金科技</t>
  </si>
  <si>
    <t>300561</t>
  </si>
  <si>
    <t>赛为智能</t>
  </si>
  <si>
    <t>300044</t>
  </si>
  <si>
    <t>常铝股份</t>
  </si>
  <si>
    <t>002160</t>
  </si>
  <si>
    <t>龙头股份</t>
  </si>
  <si>
    <t>600630</t>
  </si>
  <si>
    <t>春兴精工</t>
  </si>
  <si>
    <t>002547</t>
  </si>
  <si>
    <t>海南椰岛</t>
  </si>
  <si>
    <t>600238</t>
  </si>
  <si>
    <t>民德电子</t>
  </si>
  <si>
    <t>300656</t>
  </si>
  <si>
    <t>蜀道装备</t>
  </si>
  <si>
    <t>300540</t>
  </si>
  <si>
    <t>友阿股份</t>
  </si>
  <si>
    <t>002277</t>
  </si>
  <si>
    <t>腾达建设</t>
  </si>
  <si>
    <t>600512</t>
  </si>
  <si>
    <t>兴化股份</t>
  </si>
  <si>
    <t>002109</t>
  </si>
  <si>
    <t>星辉娱乐</t>
  </si>
  <si>
    <t>300043</t>
  </si>
  <si>
    <t>鹏鹞环保</t>
  </si>
  <si>
    <t>300664</t>
  </si>
  <si>
    <t>辉丰股份</t>
  </si>
  <si>
    <t>002496</t>
  </si>
  <si>
    <t>川环科技</t>
  </si>
  <si>
    <t>300547</t>
  </si>
  <si>
    <t>王力安防</t>
  </si>
  <si>
    <t>605268</t>
  </si>
  <si>
    <t>灵康药业</t>
  </si>
  <si>
    <t>603669</t>
  </si>
  <si>
    <t>同和药业</t>
  </si>
  <si>
    <t>300636</t>
  </si>
  <si>
    <t>日出东方</t>
  </si>
  <si>
    <t>603366</t>
  </si>
  <si>
    <t>君亭酒店</t>
  </si>
  <si>
    <t>301073</t>
  </si>
  <si>
    <t>新筑股份</t>
  </si>
  <si>
    <t>002480</t>
  </si>
  <si>
    <t>跨境通</t>
  </si>
  <si>
    <t>002640</t>
  </si>
  <si>
    <t>路畅科技</t>
  </si>
  <si>
    <t>002813</t>
  </si>
  <si>
    <t>安恒信息</t>
  </si>
  <si>
    <t>688023</t>
  </si>
  <si>
    <t>综艺股份</t>
  </si>
  <si>
    <t>600770</t>
  </si>
  <si>
    <t>安利股份</t>
  </si>
  <si>
    <t>300218</t>
  </si>
  <si>
    <t>嘉诚国际</t>
  </si>
  <si>
    <t>603535</t>
  </si>
  <si>
    <t>华茂股份</t>
  </si>
  <si>
    <t>000850</t>
  </si>
  <si>
    <t>四会富仕</t>
  </si>
  <si>
    <t>300852</t>
  </si>
  <si>
    <t>中关村</t>
  </si>
  <si>
    <t>000931</t>
  </si>
  <si>
    <t>佩蒂股份</t>
  </si>
  <si>
    <t>300673</t>
  </si>
  <si>
    <t>天际股份</t>
  </si>
  <si>
    <t>002759</t>
  </si>
  <si>
    <t>舒泰神</t>
  </si>
  <si>
    <t>300204</t>
  </si>
  <si>
    <t>济民健康</t>
  </si>
  <si>
    <t>603222</t>
  </si>
  <si>
    <t>中材节能</t>
  </si>
  <si>
    <t>603126</t>
  </si>
  <si>
    <t>徐家汇</t>
  </si>
  <si>
    <t>002561</t>
  </si>
  <si>
    <t>金岭矿业</t>
  </si>
  <si>
    <t>000655</t>
  </si>
  <si>
    <t>中欣氟材</t>
  </si>
  <si>
    <t>002915</t>
  </si>
  <si>
    <t>科锐国际</t>
  </si>
  <si>
    <t>300662</t>
  </si>
  <si>
    <t>中创环保</t>
  </si>
  <si>
    <t>300056</t>
  </si>
  <si>
    <t>国光连锁</t>
  </si>
  <si>
    <t>605188</t>
  </si>
  <si>
    <t>广信材料</t>
  </si>
  <si>
    <t>300537</t>
  </si>
  <si>
    <t>鹏翎股份</t>
  </si>
  <si>
    <t>300375</t>
  </si>
  <si>
    <t>华天酒店</t>
  </si>
  <si>
    <t>000428</t>
  </si>
  <si>
    <t>京泉华</t>
  </si>
  <si>
    <t>002885</t>
  </si>
  <si>
    <t>三和管桩</t>
  </si>
  <si>
    <t>003037</t>
  </si>
  <si>
    <t>四方科技</t>
  </si>
  <si>
    <t>603339</t>
  </si>
  <si>
    <t>云南城投</t>
  </si>
  <si>
    <t>600239</t>
  </si>
  <si>
    <t>出版传媒</t>
  </si>
  <si>
    <t>601999</t>
  </si>
  <si>
    <t>德宏股份</t>
  </si>
  <si>
    <t>603701</t>
  </si>
  <si>
    <t>凯利泰</t>
  </si>
  <si>
    <t>300326</t>
  </si>
  <si>
    <t>广生堂</t>
  </si>
  <si>
    <t>300436</t>
  </si>
  <si>
    <t>中电环保</t>
  </si>
  <si>
    <t>300172</t>
  </si>
  <si>
    <t>华西能源</t>
  </si>
  <si>
    <t>002630</t>
  </si>
  <si>
    <t>奥来德</t>
  </si>
  <si>
    <t>688378</t>
  </si>
  <si>
    <t>贝仕达克</t>
  </si>
  <si>
    <t>300822</t>
  </si>
  <si>
    <t>宝色股份</t>
  </si>
  <si>
    <t>300402</t>
  </si>
  <si>
    <t>国安达</t>
  </si>
  <si>
    <t>300902</t>
  </si>
  <si>
    <t>金枫酒业</t>
  </si>
  <si>
    <t>600616</t>
  </si>
  <si>
    <t>天智航</t>
  </si>
  <si>
    <t>688277</t>
  </si>
  <si>
    <t>国际实业</t>
  </si>
  <si>
    <t>000159</t>
  </si>
  <si>
    <t>惠博普</t>
  </si>
  <si>
    <t>002554</t>
  </si>
  <si>
    <t>亚士创能</t>
  </si>
  <si>
    <t>603378</t>
  </si>
  <si>
    <t>悦达投资</t>
  </si>
  <si>
    <t>600805</t>
  </si>
  <si>
    <t>广百股份</t>
  </si>
  <si>
    <t>002187</t>
  </si>
  <si>
    <t>双环科技</t>
  </si>
  <si>
    <t>000707</t>
  </si>
  <si>
    <t>国风新材</t>
  </si>
  <si>
    <t>000859</t>
  </si>
  <si>
    <t>依米康</t>
  </si>
  <si>
    <t>300249</t>
  </si>
  <si>
    <t>昂立教育</t>
  </si>
  <si>
    <t>600661</t>
  </si>
  <si>
    <t>新天科技</t>
  </si>
  <si>
    <t>300259</t>
  </si>
  <si>
    <t>大恒科技</t>
  </si>
  <si>
    <t>600288</t>
  </si>
  <si>
    <t>肇民科技</t>
  </si>
  <si>
    <t>301000</t>
  </si>
  <si>
    <t>合兴包装</t>
  </si>
  <si>
    <t>002228</t>
  </si>
  <si>
    <t>劲拓股份</t>
  </si>
  <si>
    <t>300400</t>
  </si>
  <si>
    <t>神思电子</t>
  </si>
  <si>
    <t>300479</t>
  </si>
  <si>
    <t>经纬辉开</t>
  </si>
  <si>
    <t>300120</t>
  </si>
  <si>
    <t>通光线缆</t>
  </si>
  <si>
    <t>300265</t>
  </si>
  <si>
    <t>世纪天鸿</t>
  </si>
  <si>
    <t>300654</t>
  </si>
  <si>
    <t>蒙娜丽莎</t>
  </si>
  <si>
    <t>002918</t>
  </si>
  <si>
    <t>秦安股份</t>
  </si>
  <si>
    <t>603758</t>
  </si>
  <si>
    <t>天箭科技</t>
  </si>
  <si>
    <t>002977</t>
  </si>
  <si>
    <t>广弘控股</t>
  </si>
  <si>
    <t>000529</t>
  </si>
  <si>
    <t>水星家纺</t>
  </si>
  <si>
    <t>603365</t>
  </si>
  <si>
    <t>翔丰华</t>
  </si>
  <si>
    <t>300890</t>
  </si>
  <si>
    <t>中央商场</t>
  </si>
  <si>
    <t>600280</t>
  </si>
  <si>
    <t>腾景科技</t>
  </si>
  <si>
    <t>688195</t>
  </si>
  <si>
    <t>开能健康</t>
  </si>
  <si>
    <t>300272</t>
  </si>
  <si>
    <t>隆利科技</t>
  </si>
  <si>
    <t>300752</t>
  </si>
  <si>
    <t>诚益通</t>
  </si>
  <si>
    <t>300430</t>
  </si>
  <si>
    <t>亚玛顿</t>
  </si>
  <si>
    <t>002623</t>
  </si>
  <si>
    <t>同为股份</t>
  </si>
  <si>
    <t>002835</t>
  </si>
  <si>
    <t>杭州柯林</t>
  </si>
  <si>
    <t>688611</t>
  </si>
  <si>
    <t>常青股份</t>
  </si>
  <si>
    <t>603768</t>
  </si>
  <si>
    <t>黄河旋风</t>
  </si>
  <si>
    <t>600172</t>
  </si>
  <si>
    <t>南大环境</t>
  </si>
  <si>
    <t>300864</t>
  </si>
  <si>
    <t>杭电股份</t>
  </si>
  <si>
    <t>603618</t>
  </si>
  <si>
    <t>康斯特</t>
  </si>
  <si>
    <t>300445</t>
  </si>
  <si>
    <t>华盛昌</t>
  </si>
  <si>
    <t>002980</t>
  </si>
  <si>
    <t>远望谷</t>
  </si>
  <si>
    <t>002161</t>
  </si>
  <si>
    <t>铜峰电子</t>
  </si>
  <si>
    <t>600237</t>
  </si>
  <si>
    <t>嘉欣丝绸</t>
  </si>
  <si>
    <t>002404</t>
  </si>
  <si>
    <t>键凯科技</t>
  </si>
  <si>
    <t>688356</t>
  </si>
  <si>
    <t>潍柴重机</t>
  </si>
  <si>
    <t>000880</t>
  </si>
  <si>
    <t>西昌电力</t>
  </si>
  <si>
    <t>600505</t>
  </si>
  <si>
    <t>宏力达</t>
  </si>
  <si>
    <t>688330</t>
  </si>
  <si>
    <t>莱茵体育</t>
  </si>
  <si>
    <t>000558</t>
  </si>
  <si>
    <t>圣阳股份</t>
  </si>
  <si>
    <t>002580</t>
  </si>
  <si>
    <t>大西洋</t>
  </si>
  <si>
    <t>600558</t>
  </si>
  <si>
    <t>燕麦科技</t>
  </si>
  <si>
    <t>688312</t>
  </si>
  <si>
    <t>翔港科技</t>
  </si>
  <si>
    <t>603499</t>
  </si>
  <si>
    <t>西菱动力</t>
  </si>
  <si>
    <t>300733</t>
  </si>
  <si>
    <t>顺威股份</t>
  </si>
  <si>
    <t>002676</t>
  </si>
  <si>
    <t>泰和科技</t>
  </si>
  <si>
    <t>300801</t>
  </si>
  <si>
    <t>长青股份</t>
  </si>
  <si>
    <t>002391</t>
  </si>
  <si>
    <t>青龙管业</t>
  </si>
  <si>
    <t>002457</t>
  </si>
  <si>
    <t>永创智能</t>
  </si>
  <si>
    <t>603901</t>
  </si>
  <si>
    <t>盟升电子</t>
  </si>
  <si>
    <t>688311</t>
  </si>
  <si>
    <t>凌志软件</t>
  </si>
  <si>
    <t>688588</t>
  </si>
  <si>
    <t>福星股份</t>
  </si>
  <si>
    <t>000926</t>
  </si>
  <si>
    <t>泰豪科技</t>
  </si>
  <si>
    <t>600590</t>
  </si>
  <si>
    <t>辉煌科技</t>
  </si>
  <si>
    <t>002296</t>
  </si>
  <si>
    <t>平潭发展</t>
  </si>
  <si>
    <t>000592</t>
  </si>
  <si>
    <t>农林牧渔-种植业与林业-林业</t>
  </si>
  <si>
    <t>海得控制</t>
  </si>
  <si>
    <t>002184</t>
  </si>
  <si>
    <t>欣贺股份</t>
  </si>
  <si>
    <t>003016</t>
  </si>
  <si>
    <t>东望时代</t>
  </si>
  <si>
    <t>600052</t>
  </si>
  <si>
    <t>天龙股份</t>
  </si>
  <si>
    <t>603266</t>
  </si>
  <si>
    <t>惠云钛业</t>
  </si>
  <si>
    <t>300891</t>
  </si>
  <si>
    <t>凯立新材</t>
  </si>
  <si>
    <t>688269</t>
  </si>
  <si>
    <t>金新农</t>
  </si>
  <si>
    <t>002548</t>
  </si>
  <si>
    <t>乐凯胶片</t>
  </si>
  <si>
    <t>600135</t>
  </si>
  <si>
    <t>实益达</t>
  </si>
  <si>
    <t>002137</t>
  </si>
  <si>
    <t>永吉股份</t>
  </si>
  <si>
    <t>603058</t>
  </si>
  <si>
    <t>山大地纬</t>
  </si>
  <si>
    <t>688579</t>
  </si>
  <si>
    <t>赤天化</t>
  </si>
  <si>
    <t>600227</t>
  </si>
  <si>
    <t>元祖股份</t>
  </si>
  <si>
    <t>603886</t>
  </si>
  <si>
    <t>科兴制药</t>
  </si>
  <si>
    <t>688136</t>
  </si>
  <si>
    <t>江山欧派</t>
  </si>
  <si>
    <t>603208</t>
  </si>
  <si>
    <t>金智科技</t>
  </si>
  <si>
    <t>002090</t>
  </si>
  <si>
    <t>步科股份</t>
  </si>
  <si>
    <t>688160</t>
  </si>
  <si>
    <t>震有科技</t>
  </si>
  <si>
    <t>688418</t>
  </si>
  <si>
    <t>恒华科技</t>
  </si>
  <si>
    <t>300365</t>
  </si>
  <si>
    <t>福鞍股份</t>
  </si>
  <si>
    <t>603315</t>
  </si>
  <si>
    <t>森源电气</t>
  </si>
  <si>
    <t>002358</t>
  </si>
  <si>
    <t>戴维医疗</t>
  </si>
  <si>
    <t>300314</t>
  </si>
  <si>
    <t>长青集团</t>
  </si>
  <si>
    <t>002616</t>
  </si>
  <si>
    <t>兴民智通</t>
  </si>
  <si>
    <t>002355</t>
  </si>
  <si>
    <t>思特奇</t>
  </si>
  <si>
    <t>300608</t>
  </si>
  <si>
    <t>云维股份</t>
  </si>
  <si>
    <t>600725</t>
  </si>
  <si>
    <t>文一科技</t>
  </si>
  <si>
    <t>600520</t>
  </si>
  <si>
    <t>乐山电力</t>
  </si>
  <si>
    <t>600644</t>
  </si>
  <si>
    <t>亿田智能</t>
  </si>
  <si>
    <t>300911</t>
  </si>
  <si>
    <t>恒申新材</t>
  </si>
  <si>
    <t>000782</t>
  </si>
  <si>
    <t>创新医疗</t>
  </si>
  <si>
    <t>002173</t>
  </si>
  <si>
    <t>新能泰山</t>
  </si>
  <si>
    <t>000720</t>
  </si>
  <si>
    <t>海能实业</t>
  </si>
  <si>
    <t>300787</t>
  </si>
  <si>
    <t>双一科技</t>
  </si>
  <si>
    <t>300690</t>
  </si>
  <si>
    <t>阿拉丁</t>
  </si>
  <si>
    <t>688179</t>
  </si>
  <si>
    <t>麒盛科技</t>
  </si>
  <si>
    <t>603610</t>
  </si>
  <si>
    <t>杭齿前进</t>
  </si>
  <si>
    <t>601177</t>
  </si>
  <si>
    <t>苏博特</t>
  </si>
  <si>
    <t>603916</t>
  </si>
  <si>
    <t>克明食品</t>
  </si>
  <si>
    <t>002661</t>
  </si>
  <si>
    <t>中创物流</t>
  </si>
  <si>
    <t>603967</t>
  </si>
  <si>
    <t>中青宝</t>
  </si>
  <si>
    <t>300052</t>
  </si>
  <si>
    <t>浩通科技</t>
  </si>
  <si>
    <t>301026</t>
  </si>
  <si>
    <t>新兴装备</t>
  </si>
  <si>
    <t>002933</t>
  </si>
  <si>
    <t>诺思兰德</t>
  </si>
  <si>
    <t>430047</t>
  </si>
  <si>
    <t>维科技术</t>
  </si>
  <si>
    <t>600152</t>
  </si>
  <si>
    <t>神剑股份</t>
  </si>
  <si>
    <t>002361</t>
  </si>
  <si>
    <t>交控科技</t>
  </si>
  <si>
    <t>688015</t>
  </si>
  <si>
    <t>金石亚药</t>
  </si>
  <si>
    <t>300434</t>
  </si>
  <si>
    <t>城地香江</t>
  </si>
  <si>
    <t>603887</t>
  </si>
  <si>
    <t>必创科技</t>
  </si>
  <si>
    <t>300667</t>
  </si>
  <si>
    <t>颖泰生物</t>
  </si>
  <si>
    <t>833819</t>
  </si>
  <si>
    <t>漳州发展</t>
  </si>
  <si>
    <t>000753</t>
  </si>
  <si>
    <t>晋亿实业</t>
  </si>
  <si>
    <t>601002</t>
  </si>
  <si>
    <t>电声股份</t>
  </si>
  <si>
    <t>300805</t>
  </si>
  <si>
    <t>光莆股份</t>
  </si>
  <si>
    <t>300632</t>
  </si>
  <si>
    <t>大东方</t>
  </si>
  <si>
    <t>600327</t>
  </si>
  <si>
    <t>富春股份</t>
  </si>
  <si>
    <t>300299</t>
  </si>
  <si>
    <t>华软科技</t>
  </si>
  <si>
    <t>002453</t>
  </si>
  <si>
    <t>均瑶健康</t>
  </si>
  <si>
    <t>605388</t>
  </si>
  <si>
    <t>尤夫股份</t>
  </si>
  <si>
    <t>002427</t>
  </si>
  <si>
    <t>溢多利</t>
  </si>
  <si>
    <t>300381</t>
  </si>
  <si>
    <t>惠伦晶体</t>
  </si>
  <si>
    <t>300460</t>
  </si>
  <si>
    <t>壹石通</t>
  </si>
  <si>
    <t>688733</t>
  </si>
  <si>
    <t>科华生物</t>
  </si>
  <si>
    <t>002022</t>
  </si>
  <si>
    <t>丽尚国潮</t>
  </si>
  <si>
    <t>600738</t>
  </si>
  <si>
    <t>有研粉材</t>
  </si>
  <si>
    <t>688456</t>
  </si>
  <si>
    <t>亿晶光电</t>
  </si>
  <si>
    <t>600537</t>
  </si>
  <si>
    <t>倍轻松</t>
  </si>
  <si>
    <t>688793</t>
  </si>
  <si>
    <t>莱美药业</t>
  </si>
  <si>
    <t>300006</t>
  </si>
  <si>
    <t>中毅达</t>
  </si>
  <si>
    <t>600610</t>
  </si>
  <si>
    <t>海特生物</t>
  </si>
  <si>
    <t>300683</t>
  </si>
  <si>
    <t>尖峰集团</t>
  </si>
  <si>
    <t>600668</t>
  </si>
  <si>
    <t>禾盛新材</t>
  </si>
  <si>
    <t>002290</t>
  </si>
  <si>
    <t>巨力索具</t>
  </si>
  <si>
    <t>002342</t>
  </si>
  <si>
    <t>聚合顺</t>
  </si>
  <si>
    <t>605166</t>
  </si>
  <si>
    <t>全柴动力</t>
  </si>
  <si>
    <t>600218</t>
  </si>
  <si>
    <t>华远地产</t>
  </si>
  <si>
    <t>600743</t>
  </si>
  <si>
    <t>珠海中富</t>
  </si>
  <si>
    <t>000659</t>
  </si>
  <si>
    <t>群兴玩具</t>
  </si>
  <si>
    <t>002575</t>
  </si>
  <si>
    <t>高盟新材</t>
  </si>
  <si>
    <t>300200</t>
  </si>
  <si>
    <t>国投中鲁</t>
  </si>
  <si>
    <t>600962</t>
  </si>
  <si>
    <t>南极光</t>
  </si>
  <si>
    <t>300940</t>
  </si>
  <si>
    <t>和仁科技</t>
  </si>
  <si>
    <t>300550</t>
  </si>
  <si>
    <t>舒华体育</t>
  </si>
  <si>
    <t>605299</t>
  </si>
  <si>
    <t>英联股份</t>
  </si>
  <si>
    <t>002846</t>
  </si>
  <si>
    <t>博济医药</t>
  </si>
  <si>
    <t>300404</t>
  </si>
  <si>
    <t>平治信息</t>
  </si>
  <si>
    <t>300571</t>
  </si>
  <si>
    <t>雷尔伟</t>
  </si>
  <si>
    <t>301016</t>
  </si>
  <si>
    <t>中新赛克</t>
  </si>
  <si>
    <t>002912</t>
  </si>
  <si>
    <t>深中华A</t>
  </si>
  <si>
    <t>000017</t>
  </si>
  <si>
    <t>卓易信息</t>
  </si>
  <si>
    <t>688258</t>
  </si>
  <si>
    <t>恒信东方</t>
  </si>
  <si>
    <t>300081</t>
  </si>
  <si>
    <t>天保基建</t>
  </si>
  <si>
    <t>000965</t>
  </si>
  <si>
    <t>润都股份</t>
  </si>
  <si>
    <t>002923</t>
  </si>
  <si>
    <t>鹭燕医药</t>
  </si>
  <si>
    <t>002788</t>
  </si>
  <si>
    <t>三峡新材</t>
  </si>
  <si>
    <t>600293</t>
  </si>
  <si>
    <t>来伊份</t>
  </si>
  <si>
    <t>603777</t>
  </si>
  <si>
    <t>中岩大地</t>
  </si>
  <si>
    <t>003001</t>
  </si>
  <si>
    <t>阳谷华泰</t>
  </si>
  <si>
    <t>300121</t>
  </si>
  <si>
    <t>安车检测</t>
  </si>
  <si>
    <t>300572</t>
  </si>
  <si>
    <t>向日葵</t>
  </si>
  <si>
    <t>300111</t>
  </si>
  <si>
    <t>之江生物</t>
  </si>
  <si>
    <t>688317</t>
  </si>
  <si>
    <t>万林物流</t>
  </si>
  <si>
    <t>603117</t>
  </si>
  <si>
    <t>畅联股份</t>
  </si>
  <si>
    <t>603648</t>
  </si>
  <si>
    <t>瑞丰光电</t>
  </si>
  <si>
    <t>300241</t>
  </si>
  <si>
    <t>永清环保</t>
  </si>
  <si>
    <t>300187</t>
  </si>
  <si>
    <t>建设机械</t>
  </si>
  <si>
    <t>600984</t>
  </si>
  <si>
    <t>华丽家族</t>
  </si>
  <si>
    <t>600503</t>
  </si>
  <si>
    <t>上海九百</t>
  </si>
  <si>
    <t>600838</t>
  </si>
  <si>
    <t>再升科技</t>
  </si>
  <si>
    <t>603601</t>
  </si>
  <si>
    <t>方大集团</t>
  </si>
  <si>
    <t>000055</t>
  </si>
  <si>
    <t>陕西金叶</t>
  </si>
  <si>
    <t>000812</t>
  </si>
  <si>
    <t>读者传媒</t>
  </si>
  <si>
    <t>603999</t>
  </si>
  <si>
    <t>领湃科技</t>
  </si>
  <si>
    <t>300530</t>
  </si>
  <si>
    <t>广博股份</t>
  </si>
  <si>
    <t>002103</t>
  </si>
  <si>
    <t>蓝海华腾</t>
  </si>
  <si>
    <t>300484</t>
  </si>
  <si>
    <t>德尔股份</t>
  </si>
  <si>
    <t>300473</t>
  </si>
  <si>
    <t>大禹节水</t>
  </si>
  <si>
    <t>300021</t>
  </si>
  <si>
    <t>荣晟环保</t>
  </si>
  <si>
    <t>603165</t>
  </si>
  <si>
    <t>通达电气</t>
  </si>
  <si>
    <t>603390</t>
  </si>
  <si>
    <t>浙江众成</t>
  </si>
  <si>
    <t>002522</t>
  </si>
  <si>
    <t>威尔药业</t>
  </si>
  <si>
    <t>603351</t>
  </si>
  <si>
    <t>瑞尔特</t>
  </si>
  <si>
    <t>002790</t>
  </si>
  <si>
    <t>合锻智能</t>
  </si>
  <si>
    <t>603011</t>
  </si>
  <si>
    <t>金河生物</t>
  </si>
  <si>
    <t>002688</t>
  </si>
  <si>
    <t>安控科技</t>
  </si>
  <si>
    <t>300370</t>
  </si>
  <si>
    <t>榕基软件</t>
  </si>
  <si>
    <t>002474</t>
  </si>
  <si>
    <t>信测标准</t>
  </si>
  <si>
    <t>300938</t>
  </si>
  <si>
    <t>科翔股份</t>
  </si>
  <si>
    <t>300903</t>
  </si>
  <si>
    <t>中电兴发</t>
  </si>
  <si>
    <t>002298</t>
  </si>
  <si>
    <t>武进不锈</t>
  </si>
  <si>
    <t>603878</t>
  </si>
  <si>
    <t>博通集成</t>
  </si>
  <si>
    <t>603068</t>
  </si>
  <si>
    <t>新力金融</t>
  </si>
  <si>
    <t>600318</t>
  </si>
  <si>
    <t>元隆雅图</t>
  </si>
  <si>
    <t>002878</t>
  </si>
  <si>
    <t>西安旅游</t>
  </si>
  <si>
    <t>000610</t>
  </si>
  <si>
    <t>新坐标</t>
  </si>
  <si>
    <t>603040</t>
  </si>
  <si>
    <t>通达股份</t>
  </si>
  <si>
    <t>002560</t>
  </si>
  <si>
    <t>积成电子</t>
  </si>
  <si>
    <t>002339</t>
  </si>
  <si>
    <t>金洲管道</t>
  </si>
  <si>
    <t>002443</t>
  </si>
  <si>
    <t>音飞储存</t>
  </si>
  <si>
    <t>603066</t>
  </si>
  <si>
    <t>博迈科</t>
  </si>
  <si>
    <t>603727</t>
  </si>
  <si>
    <t>恒而达</t>
  </si>
  <si>
    <t>300946</t>
  </si>
  <si>
    <t>棕榈股份</t>
  </si>
  <si>
    <t>002431</t>
  </si>
  <si>
    <t>中富通</t>
  </si>
  <si>
    <t>300560</t>
  </si>
  <si>
    <t>英飞特</t>
  </si>
  <si>
    <t>300582</t>
  </si>
  <si>
    <t>北方股份</t>
  </si>
  <si>
    <t>600262</t>
  </si>
  <si>
    <t>中广天择</t>
  </si>
  <si>
    <t>603721</t>
  </si>
  <si>
    <t>神奇制药</t>
  </si>
  <si>
    <t>600613</t>
  </si>
  <si>
    <t>航新科技</t>
  </si>
  <si>
    <t>300424</t>
  </si>
  <si>
    <t>创力集团</t>
  </si>
  <si>
    <t>603012</t>
  </si>
  <si>
    <t>星云股份</t>
  </si>
  <si>
    <t>300648</t>
  </si>
  <si>
    <t>福成股份</t>
  </si>
  <si>
    <t>600965</t>
  </si>
  <si>
    <t>弘讯科技</t>
  </si>
  <si>
    <t>603015</t>
  </si>
  <si>
    <t>远大智能</t>
  </si>
  <si>
    <t>002689</t>
  </si>
  <si>
    <t>深南电A</t>
  </si>
  <si>
    <t>000037</t>
  </si>
  <si>
    <t>阿石创</t>
  </si>
  <si>
    <t>300706</t>
  </si>
  <si>
    <t>康德莱</t>
  </si>
  <si>
    <t>603987</t>
  </si>
  <si>
    <t>龙源技术</t>
  </si>
  <si>
    <t>300105</t>
  </si>
  <si>
    <t>中能电气</t>
  </si>
  <si>
    <t>300062</t>
  </si>
  <si>
    <t>金奥博</t>
  </si>
  <si>
    <t>002917</t>
  </si>
  <si>
    <t>润禾材料</t>
  </si>
  <si>
    <t>300727</t>
  </si>
  <si>
    <t>扬电科技</t>
  </si>
  <si>
    <t>301012</t>
  </si>
  <si>
    <t>明微电子</t>
  </si>
  <si>
    <t>688699</t>
  </si>
  <si>
    <t>天目湖</t>
  </si>
  <si>
    <t>603136</t>
  </si>
  <si>
    <t>苏常柴A</t>
  </si>
  <si>
    <t>000570</t>
  </si>
  <si>
    <t>京投发展</t>
  </si>
  <si>
    <t>600683</t>
  </si>
  <si>
    <t>唐德影视</t>
  </si>
  <si>
    <t>300426</t>
  </si>
  <si>
    <t>山东玻纤</t>
  </si>
  <si>
    <t>605006</t>
  </si>
  <si>
    <t>全通教育</t>
  </si>
  <si>
    <t>300359</t>
  </si>
  <si>
    <t>正威新材</t>
  </si>
  <si>
    <t>002201</t>
  </si>
  <si>
    <t>青岛双星</t>
  </si>
  <si>
    <t>000599</t>
  </si>
  <si>
    <t>天宜上佳</t>
  </si>
  <si>
    <t>688033</t>
  </si>
  <si>
    <t>中超控股</t>
  </si>
  <si>
    <t>002471</t>
  </si>
  <si>
    <t>初灵信息</t>
  </si>
  <si>
    <t>300250</t>
  </si>
  <si>
    <t>田中精机</t>
  </si>
  <si>
    <t>300461</t>
  </si>
  <si>
    <t>海天瑞声</t>
  </si>
  <si>
    <t>688787</t>
  </si>
  <si>
    <t>龙磁科技</t>
  </si>
  <si>
    <t>300835</t>
  </si>
  <si>
    <t>迈普医学</t>
  </si>
  <si>
    <t>301033</t>
  </si>
  <si>
    <t>茂硕电源</t>
  </si>
  <si>
    <t>002660</t>
  </si>
  <si>
    <t>金龙机电</t>
  </si>
  <si>
    <t>300032</t>
  </si>
  <si>
    <t>德联集团</t>
  </si>
  <si>
    <t>002666</t>
  </si>
  <si>
    <t>英力股份</t>
  </si>
  <si>
    <t>300956</t>
  </si>
  <si>
    <t>冠昊生物</t>
  </si>
  <si>
    <t>300238</t>
  </si>
  <si>
    <t>蔚蓝生物</t>
  </si>
  <si>
    <t>603739</t>
  </si>
  <si>
    <t>华塑控股</t>
  </si>
  <si>
    <t>000509</t>
  </si>
  <si>
    <t>黑芝麻</t>
  </si>
  <si>
    <t>000716</t>
  </si>
  <si>
    <t>元利科技</t>
  </si>
  <si>
    <t>603217</t>
  </si>
  <si>
    <t>汇纳科技</t>
  </si>
  <si>
    <t>300609</t>
  </si>
  <si>
    <t>珈伟新能</t>
  </si>
  <si>
    <t>300317</t>
  </si>
  <si>
    <t>越剑智能</t>
  </si>
  <si>
    <t>603095</t>
  </si>
  <si>
    <t>皖通科技</t>
  </si>
  <si>
    <t>002331</t>
  </si>
  <si>
    <t>瑞纳智能</t>
  </si>
  <si>
    <t>301129</t>
  </si>
  <si>
    <t>中建环能</t>
  </si>
  <si>
    <t>300425</t>
  </si>
  <si>
    <t>昇辉科技</t>
  </si>
  <si>
    <t>300423</t>
  </si>
  <si>
    <t>会畅通讯</t>
  </si>
  <si>
    <t>300578</t>
  </si>
  <si>
    <t>桂林旅游</t>
  </si>
  <si>
    <t>000978</t>
  </si>
  <si>
    <t>易天股份</t>
  </si>
  <si>
    <t>300812</t>
  </si>
  <si>
    <t>民和股份</t>
  </si>
  <si>
    <t>002234</t>
  </si>
  <si>
    <t>能辉科技</t>
  </si>
  <si>
    <t>301046</t>
  </si>
  <si>
    <t>利扬芯片</t>
  </si>
  <si>
    <t>688135</t>
  </si>
  <si>
    <t>森萱医药</t>
  </si>
  <si>
    <t>830946</t>
  </si>
  <si>
    <t>东贝集团</t>
  </si>
  <si>
    <t>601956</t>
  </si>
  <si>
    <t>三雄极光</t>
  </si>
  <si>
    <t>300625</t>
  </si>
  <si>
    <t>顺灏股份</t>
  </si>
  <si>
    <t>002565</t>
  </si>
  <si>
    <t>南山智尚</t>
  </si>
  <si>
    <t>300918</t>
  </si>
  <si>
    <t>湖南海利</t>
  </si>
  <si>
    <t>600731</t>
  </si>
  <si>
    <t>合纵科技</t>
  </si>
  <si>
    <t>300477</t>
  </si>
  <si>
    <t>三孚新科</t>
  </si>
  <si>
    <t>688359</t>
  </si>
  <si>
    <t>贝因美</t>
  </si>
  <si>
    <t>002570</t>
  </si>
  <si>
    <t>宝光股份</t>
  </si>
  <si>
    <t>600379</t>
  </si>
  <si>
    <t>宁波精达</t>
  </si>
  <si>
    <t>603088</t>
  </si>
  <si>
    <t>昂利康</t>
  </si>
  <si>
    <t>002940</t>
  </si>
  <si>
    <t>易瑞生物</t>
  </si>
  <si>
    <t>300942</t>
  </si>
  <si>
    <t>麦迪科技</t>
  </si>
  <si>
    <t>603990</t>
  </si>
  <si>
    <t>星球石墨</t>
  </si>
  <si>
    <t>688633</t>
  </si>
  <si>
    <t>中化岩土</t>
  </si>
  <si>
    <t>002542</t>
  </si>
  <si>
    <t>吉鑫科技</t>
  </si>
  <si>
    <t>601218</t>
  </si>
  <si>
    <t>新致软件</t>
  </si>
  <si>
    <t>688590</t>
  </si>
  <si>
    <t>华自科技</t>
  </si>
  <si>
    <t>300490</t>
  </si>
  <si>
    <t>北京科锐</t>
  </si>
  <si>
    <t>002350</t>
  </si>
  <si>
    <t>东方环宇</t>
  </si>
  <si>
    <t>603706</t>
  </si>
  <si>
    <t>东宝生物</t>
  </si>
  <si>
    <t>300239</t>
  </si>
  <si>
    <t>南京港</t>
  </si>
  <si>
    <t>002040</t>
  </si>
  <si>
    <t>利民股份</t>
  </si>
  <si>
    <t>002734</t>
  </si>
  <si>
    <t>北巴传媒</t>
  </si>
  <si>
    <t>600386</t>
  </si>
  <si>
    <t>海星股份</t>
  </si>
  <si>
    <t>603115</t>
  </si>
  <si>
    <t>南京公用</t>
  </si>
  <si>
    <t>000421</t>
  </si>
  <si>
    <t>威龙股份</t>
  </si>
  <si>
    <t>603779</t>
  </si>
  <si>
    <t>金鸿顺</t>
  </si>
  <si>
    <t>603922</t>
  </si>
  <si>
    <t>徕木股份</t>
  </si>
  <si>
    <t>603633</t>
  </si>
  <si>
    <t>新联电子</t>
  </si>
  <si>
    <t>002546</t>
  </si>
  <si>
    <t>泰坦科技</t>
  </si>
  <si>
    <t>688133</t>
  </si>
  <si>
    <t>科信技术</t>
  </si>
  <si>
    <t>300565</t>
  </si>
  <si>
    <t>神驰机电</t>
  </si>
  <si>
    <t>603109</t>
  </si>
  <si>
    <t>金达莱</t>
  </si>
  <si>
    <t>688057</t>
  </si>
  <si>
    <t>中英科技</t>
  </si>
  <si>
    <t>300936</t>
  </si>
  <si>
    <t>广农糖业</t>
  </si>
  <si>
    <t>000911</t>
  </si>
  <si>
    <t>睿能科技</t>
  </si>
  <si>
    <t>603933</t>
  </si>
  <si>
    <t>全聚德</t>
  </si>
  <si>
    <t>002186</t>
  </si>
  <si>
    <t>南华生物</t>
  </si>
  <si>
    <t>000504</t>
  </si>
  <si>
    <t>南国置业</t>
  </si>
  <si>
    <t>002305</t>
  </si>
  <si>
    <t>凯撒文化</t>
  </si>
  <si>
    <t>002425</t>
  </si>
  <si>
    <t>天正电气</t>
  </si>
  <si>
    <t>605066</t>
  </si>
  <si>
    <t>渝开发</t>
  </si>
  <si>
    <t>000514</t>
  </si>
  <si>
    <t>汉森制药</t>
  </si>
  <si>
    <t>002412</t>
  </si>
  <si>
    <t>金刚光伏</t>
  </si>
  <si>
    <t>300093</t>
  </si>
  <si>
    <t>嘉美包装</t>
  </si>
  <si>
    <t>002969</t>
  </si>
  <si>
    <t>远方信息</t>
  </si>
  <si>
    <t>300306</t>
  </si>
  <si>
    <t>永利股份</t>
  </si>
  <si>
    <t>300230</t>
  </si>
  <si>
    <t>智慧农业</t>
  </si>
  <si>
    <t>000816</t>
  </si>
  <si>
    <t>英诺激光</t>
  </si>
  <si>
    <t>301021</t>
  </si>
  <si>
    <t>金自天正</t>
  </si>
  <si>
    <t>600560</t>
  </si>
  <si>
    <t>同益股份</t>
  </si>
  <si>
    <t>300538</t>
  </si>
  <si>
    <t>悦心健康</t>
  </si>
  <si>
    <t>002162</t>
  </si>
  <si>
    <t>宁波高发</t>
  </si>
  <si>
    <t>603788</t>
  </si>
  <si>
    <t>哈三联</t>
  </si>
  <si>
    <t>002900</t>
  </si>
  <si>
    <t>久量股份</t>
  </si>
  <si>
    <t>300808</t>
  </si>
  <si>
    <t>盛通股份</t>
  </si>
  <si>
    <t>002599</t>
  </si>
  <si>
    <t>光韵达</t>
  </si>
  <si>
    <t>300227</t>
  </si>
  <si>
    <t>嘉必优</t>
  </si>
  <si>
    <t>688089</t>
  </si>
  <si>
    <t>北纬科技</t>
  </si>
  <si>
    <t>002148</t>
  </si>
  <si>
    <t>东宏股份</t>
  </si>
  <si>
    <t>603856</t>
  </si>
  <si>
    <t>林州重机</t>
  </si>
  <si>
    <t>002535</t>
  </si>
  <si>
    <t>迅游科技</t>
  </si>
  <si>
    <t>300467</t>
  </si>
  <si>
    <t>贝瑞基因</t>
  </si>
  <si>
    <t>000710</t>
  </si>
  <si>
    <t>水发燃气</t>
  </si>
  <si>
    <t>603318</t>
  </si>
  <si>
    <t>中旗股份</t>
  </si>
  <si>
    <t>300575</t>
  </si>
  <si>
    <t>中国高科</t>
  </si>
  <si>
    <t>600730</t>
  </si>
  <si>
    <t>金太阳</t>
  </si>
  <si>
    <t>300606</t>
  </si>
  <si>
    <t>广东明珠</t>
  </si>
  <si>
    <t>600382</t>
  </si>
  <si>
    <t>琏升科技</t>
  </si>
  <si>
    <t>300051</t>
  </si>
  <si>
    <t>森林包装</t>
  </si>
  <si>
    <t>605500</t>
  </si>
  <si>
    <t>华锐精密</t>
  </si>
  <si>
    <t>688059</t>
  </si>
  <si>
    <t>顾地科技</t>
  </si>
  <si>
    <t>002694</t>
  </si>
  <si>
    <t>建业股份</t>
  </si>
  <si>
    <t>603948</t>
  </si>
  <si>
    <t>朝阳科技</t>
  </si>
  <si>
    <t>002981</t>
  </si>
  <si>
    <t>延华智能</t>
  </si>
  <si>
    <t>002178</t>
  </si>
  <si>
    <t>和林微纳</t>
  </si>
  <si>
    <t>688661</t>
  </si>
  <si>
    <t>新大洲A</t>
  </si>
  <si>
    <t>000571</t>
  </si>
  <si>
    <t>新炬网络</t>
  </si>
  <si>
    <t>605398</t>
  </si>
  <si>
    <t>金力泰</t>
  </si>
  <si>
    <t>300225</t>
  </si>
  <si>
    <t>万邦德</t>
  </si>
  <si>
    <t>002082</t>
  </si>
  <si>
    <t>美迪凯</t>
  </si>
  <si>
    <t>688079</t>
  </si>
  <si>
    <t>盛航股份</t>
  </si>
  <si>
    <t>001205</t>
  </si>
  <si>
    <t>光大嘉宝</t>
  </si>
  <si>
    <t>600622</t>
  </si>
  <si>
    <t>纵横通信</t>
  </si>
  <si>
    <t>603602</t>
  </si>
  <si>
    <t>中辰股份</t>
  </si>
  <si>
    <t>300933</t>
  </si>
  <si>
    <t>壶化股份</t>
  </si>
  <si>
    <t>003002</t>
  </si>
  <si>
    <t>派斯林</t>
  </si>
  <si>
    <t>600215</t>
  </si>
  <si>
    <t>双箭股份</t>
  </si>
  <si>
    <t>002381</t>
  </si>
  <si>
    <t>盛德鑫泰</t>
  </si>
  <si>
    <t>300881</t>
  </si>
  <si>
    <t>欢瑞世纪</t>
  </si>
  <si>
    <t>000892</t>
  </si>
  <si>
    <t>德尔未来</t>
  </si>
  <si>
    <t>002631</t>
  </si>
  <si>
    <t>盘龙药业</t>
  </si>
  <si>
    <t>002864</t>
  </si>
  <si>
    <t>凯发电气</t>
  </si>
  <si>
    <t>300407</t>
  </si>
  <si>
    <t>惠威科技</t>
  </si>
  <si>
    <t>002888</t>
  </si>
  <si>
    <t>新黄浦</t>
  </si>
  <si>
    <t>600638</t>
  </si>
  <si>
    <t>金牛化工</t>
  </si>
  <si>
    <t>600722</t>
  </si>
  <si>
    <t>直真科技</t>
  </si>
  <si>
    <t>003007</t>
  </si>
  <si>
    <t>克劳斯</t>
  </si>
  <si>
    <t>600579</t>
  </si>
  <si>
    <t>力星股份</t>
  </si>
  <si>
    <t>300421</t>
  </si>
  <si>
    <t>澳弘电子</t>
  </si>
  <si>
    <t>605058</t>
  </si>
  <si>
    <t>冰山冷热</t>
  </si>
  <si>
    <t>000530</t>
  </si>
  <si>
    <t>山河药辅</t>
  </si>
  <si>
    <t>300452</t>
  </si>
  <si>
    <t>赛托生物</t>
  </si>
  <si>
    <t>300583</t>
  </si>
  <si>
    <t>浔兴股份</t>
  </si>
  <si>
    <t>002098</t>
  </si>
  <si>
    <t>东百集团</t>
  </si>
  <si>
    <t>600693</t>
  </si>
  <si>
    <t>神工股份</t>
  </si>
  <si>
    <t>688233</t>
  </si>
  <si>
    <t>开勒股份</t>
  </si>
  <si>
    <t>301070</t>
  </si>
  <si>
    <t>卓郎智能</t>
  </si>
  <si>
    <t>600545</t>
  </si>
  <si>
    <t>福能东方</t>
  </si>
  <si>
    <t>300173</t>
  </si>
  <si>
    <t>渤海汽车</t>
  </si>
  <si>
    <t>600960</t>
  </si>
  <si>
    <t>仁东控股</t>
  </si>
  <si>
    <t>002647</t>
  </si>
  <si>
    <t>金现代</t>
  </si>
  <si>
    <t>300830</t>
  </si>
  <si>
    <t>健麾信息</t>
  </si>
  <si>
    <t>605186</t>
  </si>
  <si>
    <t>御银股份</t>
  </si>
  <si>
    <t>002177</t>
  </si>
  <si>
    <t>太龙药业</t>
  </si>
  <si>
    <t>600222</t>
  </si>
  <si>
    <t>华鹏飞</t>
  </si>
  <si>
    <t>300350</t>
  </si>
  <si>
    <t>苏州科达</t>
  </si>
  <si>
    <t>603660</t>
  </si>
  <si>
    <t>金牌家居</t>
  </si>
  <si>
    <t>603180</t>
  </si>
  <si>
    <t>雷曼光电</t>
  </si>
  <si>
    <t>300162</t>
  </si>
  <si>
    <t>冠城大通</t>
  </si>
  <si>
    <t>600067</t>
  </si>
  <si>
    <t>卓翼科技</t>
  </si>
  <si>
    <t>002369</t>
  </si>
  <si>
    <t>光智科技</t>
  </si>
  <si>
    <t>300489</t>
  </si>
  <si>
    <t>卧龙地产</t>
  </si>
  <si>
    <t>600173</t>
  </si>
  <si>
    <t>科新机电</t>
  </si>
  <si>
    <t>300092</t>
  </si>
  <si>
    <t>勤上股份</t>
  </si>
  <si>
    <t>002638</t>
  </si>
  <si>
    <t>安奈儿</t>
  </si>
  <si>
    <t>002875</t>
  </si>
  <si>
    <t>深华发A</t>
  </si>
  <si>
    <t>000020</t>
  </si>
  <si>
    <t>北矿科技</t>
  </si>
  <si>
    <t>600980</t>
  </si>
  <si>
    <t>新经典</t>
  </si>
  <si>
    <t>603096</t>
  </si>
  <si>
    <t>岩石股份</t>
  </si>
  <si>
    <t>600696</t>
  </si>
  <si>
    <t>北陆药业</t>
  </si>
  <si>
    <t>300016</t>
  </si>
  <si>
    <t>金丹科技</t>
  </si>
  <si>
    <t>300829</t>
  </si>
  <si>
    <t>通合科技</t>
  </si>
  <si>
    <t>300491</t>
  </si>
  <si>
    <t>中电电机</t>
  </si>
  <si>
    <t>603988</t>
  </si>
  <si>
    <t>瑞玛精密</t>
  </si>
  <si>
    <t>002976</t>
  </si>
  <si>
    <t>国芳集团</t>
  </si>
  <si>
    <t>601086</t>
  </si>
  <si>
    <t>京华激光</t>
  </si>
  <si>
    <t>603607</t>
  </si>
  <si>
    <t>海峡环保</t>
  </si>
  <si>
    <t>603817</t>
  </si>
  <si>
    <t>远程股份</t>
  </si>
  <si>
    <t>002692</t>
  </si>
  <si>
    <t>凯伦股份</t>
  </si>
  <si>
    <t>300715</t>
  </si>
  <si>
    <t>隆基机械</t>
  </si>
  <si>
    <t>002363</t>
  </si>
  <si>
    <t>慈文传媒</t>
  </si>
  <si>
    <t>002343</t>
  </si>
  <si>
    <t>汇洁股份</t>
  </si>
  <si>
    <t>002763</t>
  </si>
  <si>
    <t>慧辰股份</t>
  </si>
  <si>
    <t>688500</t>
  </si>
  <si>
    <t>西王食品</t>
  </si>
  <si>
    <t>000639</t>
  </si>
  <si>
    <t>佰奥智能</t>
  </si>
  <si>
    <t>300836</t>
  </si>
  <si>
    <t>立霸股份</t>
  </si>
  <si>
    <t>603519</t>
  </si>
  <si>
    <t>宣亚国际</t>
  </si>
  <si>
    <t>300612</t>
  </si>
  <si>
    <t>兆丰股份</t>
  </si>
  <si>
    <t>300695</t>
  </si>
  <si>
    <t>海川智能</t>
  </si>
  <si>
    <t>300720</t>
  </si>
  <si>
    <t>空港股份</t>
  </si>
  <si>
    <t>600463</t>
  </si>
  <si>
    <t>卓越新能</t>
  </si>
  <si>
    <t>688196</t>
  </si>
  <si>
    <t>法兰泰克</t>
  </si>
  <si>
    <t>603966</t>
  </si>
  <si>
    <t>朗迪集团</t>
  </si>
  <si>
    <t>603726</t>
  </si>
  <si>
    <t>四方光电</t>
  </si>
  <si>
    <t>688665</t>
  </si>
  <si>
    <t>安妮股份</t>
  </si>
  <si>
    <t>002235</t>
  </si>
  <si>
    <t>爱普股份</t>
  </si>
  <si>
    <t>603020</t>
  </si>
  <si>
    <t>欧科亿</t>
  </si>
  <si>
    <t>688308</t>
  </si>
  <si>
    <t>戎美股份</t>
  </si>
  <si>
    <t>301088</t>
  </si>
  <si>
    <t>第一医药</t>
  </si>
  <si>
    <t>600833</t>
  </si>
  <si>
    <t>祥龙电业</t>
  </si>
  <si>
    <t>600769</t>
  </si>
  <si>
    <t>新风光</t>
  </si>
  <si>
    <t>688663</t>
  </si>
  <si>
    <t>敦煌种业</t>
  </si>
  <si>
    <t>600354</t>
  </si>
  <si>
    <t>格尔软件</t>
  </si>
  <si>
    <t>603232</t>
  </si>
  <si>
    <t>乐心医疗</t>
  </si>
  <si>
    <t>300562</t>
  </si>
  <si>
    <t>洪通燃气</t>
  </si>
  <si>
    <t>605169</t>
  </si>
  <si>
    <t>红宝丽</t>
  </si>
  <si>
    <t>002165</t>
  </si>
  <si>
    <t>幸福蓝海</t>
  </si>
  <si>
    <t>300528</t>
  </si>
  <si>
    <t>恒辉安防</t>
  </si>
  <si>
    <t>300952</t>
  </si>
  <si>
    <t>益佰制药</t>
  </si>
  <si>
    <t>600594</t>
  </si>
  <si>
    <t>有友食品</t>
  </si>
  <si>
    <t>603697</t>
  </si>
  <si>
    <t>珠江股份</t>
  </si>
  <si>
    <t>600684</t>
  </si>
  <si>
    <t>思创医惠</t>
  </si>
  <si>
    <t>300078</t>
  </si>
  <si>
    <t>美诺华</t>
  </si>
  <si>
    <t>603538</t>
  </si>
  <si>
    <t>康达新材</t>
  </si>
  <si>
    <t>002669</t>
  </si>
  <si>
    <t>华闻集团</t>
  </si>
  <si>
    <t>000793</t>
  </si>
  <si>
    <t>凤凰股份</t>
  </si>
  <si>
    <t>600716</t>
  </si>
  <si>
    <t>沪宁股份</t>
  </si>
  <si>
    <t>300669</t>
  </si>
  <si>
    <t>乐惠国际</t>
  </si>
  <si>
    <t>603076</t>
  </si>
  <si>
    <t>银禧科技</t>
  </si>
  <si>
    <t>300221</t>
  </si>
  <si>
    <t>申华控股</t>
  </si>
  <si>
    <t>600653</t>
  </si>
  <si>
    <t>光云科技</t>
  </si>
  <si>
    <t>688365</t>
  </si>
  <si>
    <t>悦安新材</t>
  </si>
  <si>
    <t>688786</t>
  </si>
  <si>
    <t>中亚股份</t>
  </si>
  <si>
    <t>300512</t>
  </si>
  <si>
    <t>波导股份</t>
  </si>
  <si>
    <t>600130</t>
  </si>
  <si>
    <t>甘化科工</t>
  </si>
  <si>
    <t>000576</t>
  </si>
  <si>
    <t>金陵饭店</t>
  </si>
  <si>
    <t>601007</t>
  </si>
  <si>
    <t>友讯达</t>
  </si>
  <si>
    <t>300514</t>
  </si>
  <si>
    <t>中旗新材</t>
  </si>
  <si>
    <t>001212</t>
  </si>
  <si>
    <t>莎普爱思</t>
  </si>
  <si>
    <t>603168</t>
  </si>
  <si>
    <t>中洲控股</t>
  </si>
  <si>
    <t>000042</t>
  </si>
  <si>
    <t>西麦食品</t>
  </si>
  <si>
    <t>002956</t>
  </si>
  <si>
    <t>泰永长征</t>
  </si>
  <si>
    <t>002927</t>
  </si>
  <si>
    <t>丰原药业</t>
  </si>
  <si>
    <t>000153</t>
  </si>
  <si>
    <t>天地在线</t>
  </si>
  <si>
    <t>002995</t>
  </si>
  <si>
    <t>丽人丽妆</t>
  </si>
  <si>
    <t>605136</t>
  </si>
  <si>
    <t>双成药业</t>
  </si>
  <si>
    <t>002693</t>
  </si>
  <si>
    <t>瑞贝卡</t>
  </si>
  <si>
    <t>600439</t>
  </si>
  <si>
    <t>朗源股份</t>
  </si>
  <si>
    <t>300175</t>
  </si>
  <si>
    <t>翰博高新</t>
  </si>
  <si>
    <t>301321</t>
  </si>
  <si>
    <t>北鼎股份</t>
  </si>
  <si>
    <t>300824</t>
  </si>
  <si>
    <t>恒银科技</t>
  </si>
  <si>
    <t>603106</t>
  </si>
  <si>
    <t>安硕信息</t>
  </si>
  <si>
    <t>300380</t>
  </si>
  <si>
    <t>五洋自控</t>
  </si>
  <si>
    <t>300420</t>
  </si>
  <si>
    <t>垒知集团</t>
  </si>
  <si>
    <t>002398</t>
  </si>
  <si>
    <t>锦鸡股份</t>
  </si>
  <si>
    <t>300798</t>
  </si>
  <si>
    <t>超频三</t>
  </si>
  <si>
    <t>300647</t>
  </si>
  <si>
    <t>恒实科技</t>
  </si>
  <si>
    <t>300513</t>
  </si>
  <si>
    <t>江南高纤</t>
  </si>
  <si>
    <t>600527</t>
  </si>
  <si>
    <t>财信发展</t>
  </si>
  <si>
    <t>000838</t>
  </si>
  <si>
    <t>长缆科技</t>
  </si>
  <si>
    <t>002879</t>
  </si>
  <si>
    <t>艾艾精工</t>
  </si>
  <si>
    <t>603580</t>
  </si>
  <si>
    <t>通程控股</t>
  </si>
  <si>
    <t>000419</t>
  </si>
  <si>
    <t>皇氏集团</t>
  </si>
  <si>
    <t>002329</t>
  </si>
  <si>
    <t>大叶股份</t>
  </si>
  <si>
    <t>300879</t>
  </si>
  <si>
    <t>宇环数控</t>
  </si>
  <si>
    <t>002903</t>
  </si>
  <si>
    <t>睿智医药</t>
  </si>
  <si>
    <t>300149</t>
  </si>
  <si>
    <t>利元亨</t>
  </si>
  <si>
    <t>688499</t>
  </si>
  <si>
    <t>浙江震元</t>
  </si>
  <si>
    <t>000705</t>
  </si>
  <si>
    <t>利和兴</t>
  </si>
  <si>
    <t>301013</t>
  </si>
  <si>
    <t>南京商旅</t>
  </si>
  <si>
    <t>600250</t>
  </si>
  <si>
    <t>泰山石油</t>
  </si>
  <si>
    <t>000554</t>
  </si>
  <si>
    <t>三友联众</t>
  </si>
  <si>
    <t>300932</t>
  </si>
  <si>
    <t>海辰药业</t>
  </si>
  <si>
    <t>300584</t>
  </si>
  <si>
    <t>智能自控</t>
  </si>
  <si>
    <t>002877</t>
  </si>
  <si>
    <t>三特索道</t>
  </si>
  <si>
    <t>002159</t>
  </si>
  <si>
    <t>西藏旅游</t>
  </si>
  <si>
    <t>600749</t>
  </si>
  <si>
    <t>万通智控</t>
  </si>
  <si>
    <t>300643</t>
  </si>
  <si>
    <t>科安达</t>
  </si>
  <si>
    <t>002972</t>
  </si>
  <si>
    <t>科思科技</t>
  </si>
  <si>
    <t>688788</t>
  </si>
  <si>
    <t>众兴菌业</t>
  </si>
  <si>
    <t>002772</t>
  </si>
  <si>
    <t>亿利达</t>
  </si>
  <si>
    <t>002686</t>
  </si>
  <si>
    <t>中元股份</t>
  </si>
  <si>
    <t>300018</t>
  </si>
  <si>
    <t>威派格</t>
  </si>
  <si>
    <t>603956</t>
  </si>
  <si>
    <t>英可瑞</t>
  </si>
  <si>
    <t>300713</t>
  </si>
  <si>
    <t>大为股份</t>
  </si>
  <si>
    <t>002213</t>
  </si>
  <si>
    <t>胜利股份</t>
  </si>
  <si>
    <t>000407</t>
  </si>
  <si>
    <t>好当家</t>
  </si>
  <si>
    <t>600467</t>
  </si>
  <si>
    <t>天舟文化</t>
  </si>
  <si>
    <t>300148</t>
  </si>
  <si>
    <t>瑞斯康达</t>
  </si>
  <si>
    <t>603803</t>
  </si>
  <si>
    <t>广电电气</t>
  </si>
  <si>
    <t>601616</t>
  </si>
  <si>
    <t>威星智能</t>
  </si>
  <si>
    <t>002849</t>
  </si>
  <si>
    <t>联环药业</t>
  </si>
  <si>
    <t>600513</t>
  </si>
  <si>
    <t>物产金轮</t>
  </si>
  <si>
    <t>002722</t>
  </si>
  <si>
    <t>济南高新</t>
  </si>
  <si>
    <t>600807</t>
  </si>
  <si>
    <t>百大集团</t>
  </si>
  <si>
    <t>600865</t>
  </si>
  <si>
    <t>智洋创新</t>
  </si>
  <si>
    <t>688191</t>
  </si>
  <si>
    <t>红蜻蜓</t>
  </si>
  <si>
    <t>603116</t>
  </si>
  <si>
    <t>兴业科技</t>
  </si>
  <si>
    <t>002674</t>
  </si>
  <si>
    <t>优宁维</t>
  </si>
  <si>
    <t>301166</t>
  </si>
  <si>
    <t>当虹科技</t>
  </si>
  <si>
    <t>688039</t>
  </si>
  <si>
    <t>福石控股</t>
  </si>
  <si>
    <t>300071</t>
  </si>
  <si>
    <t>华培动力</t>
  </si>
  <si>
    <t>603121</t>
  </si>
  <si>
    <t>华伍股份</t>
  </si>
  <si>
    <t>300095</t>
  </si>
  <si>
    <t>大晟文化</t>
  </si>
  <si>
    <t>600892</t>
  </si>
  <si>
    <t>立方数科</t>
  </si>
  <si>
    <t>300344</t>
  </si>
  <si>
    <t>海融科技</t>
  </si>
  <si>
    <t>300915</t>
  </si>
  <si>
    <t>得利斯</t>
  </si>
  <si>
    <t>002330</t>
  </si>
  <si>
    <t>汇金通</t>
  </si>
  <si>
    <t>603577</t>
  </si>
  <si>
    <t>德马科技</t>
  </si>
  <si>
    <t>688360</t>
  </si>
  <si>
    <t>厦门信达</t>
  </si>
  <si>
    <t>000701</t>
  </si>
  <si>
    <t>展鹏科技</t>
  </si>
  <si>
    <t>603488</t>
  </si>
  <si>
    <t>宝利国际</t>
  </si>
  <si>
    <t>300135</t>
  </si>
  <si>
    <t>华资实业</t>
  </si>
  <si>
    <t>600191</t>
  </si>
  <si>
    <t>华扬联众</t>
  </si>
  <si>
    <t>603825</t>
  </si>
  <si>
    <t>普邦股份</t>
  </si>
  <si>
    <t>002663</t>
  </si>
  <si>
    <t>力合微</t>
  </si>
  <si>
    <t>688589</t>
  </si>
  <si>
    <t>运达科技</t>
  </si>
  <si>
    <t>300440</t>
  </si>
  <si>
    <t>惠泉啤酒</t>
  </si>
  <si>
    <t>600573</t>
  </si>
  <si>
    <t>赛象科技</t>
  </si>
  <si>
    <t>002337</t>
  </si>
  <si>
    <t>欣锐科技</t>
  </si>
  <si>
    <t>300745</t>
  </si>
  <si>
    <t>华安鑫创</t>
  </si>
  <si>
    <t>300928</t>
  </si>
  <si>
    <t>新日股份</t>
  </si>
  <si>
    <t>603787</t>
  </si>
  <si>
    <t>凯文教育</t>
  </si>
  <si>
    <t>002659</t>
  </si>
  <si>
    <t>康盛股份</t>
  </si>
  <si>
    <t>002418</t>
  </si>
  <si>
    <t>方邦股份</t>
  </si>
  <si>
    <t>688020</t>
  </si>
  <si>
    <t>日辰股份</t>
  </si>
  <si>
    <t>603755</t>
  </si>
  <si>
    <t>三变科技</t>
  </si>
  <si>
    <t>002112</t>
  </si>
  <si>
    <t>双飞集团</t>
  </si>
  <si>
    <t>300817</t>
  </si>
  <si>
    <t>有方科技</t>
  </si>
  <si>
    <t>688159</t>
  </si>
  <si>
    <t>联明股份</t>
  </si>
  <si>
    <t>603006</t>
  </si>
  <si>
    <t>祥生医疗</t>
  </si>
  <si>
    <t>688358</t>
  </si>
  <si>
    <t>长春燃气</t>
  </si>
  <si>
    <t>600333</t>
  </si>
  <si>
    <t>岱勒新材</t>
  </si>
  <si>
    <t>300700</t>
  </si>
  <si>
    <t>返利科技</t>
  </si>
  <si>
    <t>600228</t>
  </si>
  <si>
    <t>雅博股份</t>
  </si>
  <si>
    <t>002323</t>
  </si>
  <si>
    <t>凯众股份</t>
  </si>
  <si>
    <t>603037</t>
  </si>
  <si>
    <t>天润乳业</t>
  </si>
  <si>
    <t>600419</t>
  </si>
  <si>
    <t>金百泽</t>
  </si>
  <si>
    <t>301041</t>
  </si>
  <si>
    <t>海顺新材</t>
  </si>
  <si>
    <t>300501</t>
  </si>
  <si>
    <t>川润股份</t>
  </si>
  <si>
    <t>002272</t>
  </si>
  <si>
    <t>康隆达</t>
  </si>
  <si>
    <t>603665</t>
  </si>
  <si>
    <t>嘉和美康</t>
  </si>
  <si>
    <t>688246</t>
  </si>
  <si>
    <t>科美诊断</t>
  </si>
  <si>
    <t>688468</t>
  </si>
  <si>
    <t>吉华集团</t>
  </si>
  <si>
    <t>603980</t>
  </si>
  <si>
    <t>闽发铝业</t>
  </si>
  <si>
    <t>002578</t>
  </si>
  <si>
    <t>电光科技</t>
  </si>
  <si>
    <t>002730</t>
  </si>
  <si>
    <t>全筑股份</t>
  </si>
  <si>
    <t>603030</t>
  </si>
  <si>
    <t>科创信息</t>
  </si>
  <si>
    <t>300730</t>
  </si>
  <si>
    <t>金通灵</t>
  </si>
  <si>
    <t>300091</t>
  </si>
  <si>
    <t>长江投资</t>
  </si>
  <si>
    <t>600119</t>
  </si>
  <si>
    <t>复旦复华</t>
  </si>
  <si>
    <t>600624</t>
  </si>
  <si>
    <t>保龄宝</t>
  </si>
  <si>
    <t>002286</t>
  </si>
  <si>
    <t>摩恩电气</t>
  </si>
  <si>
    <t>002451</t>
  </si>
  <si>
    <t>瑞凌股份</t>
  </si>
  <si>
    <t>300154</t>
  </si>
  <si>
    <t>天利科技</t>
  </si>
  <si>
    <t>300399</t>
  </si>
  <si>
    <t>卓然股份</t>
  </si>
  <si>
    <t>688121</t>
  </si>
  <si>
    <t>泰瑞机器</t>
  </si>
  <si>
    <t>603289</t>
  </si>
  <si>
    <t>好莱客</t>
  </si>
  <si>
    <t>603898</t>
  </si>
  <si>
    <t>歌力思</t>
  </si>
  <si>
    <t>603808</t>
  </si>
  <si>
    <t>奥特迅</t>
  </si>
  <si>
    <t>002227</t>
  </si>
  <si>
    <t>今飞凯达</t>
  </si>
  <si>
    <t>002863</t>
  </si>
  <si>
    <t>新亚制程</t>
  </si>
  <si>
    <t>002388</t>
  </si>
  <si>
    <t>鸥玛软件</t>
  </si>
  <si>
    <t>301185</t>
  </si>
  <si>
    <t>永安行</t>
  </si>
  <si>
    <t>603776</t>
  </si>
  <si>
    <t>日海智能</t>
  </si>
  <si>
    <t>002313</t>
  </si>
  <si>
    <t>渤海化学</t>
  </si>
  <si>
    <t>600800</t>
  </si>
  <si>
    <t>滨海能源</t>
  </si>
  <si>
    <t>000695</t>
  </si>
  <si>
    <t>杰美特</t>
  </si>
  <si>
    <t>300868</t>
  </si>
  <si>
    <t>众源新材</t>
  </si>
  <si>
    <t>603527</t>
  </si>
  <si>
    <t>利德曼</t>
  </si>
  <si>
    <t>300289</t>
  </si>
  <si>
    <t>山东章鼓</t>
  </si>
  <si>
    <t>002598</t>
  </si>
  <si>
    <t>张家界</t>
  </si>
  <si>
    <t>000430</t>
  </si>
  <si>
    <t>热景生物</t>
  </si>
  <si>
    <t>688068</t>
  </si>
  <si>
    <t>金麒麟</t>
  </si>
  <si>
    <t>603586</t>
  </si>
  <si>
    <t>赛科希德</t>
  </si>
  <si>
    <t>688338</t>
  </si>
  <si>
    <t>捷强装备</t>
  </si>
  <si>
    <t>300875</t>
  </si>
  <si>
    <t>中水渔业</t>
  </si>
  <si>
    <t>000798</t>
  </si>
  <si>
    <t>农林牧渔-养殖业-海洋捕捞</t>
  </si>
  <si>
    <t>狄耐克</t>
  </si>
  <si>
    <t>300884</t>
  </si>
  <si>
    <t>津荣天宇</t>
  </si>
  <si>
    <t>300988</t>
  </si>
  <si>
    <t>宝鹰股份</t>
  </si>
  <si>
    <t>002047</t>
  </si>
  <si>
    <t>合力科技</t>
  </si>
  <si>
    <t>603917</t>
  </si>
  <si>
    <t>川大智胜</t>
  </si>
  <si>
    <t>002253</t>
  </si>
  <si>
    <t>福光股份</t>
  </si>
  <si>
    <t>688010</t>
  </si>
  <si>
    <t>海昌新材</t>
  </si>
  <si>
    <t>300885</t>
  </si>
  <si>
    <t>星帅尔</t>
  </si>
  <si>
    <t>002860</t>
  </si>
  <si>
    <t>科恒股份</t>
  </si>
  <si>
    <t>300340</t>
  </si>
  <si>
    <t>维尔利</t>
  </si>
  <si>
    <t>300190</t>
  </si>
  <si>
    <t>世嘉科技</t>
  </si>
  <si>
    <t>002796</t>
  </si>
  <si>
    <t>古鳌科技</t>
  </si>
  <si>
    <t>300551</t>
  </si>
  <si>
    <t>协和电子</t>
  </si>
  <si>
    <t>605258</t>
  </si>
  <si>
    <t>福立旺</t>
  </si>
  <si>
    <t>688678</t>
  </si>
  <si>
    <t>百花医药</t>
  </si>
  <si>
    <t>600721</t>
  </si>
  <si>
    <t>爱仕达</t>
  </si>
  <si>
    <t>002403</t>
  </si>
  <si>
    <t>顺钠股份</t>
  </si>
  <si>
    <t>000533</t>
  </si>
  <si>
    <t>东方智造</t>
  </si>
  <si>
    <t>002175</t>
  </si>
  <si>
    <t>世纪鼎利</t>
  </si>
  <si>
    <t>300050</t>
  </si>
  <si>
    <t>锦泓集团</t>
  </si>
  <si>
    <t>603518</t>
  </si>
  <si>
    <t>银河微电</t>
  </si>
  <si>
    <t>688689</t>
  </si>
  <si>
    <t>德美化工</t>
  </si>
  <si>
    <t>002054</t>
  </si>
  <si>
    <t>高乐股份</t>
  </si>
  <si>
    <t>002348</t>
  </si>
  <si>
    <t>华源控股</t>
  </si>
  <si>
    <t>002787</t>
  </si>
  <si>
    <t>方正电机</t>
  </si>
  <si>
    <t>002196</t>
  </si>
  <si>
    <t>雄帝科技</t>
  </si>
  <si>
    <t>300546</t>
  </si>
  <si>
    <t>金花股份</t>
  </si>
  <si>
    <t>600080</t>
  </si>
  <si>
    <t>科威尔</t>
  </si>
  <si>
    <t>688551</t>
  </si>
  <si>
    <t>道道全</t>
  </si>
  <si>
    <t>002852</t>
  </si>
  <si>
    <t>交大思诺</t>
  </si>
  <si>
    <t>300851</t>
  </si>
  <si>
    <t>新农开发</t>
  </si>
  <si>
    <t>600359</t>
  </si>
  <si>
    <t>尚品宅配</t>
  </si>
  <si>
    <t>300616</t>
  </si>
  <si>
    <t>安博通</t>
  </si>
  <si>
    <t>688168</t>
  </si>
  <si>
    <t>纳尔股份</t>
  </si>
  <si>
    <t>002825</t>
  </si>
  <si>
    <t>正元地信</t>
  </si>
  <si>
    <t>688509</t>
  </si>
  <si>
    <t>维宏股份</t>
  </si>
  <si>
    <t>300508</t>
  </si>
  <si>
    <t>春晖智控</t>
  </si>
  <si>
    <t>300943</t>
  </si>
  <si>
    <t>沃尔德</t>
  </si>
  <si>
    <t>688028</t>
  </si>
  <si>
    <t>六国化工</t>
  </si>
  <si>
    <t>600470</t>
  </si>
  <si>
    <t>陇神戎发</t>
  </si>
  <si>
    <t>300534</t>
  </si>
  <si>
    <t>绿田机械</t>
  </si>
  <si>
    <t>605259</t>
  </si>
  <si>
    <t>洛凯股份</t>
  </si>
  <si>
    <t>603829</t>
  </si>
  <si>
    <t>汇嘉时代</t>
  </si>
  <si>
    <t>603101</t>
  </si>
  <si>
    <t>纵横股份</t>
  </si>
  <si>
    <t>688070</t>
  </si>
  <si>
    <t>燕塘乳业</t>
  </si>
  <si>
    <t>002732</t>
  </si>
  <si>
    <t>森霸传感</t>
  </si>
  <si>
    <t>300701</t>
  </si>
  <si>
    <t>海联讯</t>
  </si>
  <si>
    <t>300277</t>
  </si>
  <si>
    <t>智明达</t>
  </si>
  <si>
    <t>688636</t>
  </si>
  <si>
    <t>浙海德曼</t>
  </si>
  <si>
    <t>688577</t>
  </si>
  <si>
    <t>岭南股份</t>
  </si>
  <si>
    <t>002717</t>
  </si>
  <si>
    <t>兴源环境</t>
  </si>
  <si>
    <t>300266</t>
  </si>
  <si>
    <t>八亿时空</t>
  </si>
  <si>
    <t>688181</t>
  </si>
  <si>
    <t>金逸影视</t>
  </si>
  <si>
    <t>002905</t>
  </si>
  <si>
    <t>扬帆新材</t>
  </si>
  <si>
    <t>300637</t>
  </si>
  <si>
    <t>曼卡龙</t>
  </si>
  <si>
    <t>300945</t>
  </si>
  <si>
    <t>拉芳家化</t>
  </si>
  <si>
    <t>603630</t>
  </si>
  <si>
    <t>湘佳股份</t>
  </si>
  <si>
    <t>002982</t>
  </si>
  <si>
    <t>沃华医药</t>
  </si>
  <si>
    <t>002107</t>
  </si>
  <si>
    <t>明冠新材</t>
  </si>
  <si>
    <t>688560</t>
  </si>
  <si>
    <t>尚荣医疗</t>
  </si>
  <si>
    <t>002551</t>
  </si>
  <si>
    <t>三超新材</t>
  </si>
  <si>
    <t>300554</t>
  </si>
  <si>
    <t>海优新材</t>
  </si>
  <si>
    <t>688680</t>
  </si>
  <si>
    <t>启迪环境</t>
  </si>
  <si>
    <t>000826</t>
  </si>
  <si>
    <t>宝莫股份</t>
  </si>
  <si>
    <t>002476</t>
  </si>
  <si>
    <t>新华百货</t>
  </si>
  <si>
    <t>600785</t>
  </si>
  <si>
    <t>新宏泰</t>
  </si>
  <si>
    <t>603016</t>
  </si>
  <si>
    <t>正川股份</t>
  </si>
  <si>
    <t>603976</t>
  </si>
  <si>
    <t>四环生物</t>
  </si>
  <si>
    <t>000518</t>
  </si>
  <si>
    <t>凯迪股份</t>
  </si>
  <si>
    <t>605288</t>
  </si>
  <si>
    <t>和晶科技</t>
  </si>
  <si>
    <t>300279</t>
  </si>
  <si>
    <t>惠程科技</t>
  </si>
  <si>
    <t>002168</t>
  </si>
  <si>
    <t>华神科技</t>
  </si>
  <si>
    <t>000790</t>
  </si>
  <si>
    <t>中光防雷</t>
  </si>
  <si>
    <t>300414</t>
  </si>
  <si>
    <t>统一股份</t>
  </si>
  <si>
    <t>600506</t>
  </si>
  <si>
    <t>神农种业</t>
  </si>
  <si>
    <t>300189</t>
  </si>
  <si>
    <t>动力源</t>
  </si>
  <si>
    <t>600405</t>
  </si>
  <si>
    <t>宁波东力</t>
  </si>
  <si>
    <t>002164</t>
  </si>
  <si>
    <t>曲江文旅</t>
  </si>
  <si>
    <t>600706</t>
  </si>
  <si>
    <t>诚意药业</t>
  </si>
  <si>
    <t>603811</t>
  </si>
  <si>
    <t>京能热力</t>
  </si>
  <si>
    <t>002893</t>
  </si>
  <si>
    <t>恒天海龙</t>
  </si>
  <si>
    <t>000677</t>
  </si>
  <si>
    <t>日上集团</t>
  </si>
  <si>
    <t>002593</t>
  </si>
  <si>
    <t>清水源</t>
  </si>
  <si>
    <t>300437</t>
  </si>
  <si>
    <t>远大控股</t>
  </si>
  <si>
    <t>000626</t>
  </si>
  <si>
    <t>任子行</t>
  </si>
  <si>
    <t>300311</t>
  </si>
  <si>
    <t>国盛智科</t>
  </si>
  <si>
    <t>688558</t>
  </si>
  <si>
    <t>久吾高科</t>
  </si>
  <si>
    <t>300631</t>
  </si>
  <si>
    <t>伟思医疗</t>
  </si>
  <si>
    <t>688580</t>
  </si>
  <si>
    <t>雪龙集团</t>
  </si>
  <si>
    <t>603949</t>
  </si>
  <si>
    <t>荣泰健康</t>
  </si>
  <si>
    <t>603579</t>
  </si>
  <si>
    <t>好想你</t>
  </si>
  <si>
    <t>002582</t>
  </si>
  <si>
    <t>安联锐视</t>
  </si>
  <si>
    <t>301042</t>
  </si>
  <si>
    <t>震安科技</t>
  </si>
  <si>
    <t>300767</t>
  </si>
  <si>
    <t>川网传媒</t>
  </si>
  <si>
    <t>300987</t>
  </si>
  <si>
    <t>明牌珠宝</t>
  </si>
  <si>
    <t>002574</t>
  </si>
  <si>
    <t>维康药业</t>
  </si>
  <si>
    <t>300878</t>
  </si>
  <si>
    <t>法狮龙</t>
  </si>
  <si>
    <t>605318</t>
  </si>
  <si>
    <t>透景生命</t>
  </si>
  <si>
    <t>300642</t>
  </si>
  <si>
    <t>莱尔科技</t>
  </si>
  <si>
    <t>688683</t>
  </si>
  <si>
    <t>飞力达</t>
  </si>
  <si>
    <t>300240</t>
  </si>
  <si>
    <t>沈阳化工</t>
  </si>
  <si>
    <t>000698</t>
  </si>
  <si>
    <t>信安世纪</t>
  </si>
  <si>
    <t>688201</t>
  </si>
  <si>
    <t>大连圣亚</t>
  </si>
  <si>
    <t>600593</t>
  </si>
  <si>
    <t>凤凰航运</t>
  </si>
  <si>
    <t>000520</t>
  </si>
  <si>
    <t>力合科技</t>
  </si>
  <si>
    <t>300800</t>
  </si>
  <si>
    <t>日播时尚</t>
  </si>
  <si>
    <t>603196</t>
  </si>
  <si>
    <t>日科化学</t>
  </si>
  <si>
    <t>300214</t>
  </si>
  <si>
    <t>温州宏丰</t>
  </si>
  <si>
    <t>300283</t>
  </si>
  <si>
    <t>海默科技</t>
  </si>
  <si>
    <t>300084</t>
  </si>
  <si>
    <t>两面针</t>
  </si>
  <si>
    <t>600249</t>
  </si>
  <si>
    <t>中衡设计</t>
  </si>
  <si>
    <t>603017</t>
  </si>
  <si>
    <t>智莱科技</t>
  </si>
  <si>
    <t>300771</t>
  </si>
  <si>
    <t>爱丽家居</t>
  </si>
  <si>
    <t>603221</t>
  </si>
  <si>
    <t>襄阳轴承</t>
  </si>
  <si>
    <t>000678</t>
  </si>
  <si>
    <t>永安药业</t>
  </si>
  <si>
    <t>002365</t>
  </si>
  <si>
    <t>龙星化工</t>
  </si>
  <si>
    <t>002442</t>
  </si>
  <si>
    <t>智动力</t>
  </si>
  <si>
    <t>300686</t>
  </si>
  <si>
    <t>天洋新材</t>
  </si>
  <si>
    <t>603330</t>
  </si>
  <si>
    <t>永东股份</t>
  </si>
  <si>
    <t>002753</t>
  </si>
  <si>
    <t>中科云网</t>
  </si>
  <si>
    <t>002306</t>
  </si>
  <si>
    <t>设研院</t>
  </si>
  <si>
    <t>300732</t>
  </si>
  <si>
    <t>德必集团</t>
  </si>
  <si>
    <t>300947</t>
  </si>
  <si>
    <t>朗科智能</t>
  </si>
  <si>
    <t>300543</t>
  </si>
  <si>
    <t>安居宝</t>
  </si>
  <si>
    <t>300155</t>
  </si>
  <si>
    <t>大湖股份</t>
  </si>
  <si>
    <t>600257</t>
  </si>
  <si>
    <t>环球印务</t>
  </si>
  <si>
    <t>002799</t>
  </si>
  <si>
    <t>酷特智能</t>
  </si>
  <si>
    <t>300840</t>
  </si>
  <si>
    <t>上纬新材</t>
  </si>
  <si>
    <t>688585</t>
  </si>
  <si>
    <t>理工光科</t>
  </si>
  <si>
    <t>300557</t>
  </si>
  <si>
    <t>毅昌科技</t>
  </si>
  <si>
    <t>002420</t>
  </si>
  <si>
    <t>丝路视觉</t>
  </si>
  <si>
    <t>300556</t>
  </si>
  <si>
    <t>杭华股份</t>
  </si>
  <si>
    <t>688571</t>
  </si>
  <si>
    <t>万讯自控</t>
  </si>
  <si>
    <t>300112</t>
  </si>
  <si>
    <t>华立股份</t>
  </si>
  <si>
    <t>603038</t>
  </si>
  <si>
    <t>中百集团</t>
  </si>
  <si>
    <t>000759</t>
  </si>
  <si>
    <t>天地源</t>
  </si>
  <si>
    <t>600665</t>
  </si>
  <si>
    <t>杰恩设计</t>
  </si>
  <si>
    <t>300668</t>
  </si>
  <si>
    <t>博世科</t>
  </si>
  <si>
    <t>300422</t>
  </si>
  <si>
    <t>先河环保</t>
  </si>
  <si>
    <t>300137</t>
  </si>
  <si>
    <t>赛特新材</t>
  </si>
  <si>
    <t>688398</t>
  </si>
  <si>
    <t>方直科技</t>
  </si>
  <si>
    <t>300235</t>
  </si>
  <si>
    <t>东杰智能</t>
  </si>
  <si>
    <t>300486</t>
  </si>
  <si>
    <t>跃岭股份</t>
  </si>
  <si>
    <t>002725</t>
  </si>
  <si>
    <t>屹通新材</t>
  </si>
  <si>
    <t>300930</t>
  </si>
  <si>
    <t>奇精机械</t>
  </si>
  <si>
    <t>603677</t>
  </si>
  <si>
    <t>线上线下</t>
  </si>
  <si>
    <t>300959</t>
  </si>
  <si>
    <t>广大特材</t>
  </si>
  <si>
    <t>688186</t>
  </si>
  <si>
    <t>丹化科技</t>
  </si>
  <si>
    <t>600844</t>
  </si>
  <si>
    <t>中兴商业</t>
  </si>
  <si>
    <t>000715</t>
  </si>
  <si>
    <t>西上海</t>
  </si>
  <si>
    <t>605151</t>
  </si>
  <si>
    <t>龙泉股份</t>
  </si>
  <si>
    <t>002671</t>
  </si>
  <si>
    <t>南风股份</t>
  </si>
  <si>
    <t>300004</t>
  </si>
  <si>
    <t>可靠股份</t>
  </si>
  <si>
    <t>301009</t>
  </si>
  <si>
    <t>永茂泰</t>
  </si>
  <si>
    <t>605208</t>
  </si>
  <si>
    <t>春兰股份</t>
  </si>
  <si>
    <t>600854</t>
  </si>
  <si>
    <t>益盛药业</t>
  </si>
  <si>
    <t>002566</t>
  </si>
  <si>
    <t>金瑞矿业</t>
  </si>
  <si>
    <t>600714</t>
  </si>
  <si>
    <t>太龙股份</t>
  </si>
  <si>
    <t>300650</t>
  </si>
  <si>
    <t>通源石油</t>
  </si>
  <si>
    <t>300164</t>
  </si>
  <si>
    <t>若羽臣</t>
  </si>
  <si>
    <t>003010</t>
  </si>
  <si>
    <t>富士达</t>
  </si>
  <si>
    <t>835640</t>
  </si>
  <si>
    <t>湖南投资</t>
  </si>
  <si>
    <t>000548</t>
  </si>
  <si>
    <t>迪威尔</t>
  </si>
  <si>
    <t>688377</t>
  </si>
  <si>
    <t>开普云</t>
  </si>
  <si>
    <t>688228</t>
  </si>
  <si>
    <t>君禾股份</t>
  </si>
  <si>
    <t>603617</t>
  </si>
  <si>
    <t>建龙微纳</t>
  </si>
  <si>
    <t>688357</t>
  </si>
  <si>
    <t>集友股份</t>
  </si>
  <si>
    <t>603429</t>
  </si>
  <si>
    <t>艾融软件</t>
  </si>
  <si>
    <t>830799</t>
  </si>
  <si>
    <t>星徽股份</t>
  </si>
  <si>
    <t>300464</t>
  </si>
  <si>
    <t>长城电工</t>
  </si>
  <si>
    <t>600192</t>
  </si>
  <si>
    <t>和顺电气</t>
  </si>
  <si>
    <t>300141</t>
  </si>
  <si>
    <t>华丰股份</t>
  </si>
  <si>
    <t>605100</t>
  </si>
  <si>
    <t>湘邮科技</t>
  </si>
  <si>
    <t>600476</t>
  </si>
  <si>
    <t>萃华珠宝</t>
  </si>
  <si>
    <t>002731</t>
  </si>
  <si>
    <t>晶华新材</t>
  </si>
  <si>
    <t>603683</t>
  </si>
  <si>
    <t>三旺通信</t>
  </si>
  <si>
    <t>688618</t>
  </si>
  <si>
    <t>吉大通信</t>
  </si>
  <si>
    <t>300597</t>
  </si>
  <si>
    <t>长春一东</t>
  </si>
  <si>
    <t>600148</t>
  </si>
  <si>
    <t>熊猫乳品</t>
  </si>
  <si>
    <t>300898</t>
  </si>
  <si>
    <t>美克家居</t>
  </si>
  <si>
    <t>600337</t>
  </si>
  <si>
    <t>天晟新材</t>
  </si>
  <si>
    <t>300169</t>
  </si>
  <si>
    <t>仟源医药</t>
  </si>
  <si>
    <t>300254</t>
  </si>
  <si>
    <t>安达科技</t>
  </si>
  <si>
    <t>830809</t>
  </si>
  <si>
    <t>派生科技</t>
  </si>
  <si>
    <t>300176</t>
  </si>
  <si>
    <t>银座股份</t>
  </si>
  <si>
    <t>600858</t>
  </si>
  <si>
    <t>好利科技</t>
  </si>
  <si>
    <t>002729</t>
  </si>
  <si>
    <t>金富科技</t>
  </si>
  <si>
    <t>003018</t>
  </si>
  <si>
    <t>威奥股份</t>
  </si>
  <si>
    <t>605001</t>
  </si>
  <si>
    <t>煜邦电力</t>
  </si>
  <si>
    <t>688597</t>
  </si>
  <si>
    <t>永冠新材</t>
  </si>
  <si>
    <t>603681</t>
  </si>
  <si>
    <t>新大正</t>
  </si>
  <si>
    <t>002968</t>
  </si>
  <si>
    <t>美丽生态</t>
  </si>
  <si>
    <t>000010</t>
  </si>
  <si>
    <t>东亚药业</t>
  </si>
  <si>
    <t>605177</t>
  </si>
  <si>
    <t>三六五网</t>
  </si>
  <si>
    <t>300295</t>
  </si>
  <si>
    <t>方大新材</t>
  </si>
  <si>
    <t>838163</t>
  </si>
  <si>
    <t>和顺石油</t>
  </si>
  <si>
    <t>603353</t>
  </si>
  <si>
    <t>海南瑞泽</t>
  </si>
  <si>
    <t>002596</t>
  </si>
  <si>
    <t>明新旭腾</t>
  </si>
  <si>
    <t>605068</t>
  </si>
  <si>
    <t>融捷健康</t>
  </si>
  <si>
    <t>300247</t>
  </si>
  <si>
    <t>紫天科技</t>
  </si>
  <si>
    <t>300280</t>
  </si>
  <si>
    <t>龙洲股份</t>
  </si>
  <si>
    <t>002682</t>
  </si>
  <si>
    <t>泉峰汽车</t>
  </si>
  <si>
    <t>603982</t>
  </si>
  <si>
    <t>乔治白</t>
  </si>
  <si>
    <t>002687</t>
  </si>
  <si>
    <t>奥联电子</t>
  </si>
  <si>
    <t>300585</t>
  </si>
  <si>
    <t>新赛股份</t>
  </si>
  <si>
    <t>600540</t>
  </si>
  <si>
    <t>交大昂立</t>
  </si>
  <si>
    <t>600530</t>
  </si>
  <si>
    <t>大连热电</t>
  </si>
  <si>
    <t>600719</t>
  </si>
  <si>
    <t>金浦钛业</t>
  </si>
  <si>
    <t>000545</t>
  </si>
  <si>
    <t>苏利股份</t>
  </si>
  <si>
    <t>603585</t>
  </si>
  <si>
    <t>科泰电源</t>
  </si>
  <si>
    <t>300153</t>
  </si>
  <si>
    <t>嘉澳环保</t>
  </si>
  <si>
    <t>603822</t>
  </si>
  <si>
    <t>新城市</t>
  </si>
  <si>
    <t>300778</t>
  </si>
  <si>
    <t>芳源股份</t>
  </si>
  <si>
    <t>688148</t>
  </si>
  <si>
    <t>国林科技</t>
  </si>
  <si>
    <t>300786</t>
  </si>
  <si>
    <t>国晟科技</t>
  </si>
  <si>
    <t>603778</t>
  </si>
  <si>
    <t>祥和实业</t>
  </si>
  <si>
    <t>603500</t>
  </si>
  <si>
    <t>通达动力</t>
  </si>
  <si>
    <t>002576</t>
  </si>
  <si>
    <t>沙河股份</t>
  </si>
  <si>
    <t>000014</t>
  </si>
  <si>
    <t>江天化学</t>
  </si>
  <si>
    <t>300927</t>
  </si>
  <si>
    <t>思美传媒</t>
  </si>
  <si>
    <t>002712</t>
  </si>
  <si>
    <t>三星新材</t>
  </si>
  <si>
    <t>603578</t>
  </si>
  <si>
    <t>汉商集团</t>
  </si>
  <si>
    <t>600774</t>
  </si>
  <si>
    <t>尚纬股份</t>
  </si>
  <si>
    <t>603333</t>
  </si>
  <si>
    <t>宁水集团</t>
  </si>
  <si>
    <t>603700</t>
  </si>
  <si>
    <t>中锐股份</t>
  </si>
  <si>
    <t>002374</t>
  </si>
  <si>
    <t>通业科技</t>
  </si>
  <si>
    <t>300960</t>
  </si>
  <si>
    <t>敏芯股份</t>
  </si>
  <si>
    <t>688286</t>
  </si>
  <si>
    <t>澳洋健康</t>
  </si>
  <si>
    <t>002172</t>
  </si>
  <si>
    <t>锦盛新材</t>
  </si>
  <si>
    <t>300849</t>
  </si>
  <si>
    <t>兴业股份</t>
  </si>
  <si>
    <t>603928</t>
  </si>
  <si>
    <t>雷迪克</t>
  </si>
  <si>
    <t>300652</t>
  </si>
  <si>
    <t>瑞丰高材</t>
  </si>
  <si>
    <t>300243</t>
  </si>
  <si>
    <t>锐新科技</t>
  </si>
  <si>
    <t>300828</t>
  </si>
  <si>
    <t>新金路</t>
  </si>
  <si>
    <t>000510</t>
  </si>
  <si>
    <t>联发股份</t>
  </si>
  <si>
    <t>002394</t>
  </si>
  <si>
    <t>威唐工业</t>
  </si>
  <si>
    <t>300707</t>
  </si>
  <si>
    <t>英派斯</t>
  </si>
  <si>
    <t>002899</t>
  </si>
  <si>
    <t>凯尔达</t>
  </si>
  <si>
    <t>688255</t>
  </si>
  <si>
    <t>醋化股份</t>
  </si>
  <si>
    <t>603968</t>
  </si>
  <si>
    <t>万向德农</t>
  </si>
  <si>
    <t>600371</t>
  </si>
  <si>
    <t>如通股份</t>
  </si>
  <si>
    <t>603036</t>
  </si>
  <si>
    <t>青松股份</t>
  </si>
  <si>
    <t>300132</t>
  </si>
  <si>
    <t>普路通</t>
  </si>
  <si>
    <t>002769</t>
  </si>
  <si>
    <t>霍莱沃</t>
  </si>
  <si>
    <t>688682</t>
  </si>
  <si>
    <t>郴电国际</t>
  </si>
  <si>
    <t>600969</t>
  </si>
  <si>
    <t>金海高科</t>
  </si>
  <si>
    <t>603311</t>
  </si>
  <si>
    <t>金明精机</t>
  </si>
  <si>
    <t>300281</t>
  </si>
  <si>
    <t>倍加洁</t>
  </si>
  <si>
    <t>603059</t>
  </si>
  <si>
    <t>德恩精工</t>
  </si>
  <si>
    <t>300780</t>
  </si>
  <si>
    <t>佳创视讯</t>
  </si>
  <si>
    <t>300264</t>
  </si>
  <si>
    <t>欣天科技</t>
  </si>
  <si>
    <t>300615</t>
  </si>
  <si>
    <t>天津普林</t>
  </si>
  <si>
    <t>002134</t>
  </si>
  <si>
    <t>新疆火炬</t>
  </si>
  <si>
    <t>603080</t>
  </si>
  <si>
    <t>豪森智能</t>
  </si>
  <si>
    <t>688529</t>
  </si>
  <si>
    <t>丰林集团</t>
  </si>
  <si>
    <t>601996</t>
  </si>
  <si>
    <t>金马游乐</t>
  </si>
  <si>
    <t>300756</t>
  </si>
  <si>
    <t>康欣新材</t>
  </si>
  <si>
    <t>600076</t>
  </si>
  <si>
    <t>皇庭国际</t>
  </si>
  <si>
    <t>000056</t>
  </si>
  <si>
    <t>汉邦高科</t>
  </si>
  <si>
    <t>300449</t>
  </si>
  <si>
    <t>崧盛股份</t>
  </si>
  <si>
    <t>301002</t>
  </si>
  <si>
    <t>三德科技</t>
  </si>
  <si>
    <t>300515</t>
  </si>
  <si>
    <t>中科海讯</t>
  </si>
  <si>
    <t>300810</t>
  </si>
  <si>
    <t>吉峰科技</t>
  </si>
  <si>
    <t>300022</t>
  </si>
  <si>
    <t>富邦股份</t>
  </si>
  <si>
    <t>300387</t>
  </si>
  <si>
    <t>南宁百货</t>
  </si>
  <si>
    <t>600712</t>
  </si>
  <si>
    <t>迎丰股份</t>
  </si>
  <si>
    <t>605055</t>
  </si>
  <si>
    <t>惠发食品</t>
  </si>
  <si>
    <t>603536</t>
  </si>
  <si>
    <t>中捷资源</t>
  </si>
  <si>
    <t>002021</t>
  </si>
  <si>
    <t>江苏博云</t>
  </si>
  <si>
    <t>301003</t>
  </si>
  <si>
    <t>首华燃气</t>
  </si>
  <si>
    <t>300483</t>
  </si>
  <si>
    <t>测绘股份</t>
  </si>
  <si>
    <t>300826</t>
  </si>
  <si>
    <t>泰林生物</t>
  </si>
  <si>
    <t>300813</t>
  </si>
  <si>
    <t>深圳新星</t>
  </si>
  <si>
    <t>603978</t>
  </si>
  <si>
    <t>绿康生化</t>
  </si>
  <si>
    <t>002868</t>
  </si>
  <si>
    <t>康普顿</t>
  </si>
  <si>
    <t>603798</t>
  </si>
  <si>
    <t>达嘉维康</t>
  </si>
  <si>
    <t>301126</t>
  </si>
  <si>
    <t>惠达卫浴</t>
  </si>
  <si>
    <t>603385</t>
  </si>
  <si>
    <t>快意电梯</t>
  </si>
  <si>
    <t>002774</t>
  </si>
  <si>
    <t>安纳达</t>
  </si>
  <si>
    <t>002136</t>
  </si>
  <si>
    <t>天秦装备</t>
  </si>
  <si>
    <t>300922</t>
  </si>
  <si>
    <t>建发合诚</t>
  </si>
  <si>
    <t>603909</t>
  </si>
  <si>
    <t>开开实业</t>
  </si>
  <si>
    <t>600272</t>
  </si>
  <si>
    <t>开尔新材</t>
  </si>
  <si>
    <t>300234</t>
  </si>
  <si>
    <t>东方材料</t>
  </si>
  <si>
    <t>603110</t>
  </si>
  <si>
    <t>奥精医疗</t>
  </si>
  <si>
    <t>688613</t>
  </si>
  <si>
    <t>新迅达</t>
  </si>
  <si>
    <t>300518</t>
  </si>
  <si>
    <t>南京聚隆</t>
  </si>
  <si>
    <t>300644</t>
  </si>
  <si>
    <t>美晨科技</t>
  </si>
  <si>
    <t>300237</t>
  </si>
  <si>
    <t>久日新材</t>
  </si>
  <si>
    <t>688199</t>
  </si>
  <si>
    <t>哈森股份</t>
  </si>
  <si>
    <t>603958</t>
  </si>
  <si>
    <t>栖霞建设</t>
  </si>
  <si>
    <t>600533</t>
  </si>
  <si>
    <t>恒丰纸业</t>
  </si>
  <si>
    <t>600356</t>
  </si>
  <si>
    <t>新农股份</t>
  </si>
  <si>
    <t>002942</t>
  </si>
  <si>
    <t>天地数码</t>
  </si>
  <si>
    <t>300743</t>
  </si>
  <si>
    <t>金发拉比</t>
  </si>
  <si>
    <t>002762</t>
  </si>
  <si>
    <t>铁流股份</t>
  </si>
  <si>
    <t>603926</t>
  </si>
  <si>
    <t>汇得科技</t>
  </si>
  <si>
    <t>603192</t>
  </si>
  <si>
    <t>圣达生物</t>
  </si>
  <si>
    <t>603079</t>
  </si>
  <si>
    <t>泰尔股份</t>
  </si>
  <si>
    <t>002347</t>
  </si>
  <si>
    <t>大业股份</t>
  </si>
  <si>
    <t>603278</t>
  </si>
  <si>
    <t>中环环保</t>
  </si>
  <si>
    <t>300692</t>
  </si>
  <si>
    <t>天玑科技</t>
  </si>
  <si>
    <t>300245</t>
  </si>
  <si>
    <t>映翰通</t>
  </si>
  <si>
    <t>688080</t>
  </si>
  <si>
    <t>华东数控</t>
  </si>
  <si>
    <t>002248</t>
  </si>
  <si>
    <t>药易购</t>
  </si>
  <si>
    <t>300937</t>
  </si>
  <si>
    <t>天禄科技</t>
  </si>
  <si>
    <t>301045</t>
  </si>
  <si>
    <t>迪森股份</t>
  </si>
  <si>
    <t>300335</t>
  </si>
  <si>
    <t>安源煤业</t>
  </si>
  <si>
    <t>600397</t>
  </si>
  <si>
    <t>联泰环保</t>
  </si>
  <si>
    <t>603797</t>
  </si>
  <si>
    <t>山石网科</t>
  </si>
  <si>
    <t>688030</t>
  </si>
  <si>
    <t>乐通股份</t>
  </si>
  <si>
    <t>002319</t>
  </si>
  <si>
    <t>科创新源</t>
  </si>
  <si>
    <t>300731</t>
  </si>
  <si>
    <t>帅丰电器</t>
  </si>
  <si>
    <t>605336</t>
  </si>
  <si>
    <t>宏辉果蔬</t>
  </si>
  <si>
    <t>603336</t>
  </si>
  <si>
    <t>日盈电子</t>
  </si>
  <si>
    <t>603286</t>
  </si>
  <si>
    <t>南京化纤</t>
  </si>
  <si>
    <t>600889</t>
  </si>
  <si>
    <t>獐子岛</t>
  </si>
  <si>
    <t>002069</t>
  </si>
  <si>
    <t>天永智能</t>
  </si>
  <si>
    <t>603895</t>
  </si>
  <si>
    <t>新天药业</t>
  </si>
  <si>
    <t>002873</t>
  </si>
  <si>
    <t>泰禾智能</t>
  </si>
  <si>
    <t>603656</t>
  </si>
  <si>
    <t>亚通股份</t>
  </si>
  <si>
    <t>600692</t>
  </si>
  <si>
    <t>光正眼科</t>
  </si>
  <si>
    <t>002524</t>
  </si>
  <si>
    <t>怡达股份</t>
  </si>
  <si>
    <t>300721</t>
  </si>
  <si>
    <t>征和工业</t>
  </si>
  <si>
    <t>003033</t>
  </si>
  <si>
    <t>星光农机</t>
  </si>
  <si>
    <t>603789</t>
  </si>
  <si>
    <t>山科智能</t>
  </si>
  <si>
    <t>300897</t>
  </si>
  <si>
    <t>前沿生物</t>
  </si>
  <si>
    <t>688221</t>
  </si>
  <si>
    <t>晨丰科技</t>
  </si>
  <si>
    <t>603685</t>
  </si>
  <si>
    <t>瑞华泰</t>
  </si>
  <si>
    <t>688323</t>
  </si>
  <si>
    <t>汉嘉设计</t>
  </si>
  <si>
    <t>300746</t>
  </si>
  <si>
    <t>郑中设计</t>
  </si>
  <si>
    <t>002811</t>
  </si>
  <si>
    <t>长荣股份</t>
  </si>
  <si>
    <t>300195</t>
  </si>
  <si>
    <t>柳化股份</t>
  </si>
  <si>
    <t>600423</t>
  </si>
  <si>
    <t>智云股份</t>
  </si>
  <si>
    <t>300097</t>
  </si>
  <si>
    <t>裕兴股份</t>
  </si>
  <si>
    <t>300305</t>
  </si>
  <si>
    <t>世纪瑞尔</t>
  </si>
  <si>
    <t>300150</t>
  </si>
  <si>
    <t>华锋股份</t>
  </si>
  <si>
    <t>002806</t>
  </si>
  <si>
    <t>天禾股份</t>
  </si>
  <si>
    <t>002999</t>
  </si>
  <si>
    <t>康芝药业</t>
  </si>
  <si>
    <t>300086</t>
  </si>
  <si>
    <t>泛亚微透</t>
  </si>
  <si>
    <t>688386</t>
  </si>
  <si>
    <t>三元基因</t>
  </si>
  <si>
    <t>837344</t>
  </si>
  <si>
    <t>渝三峡A</t>
  </si>
  <si>
    <t>000565</t>
  </si>
  <si>
    <t>梅轮电梯</t>
  </si>
  <si>
    <t>603321</t>
  </si>
  <si>
    <t>唐源电气</t>
  </si>
  <si>
    <t>300789</t>
  </si>
  <si>
    <t>申昊科技</t>
  </si>
  <si>
    <t>300853</t>
  </si>
  <si>
    <t>美力科技</t>
  </si>
  <si>
    <t>300611</t>
  </si>
  <si>
    <t>奥迪威</t>
  </si>
  <si>
    <t>832491</t>
  </si>
  <si>
    <t>苏轴股份</t>
  </si>
  <si>
    <t>430418</t>
  </si>
  <si>
    <t>雄塑科技</t>
  </si>
  <si>
    <t>300599</t>
  </si>
  <si>
    <t>中基健康</t>
  </si>
  <si>
    <t>000972</t>
  </si>
  <si>
    <t>优德精密</t>
  </si>
  <si>
    <t>300549</t>
  </si>
  <si>
    <t>浙矿股份</t>
  </si>
  <si>
    <t>300837</t>
  </si>
  <si>
    <t>新光药业</t>
  </si>
  <si>
    <t>300519</t>
  </si>
  <si>
    <t>瀛通通讯</t>
  </si>
  <si>
    <t>002861</t>
  </si>
  <si>
    <t>四川金顶</t>
  </si>
  <si>
    <t>600678</t>
  </si>
  <si>
    <t>华体科技</t>
  </si>
  <si>
    <t>603679</t>
  </si>
  <si>
    <t>晓鸣股份</t>
  </si>
  <si>
    <t>300967</t>
  </si>
  <si>
    <t>英力特</t>
  </si>
  <si>
    <t>000635</t>
  </si>
  <si>
    <t>横河精密</t>
  </si>
  <si>
    <t>300539</t>
  </si>
  <si>
    <t>兆日科技</t>
  </si>
  <si>
    <t>300333</t>
  </si>
  <si>
    <t>华阳国际</t>
  </si>
  <si>
    <t>002949</t>
  </si>
  <si>
    <t>正业科技</t>
  </si>
  <si>
    <t>300410</t>
  </si>
  <si>
    <t>天迈科技</t>
  </si>
  <si>
    <t>300807</t>
  </si>
  <si>
    <t>晨化股份</t>
  </si>
  <si>
    <t>300610</t>
  </si>
  <si>
    <t>合金投资</t>
  </si>
  <si>
    <t>000633</t>
  </si>
  <si>
    <t>浩丰科技</t>
  </si>
  <si>
    <t>300419</t>
  </si>
  <si>
    <t>瑞泰科技</t>
  </si>
  <si>
    <t>002066</t>
  </si>
  <si>
    <t>时代万恒</t>
  </si>
  <si>
    <t>600241</t>
  </si>
  <si>
    <t>大龙地产</t>
  </si>
  <si>
    <t>600159</t>
  </si>
  <si>
    <t>迪生力</t>
  </si>
  <si>
    <t>603335</t>
  </si>
  <si>
    <t>开创国际</t>
  </si>
  <si>
    <t>600097</t>
  </si>
  <si>
    <t>牧高笛</t>
  </si>
  <si>
    <t>603908</t>
  </si>
  <si>
    <t>蓝科高新</t>
  </si>
  <si>
    <t>601798</t>
  </si>
  <si>
    <t>神力股份</t>
  </si>
  <si>
    <t>603819</t>
  </si>
  <si>
    <t>锦和商管</t>
  </si>
  <si>
    <t>603682</t>
  </si>
  <si>
    <t>伟隆股份</t>
  </si>
  <si>
    <t>002871</t>
  </si>
  <si>
    <t>先锋电子</t>
  </si>
  <si>
    <t>002767</t>
  </si>
  <si>
    <t>天安新材</t>
  </si>
  <si>
    <t>603725</t>
  </si>
  <si>
    <t>景谷林业</t>
  </si>
  <si>
    <t>600265</t>
  </si>
  <si>
    <t>开普检测</t>
  </si>
  <si>
    <t>003008</t>
  </si>
  <si>
    <t>海欣食品</t>
  </si>
  <si>
    <t>002702</t>
  </si>
  <si>
    <t>海波重科</t>
  </si>
  <si>
    <t>300517</t>
  </si>
  <si>
    <t>广济药业</t>
  </si>
  <si>
    <t>000952</t>
  </si>
  <si>
    <t>赛福天</t>
  </si>
  <si>
    <t>603028</t>
  </si>
  <si>
    <t>德源药业</t>
  </si>
  <si>
    <t>832735</t>
  </si>
  <si>
    <t>蠡湖股份</t>
  </si>
  <si>
    <t>300694</t>
  </si>
  <si>
    <t>上海雅仕</t>
  </si>
  <si>
    <t>603329</t>
  </si>
  <si>
    <t>绿茵生态</t>
  </si>
  <si>
    <t>002887</t>
  </si>
  <si>
    <t>海螺新材</t>
  </si>
  <si>
    <t>000619</t>
  </si>
  <si>
    <t>安正时尚</t>
  </si>
  <si>
    <t>603839</t>
  </si>
  <si>
    <t>正平股份</t>
  </si>
  <si>
    <t>603843</t>
  </si>
  <si>
    <t>森赫股份</t>
  </si>
  <si>
    <t>301056</t>
  </si>
  <si>
    <t>爱克股份</t>
  </si>
  <si>
    <t>300889</t>
  </si>
  <si>
    <t>建科院</t>
  </si>
  <si>
    <t>300675</t>
  </si>
  <si>
    <t>正元智慧</t>
  </si>
  <si>
    <t>300645</t>
  </si>
  <si>
    <t>启迪设计</t>
  </si>
  <si>
    <t>300500</t>
  </si>
  <si>
    <t>威领股份</t>
  </si>
  <si>
    <t>002667</t>
  </si>
  <si>
    <t>宏昌科技</t>
  </si>
  <si>
    <t>301008</t>
  </si>
  <si>
    <t>冀凯股份</t>
  </si>
  <si>
    <t>002691</t>
  </si>
  <si>
    <t>百达精工</t>
  </si>
  <si>
    <t>603331</t>
  </si>
  <si>
    <t>奥康国际</t>
  </si>
  <si>
    <t>603001</t>
  </si>
  <si>
    <t>锋龙股份</t>
  </si>
  <si>
    <t>002931</t>
  </si>
  <si>
    <t>凯瑞德</t>
  </si>
  <si>
    <t>002072</t>
  </si>
  <si>
    <t>恒基达鑫</t>
  </si>
  <si>
    <t>002492</t>
  </si>
  <si>
    <t>康平科技</t>
  </si>
  <si>
    <t>300907</t>
  </si>
  <si>
    <t>科华控股</t>
  </si>
  <si>
    <t>603161</t>
  </si>
  <si>
    <t>迪贝电气</t>
  </si>
  <si>
    <t>603320</t>
  </si>
  <si>
    <t>恒光股份</t>
  </si>
  <si>
    <t>301118</t>
  </si>
  <si>
    <t>国机通用</t>
  </si>
  <si>
    <t>600444</t>
  </si>
  <si>
    <t>金冠电气</t>
  </si>
  <si>
    <t>688517</t>
  </si>
  <si>
    <t>中胤时尚</t>
  </si>
  <si>
    <t>300901</t>
  </si>
  <si>
    <t>星光股份</t>
  </si>
  <si>
    <t>002076</t>
  </si>
  <si>
    <t>莱绅通灵</t>
  </si>
  <si>
    <t>603900</t>
  </si>
  <si>
    <t>凯恩股份</t>
  </si>
  <si>
    <t>002012</t>
  </si>
  <si>
    <t>明志科技</t>
  </si>
  <si>
    <t>688355</t>
  </si>
  <si>
    <t>华平股份</t>
  </si>
  <si>
    <t>300074</t>
  </si>
  <si>
    <t>迦南科技</t>
  </si>
  <si>
    <t>300412</t>
  </si>
  <si>
    <t>迈得医疗</t>
  </si>
  <si>
    <t>688310</t>
  </si>
  <si>
    <t>大烨智能</t>
  </si>
  <si>
    <t>300670</t>
  </si>
  <si>
    <t>莫高股份</t>
  </si>
  <si>
    <t>600543</t>
  </si>
  <si>
    <t>亚太药业</t>
  </si>
  <si>
    <t>002370</t>
  </si>
  <si>
    <t>神雾节能</t>
  </si>
  <si>
    <t>000820</t>
  </si>
  <si>
    <t>亿通科技</t>
  </si>
  <si>
    <t>300211</t>
  </si>
  <si>
    <t>雅运股份</t>
  </si>
  <si>
    <t>603790</t>
  </si>
  <si>
    <t>中公高科</t>
  </si>
  <si>
    <t>603860</t>
  </si>
  <si>
    <t>欣龙控股</t>
  </si>
  <si>
    <t>000955</t>
  </si>
  <si>
    <t>宝莱特</t>
  </si>
  <si>
    <t>300246</t>
  </si>
  <si>
    <t>美思德</t>
  </si>
  <si>
    <t>603041</t>
  </si>
  <si>
    <t>同德化工</t>
  </si>
  <si>
    <t>002360</t>
  </si>
  <si>
    <t>新锦动力</t>
  </si>
  <si>
    <t>300157</t>
  </si>
  <si>
    <t>祖名股份</t>
  </si>
  <si>
    <t>003030</t>
  </si>
  <si>
    <t>优彩资源</t>
  </si>
  <si>
    <t>002998</t>
  </si>
  <si>
    <t>华阳新材</t>
  </si>
  <si>
    <t>600281</t>
  </si>
  <si>
    <t>众望布艺</t>
  </si>
  <si>
    <t>605003</t>
  </si>
  <si>
    <t>大地熊</t>
  </si>
  <si>
    <t>688077</t>
  </si>
  <si>
    <t>我乐家居</t>
  </si>
  <si>
    <t>603326</t>
  </si>
  <si>
    <t>澄天伟业</t>
  </si>
  <si>
    <t>300689</t>
  </si>
  <si>
    <t>气派科技</t>
  </si>
  <si>
    <t>688216</t>
  </si>
  <si>
    <t>声迅股份</t>
  </si>
  <si>
    <t>003004</t>
  </si>
  <si>
    <t>国发股份</t>
  </si>
  <si>
    <t>600538</t>
  </si>
  <si>
    <t>实丰文化</t>
  </si>
  <si>
    <t>002862</t>
  </si>
  <si>
    <t>阳普医疗</t>
  </si>
  <si>
    <t>300030</t>
  </si>
  <si>
    <t>赛隆药业</t>
  </si>
  <si>
    <t>002898</t>
  </si>
  <si>
    <t>诺邦股份</t>
  </si>
  <si>
    <t>603238</t>
  </si>
  <si>
    <t>先达股份</t>
  </si>
  <si>
    <t>603086</t>
  </si>
  <si>
    <t>共同药业</t>
  </si>
  <si>
    <t>300966</t>
  </si>
  <si>
    <t>汇中股份</t>
  </si>
  <si>
    <t>300371</t>
  </si>
  <si>
    <t>丰华股份</t>
  </si>
  <si>
    <t>600615</t>
  </si>
  <si>
    <t>金鹰股份</t>
  </si>
  <si>
    <t>600232</t>
  </si>
  <si>
    <t>皖仪科技</t>
  </si>
  <si>
    <t>688600</t>
  </si>
  <si>
    <t>大庆华科</t>
  </si>
  <si>
    <t>000985</t>
  </si>
  <si>
    <t>德龙汇能</t>
  </si>
  <si>
    <t>000593</t>
  </si>
  <si>
    <t>泰坦股份</t>
  </si>
  <si>
    <t>003036</t>
  </si>
  <si>
    <t>彩虹集团</t>
  </si>
  <si>
    <t>003023</t>
  </si>
  <si>
    <t>宁波联合</t>
  </si>
  <si>
    <t>600051</t>
  </si>
  <si>
    <t>天鹅股份</t>
  </si>
  <si>
    <t>603029</t>
  </si>
  <si>
    <t>华脉科技</t>
  </si>
  <si>
    <t>603042</t>
  </si>
  <si>
    <t>中农联合</t>
  </si>
  <si>
    <t>003042</t>
  </si>
  <si>
    <t>博睿数据</t>
  </si>
  <si>
    <t>688229</t>
  </si>
  <si>
    <t>全新好</t>
  </si>
  <si>
    <t>000007</t>
  </si>
  <si>
    <t>兰剑智能</t>
  </si>
  <si>
    <t>688557</t>
  </si>
  <si>
    <t>同兴环保</t>
  </si>
  <si>
    <t>003027</t>
  </si>
  <si>
    <t>中威电子</t>
  </si>
  <si>
    <t>300270</t>
  </si>
  <si>
    <t>国旅联合</t>
  </si>
  <si>
    <t>600358</t>
  </si>
  <si>
    <t>力盛体育</t>
  </si>
  <si>
    <t>002858</t>
  </si>
  <si>
    <t>江苏北人</t>
  </si>
  <si>
    <t>688218</t>
  </si>
  <si>
    <t>正裕工业</t>
  </si>
  <si>
    <t>603089</t>
  </si>
  <si>
    <t>富临运业</t>
  </si>
  <si>
    <t>002357</t>
  </si>
  <si>
    <t>云涌科技</t>
  </si>
  <si>
    <t>688060</t>
  </si>
  <si>
    <t>茂化实华</t>
  </si>
  <si>
    <t>000637</t>
  </si>
  <si>
    <t>海鸥股份</t>
  </si>
  <si>
    <t>603269</t>
  </si>
  <si>
    <t>林海股份</t>
  </si>
  <si>
    <t>600099</t>
  </si>
  <si>
    <t>丽岛新材</t>
  </si>
  <si>
    <t>603937</t>
  </si>
  <si>
    <t>达刚控股</t>
  </si>
  <si>
    <t>300103</t>
  </si>
  <si>
    <t>熙菱信息</t>
  </si>
  <si>
    <t>300588</t>
  </si>
  <si>
    <t>联建光电</t>
  </si>
  <si>
    <t>300269</t>
  </si>
  <si>
    <t>小崧股份</t>
  </si>
  <si>
    <t>002723</t>
  </si>
  <si>
    <t>申联生物</t>
  </si>
  <si>
    <t>688098</t>
  </si>
  <si>
    <t>松发股份</t>
  </si>
  <si>
    <t>603268</t>
  </si>
  <si>
    <t>洁特生物</t>
  </si>
  <si>
    <t>688026</t>
  </si>
  <si>
    <t>龙软科技</t>
  </si>
  <si>
    <t>688078</t>
  </si>
  <si>
    <t>国华网安</t>
  </si>
  <si>
    <t>000004</t>
  </si>
  <si>
    <t>苏豪弘业</t>
  </si>
  <si>
    <t>600128</t>
  </si>
  <si>
    <t>德力股份</t>
  </si>
  <si>
    <t>002571</t>
  </si>
  <si>
    <t>成都路桥</t>
  </si>
  <si>
    <t>002628</t>
  </si>
  <si>
    <t>集智股份</t>
  </si>
  <si>
    <t>300553</t>
  </si>
  <si>
    <t>华菱精工</t>
  </si>
  <si>
    <t>603356</t>
  </si>
  <si>
    <t>瑜欣电子</t>
  </si>
  <si>
    <t>301107</t>
  </si>
  <si>
    <t>新柴股份</t>
  </si>
  <si>
    <t>301032</t>
  </si>
  <si>
    <t>勘设股份</t>
  </si>
  <si>
    <t>603458</t>
  </si>
  <si>
    <t>海鸥住工</t>
  </si>
  <si>
    <t>002084</t>
  </si>
  <si>
    <t>GQY视讯</t>
  </si>
  <si>
    <t>300076</t>
  </si>
  <si>
    <t>建工修复</t>
  </si>
  <si>
    <t>300958</t>
  </si>
  <si>
    <t>集泰股份</t>
  </si>
  <si>
    <t>002909</t>
  </si>
  <si>
    <t>民丰特纸</t>
  </si>
  <si>
    <t>600235</t>
  </si>
  <si>
    <t>祥源新材</t>
  </si>
  <si>
    <t>300980</t>
  </si>
  <si>
    <t>邵阳液压</t>
  </si>
  <si>
    <t>301079</t>
  </si>
  <si>
    <t>安记食品</t>
  </si>
  <si>
    <t>603696</t>
  </si>
  <si>
    <t>聚杰微纤</t>
  </si>
  <si>
    <t>300819</t>
  </si>
  <si>
    <t>津膜科技</t>
  </si>
  <si>
    <t>300334</t>
  </si>
  <si>
    <t>西大门</t>
  </si>
  <si>
    <t>605155</t>
  </si>
  <si>
    <t>皇台酒业</t>
  </si>
  <si>
    <t>000995</t>
  </si>
  <si>
    <t>福建金森</t>
  </si>
  <si>
    <t>002679</t>
  </si>
  <si>
    <t>富煌钢构</t>
  </si>
  <si>
    <t>002743</t>
  </si>
  <si>
    <t>南新制药</t>
  </si>
  <si>
    <t>688189</t>
  </si>
  <si>
    <t>黄山胶囊</t>
  </si>
  <si>
    <t>002817</t>
  </si>
  <si>
    <t>恒锋信息</t>
  </si>
  <si>
    <t>300605</t>
  </si>
  <si>
    <t>广宇集团</t>
  </si>
  <si>
    <t>002133</t>
  </si>
  <si>
    <t>海印股份</t>
  </si>
  <si>
    <t>000861</t>
  </si>
  <si>
    <t>瀚川智能</t>
  </si>
  <si>
    <t>688022</t>
  </si>
  <si>
    <t>捷安高科</t>
  </si>
  <si>
    <t>300845</t>
  </si>
  <si>
    <t>国创高新</t>
  </si>
  <si>
    <t>002377</t>
  </si>
  <si>
    <t>神开股份</t>
  </si>
  <si>
    <t>002278</t>
  </si>
  <si>
    <t>宜宾纸业</t>
  </si>
  <si>
    <t>600793</t>
  </si>
  <si>
    <t>德林海</t>
  </si>
  <si>
    <t>688069</t>
  </si>
  <si>
    <t>新元科技</t>
  </si>
  <si>
    <t>300472</t>
  </si>
  <si>
    <t>新华锦</t>
  </si>
  <si>
    <t>600735</t>
  </si>
  <si>
    <t>建研院</t>
  </si>
  <si>
    <t>603183</t>
  </si>
  <si>
    <t>联测科技</t>
  </si>
  <si>
    <t>688113</t>
  </si>
  <si>
    <t>曲美家居</t>
  </si>
  <si>
    <t>603818</t>
  </si>
  <si>
    <t>万隆光电</t>
  </si>
  <si>
    <t>300710</t>
  </si>
  <si>
    <t>渤海股份</t>
  </si>
  <si>
    <t>000605</t>
  </si>
  <si>
    <t>达意隆</t>
  </si>
  <si>
    <t>002209</t>
  </si>
  <si>
    <t>亚振家居</t>
  </si>
  <si>
    <t>603389</t>
  </si>
  <si>
    <t>青海华鼎</t>
  </si>
  <si>
    <t>600243</t>
  </si>
  <si>
    <t>精伦电子</t>
  </si>
  <si>
    <t>600355</t>
  </si>
  <si>
    <t>奥维通信</t>
  </si>
  <si>
    <t>002231</t>
  </si>
  <si>
    <t>山高环能</t>
  </si>
  <si>
    <t>000803</t>
  </si>
  <si>
    <t>泰祥股份</t>
  </si>
  <si>
    <t>301192</t>
  </si>
  <si>
    <t>易明医药</t>
  </si>
  <si>
    <t>002826</t>
  </si>
  <si>
    <t>昀冢科技</t>
  </si>
  <si>
    <t>688260</t>
  </si>
  <si>
    <t>正虹科技</t>
  </si>
  <si>
    <t>000702</t>
  </si>
  <si>
    <t>海源复材</t>
  </si>
  <si>
    <t>002529</t>
  </si>
  <si>
    <t>欧亚集团</t>
  </si>
  <si>
    <t>600697</t>
  </si>
  <si>
    <t>同享科技</t>
  </si>
  <si>
    <t>839167</t>
  </si>
  <si>
    <t>永和智控</t>
  </si>
  <si>
    <t>002795</t>
  </si>
  <si>
    <t>爱司凯</t>
  </si>
  <si>
    <t>300521</t>
  </si>
  <si>
    <t>凯淳股份</t>
  </si>
  <si>
    <t>301001</t>
  </si>
  <si>
    <t>青岛金王</t>
  </si>
  <si>
    <t>002094</t>
  </si>
  <si>
    <t>京能置业</t>
  </si>
  <si>
    <t>600791</t>
  </si>
  <si>
    <t>洪汇新材</t>
  </si>
  <si>
    <t>002802</t>
  </si>
  <si>
    <t>雪榕生物</t>
  </si>
  <si>
    <t>300511</t>
  </si>
  <si>
    <t>真爱美家</t>
  </si>
  <si>
    <t>003041</t>
  </si>
  <si>
    <t>天域生物</t>
  </si>
  <si>
    <t>603717</t>
  </si>
  <si>
    <t>苏州龙杰</t>
  </si>
  <si>
    <t>603332</t>
  </si>
  <si>
    <t>东珠生态</t>
  </si>
  <si>
    <t>603359</t>
  </si>
  <si>
    <t>维业股份</t>
  </si>
  <si>
    <t>300621</t>
  </si>
  <si>
    <t>惠天热电</t>
  </si>
  <si>
    <t>000692</t>
  </si>
  <si>
    <t>华升股份</t>
  </si>
  <si>
    <t>600156</t>
  </si>
  <si>
    <t>日月明</t>
  </si>
  <si>
    <t>300906</t>
  </si>
  <si>
    <t>五新隧装</t>
  </si>
  <si>
    <t>835174</t>
  </si>
  <si>
    <t>东晶电子</t>
  </si>
  <si>
    <t>002199</t>
  </si>
  <si>
    <t>宏达高科</t>
  </si>
  <si>
    <t>002144</t>
  </si>
  <si>
    <t>浩物股份</t>
  </si>
  <si>
    <t>000757</t>
  </si>
  <si>
    <t>罗平锌电</t>
  </si>
  <si>
    <t>002114</t>
  </si>
  <si>
    <t>佳云科技</t>
  </si>
  <si>
    <t>300242</t>
  </si>
  <si>
    <t>博汇股份</t>
  </si>
  <si>
    <t>300839</t>
  </si>
  <si>
    <t>安泰集团</t>
  </si>
  <si>
    <t>600408</t>
  </si>
  <si>
    <t>爱婴室</t>
  </si>
  <si>
    <t>603214</t>
  </si>
  <si>
    <t>致远互联</t>
  </si>
  <si>
    <t>688369</t>
  </si>
  <si>
    <t>贝肯能源</t>
  </si>
  <si>
    <t>002828</t>
  </si>
  <si>
    <t>爱朋医疗</t>
  </si>
  <si>
    <t>300753</t>
  </si>
  <si>
    <t>延江股份</t>
  </si>
  <si>
    <t>300658</t>
  </si>
  <si>
    <t>豪尔赛</t>
  </si>
  <si>
    <t>002963</t>
  </si>
  <si>
    <t>研奥股份</t>
  </si>
  <si>
    <t>300923</t>
  </si>
  <si>
    <t>信隆健康</t>
  </si>
  <si>
    <t>002105</t>
  </si>
  <si>
    <t>浩欧博</t>
  </si>
  <si>
    <t>688656</t>
  </si>
  <si>
    <t>永安林业</t>
  </si>
  <si>
    <t>000663</t>
  </si>
  <si>
    <t>德创环保</t>
  </si>
  <si>
    <t>603177</t>
  </si>
  <si>
    <t>梦洁股份</t>
  </si>
  <si>
    <t>002397</t>
  </si>
  <si>
    <t>汇源通信</t>
  </si>
  <si>
    <t>000586</t>
  </si>
  <si>
    <t>新美星</t>
  </si>
  <si>
    <t>300509</t>
  </si>
  <si>
    <t>时空科技</t>
  </si>
  <si>
    <t>605178</t>
  </si>
  <si>
    <t>丰山集团</t>
  </si>
  <si>
    <t>603810</t>
  </si>
  <si>
    <t>宏盛股份</t>
  </si>
  <si>
    <t>603090</t>
  </si>
  <si>
    <t>凤形股份</t>
  </si>
  <si>
    <t>002760</t>
  </si>
  <si>
    <t>金陵体育</t>
  </si>
  <si>
    <t>300651</t>
  </si>
  <si>
    <t>朗博科技</t>
  </si>
  <si>
    <t>603655</t>
  </si>
  <si>
    <t>津投城开</t>
  </si>
  <si>
    <t>600322</t>
  </si>
  <si>
    <t>品渥食品</t>
  </si>
  <si>
    <t>300892</t>
  </si>
  <si>
    <t>皓宸医疗</t>
  </si>
  <si>
    <t>002622</t>
  </si>
  <si>
    <t>观典防务</t>
  </si>
  <si>
    <t>688287</t>
  </si>
  <si>
    <t>艾可蓝</t>
  </si>
  <si>
    <t>300816</t>
  </si>
  <si>
    <t>桂发祥</t>
  </si>
  <si>
    <t>002820</t>
  </si>
  <si>
    <t>天普股份</t>
  </si>
  <si>
    <t>605255</t>
  </si>
  <si>
    <t>三夫户外</t>
  </si>
  <si>
    <t>002780</t>
  </si>
  <si>
    <t>建艺集团</t>
  </si>
  <si>
    <t>002789</t>
  </si>
  <si>
    <t>镇海股份</t>
  </si>
  <si>
    <t>603637</t>
  </si>
  <si>
    <t>中持股份</t>
  </si>
  <si>
    <t>603903</t>
  </si>
  <si>
    <t>华铭智能</t>
  </si>
  <si>
    <t>300462</t>
  </si>
  <si>
    <t>新宏泽</t>
  </si>
  <si>
    <t>002836</t>
  </si>
  <si>
    <t>华依科技</t>
  </si>
  <si>
    <t>688071</t>
  </si>
  <si>
    <t>华瑞股份</t>
  </si>
  <si>
    <t>300626</t>
  </si>
  <si>
    <t>春光科技</t>
  </si>
  <si>
    <t>603657</t>
  </si>
  <si>
    <t>建科智能</t>
  </si>
  <si>
    <t>300823</t>
  </si>
  <si>
    <t>博力威</t>
  </si>
  <si>
    <t>688345</t>
  </si>
  <si>
    <t>翔鹭钨业</t>
  </si>
  <si>
    <t>002842</t>
  </si>
  <si>
    <t>红墙股份</t>
  </si>
  <si>
    <t>002809</t>
  </si>
  <si>
    <t>弘宇股份</t>
  </si>
  <si>
    <t>002890</t>
  </si>
  <si>
    <t>纳川股份</t>
  </si>
  <si>
    <t>300198</t>
  </si>
  <si>
    <t>莱伯泰科</t>
  </si>
  <si>
    <t>688056</t>
  </si>
  <si>
    <t>哈空调</t>
  </si>
  <si>
    <t>600202</t>
  </si>
  <si>
    <t>东来技术</t>
  </si>
  <si>
    <t>688129</t>
  </si>
  <si>
    <t>唯赛勃</t>
  </si>
  <si>
    <t>688718</t>
  </si>
  <si>
    <t>筑博设计</t>
  </si>
  <si>
    <t>300564</t>
  </si>
  <si>
    <t>炬申股份</t>
  </si>
  <si>
    <t>001202</t>
  </si>
  <si>
    <t>粤宏远A</t>
  </si>
  <si>
    <t>000573</t>
  </si>
  <si>
    <t>龙利得</t>
  </si>
  <si>
    <t>300883</t>
  </si>
  <si>
    <t>严牌股份</t>
  </si>
  <si>
    <t>301081</t>
  </si>
  <si>
    <t>长药控股</t>
  </si>
  <si>
    <t>300391</t>
  </si>
  <si>
    <t>亚邦股份</t>
  </si>
  <si>
    <t>603188</t>
  </si>
  <si>
    <t>嘉麟杰</t>
  </si>
  <si>
    <t>002486</t>
  </si>
  <si>
    <t>浙江力诺</t>
  </si>
  <si>
    <t>300838</t>
  </si>
  <si>
    <t>安必平</t>
  </si>
  <si>
    <t>688393</t>
  </si>
  <si>
    <t>百川畅银</t>
  </si>
  <si>
    <t>300614</t>
  </si>
  <si>
    <t>冀东装备</t>
  </si>
  <si>
    <t>000856</t>
  </si>
  <si>
    <t>天顺股份</t>
  </si>
  <si>
    <t>002800</t>
  </si>
  <si>
    <t>西力科技</t>
  </si>
  <si>
    <t>688616</t>
  </si>
  <si>
    <t>西部牧业</t>
  </si>
  <si>
    <t>300106</t>
  </si>
  <si>
    <t>文科股份</t>
  </si>
  <si>
    <t>002775</t>
  </si>
  <si>
    <t>佳隆股份</t>
  </si>
  <si>
    <t>002495</t>
  </si>
  <si>
    <t>多瑞医药</t>
  </si>
  <si>
    <t>301075</t>
  </si>
  <si>
    <t>扬子新材</t>
  </si>
  <si>
    <t>002652</t>
  </si>
  <si>
    <t>蒙泰高新</t>
  </si>
  <si>
    <t>300876</t>
  </si>
  <si>
    <t>泰福泵业</t>
  </si>
  <si>
    <t>300992</t>
  </si>
  <si>
    <t>新动力</t>
  </si>
  <si>
    <t>300152</t>
  </si>
  <si>
    <t>回盛生物</t>
  </si>
  <si>
    <t>300871</t>
  </si>
  <si>
    <t>润阳科技</t>
  </si>
  <si>
    <t>300920</t>
  </si>
  <si>
    <t>南都物业</t>
  </si>
  <si>
    <t>603506</t>
  </si>
  <si>
    <t>登云股份</t>
  </si>
  <si>
    <t>002715</t>
  </si>
  <si>
    <t>泉为科技</t>
  </si>
  <si>
    <t>300716</t>
  </si>
  <si>
    <t>大宏立</t>
  </si>
  <si>
    <t>300865</t>
  </si>
  <si>
    <t>友好集团</t>
  </si>
  <si>
    <t>600778</t>
  </si>
  <si>
    <t>创源股份</t>
  </si>
  <si>
    <t>300703</t>
  </si>
  <si>
    <t>金科环境</t>
  </si>
  <si>
    <t>688466</t>
  </si>
  <si>
    <t>亚星化学</t>
  </si>
  <si>
    <t>600319</t>
  </si>
  <si>
    <t>江西长运</t>
  </si>
  <si>
    <t>600561</t>
  </si>
  <si>
    <t>百洋股份</t>
  </si>
  <si>
    <t>002696</t>
  </si>
  <si>
    <t>喜悦智行</t>
  </si>
  <si>
    <t>301198</t>
  </si>
  <si>
    <t>天元股份</t>
  </si>
  <si>
    <t>003003</t>
  </si>
  <si>
    <t>太和水</t>
  </si>
  <si>
    <t>605081</t>
  </si>
  <si>
    <t>大洋生物</t>
  </si>
  <si>
    <t>003017</t>
  </si>
  <si>
    <t>棒杰股份</t>
  </si>
  <si>
    <t>002634</t>
  </si>
  <si>
    <t>华信新材</t>
  </si>
  <si>
    <t>300717</t>
  </si>
  <si>
    <t>宝兰德</t>
  </si>
  <si>
    <t>688058</t>
  </si>
  <si>
    <t>福达合金</t>
  </si>
  <si>
    <t>603045</t>
  </si>
  <si>
    <t>海希通讯</t>
  </si>
  <si>
    <t>831305</t>
  </si>
  <si>
    <t>锐奇股份</t>
  </si>
  <si>
    <t>300126</t>
  </si>
  <si>
    <t>中设股份</t>
  </si>
  <si>
    <t>002883</t>
  </si>
  <si>
    <t>聚力文化</t>
  </si>
  <si>
    <t>002247</t>
  </si>
  <si>
    <t>永顺生物</t>
  </si>
  <si>
    <t>839729</t>
  </si>
  <si>
    <t>庚星股份</t>
  </si>
  <si>
    <t>600753</t>
  </si>
  <si>
    <t>亚太实业</t>
  </si>
  <si>
    <t>000691</t>
  </si>
  <si>
    <t>华光新材</t>
  </si>
  <si>
    <t>688379</t>
  </si>
  <si>
    <t>皮阿诺</t>
  </si>
  <si>
    <t>002853</t>
  </si>
  <si>
    <t>三晖电气</t>
  </si>
  <si>
    <t>002857</t>
  </si>
  <si>
    <t>金利华电</t>
  </si>
  <si>
    <t>300069</t>
  </si>
  <si>
    <t>万里股份</t>
  </si>
  <si>
    <t>600847</t>
  </si>
  <si>
    <t>上海亚虹</t>
  </si>
  <si>
    <t>603159</t>
  </si>
  <si>
    <t>天瑞仪器</t>
  </si>
  <si>
    <t>300165</t>
  </si>
  <si>
    <t>海泰发展</t>
  </si>
  <si>
    <t>600082</t>
  </si>
  <si>
    <t>恒大高新</t>
  </si>
  <si>
    <t>002591</t>
  </si>
  <si>
    <t>冠中生态</t>
  </si>
  <si>
    <t>300948</t>
  </si>
  <si>
    <t>华嵘控股</t>
  </si>
  <si>
    <t>600421</t>
  </si>
  <si>
    <t>华业香料</t>
  </si>
  <si>
    <t>300886</t>
  </si>
  <si>
    <t>盈建科</t>
  </si>
  <si>
    <t>300935</t>
  </si>
  <si>
    <t>金春股份</t>
  </si>
  <si>
    <t>300877</t>
  </si>
  <si>
    <t>蓝丰生化</t>
  </si>
  <si>
    <t>002513</t>
  </si>
  <si>
    <t>德艺文创</t>
  </si>
  <si>
    <t>300640</t>
  </si>
  <si>
    <t>新通联</t>
  </si>
  <si>
    <t>603022</t>
  </si>
  <si>
    <t>博闻科技</t>
  </si>
  <si>
    <t>600883</t>
  </si>
  <si>
    <t>四通股份</t>
  </si>
  <si>
    <t>603838</t>
  </si>
  <si>
    <t>名雕股份</t>
  </si>
  <si>
    <t>002830</t>
  </si>
  <si>
    <t>标准股份</t>
  </si>
  <si>
    <t>600302</t>
  </si>
  <si>
    <t>朗进科技</t>
  </si>
  <si>
    <t>300594</t>
  </si>
  <si>
    <t>启迪药业</t>
  </si>
  <si>
    <t>000590</t>
  </si>
  <si>
    <t>华纺股份</t>
  </si>
  <si>
    <t>600448</t>
  </si>
  <si>
    <t>廊坊发展</t>
  </si>
  <si>
    <t>600149</t>
  </si>
  <si>
    <t>精艺股份</t>
  </si>
  <si>
    <t>002295</t>
  </si>
  <si>
    <t>福建水泥</t>
  </si>
  <si>
    <t>600802</t>
  </si>
  <si>
    <t>同大股份</t>
  </si>
  <si>
    <t>300321</t>
  </si>
  <si>
    <t>万里马</t>
  </si>
  <si>
    <t>300591</t>
  </si>
  <si>
    <t>美尔雅</t>
  </si>
  <si>
    <t>600107</t>
  </si>
  <si>
    <t>鸿泉物联</t>
  </si>
  <si>
    <t>688288</t>
  </si>
  <si>
    <t>天臣医疗</t>
  </si>
  <si>
    <t>688013</t>
  </si>
  <si>
    <t>海象新材</t>
  </si>
  <si>
    <t>003011</t>
  </si>
  <si>
    <t>通用电梯</t>
  </si>
  <si>
    <t>300931</t>
  </si>
  <si>
    <t>晶雪节能</t>
  </si>
  <si>
    <t>301010</t>
  </si>
  <si>
    <t>百邦科技</t>
  </si>
  <si>
    <t>300736</t>
  </si>
  <si>
    <t>禾信仪器</t>
  </si>
  <si>
    <t>688622</t>
  </si>
  <si>
    <t>庄园牧场</t>
  </si>
  <si>
    <t>002910</t>
  </si>
  <si>
    <t>河化股份</t>
  </si>
  <si>
    <t>000953</t>
  </si>
  <si>
    <t>帝欧家居</t>
  </si>
  <si>
    <t>002798</t>
  </si>
  <si>
    <t>联诚精密</t>
  </si>
  <si>
    <t>002921</t>
  </si>
  <si>
    <t>实朴检测</t>
  </si>
  <si>
    <t>301228</t>
  </si>
  <si>
    <t>球冠电缆</t>
  </si>
  <si>
    <t>834682</t>
  </si>
  <si>
    <t>富淼科技</t>
  </si>
  <si>
    <t>688350</t>
  </si>
  <si>
    <t>三木集团</t>
  </si>
  <si>
    <t>000632</t>
  </si>
  <si>
    <t>友邦吊顶</t>
  </si>
  <si>
    <t>002718</t>
  </si>
  <si>
    <t>国统股份</t>
  </si>
  <si>
    <t>002205</t>
  </si>
  <si>
    <t>达威股份</t>
  </si>
  <si>
    <t>300535</t>
  </si>
  <si>
    <t>宁波中百</t>
  </si>
  <si>
    <t>600857</t>
  </si>
  <si>
    <t>嘉亨家化</t>
  </si>
  <si>
    <t>300955</t>
  </si>
  <si>
    <t>新光光电</t>
  </si>
  <si>
    <t>688011</t>
  </si>
  <si>
    <t>聚石化学</t>
  </si>
  <si>
    <t>688669</t>
  </si>
  <si>
    <t>杭州园林</t>
  </si>
  <si>
    <t>300649</t>
  </si>
  <si>
    <t>创远信科</t>
  </si>
  <si>
    <t>831961</t>
  </si>
  <si>
    <t>康惠制药</t>
  </si>
  <si>
    <t>603139</t>
  </si>
  <si>
    <t>中天服务</t>
  </si>
  <si>
    <t>002188</t>
  </si>
  <si>
    <t>佳华科技</t>
  </si>
  <si>
    <t>688051</t>
  </si>
  <si>
    <t>上海三毛</t>
  </si>
  <si>
    <t>600689</t>
  </si>
  <si>
    <t>中晟高科</t>
  </si>
  <si>
    <t>002778</t>
  </si>
  <si>
    <t>青云科技</t>
  </si>
  <si>
    <t>688316</t>
  </si>
  <si>
    <t>凤竹纺织</t>
  </si>
  <si>
    <t>600493</t>
  </si>
  <si>
    <t>塞力医疗</t>
  </si>
  <si>
    <t>603716</t>
  </si>
  <si>
    <t>深科达</t>
  </si>
  <si>
    <t>688328</t>
  </si>
  <si>
    <t>迅捷兴</t>
  </si>
  <si>
    <t>688655</t>
  </si>
  <si>
    <t>金埔园林</t>
  </si>
  <si>
    <t>301098</t>
  </si>
  <si>
    <t>万方发展</t>
  </si>
  <si>
    <t>000638</t>
  </si>
  <si>
    <t>雪浪环境</t>
  </si>
  <si>
    <t>300385</t>
  </si>
  <si>
    <t>复洁环保</t>
  </si>
  <si>
    <t>688335</t>
  </si>
  <si>
    <t>同惠电子</t>
  </si>
  <si>
    <t>833509</t>
  </si>
  <si>
    <t>准油股份</t>
  </si>
  <si>
    <t>002207</t>
  </si>
  <si>
    <t>正弦电气</t>
  </si>
  <si>
    <t>688395</t>
  </si>
  <si>
    <t>德瑞锂电</t>
  </si>
  <si>
    <t>833523</t>
  </si>
  <si>
    <t>普元信息</t>
  </si>
  <si>
    <t>688118</t>
  </si>
  <si>
    <t>浪莎股份</t>
  </si>
  <si>
    <t>600137</t>
  </si>
  <si>
    <t>基康仪器</t>
  </si>
  <si>
    <t>830879</t>
  </si>
  <si>
    <t>威尔泰</t>
  </si>
  <si>
    <t>002058</t>
  </si>
  <si>
    <t>高斯贝尔</t>
  </si>
  <si>
    <t>002848</t>
  </si>
  <si>
    <t>龙韵股份</t>
  </si>
  <si>
    <t>603729</t>
  </si>
  <si>
    <t>万通液压</t>
  </si>
  <si>
    <t>830839</t>
  </si>
  <si>
    <t>上海凯鑫</t>
  </si>
  <si>
    <t>300899</t>
  </si>
  <si>
    <t>申科股份</t>
  </si>
  <si>
    <t>002633</t>
  </si>
  <si>
    <t>南华仪器</t>
  </si>
  <si>
    <t>300417</t>
  </si>
  <si>
    <t>阳光股份</t>
  </si>
  <si>
    <t>000608</t>
  </si>
  <si>
    <t>华斯股份</t>
  </si>
  <si>
    <t>002494</t>
  </si>
  <si>
    <t>韩建河山</t>
  </si>
  <si>
    <t>603616</t>
  </si>
  <si>
    <t>奇德新材</t>
  </si>
  <si>
    <t>300995</t>
  </si>
  <si>
    <t>罗普特</t>
  </si>
  <si>
    <t>688619</t>
  </si>
  <si>
    <t>凯龙高科</t>
  </si>
  <si>
    <t>300912</t>
  </si>
  <si>
    <t>兰州黄河</t>
  </si>
  <si>
    <t>000929</t>
  </si>
  <si>
    <t>秦川物联</t>
  </si>
  <si>
    <t>688528</t>
  </si>
  <si>
    <t>宏达新材</t>
  </si>
  <si>
    <t>002211</t>
  </si>
  <si>
    <t>菲林格尔</t>
  </si>
  <si>
    <t>603226</t>
  </si>
  <si>
    <t>大连友谊</t>
  </si>
  <si>
    <t>000679</t>
  </si>
  <si>
    <t>中达安</t>
  </si>
  <si>
    <t>300635</t>
  </si>
  <si>
    <t>趣睡科技</t>
  </si>
  <si>
    <t>301336</t>
  </si>
  <si>
    <t>汉鑫科技</t>
  </si>
  <si>
    <t>837092</t>
  </si>
  <si>
    <t>创兴资源</t>
  </si>
  <si>
    <t>600193</t>
  </si>
  <si>
    <t>法尔胜</t>
  </si>
  <si>
    <t>000890</t>
  </si>
  <si>
    <t>科隆股份</t>
  </si>
  <si>
    <t>300405</t>
  </si>
  <si>
    <t>顶固集创</t>
  </si>
  <si>
    <t>300749</t>
  </si>
  <si>
    <t>海伦钢琴</t>
  </si>
  <si>
    <t>300329</t>
  </si>
  <si>
    <t>路德环境</t>
  </si>
  <si>
    <t>688156</t>
  </si>
  <si>
    <t>东易日盛</t>
  </si>
  <si>
    <t>002713</t>
  </si>
  <si>
    <t>中源家居</t>
  </si>
  <si>
    <t>603709</t>
  </si>
  <si>
    <t>金运激光</t>
  </si>
  <si>
    <t>300220</t>
  </si>
  <si>
    <t>荣丰控股</t>
  </si>
  <si>
    <t>000668</t>
  </si>
  <si>
    <t>中科通达</t>
  </si>
  <si>
    <t>688038</t>
  </si>
  <si>
    <t>如意集团</t>
  </si>
  <si>
    <t>002193</t>
  </si>
  <si>
    <t>博通股份</t>
  </si>
  <si>
    <t>600455</t>
  </si>
  <si>
    <t>麦趣尔</t>
  </si>
  <si>
    <t>002719</t>
  </si>
  <si>
    <t>南卫股份</t>
  </si>
  <si>
    <t>603880</t>
  </si>
  <si>
    <t>大千生态</t>
  </si>
  <si>
    <t>603955</t>
  </si>
  <si>
    <t>诚邦股份</t>
  </si>
  <si>
    <t>603316</t>
  </si>
  <si>
    <t>梓橦宫</t>
  </si>
  <si>
    <t>832566</t>
  </si>
  <si>
    <t>富吉瑞</t>
  </si>
  <si>
    <t>688272</t>
  </si>
  <si>
    <t>大唐药业</t>
  </si>
  <si>
    <t>836433</t>
  </si>
  <si>
    <t>园林股份</t>
  </si>
  <si>
    <t>605303</t>
  </si>
  <si>
    <t>飞鹿股份</t>
  </si>
  <si>
    <t>300665</t>
  </si>
  <si>
    <t>宁波富邦</t>
  </si>
  <si>
    <t>600768</t>
  </si>
  <si>
    <t>艾隆科技</t>
  </si>
  <si>
    <t>688329</t>
  </si>
  <si>
    <t>瑞和股份</t>
  </si>
  <si>
    <t>002620</t>
  </si>
  <si>
    <t>科汇股份</t>
  </si>
  <si>
    <t>688681</t>
  </si>
  <si>
    <t>原尚股份</t>
  </si>
  <si>
    <t>603813</t>
  </si>
  <si>
    <t>生物谷</t>
  </si>
  <si>
    <t>833266</t>
  </si>
  <si>
    <t>康众医疗</t>
  </si>
  <si>
    <t>688607</t>
  </si>
  <si>
    <t>兴图新科</t>
  </si>
  <si>
    <t>688081</t>
  </si>
  <si>
    <t>杭州高新</t>
  </si>
  <si>
    <t>300478</t>
  </si>
  <si>
    <t>佳先股份</t>
  </si>
  <si>
    <t>430489</t>
  </si>
  <si>
    <t>爱威科技</t>
  </si>
  <si>
    <t>688067</t>
  </si>
  <si>
    <t>和科达</t>
  </si>
  <si>
    <t>002816</t>
  </si>
  <si>
    <t>美芝股份</t>
  </si>
  <si>
    <t>002856</t>
  </si>
  <si>
    <t>建邦科技</t>
  </si>
  <si>
    <t>837242</t>
  </si>
  <si>
    <t>山东华鹏</t>
  </si>
  <si>
    <t>603021</t>
  </si>
  <si>
    <t>狮头股份</t>
  </si>
  <si>
    <t>600539</t>
  </si>
  <si>
    <t>流金科技</t>
  </si>
  <si>
    <t>834021</t>
  </si>
  <si>
    <t>恒誉环保</t>
  </si>
  <si>
    <t>688309</t>
  </si>
  <si>
    <t>元琛科技</t>
  </si>
  <si>
    <t>688659</t>
  </si>
  <si>
    <t>秉扬科技</t>
  </si>
  <si>
    <t>836675</t>
  </si>
  <si>
    <t>凯添燃气</t>
  </si>
  <si>
    <t>831010</t>
  </si>
  <si>
    <t>通源环境</t>
  </si>
  <si>
    <t>688679</t>
  </si>
  <si>
    <t>博汇科技</t>
  </si>
  <si>
    <t>688004</t>
  </si>
  <si>
    <t>鹿得医疗</t>
  </si>
  <si>
    <t>832278</t>
  </si>
  <si>
    <t>瑞晟智能</t>
  </si>
  <si>
    <t>688215</t>
  </si>
  <si>
    <t>睿昂基因</t>
  </si>
  <si>
    <t>688217</t>
  </si>
  <si>
    <t>微创光电</t>
  </si>
  <si>
    <t>430198</t>
  </si>
  <si>
    <t>仁智股份</t>
  </si>
  <si>
    <t>002629</t>
  </si>
  <si>
    <t>恒拓开源</t>
  </si>
  <si>
    <t>834415</t>
  </si>
  <si>
    <t>京源环保</t>
  </si>
  <si>
    <t>688096</t>
  </si>
  <si>
    <t>国义招标</t>
  </si>
  <si>
    <t>831039</t>
  </si>
  <si>
    <t>万德斯</t>
  </si>
  <si>
    <t>688178</t>
  </si>
  <si>
    <t>方盛股份</t>
  </si>
  <si>
    <t>832662</t>
  </si>
  <si>
    <t>国源科技</t>
  </si>
  <si>
    <t>835184</t>
  </si>
  <si>
    <t>盖世食品</t>
  </si>
  <si>
    <t>836826</t>
  </si>
  <si>
    <t>润农节水</t>
  </si>
  <si>
    <t>830964</t>
  </si>
  <si>
    <t>力源科技</t>
  </si>
  <si>
    <t>688565</t>
  </si>
  <si>
    <t>通易航天</t>
  </si>
  <si>
    <t>871642</t>
  </si>
  <si>
    <t>三友科技</t>
  </si>
  <si>
    <t>834475</t>
  </si>
  <si>
    <t>德众汽车</t>
  </si>
  <si>
    <t>838030</t>
  </si>
  <si>
    <t>殷图网联</t>
  </si>
  <si>
    <t>835508</t>
  </si>
  <si>
    <t>龙竹科技</t>
  </si>
  <si>
    <t>831445</t>
  </si>
  <si>
    <t>华阳变速</t>
  </si>
  <si>
    <t>839946</t>
  </si>
  <si>
    <t>辰光医疗</t>
  </si>
  <si>
    <t>430300</t>
  </si>
  <si>
    <t>奥福环保</t>
  </si>
  <si>
    <t>688021</t>
  </si>
  <si>
    <t>卓锦股份</t>
  </si>
  <si>
    <t>688701</t>
  </si>
  <si>
    <t>新安洁</t>
  </si>
  <si>
    <t>831370</t>
  </si>
  <si>
    <t>常辅股份</t>
  </si>
  <si>
    <t>871396</t>
  </si>
  <si>
    <t>齐鲁华信</t>
  </si>
  <si>
    <t>830832</t>
  </si>
  <si>
    <t>凯腾精工</t>
  </si>
  <si>
    <t>871553</t>
  </si>
  <si>
    <t>中航泰达</t>
  </si>
  <si>
    <t>836263</t>
  </si>
  <si>
    <t>同辉信息</t>
  </si>
  <si>
    <t>430090</t>
  </si>
  <si>
    <t>七丰精工</t>
  </si>
  <si>
    <t>873169</t>
  </si>
  <si>
    <t>驱动力</t>
  </si>
  <si>
    <t>838275</t>
  </si>
  <si>
    <t>旭杰科技</t>
  </si>
  <si>
    <t>836149</t>
  </si>
  <si>
    <t>美之高</t>
  </si>
  <si>
    <t>834765</t>
  </si>
  <si>
    <t>股票代码</t>
    <phoneticPr fontId="5" type="noConversion"/>
  </si>
  <si>
    <t>股票简称</t>
    <phoneticPr fontId="5" type="noConversion"/>
  </si>
  <si>
    <t>002939</t>
  </si>
  <si>
    <t>长城证券</t>
  </si>
  <si>
    <t>601838</t>
  </si>
  <si>
    <t>成都银行</t>
  </si>
  <si>
    <t>600000</t>
  </si>
  <si>
    <t>浦发银行</t>
  </si>
  <si>
    <t>601128</t>
  </si>
  <si>
    <t>常熟银行</t>
  </si>
  <si>
    <t>002966</t>
  </si>
  <si>
    <t>苏州银行</t>
  </si>
  <si>
    <t>600016</t>
  </si>
  <si>
    <t>民生银行</t>
  </si>
  <si>
    <t>601009</t>
  </si>
  <si>
    <t>南京银行</t>
  </si>
  <si>
    <t>601825</t>
  </si>
  <si>
    <t>沪农商行</t>
  </si>
  <si>
    <t>601166</t>
  </si>
  <si>
    <t>兴业银行</t>
  </si>
  <si>
    <t>002736</t>
  </si>
  <si>
    <t>国信证券</t>
  </si>
  <si>
    <t>601818</t>
  </si>
  <si>
    <t>光大银行</t>
  </si>
  <si>
    <t>000001</t>
  </si>
  <si>
    <t>平安银行</t>
  </si>
  <si>
    <t>君实生物-U</t>
  </si>
  <si>
    <t>601916</t>
  </si>
  <si>
    <t>浙商银行</t>
  </si>
  <si>
    <t>600919</t>
  </si>
  <si>
    <t>江苏银行</t>
  </si>
  <si>
    <t>601990</t>
  </si>
  <si>
    <t>南京证券</t>
  </si>
  <si>
    <t>301236</t>
  </si>
  <si>
    <t>软通动力</t>
  </si>
  <si>
    <t>601108</t>
  </si>
  <si>
    <t>财通证券</t>
  </si>
  <si>
    <t>601169</t>
  </si>
  <si>
    <t>北京银行</t>
  </si>
  <si>
    <t>601377</t>
  </si>
  <si>
    <t>兴业证券</t>
  </si>
  <si>
    <t>601628</t>
  </si>
  <si>
    <t>中国人寿</t>
  </si>
  <si>
    <t>600926</t>
  </si>
  <si>
    <t>杭州银行</t>
  </si>
  <si>
    <t>600036</t>
  </si>
  <si>
    <t>招商银行</t>
  </si>
  <si>
    <t>601555</t>
  </si>
  <si>
    <t>东吴证券</t>
  </si>
  <si>
    <t>688538</t>
  </si>
  <si>
    <t>和辉光电-U</t>
  </si>
  <si>
    <t>601288</t>
  </si>
  <si>
    <t>农业银行</t>
  </si>
  <si>
    <t>688223</t>
  </si>
  <si>
    <t>晶科能源</t>
  </si>
  <si>
    <t>601229</t>
  </si>
  <si>
    <t>上海银行</t>
  </si>
  <si>
    <t>002797</t>
  </si>
  <si>
    <t>第一创业</t>
  </si>
  <si>
    <t>000728</t>
  </si>
  <si>
    <t>国元证券</t>
  </si>
  <si>
    <t>688469</t>
  </si>
  <si>
    <t>芯联集成-U</t>
  </si>
  <si>
    <t>601901</t>
  </si>
  <si>
    <t>方正证券</t>
  </si>
  <si>
    <t>600369</t>
  </si>
  <si>
    <t>西南证券</t>
  </si>
  <si>
    <t>600909</t>
  </si>
  <si>
    <t>华安证券</t>
  </si>
  <si>
    <t>苏 泊 尔</t>
  </si>
  <si>
    <t>601997</t>
  </si>
  <si>
    <t>贵阳银行</t>
  </si>
  <si>
    <t>601318</t>
  </si>
  <si>
    <t>中国平安</t>
  </si>
  <si>
    <t>601328</t>
  </si>
  <si>
    <t>交通银行</t>
  </si>
  <si>
    <t>600109</t>
  </si>
  <si>
    <t>国金证券</t>
  </si>
  <si>
    <t>601336</t>
  </si>
  <si>
    <t>新华保险</t>
  </si>
  <si>
    <t>601198</t>
  </si>
  <si>
    <t>东兴证券</t>
  </si>
  <si>
    <t>000776</t>
  </si>
  <si>
    <t>广发证券</t>
  </si>
  <si>
    <t>601988</t>
  </si>
  <si>
    <t>中国银行</t>
  </si>
  <si>
    <t>601878</t>
  </si>
  <si>
    <t>浙商证券</t>
  </si>
  <si>
    <t>601696</t>
  </si>
  <si>
    <t>中银证券</t>
  </si>
  <si>
    <t>601577</t>
  </si>
  <si>
    <t>长沙银行</t>
  </si>
  <si>
    <t>601398</t>
  </si>
  <si>
    <t>工商银行</t>
  </si>
  <si>
    <t>601211</t>
  </si>
  <si>
    <t>国泰君安</t>
  </si>
  <si>
    <t>600837</t>
  </si>
  <si>
    <t>海通证券</t>
  </si>
  <si>
    <t>002142</t>
  </si>
  <si>
    <t>宁波银行</t>
  </si>
  <si>
    <t>000783</t>
  </si>
  <si>
    <t>长江证券</t>
  </si>
  <si>
    <t>万  科Ａ</t>
  </si>
  <si>
    <t>688120</t>
  </si>
  <si>
    <t>华海清科</t>
  </si>
  <si>
    <t>600958</t>
  </si>
  <si>
    <t>东方证券</t>
  </si>
  <si>
    <t>600999</t>
  </si>
  <si>
    <t>招商证券</t>
  </si>
  <si>
    <t>688114</t>
  </si>
  <si>
    <t>华大智造</t>
  </si>
  <si>
    <t>601066</t>
  </si>
  <si>
    <t>中信建投</t>
  </si>
  <si>
    <t>002673</t>
  </si>
  <si>
    <t>西部证券</t>
  </si>
  <si>
    <t>600015</t>
  </si>
  <si>
    <t>华夏银行</t>
  </si>
  <si>
    <t>605499</t>
  </si>
  <si>
    <t>东鹏饮料</t>
  </si>
  <si>
    <t>600918</t>
  </si>
  <si>
    <t>中泰证券</t>
  </si>
  <si>
    <t>601688</t>
  </si>
  <si>
    <t>华泰证券</t>
  </si>
  <si>
    <t>601939</t>
  </si>
  <si>
    <t>建设银行</t>
  </si>
  <si>
    <t>000166</t>
  </si>
  <si>
    <t>申万宏源</t>
  </si>
  <si>
    <t>605117</t>
  </si>
  <si>
    <t>德业股份</t>
  </si>
  <si>
    <t>601319</t>
  </si>
  <si>
    <t>中国人保</t>
  </si>
  <si>
    <t>601456</t>
  </si>
  <si>
    <t>国联证券</t>
  </si>
  <si>
    <t>601881</t>
  </si>
  <si>
    <t>中国银河</t>
  </si>
  <si>
    <t>寒武纪-U</t>
  </si>
  <si>
    <t>688385</t>
  </si>
  <si>
    <t>复旦微电</t>
  </si>
  <si>
    <t>600941</t>
  </si>
  <si>
    <t>中国移动</t>
  </si>
  <si>
    <t>600030</t>
  </si>
  <si>
    <t>中信证券</t>
  </si>
  <si>
    <t>601995</t>
  </si>
  <si>
    <t>中金公司</t>
  </si>
  <si>
    <t>002024</t>
  </si>
  <si>
    <t>ST易购</t>
  </si>
  <si>
    <t>601788</t>
  </si>
  <si>
    <t>光大证券</t>
  </si>
  <si>
    <t>688213</t>
  </si>
  <si>
    <t>思特威-W</t>
  </si>
  <si>
    <t>新 和 成</t>
  </si>
  <si>
    <t>601099</t>
  </si>
  <si>
    <t>太平洋</t>
  </si>
  <si>
    <t>601601</t>
  </si>
  <si>
    <t>中国太保</t>
  </si>
  <si>
    <t>新 希 望</t>
  </si>
  <si>
    <t>688271</t>
  </si>
  <si>
    <t>联影医疗</t>
  </si>
  <si>
    <t>京东方Ａ</t>
  </si>
  <si>
    <t>601077</t>
  </si>
  <si>
    <t>渝农商行</t>
  </si>
  <si>
    <t>688234</t>
  </si>
  <si>
    <t>天岳先进</t>
  </si>
  <si>
    <t>000750</t>
  </si>
  <si>
    <t>国海证券</t>
  </si>
  <si>
    <t>301269</t>
  </si>
  <si>
    <t>华大九天</t>
  </si>
  <si>
    <t>深天马Ａ</t>
  </si>
  <si>
    <t>五 粮 液</t>
  </si>
  <si>
    <t>688072</t>
  </si>
  <si>
    <t>拓荆科技</t>
  </si>
  <si>
    <t>688041</t>
  </si>
  <si>
    <t>海光信息</t>
  </si>
  <si>
    <t>601162</t>
  </si>
  <si>
    <t>天风证券</t>
  </si>
  <si>
    <t>百济神州-U</t>
  </si>
  <si>
    <t>是否MSCI</t>
    <phoneticPr fontId="2" type="noConversion"/>
  </si>
  <si>
    <t>可选消费</t>
  </si>
  <si>
    <t>可选消费</t>
    <phoneticPr fontId="2" type="noConversion"/>
  </si>
  <si>
    <t>信息技术</t>
  </si>
  <si>
    <t>信息技术</t>
    <phoneticPr fontId="2" type="noConversion"/>
  </si>
  <si>
    <t>医疗</t>
  </si>
  <si>
    <t>医疗</t>
    <phoneticPr fontId="2" type="noConversion"/>
  </si>
  <si>
    <t>金融</t>
    <phoneticPr fontId="2" type="noConversion"/>
  </si>
  <si>
    <t>公共事业</t>
  </si>
  <si>
    <t>公共事业</t>
    <phoneticPr fontId="2" type="noConversion"/>
  </si>
  <si>
    <t>工业</t>
  </si>
  <si>
    <t>工业</t>
    <phoneticPr fontId="2" type="noConversion"/>
  </si>
  <si>
    <t>必选消费</t>
  </si>
  <si>
    <t>必选消费</t>
    <phoneticPr fontId="2" type="noConversion"/>
  </si>
  <si>
    <t>原材料</t>
  </si>
  <si>
    <t>原材料</t>
    <phoneticPr fontId="2" type="noConversion"/>
  </si>
  <si>
    <t>分类</t>
    <phoneticPr fontId="2" type="noConversion"/>
  </si>
  <si>
    <t>走势详情</t>
    <phoneticPr fontId="2" type="noConversion"/>
  </si>
  <si>
    <t>股票代码</t>
  </si>
  <si>
    <t>股票简称</t>
  </si>
  <si>
    <t>现价(元)</t>
  </si>
  <si>
    <t>涨跌幅(%)</t>
  </si>
  <si>
    <t>a股流通市值 (元)2024.09.18</t>
  </si>
  <si>
    <t>601398.SH</t>
  </si>
  <si>
    <t>601288.SH</t>
  </si>
  <si>
    <t>601857.SH</t>
  </si>
  <si>
    <t>601988.SH</t>
  </si>
  <si>
    <t>601628.SH</t>
  </si>
  <si>
    <t>300750.SZ</t>
  </si>
  <si>
    <t>600900.SH</t>
  </si>
  <si>
    <t>600036.SH</t>
  </si>
  <si>
    <t>601088.SH</t>
  </si>
  <si>
    <t>600028.SH</t>
  </si>
  <si>
    <t>601318.SH</t>
  </si>
  <si>
    <t>000333.SZ</t>
  </si>
  <si>
    <t>000858.SZ</t>
  </si>
  <si>
    <t>601138.SH</t>
  </si>
  <si>
    <t>601166.SH</t>
  </si>
  <si>
    <t>601658.SH</t>
  </si>
  <si>
    <t>邮储银行</t>
  </si>
  <si>
    <t>601899.SH</t>
  </si>
  <si>
    <t>002594.SZ</t>
  </si>
  <si>
    <t>600276.SH</t>
  </si>
  <si>
    <t>300760.SZ</t>
  </si>
  <si>
    <t>601816.SH</t>
  </si>
  <si>
    <t>002475.SZ</t>
  </si>
  <si>
    <t>601328.SH</t>
  </si>
  <si>
    <t>600000.SH</t>
  </si>
  <si>
    <t>600030.SH</t>
  </si>
  <si>
    <t>002415.SZ</t>
  </si>
  <si>
    <t>600309.SH</t>
  </si>
  <si>
    <t>601225.SH</t>
  </si>
  <si>
    <t>601998.SH</t>
  </si>
  <si>
    <t>中信银行</t>
  </si>
  <si>
    <t>000651.SZ</t>
  </si>
  <si>
    <t>601319.SH</t>
  </si>
  <si>
    <t>601601.SH</t>
  </si>
  <si>
    <t>600406.SH</t>
  </si>
  <si>
    <t>603288.SH</t>
  </si>
  <si>
    <t>601668.SH</t>
  </si>
  <si>
    <t>000001.SZ</t>
  </si>
  <si>
    <t>600025.SH</t>
  </si>
  <si>
    <t>601985.SH</t>
  </si>
  <si>
    <t>600809.SH</t>
  </si>
  <si>
    <t>002352.SZ</t>
  </si>
  <si>
    <t>601766.SH</t>
  </si>
  <si>
    <t>600690.SH</t>
  </si>
  <si>
    <t>601919.SH</t>
  </si>
  <si>
    <t>002371.SZ</t>
  </si>
  <si>
    <t>600150.SH</t>
  </si>
  <si>
    <t>--</t>
  </si>
  <si>
    <t>003816.SZ</t>
  </si>
  <si>
    <t>601633.SH</t>
  </si>
  <si>
    <t>000568.SZ</t>
  </si>
  <si>
    <t>601818.SH</t>
  </si>
  <si>
    <t>300059.SZ</t>
  </si>
  <si>
    <t>600050.SH</t>
  </si>
  <si>
    <t>600919.SH</t>
  </si>
  <si>
    <t>002714.SZ</t>
  </si>
  <si>
    <t>600104.SH</t>
  </si>
  <si>
    <t>600887.SH</t>
  </si>
  <si>
    <t>600031.SH</t>
  </si>
  <si>
    <t>000725.SZ</t>
  </si>
  <si>
    <t>600018.SH</t>
  </si>
  <si>
    <t>300308.SZ</t>
  </si>
  <si>
    <t>300274.SZ</t>
  </si>
  <si>
    <t>600019.SH</t>
  </si>
  <si>
    <t>002142.SZ</t>
  </si>
  <si>
    <t>601728.SH</t>
  </si>
  <si>
    <t>600016.SH</t>
  </si>
  <si>
    <t>601898.SH</t>
  </si>
  <si>
    <t>603993.SH</t>
  </si>
  <si>
    <t>600436.SH</t>
  </si>
  <si>
    <t>600905.SH</t>
  </si>
  <si>
    <t>601127.SH</t>
  </si>
  <si>
    <t>601989.SH</t>
  </si>
  <si>
    <t>600999.SH</t>
  </si>
  <si>
    <t>600760.SH</t>
  </si>
  <si>
    <t>601211.SH</t>
  </si>
  <si>
    <t>601006.SH</t>
  </si>
  <si>
    <t>002304.SZ</t>
  </si>
  <si>
    <t>600886.SH</t>
  </si>
  <si>
    <t>600989.SH</t>
  </si>
  <si>
    <t>601888.SH</t>
  </si>
  <si>
    <t>601169.SH</t>
  </si>
  <si>
    <t>600660.SH</t>
  </si>
  <si>
    <t>603501.SH</t>
  </si>
  <si>
    <t>601390.SH</t>
  </si>
  <si>
    <t>603259.SH</t>
  </si>
  <si>
    <t>300124.SZ</t>
  </si>
  <si>
    <t>601012.SH</t>
  </si>
  <si>
    <t>000625.SZ</t>
  </si>
  <si>
    <t>000063.SZ</t>
  </si>
  <si>
    <t>601229.SH</t>
  </si>
  <si>
    <t>600015.SH</t>
  </si>
  <si>
    <t>000166.SZ</t>
  </si>
  <si>
    <t>601688.SH</t>
  </si>
  <si>
    <t>600547.SH</t>
  </si>
  <si>
    <t>601009.SH</t>
  </si>
  <si>
    <t>600893.SH</t>
  </si>
  <si>
    <t>600048.SH</t>
  </si>
  <si>
    <t>605499.SH</t>
  </si>
  <si>
    <t>688036.SH</t>
  </si>
  <si>
    <t>000538.SZ</t>
  </si>
  <si>
    <t>688256.SH</t>
  </si>
  <si>
    <t>600795.SH</t>
  </si>
  <si>
    <t>603392.SH</t>
  </si>
  <si>
    <t>601600.SH</t>
  </si>
  <si>
    <t>600346.SH</t>
  </si>
  <si>
    <t>688981.SH</t>
  </si>
  <si>
    <t>600674.SH</t>
  </si>
  <si>
    <t>688111.SH</t>
  </si>
  <si>
    <t>600837.SH</t>
  </si>
  <si>
    <t>601800.SH</t>
  </si>
  <si>
    <t>601995.SH</t>
  </si>
  <si>
    <t>603195.SH</t>
  </si>
  <si>
    <t>300498.SZ</t>
  </si>
  <si>
    <t>600438.SH</t>
  </si>
  <si>
    <t>601881.SH</t>
  </si>
  <si>
    <t>600585.SH</t>
  </si>
  <si>
    <t>001965.SZ</t>
  </si>
  <si>
    <t>000792.SZ</t>
  </si>
  <si>
    <t>000895.SZ</t>
  </si>
  <si>
    <t>002736.SZ</t>
  </si>
  <si>
    <t>601186.SH</t>
  </si>
  <si>
    <t>300979.SZ</t>
  </si>
  <si>
    <t>华利集团</t>
  </si>
  <si>
    <t>600188.SH</t>
  </si>
  <si>
    <t>002493.SZ</t>
  </si>
  <si>
    <t>002027.SZ</t>
  </si>
  <si>
    <t>688012.SH</t>
  </si>
  <si>
    <t>001979.SZ</t>
  </si>
  <si>
    <t>002179.SZ</t>
  </si>
  <si>
    <t>600941.SH</t>
  </si>
  <si>
    <t>600023.SH</t>
  </si>
  <si>
    <t>600938.SH</t>
  </si>
  <si>
    <t>中国海油</t>
  </si>
  <si>
    <t>601066.SH</t>
  </si>
  <si>
    <t>300433.SZ</t>
  </si>
  <si>
    <t>002230.SZ</t>
  </si>
  <si>
    <t>300015.SZ</t>
  </si>
  <si>
    <t>601111.SH</t>
  </si>
  <si>
    <t>002938.SZ</t>
  </si>
  <si>
    <t>000776.SZ</t>
  </si>
  <si>
    <t>600011.SH</t>
  </si>
  <si>
    <t>601100.SH</t>
  </si>
  <si>
    <t>601939.SH</t>
  </si>
  <si>
    <t>601336.SH</t>
  </si>
  <si>
    <t>600029.SH</t>
  </si>
  <si>
    <t>688041.SH</t>
  </si>
  <si>
    <t>000100.SZ</t>
  </si>
  <si>
    <t>600926.SH</t>
  </si>
  <si>
    <t>002050.SZ</t>
  </si>
  <si>
    <t>002463.SZ</t>
  </si>
  <si>
    <t>600958.SH</t>
  </si>
  <si>
    <t>000617.SZ</t>
  </si>
  <si>
    <t>000002.SZ</t>
  </si>
  <si>
    <t>000768.SZ</t>
  </si>
  <si>
    <t>300502.SZ</t>
  </si>
  <si>
    <t>600845.SH</t>
  </si>
  <si>
    <t>601825.SH</t>
  </si>
  <si>
    <t>600489.SH</t>
  </si>
  <si>
    <t>300014.SZ</t>
  </si>
  <si>
    <t>601689.SH</t>
  </si>
  <si>
    <t>600089.SH</t>
  </si>
  <si>
    <t>000338.SZ</t>
  </si>
  <si>
    <t>601698.SH</t>
  </si>
  <si>
    <t>603260.SH</t>
  </si>
  <si>
    <t>002001.SZ</t>
  </si>
  <si>
    <t>600009.SH</t>
  </si>
  <si>
    <t>600111.SH</t>
  </si>
  <si>
    <t>601669.SH</t>
  </si>
  <si>
    <t>002311.SZ</t>
  </si>
  <si>
    <t>000596.SZ</t>
  </si>
  <si>
    <t>605117.SH</t>
  </si>
  <si>
    <t>688008.SH</t>
  </si>
  <si>
    <t>601901.SH</t>
  </si>
  <si>
    <t>300408.SZ</t>
  </si>
  <si>
    <t>601788.SH</t>
  </si>
  <si>
    <t>688271.SH</t>
  </si>
  <si>
    <t>002241.SZ</t>
  </si>
  <si>
    <t>601872.SH</t>
  </si>
  <si>
    <t>601916.SH</t>
  </si>
  <si>
    <t>000708.SZ</t>
  </si>
  <si>
    <t>600233.SH</t>
  </si>
  <si>
    <t>000938.SZ</t>
  </si>
  <si>
    <t>600377.SH</t>
  </si>
  <si>
    <t>601238.SH</t>
  </si>
  <si>
    <t>603019.SH</t>
  </si>
  <si>
    <t>002920.SZ</t>
  </si>
  <si>
    <t>601018.SH</t>
  </si>
  <si>
    <t>600482.SH</t>
  </si>
  <si>
    <t>600803.SH</t>
  </si>
  <si>
    <t>600115.SH</t>
  </si>
  <si>
    <t>600066.SH</t>
  </si>
  <si>
    <t>000425.SZ</t>
  </si>
  <si>
    <t>002648.SZ</t>
  </si>
  <si>
    <t>600741.SH</t>
  </si>
  <si>
    <t>601838.SH</t>
  </si>
  <si>
    <t>600372.SH</t>
  </si>
  <si>
    <t>600584.SH</t>
  </si>
  <si>
    <t>002916.SZ</t>
  </si>
  <si>
    <t>600236.SH</t>
  </si>
  <si>
    <t>601360.SH</t>
  </si>
  <si>
    <t>601727.SH</t>
  </si>
  <si>
    <t>000963.SZ</t>
  </si>
  <si>
    <t>000999.SZ</t>
  </si>
  <si>
    <t>600703.SH</t>
  </si>
  <si>
    <t>300832.SZ</t>
  </si>
  <si>
    <t>601567.SH</t>
  </si>
  <si>
    <t>600418.SH</t>
  </si>
  <si>
    <t>601021.SH</t>
  </si>
  <si>
    <t>600196.SH</t>
  </si>
  <si>
    <t>600350.SH</t>
  </si>
  <si>
    <t>600415.SH</t>
  </si>
  <si>
    <t>601298.SH</t>
  </si>
  <si>
    <t>601618.SH</t>
  </si>
  <si>
    <t>000977.SZ</t>
  </si>
  <si>
    <t>600522.SH</t>
  </si>
  <si>
    <t>601058.SH</t>
  </si>
  <si>
    <t>603369.SH</t>
  </si>
  <si>
    <t>688169.SH</t>
  </si>
  <si>
    <t>600160.SH</t>
  </si>
  <si>
    <t>688396.SH</t>
  </si>
  <si>
    <t>600026.SH</t>
  </si>
  <si>
    <t>601377.SH</t>
  </si>
  <si>
    <t>600010.SH</t>
  </si>
  <si>
    <t>002252.SZ</t>
  </si>
  <si>
    <t>603986.SH</t>
  </si>
  <si>
    <t>600426.SH</t>
  </si>
  <si>
    <t>600085.SH</t>
  </si>
  <si>
    <t>601077.SH</t>
  </si>
  <si>
    <t>600027.SH</t>
  </si>
  <si>
    <t>002032.SZ</t>
  </si>
  <si>
    <t>601878.SH</t>
  </si>
  <si>
    <t>000157.SZ</t>
  </si>
  <si>
    <t>300394.SZ</t>
  </si>
  <si>
    <t>002028.SZ</t>
  </si>
  <si>
    <t>002600.SZ</t>
  </si>
  <si>
    <t>600161.SH</t>
  </si>
  <si>
    <t>600219.SH</t>
  </si>
  <si>
    <t>000807.SZ</t>
  </si>
  <si>
    <t>688009.SH</t>
  </si>
  <si>
    <t>000975.SZ</t>
  </si>
  <si>
    <t>601877.SH</t>
  </si>
  <si>
    <t>601699.SH</t>
  </si>
  <si>
    <t>600183.SH</t>
  </si>
  <si>
    <t>601808.SH</t>
  </si>
  <si>
    <t>600968.SH</t>
  </si>
  <si>
    <t>600362.SH</t>
  </si>
  <si>
    <t>000786.SZ</t>
  </si>
  <si>
    <t>603198.SH</t>
  </si>
  <si>
    <t>002422.SZ</t>
  </si>
  <si>
    <t>600600.SH</t>
  </si>
  <si>
    <t>000301.SZ</t>
  </si>
  <si>
    <t>002049.SZ</t>
  </si>
  <si>
    <t>600256.SH</t>
  </si>
  <si>
    <t>000408.SZ</t>
  </si>
  <si>
    <t>002601.SZ</t>
  </si>
  <si>
    <t>601117.SH</t>
  </si>
  <si>
    <t>600039.SH</t>
  </si>
  <si>
    <t>002466.SZ</t>
  </si>
  <si>
    <t>600061.SH</t>
  </si>
  <si>
    <t>000876.SZ</t>
  </si>
  <si>
    <t>601179.SH</t>
  </si>
  <si>
    <t>603799.SH</t>
  </si>
  <si>
    <t>600487.SH</t>
  </si>
  <si>
    <t>600985.SH</t>
  </si>
  <si>
    <t>000800.SZ</t>
  </si>
  <si>
    <t>002294.SZ</t>
  </si>
  <si>
    <t>601607.SH</t>
  </si>
  <si>
    <t>688126.SH</t>
  </si>
  <si>
    <t>601799.SH</t>
  </si>
  <si>
    <t>603806.SH</t>
  </si>
  <si>
    <t>600176.SH</t>
  </si>
  <si>
    <t>002625.SZ</t>
  </si>
  <si>
    <t>600642.SH</t>
  </si>
  <si>
    <t>688188.SH</t>
  </si>
  <si>
    <t>688599.SH</t>
  </si>
  <si>
    <t>600332.SH</t>
  </si>
  <si>
    <t>601168.SH</t>
  </si>
  <si>
    <t>002595.SZ</t>
  </si>
  <si>
    <t>600096.SH</t>
  </si>
  <si>
    <t>001872.SZ</t>
  </si>
  <si>
    <t>603605.SH</t>
  </si>
  <si>
    <t>000983.SZ</t>
  </si>
  <si>
    <t>002064.SZ</t>
  </si>
  <si>
    <t>600221.SH</t>
  </si>
  <si>
    <t>002128.SZ</t>
  </si>
  <si>
    <t>002078.SZ</t>
  </si>
  <si>
    <t>603606.SH</t>
  </si>
  <si>
    <t>002459.SZ</t>
  </si>
  <si>
    <t>300418.SZ</t>
  </si>
  <si>
    <t>688617.SH</t>
  </si>
  <si>
    <t>000062.SZ</t>
  </si>
  <si>
    <t>002444.SZ</t>
  </si>
  <si>
    <t>000933.SZ</t>
  </si>
  <si>
    <t>601236.SH</t>
  </si>
  <si>
    <t>红塔证券</t>
  </si>
  <si>
    <t>000661.SZ</t>
  </si>
  <si>
    <t>600733.SH</t>
  </si>
  <si>
    <t>000400.SZ</t>
  </si>
  <si>
    <t>000630.SZ</t>
  </si>
  <si>
    <t>601958.SH</t>
  </si>
  <si>
    <t>300661.SZ</t>
  </si>
  <si>
    <t>002460.SZ</t>
  </si>
  <si>
    <t>002129.SZ</t>
  </si>
  <si>
    <t>601991.SH</t>
  </si>
  <si>
    <t>600177.SH</t>
  </si>
  <si>
    <t>600745.SH</t>
  </si>
  <si>
    <t>601555.SH</t>
  </si>
  <si>
    <t>601108.SH</t>
  </si>
  <si>
    <t>600570.SH</t>
  </si>
  <si>
    <t>603568.SH</t>
  </si>
  <si>
    <t>688777.SH</t>
  </si>
  <si>
    <t>000423.SZ</t>
  </si>
  <si>
    <t>601216.SH</t>
  </si>
  <si>
    <t>601231.SH</t>
  </si>
  <si>
    <t>002223.SZ</t>
  </si>
  <si>
    <t>600895.SH</t>
  </si>
  <si>
    <t>300759.SZ</t>
  </si>
  <si>
    <t>002180.SZ</t>
  </si>
  <si>
    <t>000883.SZ</t>
  </si>
  <si>
    <t>601865.SH</t>
  </si>
  <si>
    <t>600588.SH</t>
  </si>
  <si>
    <t>601000.SH</t>
  </si>
  <si>
    <t>300122.SZ</t>
  </si>
  <si>
    <t>600352.SH</t>
  </si>
  <si>
    <t>601928.SH</t>
  </si>
  <si>
    <t>600460.SH</t>
  </si>
  <si>
    <t>601868.SH</t>
  </si>
  <si>
    <t>000988.SZ</t>
  </si>
  <si>
    <t>002236.SZ</t>
  </si>
  <si>
    <t>600536.SH</t>
  </si>
  <si>
    <t>300765.SZ</t>
  </si>
  <si>
    <t>300347.SZ</t>
  </si>
  <si>
    <t>600988.SH</t>
  </si>
  <si>
    <t>002340.SZ</t>
  </si>
  <si>
    <t>600515.SH</t>
  </si>
  <si>
    <t>000728.SZ</t>
  </si>
  <si>
    <t>002202.SZ</t>
  </si>
  <si>
    <t>300896.SZ</t>
  </si>
  <si>
    <t>600885.SH</t>
  </si>
  <si>
    <t>002156.SZ</t>
  </si>
  <si>
    <t>600298.SH</t>
  </si>
  <si>
    <t>000783.SZ</t>
  </si>
  <si>
    <t>300033.SZ</t>
  </si>
  <si>
    <t>601990.SH</t>
  </si>
  <si>
    <t>600299.SH</t>
  </si>
  <si>
    <t>600863.SH</t>
  </si>
  <si>
    <t>300316.SZ</t>
  </si>
  <si>
    <t>603529.SH</t>
  </si>
  <si>
    <t>爱玛科技</t>
  </si>
  <si>
    <t>601577.SH</t>
  </si>
  <si>
    <t>002384.SZ</t>
  </si>
  <si>
    <t>300782.SZ</t>
  </si>
  <si>
    <t>300207.SZ</t>
  </si>
  <si>
    <t>688819.SH</t>
  </si>
  <si>
    <t>601198.SH</t>
  </si>
  <si>
    <t>603160.SH</t>
  </si>
  <si>
    <t>002532.SZ</t>
  </si>
  <si>
    <t>002945.SZ</t>
  </si>
  <si>
    <t>华林证券</t>
  </si>
  <si>
    <t>000027.SZ</t>
  </si>
  <si>
    <t>600312.SH</t>
  </si>
  <si>
    <t>300919.SZ</t>
  </si>
  <si>
    <t>002673.SZ</t>
  </si>
  <si>
    <t>002456.SZ</t>
  </si>
  <si>
    <t>000066.SZ</t>
  </si>
  <si>
    <t>603338.SH</t>
  </si>
  <si>
    <t>002085.SZ</t>
  </si>
  <si>
    <t>603833.SH</t>
  </si>
  <si>
    <t>600873.SH</t>
  </si>
  <si>
    <t>601019.SH</t>
  </si>
  <si>
    <t>300628.SZ</t>
  </si>
  <si>
    <t>600398.SH</t>
  </si>
  <si>
    <t>600517.SH</t>
  </si>
  <si>
    <t>600875.SH</t>
  </si>
  <si>
    <t>000987.SZ</t>
  </si>
  <si>
    <t>600282.SH</t>
  </si>
  <si>
    <t>600079.SH</t>
  </si>
  <si>
    <t>600132.SH</t>
  </si>
  <si>
    <t>601162.SH</t>
  </si>
  <si>
    <t>002608.SZ</t>
  </si>
  <si>
    <t>000564.SZ</t>
  </si>
  <si>
    <t>688278.SH</t>
  </si>
  <si>
    <t>600862.SH</t>
  </si>
  <si>
    <t>002966.SZ</t>
  </si>
  <si>
    <t>688047.SH</t>
  </si>
  <si>
    <t>龙芯中科</t>
  </si>
  <si>
    <t>600483.SH</t>
  </si>
  <si>
    <t>600348.SH</t>
  </si>
  <si>
    <t>603298.SH</t>
  </si>
  <si>
    <t>601966.SH</t>
  </si>
  <si>
    <t>601696.SH</t>
  </si>
  <si>
    <t>600007.SH</t>
  </si>
  <si>
    <t>603596.SH</t>
  </si>
  <si>
    <t>002074.SZ</t>
  </si>
  <si>
    <t>600549.SH</t>
  </si>
  <si>
    <t>000738.SZ</t>
  </si>
  <si>
    <t>600118.SH</t>
  </si>
  <si>
    <t>002939.SZ</t>
  </si>
  <si>
    <t>603156.SH</t>
  </si>
  <si>
    <t>300114.SZ</t>
  </si>
  <si>
    <t>601598.SH</t>
  </si>
  <si>
    <t>300476.SZ</t>
  </si>
  <si>
    <t>601001.SH</t>
  </si>
  <si>
    <t>600521.SH</t>
  </si>
  <si>
    <t>600765.SH</t>
  </si>
  <si>
    <t>601098.SH</t>
  </si>
  <si>
    <t>689009.SH</t>
  </si>
  <si>
    <t>000932.SZ</t>
  </si>
  <si>
    <t>000921.SZ</t>
  </si>
  <si>
    <t>000831.SZ</t>
  </si>
  <si>
    <t>600497.SH</t>
  </si>
  <si>
    <t>002185.SZ</t>
  </si>
  <si>
    <t>600663.SH</t>
  </si>
  <si>
    <t>603899.SH</t>
  </si>
  <si>
    <t>600871.SH</t>
  </si>
  <si>
    <t>600157.SH</t>
  </si>
  <si>
    <t>601233.SH</t>
  </si>
  <si>
    <t>600518.SH</t>
  </si>
  <si>
    <t>600378.SH</t>
  </si>
  <si>
    <t>603486.SH</t>
  </si>
  <si>
    <t>600879.SH</t>
  </si>
  <si>
    <t>600598.SH</t>
  </si>
  <si>
    <t>601228.SH</t>
  </si>
  <si>
    <t>301236.SZ</t>
  </si>
  <si>
    <t>601456.SH</t>
  </si>
  <si>
    <t>601880.SH</t>
  </si>
  <si>
    <t>002152.SZ</t>
  </si>
  <si>
    <t>603659.SH</t>
  </si>
  <si>
    <t>000729.SZ</t>
  </si>
  <si>
    <t>600109.SH</t>
  </si>
  <si>
    <t>603228.SH</t>
  </si>
  <si>
    <t>603129.SH</t>
  </si>
  <si>
    <t>600369.SH</t>
  </si>
  <si>
    <t>603979.SH</t>
  </si>
  <si>
    <t>603885.SH</t>
  </si>
  <si>
    <t>601155.SH</t>
  </si>
  <si>
    <t>600566.SH</t>
  </si>
  <si>
    <t>002244.SZ</t>
  </si>
  <si>
    <t>002797.SZ</t>
  </si>
  <si>
    <t>603658.SH</t>
  </si>
  <si>
    <t>600153.SH</t>
  </si>
  <si>
    <t>600998.SH</t>
  </si>
  <si>
    <t>603556.SH</t>
  </si>
  <si>
    <t>300699.SZ</t>
  </si>
  <si>
    <t>600546.SH</t>
  </si>
  <si>
    <t>688122.SH</t>
  </si>
  <si>
    <t>600582.SH</t>
  </si>
  <si>
    <t>600839.SH</t>
  </si>
  <si>
    <t>002007.SZ</t>
  </si>
  <si>
    <t>000878.SZ</t>
  </si>
  <si>
    <t>688120.SH</t>
  </si>
  <si>
    <t>600918.SH</t>
  </si>
  <si>
    <t>601099.SH</t>
  </si>
  <si>
    <t>603939.SH</t>
  </si>
  <si>
    <t>600705.SH</t>
  </si>
  <si>
    <t>002602.SZ</t>
  </si>
  <si>
    <t>002262.SZ</t>
  </si>
  <si>
    <t>600707.SH</t>
  </si>
  <si>
    <t>601118.SH</t>
  </si>
  <si>
    <t>600583.SH</t>
  </si>
  <si>
    <t>002555.SZ</t>
  </si>
  <si>
    <t>600062.SH</t>
  </si>
  <si>
    <t>000513.SZ</t>
  </si>
  <si>
    <t>002120.SZ</t>
  </si>
  <si>
    <t>600021.SH</t>
  </si>
  <si>
    <t>000960.SZ</t>
  </si>
  <si>
    <t>688099.SH</t>
  </si>
  <si>
    <t>603707.SH</t>
  </si>
  <si>
    <t>600060.SH</t>
  </si>
  <si>
    <t>600685.SH</t>
  </si>
  <si>
    <t>603893.SH</t>
  </si>
  <si>
    <t>600704.SH</t>
  </si>
  <si>
    <t>603589.SH</t>
  </si>
  <si>
    <t>002273.SZ</t>
  </si>
  <si>
    <t>600637.SH</t>
  </si>
  <si>
    <t>600848.SH</t>
  </si>
  <si>
    <t>600535.SH</t>
  </si>
  <si>
    <t>600038.SH</t>
  </si>
  <si>
    <t>300450.SZ</t>
  </si>
  <si>
    <t>002821.SZ</t>
  </si>
  <si>
    <t>000629.SZ</t>
  </si>
  <si>
    <t>601611.SH</t>
  </si>
  <si>
    <t>603345.SH</t>
  </si>
  <si>
    <t>600578.SH</t>
  </si>
  <si>
    <t>300866.SZ</t>
  </si>
  <si>
    <t>601158.SH</t>
  </si>
  <si>
    <t>603087.SH</t>
  </si>
  <si>
    <t>601666.SH</t>
  </si>
  <si>
    <t>002738.SZ</t>
  </si>
  <si>
    <t>600754.SH</t>
  </si>
  <si>
    <t>300763.SZ</t>
  </si>
  <si>
    <t>600131.SH</t>
  </si>
  <si>
    <t>600909.SH</t>
  </si>
  <si>
    <t>002812.SZ</t>
  </si>
  <si>
    <t>600004.SH</t>
  </si>
  <si>
    <t>600008.SH</t>
  </si>
  <si>
    <t>601665.SH</t>
  </si>
  <si>
    <t>齐鲁银行</t>
  </si>
  <si>
    <t>601933.SH</t>
  </si>
  <si>
    <t>000021.SZ</t>
  </si>
  <si>
    <t>603786.SH</t>
  </si>
  <si>
    <t>002281.SZ</t>
  </si>
  <si>
    <t>600901.SH</t>
  </si>
  <si>
    <t>江苏金租</t>
  </si>
  <si>
    <t>002465.SZ</t>
  </si>
  <si>
    <t>000703.SZ</t>
  </si>
  <si>
    <t>002429.SZ</t>
  </si>
  <si>
    <t>600141.SH</t>
  </si>
  <si>
    <t>002603.SZ</t>
  </si>
  <si>
    <t>002414.SZ</t>
  </si>
  <si>
    <t>688223.SH</t>
  </si>
  <si>
    <t>002271.SZ</t>
  </si>
  <si>
    <t>002025.SZ</t>
  </si>
  <si>
    <t>600606.SH</t>
  </si>
  <si>
    <t>600655.SH</t>
  </si>
  <si>
    <t>688065.SH</t>
  </si>
  <si>
    <t>603000.SH</t>
  </si>
  <si>
    <t>600486.SH</t>
  </si>
  <si>
    <t>600098.SH</t>
  </si>
  <si>
    <t>000598.SZ</t>
  </si>
  <si>
    <t>688578.SH</t>
  </si>
  <si>
    <t>600673.SH</t>
  </si>
  <si>
    <t>600563.SH</t>
  </si>
  <si>
    <t>601212.SH</t>
  </si>
  <si>
    <t>603179.SH</t>
  </si>
  <si>
    <t>002739.SZ</t>
  </si>
  <si>
    <t>601615.SH</t>
  </si>
  <si>
    <t>002353.SZ</t>
  </si>
  <si>
    <t>600699.SH</t>
  </si>
  <si>
    <t>600373.SH</t>
  </si>
  <si>
    <t>301269.SZ</t>
  </si>
  <si>
    <t>600763.SH</t>
  </si>
  <si>
    <t>300413.SZ</t>
  </si>
  <si>
    <t>601399.SH</t>
  </si>
  <si>
    <t>688180.SH</t>
  </si>
  <si>
    <t>000830.SZ</t>
  </si>
  <si>
    <t>601918.SH</t>
  </si>
  <si>
    <t>002056.SZ</t>
  </si>
  <si>
    <t>000009.SZ</t>
  </si>
  <si>
    <t>002709.SZ</t>
  </si>
  <si>
    <t>600390.SH</t>
  </si>
  <si>
    <t>002318.SZ</t>
  </si>
  <si>
    <t>600143.SH</t>
  </si>
  <si>
    <t>300223.SZ</t>
  </si>
  <si>
    <t>600688.SH</t>
  </si>
  <si>
    <t>300373.SZ</t>
  </si>
  <si>
    <t>300251.SZ</t>
  </si>
  <si>
    <t>002461.SZ</t>
  </si>
  <si>
    <t>600977.SH</t>
  </si>
  <si>
    <t>002558.SZ</t>
  </si>
  <si>
    <t>000733.SZ</t>
  </si>
  <si>
    <t>002008.SZ</t>
  </si>
  <si>
    <t>603871.SH</t>
  </si>
  <si>
    <t>000958.SZ</t>
  </si>
  <si>
    <t>601139.SH</t>
  </si>
  <si>
    <t>002432.SZ</t>
  </si>
  <si>
    <t>300001.SZ</t>
  </si>
  <si>
    <t>002517.SZ</t>
  </si>
  <si>
    <t>600380.SH</t>
  </si>
  <si>
    <t>603816.SH</t>
  </si>
  <si>
    <t>601128.SH</t>
  </si>
  <si>
    <t>002155.SZ</t>
  </si>
  <si>
    <t>688235.SH</t>
  </si>
  <si>
    <t>002138.SZ</t>
  </si>
  <si>
    <t>603826.SH</t>
  </si>
  <si>
    <t>601333.SH</t>
  </si>
  <si>
    <t>002500.SZ</t>
  </si>
  <si>
    <t>山西证券</t>
  </si>
  <si>
    <t>601777.SH</t>
  </si>
  <si>
    <t>688072.SH</t>
  </si>
  <si>
    <t>000750.SZ</t>
  </si>
  <si>
    <t>603379.SH</t>
  </si>
  <si>
    <t>688608.SH</t>
  </si>
  <si>
    <t>300957.SZ</t>
  </si>
  <si>
    <t>600737.SH</t>
  </si>
  <si>
    <t>000709.SZ</t>
  </si>
  <si>
    <t>601997.SH</t>
  </si>
  <si>
    <t>000739.SZ</t>
  </si>
  <si>
    <t>688100.SH</t>
  </si>
  <si>
    <t>000543.SZ</t>
  </si>
  <si>
    <t>600170.SH</t>
  </si>
  <si>
    <t>601866.SH</t>
  </si>
  <si>
    <t>003022.SZ</t>
  </si>
  <si>
    <t>002653.SZ</t>
  </si>
  <si>
    <t>300474.SZ</t>
  </si>
  <si>
    <t>002926.SZ</t>
  </si>
  <si>
    <t>华西证券</t>
  </si>
  <si>
    <t>600012.SH</t>
  </si>
  <si>
    <t>600095.SH</t>
  </si>
  <si>
    <t>002423.SZ</t>
  </si>
  <si>
    <t>600550.SH</t>
  </si>
  <si>
    <t>600383.SH</t>
  </si>
  <si>
    <t>000723.SZ</t>
  </si>
  <si>
    <t>002508.SZ</t>
  </si>
  <si>
    <t>601717.SH</t>
  </si>
  <si>
    <t>600612.SH</t>
  </si>
  <si>
    <t>000959.SZ</t>
  </si>
  <si>
    <t>002841.SZ</t>
  </si>
  <si>
    <t>600761.SH</t>
  </si>
  <si>
    <t>600820.SH</t>
  </si>
  <si>
    <t>000825.SZ</t>
  </si>
  <si>
    <t>300037.SZ</t>
  </si>
  <si>
    <t>300144.SZ</t>
  </si>
  <si>
    <t>000937.SZ</t>
  </si>
  <si>
    <t>000683.SZ</t>
  </si>
  <si>
    <t>000519.SZ</t>
  </si>
  <si>
    <t>000426.SZ</t>
  </si>
  <si>
    <t>688318.SH</t>
  </si>
  <si>
    <t>601965.SH</t>
  </si>
  <si>
    <t>002430.SZ</t>
  </si>
  <si>
    <t>002984.SZ</t>
  </si>
  <si>
    <t>600529.SH</t>
  </si>
  <si>
    <t>001213.SZ</t>
  </si>
  <si>
    <t>中铁特货</t>
  </si>
  <si>
    <t>688266.SH</t>
  </si>
  <si>
    <t>000951.SZ</t>
  </si>
  <si>
    <t>300002.SZ</t>
  </si>
  <si>
    <t>603290.SH</t>
  </si>
  <si>
    <t>000559.SZ</t>
  </si>
  <si>
    <t>600295.SH</t>
  </si>
  <si>
    <t>603858.SH</t>
  </si>
  <si>
    <t>600498.SH</t>
  </si>
  <si>
    <t>000039.SZ</t>
  </si>
  <si>
    <t>688249.SH</t>
  </si>
  <si>
    <t>晶合集成</t>
  </si>
  <si>
    <t>600032.SH</t>
  </si>
  <si>
    <t>浙江新能</t>
  </si>
  <si>
    <t>002080.SZ</t>
  </si>
  <si>
    <t>300339.SZ</t>
  </si>
  <si>
    <t>002409.SZ</t>
  </si>
  <si>
    <t>600339.SH</t>
  </si>
  <si>
    <t>600100.SH</t>
  </si>
  <si>
    <t>002472.SZ</t>
  </si>
  <si>
    <t>601016.SH</t>
  </si>
  <si>
    <t>002203.SZ</t>
  </si>
  <si>
    <t>603730.SH</t>
  </si>
  <si>
    <t>300558.SZ</t>
  </si>
  <si>
    <t>002372.SZ</t>
  </si>
  <si>
    <t>601106.SH</t>
  </si>
  <si>
    <t>600562.SH</t>
  </si>
  <si>
    <t>000887.SZ</t>
  </si>
  <si>
    <t>600970.SH</t>
  </si>
  <si>
    <t>300142.SZ</t>
  </si>
  <si>
    <t>002405.SZ</t>
  </si>
  <si>
    <t>600323.SH</t>
  </si>
  <si>
    <t>600675.SH</t>
  </si>
  <si>
    <t>600764.SH</t>
  </si>
  <si>
    <t>600516.SH</t>
  </si>
  <si>
    <t>603650.SH</t>
  </si>
  <si>
    <t>600208.SH</t>
  </si>
  <si>
    <t>688568.SH</t>
  </si>
  <si>
    <t>688472.SH</t>
  </si>
  <si>
    <t>阿特斯</t>
  </si>
  <si>
    <t>000623.SZ</t>
  </si>
  <si>
    <t>600511.SH</t>
  </si>
  <si>
    <t>300073.SZ</t>
  </si>
  <si>
    <t>600779.SH</t>
  </si>
  <si>
    <t>600271.SH</t>
  </si>
  <si>
    <t>600329.SH</t>
  </si>
  <si>
    <t>002468.SZ</t>
  </si>
  <si>
    <t>601326.SH</t>
  </si>
  <si>
    <t>000050.SZ</t>
  </si>
  <si>
    <t>300017.SZ</t>
  </si>
  <si>
    <t>688728.SH</t>
  </si>
  <si>
    <t>000528.SZ</t>
  </si>
  <si>
    <t>688506.SH</t>
  </si>
  <si>
    <t>百利天恒</t>
  </si>
  <si>
    <t>000403.SZ</t>
  </si>
  <si>
    <t>600316.SH</t>
  </si>
  <si>
    <t>600528.SH</t>
  </si>
  <si>
    <t>600166.SH</t>
  </si>
  <si>
    <t>000060.SZ</t>
  </si>
  <si>
    <t>603225.SH</t>
  </si>
  <si>
    <t>300003.SZ</t>
  </si>
  <si>
    <t>835185.BJ</t>
  </si>
  <si>
    <t>000636.SZ</t>
  </si>
  <si>
    <t>688050.SH</t>
  </si>
  <si>
    <t>600559.SH</t>
  </si>
  <si>
    <t>002850.SZ</t>
  </si>
  <si>
    <t>603565.SH</t>
  </si>
  <si>
    <t>300012.SZ</t>
  </si>
  <si>
    <t>002157.SZ</t>
  </si>
  <si>
    <t>688469.SH</t>
  </si>
  <si>
    <t>芯联集成</t>
  </si>
  <si>
    <t>603728.SH</t>
  </si>
  <si>
    <t>603868.SH</t>
  </si>
  <si>
    <t>002261.SZ</t>
  </si>
  <si>
    <t>603737.SH</t>
  </si>
  <si>
    <t>300395.SZ</t>
  </si>
  <si>
    <t>600216.SH</t>
  </si>
  <si>
    <t>300136.SZ</t>
  </si>
  <si>
    <t>002670.SZ</t>
  </si>
  <si>
    <t>603077.SH</t>
  </si>
  <si>
    <t>601222.SH</t>
  </si>
  <si>
    <t>601568.SH</t>
  </si>
  <si>
    <t>688520.SH</t>
  </si>
  <si>
    <t>000537.SZ</t>
  </si>
  <si>
    <t>000158.SZ</t>
  </si>
  <si>
    <t>601608.SH</t>
  </si>
  <si>
    <t>000429.SZ</t>
  </si>
  <si>
    <t>000591.SZ</t>
  </si>
  <si>
    <t>000898.SZ</t>
  </si>
  <si>
    <t>601126.SH</t>
  </si>
  <si>
    <t>603766.SH</t>
  </si>
  <si>
    <t>300751.SZ</t>
  </si>
  <si>
    <t>600956.SH</t>
  </si>
  <si>
    <t>600056.SH</t>
  </si>
  <si>
    <t>002410.SZ</t>
  </si>
  <si>
    <t>601156.SH</t>
  </si>
  <si>
    <t>000682.SZ</t>
  </si>
  <si>
    <t>000563.SZ</t>
  </si>
  <si>
    <t>600548.SH</t>
  </si>
  <si>
    <t>600867.SH</t>
  </si>
  <si>
    <t>300676.SZ</t>
  </si>
  <si>
    <t>600072.SH</t>
  </si>
  <si>
    <t>601677.SH</t>
  </si>
  <si>
    <t>601702.SH</t>
  </si>
  <si>
    <t>000627.SZ</t>
  </si>
  <si>
    <t>天茂集团</t>
  </si>
  <si>
    <t>300383.SZ</t>
  </si>
  <si>
    <t>688213.SH</t>
  </si>
  <si>
    <t>思特威</t>
  </si>
  <si>
    <t>300346.SZ</t>
  </si>
  <si>
    <t>688183.SH</t>
  </si>
  <si>
    <t>300803.SZ</t>
  </si>
  <si>
    <t>603699.SH</t>
  </si>
  <si>
    <t>300024.SZ</t>
  </si>
  <si>
    <t>600171.SH</t>
  </si>
  <si>
    <t>000927.SZ</t>
  </si>
  <si>
    <t>600155.SH</t>
  </si>
  <si>
    <t>华创云信</t>
  </si>
  <si>
    <t>603505.SH</t>
  </si>
  <si>
    <t>603444.SH</t>
  </si>
  <si>
    <t>688019.SH</t>
  </si>
  <si>
    <t>603613.SH</t>
  </si>
  <si>
    <t>603997.SH</t>
  </si>
  <si>
    <t>603233.SH</t>
  </si>
  <si>
    <t>000686.SZ</t>
  </si>
  <si>
    <t>东北证券</t>
  </si>
  <si>
    <t>300054.SZ</t>
  </si>
  <si>
    <t>600801.SH</t>
  </si>
  <si>
    <t>002507.SZ</t>
  </si>
  <si>
    <t>600452.SH</t>
  </si>
  <si>
    <t>605589.SH</t>
  </si>
  <si>
    <t>002837.SZ</t>
  </si>
  <si>
    <t>688676.SH</t>
  </si>
  <si>
    <t>600325.SH</t>
  </si>
  <si>
    <t>601975.SH</t>
  </si>
  <si>
    <t>300999.SZ</t>
  </si>
  <si>
    <t>688408.SH</t>
  </si>
  <si>
    <t>002130.SZ</t>
  </si>
  <si>
    <t>000902.SZ</t>
  </si>
  <si>
    <t>600420.SH</t>
  </si>
  <si>
    <t>600392.SH</t>
  </si>
  <si>
    <t>000785.SZ</t>
  </si>
  <si>
    <t>600959.SH</t>
  </si>
  <si>
    <t>000581.SZ</t>
  </si>
  <si>
    <t>002683.SZ</t>
  </si>
  <si>
    <t>600435.SH</t>
  </si>
  <si>
    <t>600702.SH</t>
  </si>
  <si>
    <t>600499.SH</t>
  </si>
  <si>
    <t>688198.SH</t>
  </si>
  <si>
    <t>000069.SZ</t>
  </si>
  <si>
    <t>000766.SZ</t>
  </si>
  <si>
    <t>002299.SZ</t>
  </si>
  <si>
    <t>002624.SZ</t>
  </si>
  <si>
    <t>300604.SZ</t>
  </si>
  <si>
    <t>601858.SH</t>
  </si>
  <si>
    <t>603927.SH</t>
  </si>
  <si>
    <t>002266.SZ</t>
  </si>
  <si>
    <t>600580.SH</t>
  </si>
  <si>
    <t>300294.SZ</t>
  </si>
  <si>
    <t>002065.SZ</t>
  </si>
  <si>
    <t>601827.SH</t>
  </si>
  <si>
    <t>600500.SH</t>
  </si>
  <si>
    <t>000034.SZ</t>
  </si>
  <si>
    <t>600816.SH</t>
  </si>
  <si>
    <t>600928.SH</t>
  </si>
  <si>
    <t>西安银行</t>
  </si>
  <si>
    <t>600621.SH</t>
  </si>
  <si>
    <t>300627.SZ</t>
  </si>
  <si>
    <t>688385.SH</t>
  </si>
  <si>
    <t>002126.SZ</t>
  </si>
  <si>
    <t>600022.SH</t>
  </si>
  <si>
    <t>300442.SZ</t>
  </si>
  <si>
    <t>600916.SH</t>
  </si>
  <si>
    <t>301039.SZ</t>
  </si>
  <si>
    <t>601952.SH</t>
  </si>
  <si>
    <t>300487.SZ</t>
  </si>
  <si>
    <t>002003.SZ</t>
  </si>
  <si>
    <t>002389.SZ</t>
  </si>
  <si>
    <t>300529.SZ</t>
  </si>
  <si>
    <t>600859.SH</t>
  </si>
  <si>
    <t>600248.SH</t>
  </si>
  <si>
    <t>002044.SZ</t>
  </si>
  <si>
    <t>002906.SZ</t>
  </si>
  <si>
    <t>603337.SH</t>
  </si>
  <si>
    <t>600575.SH</t>
  </si>
  <si>
    <t>002385.SZ</t>
  </si>
  <si>
    <t>601636.SH</t>
  </si>
  <si>
    <t>688027.SH</t>
  </si>
  <si>
    <t>603358.SH</t>
  </si>
  <si>
    <t>600872.SH</t>
  </si>
  <si>
    <t>002557.SZ</t>
  </si>
  <si>
    <t>688525.SH</t>
  </si>
  <si>
    <t>佰维存储</t>
  </si>
  <si>
    <t>300735.SZ</t>
  </si>
  <si>
    <t>000997.SZ</t>
  </si>
  <si>
    <t>688234.SH</t>
  </si>
  <si>
    <t>601369.SH</t>
  </si>
  <si>
    <t>300058.SZ</t>
  </si>
  <si>
    <t>002145.SZ</t>
  </si>
  <si>
    <t>603882.SH</t>
  </si>
  <si>
    <t>002911.SZ</t>
  </si>
  <si>
    <t>601963.SH</t>
  </si>
  <si>
    <t>重庆银行</t>
  </si>
  <si>
    <t>603638.SH</t>
  </si>
  <si>
    <t>002597.SZ</t>
  </si>
  <si>
    <t>002408.SZ</t>
  </si>
  <si>
    <t>600258.SH</t>
  </si>
  <si>
    <t>603056.SH</t>
  </si>
  <si>
    <t>600456.SH</t>
  </si>
  <si>
    <t>600116.SH</t>
  </si>
  <si>
    <t>600739.SH</t>
  </si>
  <si>
    <t>688521.SH</t>
  </si>
  <si>
    <t>002531.SZ</t>
  </si>
  <si>
    <t>000875.SZ</t>
  </si>
  <si>
    <t>300115.SZ</t>
  </si>
  <si>
    <t>002436.SZ</t>
  </si>
  <si>
    <t>002756.SZ</t>
  </si>
  <si>
    <t>300146.SZ</t>
  </si>
  <si>
    <t>600755.SH</t>
  </si>
  <si>
    <t>600331.SH</t>
  </si>
  <si>
    <t>605358.SH</t>
  </si>
  <si>
    <t>600884.SH</t>
  </si>
  <si>
    <t>688361.SH</t>
  </si>
  <si>
    <t>中科飞测</t>
  </si>
  <si>
    <t>300724.SZ</t>
  </si>
  <si>
    <t>600120.SH</t>
  </si>
  <si>
    <t>000089.SZ</t>
  </si>
  <si>
    <t>600906.SH</t>
  </si>
  <si>
    <t>财达证券</t>
  </si>
  <si>
    <t>600717.SH</t>
  </si>
  <si>
    <t>600246.SH</t>
  </si>
  <si>
    <t>601801.SH</t>
  </si>
  <si>
    <t>601038.SH</t>
  </si>
  <si>
    <t>002487.SZ</t>
  </si>
  <si>
    <t>688187.SH</t>
  </si>
  <si>
    <t>688575.SH</t>
  </si>
  <si>
    <t>亚辉龙</t>
  </si>
  <si>
    <t>600416.SH</t>
  </si>
  <si>
    <t>000893.SZ</t>
  </si>
  <si>
    <t>688301.SH</t>
  </si>
  <si>
    <t>600428.SH</t>
  </si>
  <si>
    <t>002195.SZ</t>
  </si>
  <si>
    <t>603688.SH</t>
  </si>
  <si>
    <t>603025.SH</t>
  </si>
  <si>
    <t>000155.SZ</t>
  </si>
  <si>
    <t>688076.SH</t>
  </si>
  <si>
    <t>300454.SZ</t>
  </si>
  <si>
    <t>300496.SZ</t>
  </si>
  <si>
    <t>601375.SH</t>
  </si>
  <si>
    <t>中原证券</t>
  </si>
  <si>
    <t>000998.SZ</t>
  </si>
  <si>
    <t>688002.SH</t>
  </si>
  <si>
    <t>688037.SH</t>
  </si>
  <si>
    <t>600750.SH</t>
  </si>
  <si>
    <t>000967.SZ</t>
  </si>
  <si>
    <t>300679.SZ</t>
  </si>
  <si>
    <t>002221.SZ</t>
  </si>
  <si>
    <t>688336.SH</t>
  </si>
  <si>
    <t>000778.SZ</t>
  </si>
  <si>
    <t>300757.SZ</t>
  </si>
  <si>
    <t>600732.SH</t>
  </si>
  <si>
    <t>300623.SZ</t>
  </si>
  <si>
    <t>002568.SZ</t>
  </si>
  <si>
    <t>000422.SZ</t>
  </si>
  <si>
    <t>600827.SH</t>
  </si>
  <si>
    <t>688538.SH</t>
  </si>
  <si>
    <t>和辉光电</t>
  </si>
  <si>
    <t>601101.SH</t>
  </si>
  <si>
    <t>002270.SZ</t>
  </si>
  <si>
    <t>002958.SZ</t>
  </si>
  <si>
    <t>青农商行</t>
  </si>
  <si>
    <t>600123.SH</t>
  </si>
  <si>
    <t>002399.SZ</t>
  </si>
  <si>
    <t>000028.SZ</t>
  </si>
  <si>
    <t>600167.SH</t>
  </si>
  <si>
    <t>000415.SZ</t>
  </si>
  <si>
    <t>300601.SZ</t>
  </si>
  <si>
    <t>002773.SZ</t>
  </si>
  <si>
    <t>300285.SZ</t>
  </si>
  <si>
    <t>601519.SH</t>
  </si>
  <si>
    <t>300748.SZ</t>
  </si>
  <si>
    <t>600601.SH</t>
  </si>
  <si>
    <t>600933.SH</t>
  </si>
  <si>
    <t>603355.SH</t>
  </si>
  <si>
    <t>300633.SZ</t>
  </si>
  <si>
    <t>603033.SH</t>
  </si>
  <si>
    <t>600388.SH</t>
  </si>
  <si>
    <t>688366.SH</t>
  </si>
  <si>
    <t>603005.SH</t>
  </si>
  <si>
    <t>601811.SH</t>
  </si>
  <si>
    <t>600006.SH</t>
  </si>
  <si>
    <t>603393.SH</t>
  </si>
  <si>
    <t>600129.SH</t>
  </si>
  <si>
    <t>002831.SZ</t>
  </si>
  <si>
    <t>601900.SH</t>
  </si>
  <si>
    <t>600285.SH</t>
  </si>
  <si>
    <t>603296.SH</t>
  </si>
  <si>
    <t>华勤技术</t>
  </si>
  <si>
    <t>002416.SZ</t>
  </si>
  <si>
    <t>000799.SZ</t>
  </si>
  <si>
    <t>002867.SZ</t>
  </si>
  <si>
    <t>600126.SH</t>
  </si>
  <si>
    <t>300088.SZ</t>
  </si>
  <si>
    <t>601969.SH</t>
  </si>
  <si>
    <t>002332.SZ</t>
  </si>
  <si>
    <t>301015.SZ</t>
  </si>
  <si>
    <t>百洋医药</t>
  </si>
  <si>
    <t>603218.SH</t>
  </si>
  <si>
    <t>688778.SH</t>
  </si>
  <si>
    <t>600320.SH</t>
  </si>
  <si>
    <t>688789.SH</t>
  </si>
  <si>
    <t>601992.SH</t>
  </si>
  <si>
    <t>603236.SH</t>
  </si>
  <si>
    <t>300857.SZ</t>
  </si>
  <si>
    <t>600967.SH</t>
  </si>
  <si>
    <t>605111.SH</t>
  </si>
  <si>
    <t>603456.SH</t>
  </si>
  <si>
    <t>000099.SZ</t>
  </si>
  <si>
    <t>688029.SH</t>
  </si>
  <si>
    <t>605333.SH</t>
  </si>
  <si>
    <t>600363.SH</t>
  </si>
  <si>
    <t>300298.SZ</t>
  </si>
  <si>
    <t>002737.SZ</t>
  </si>
  <si>
    <t>603712.SH</t>
  </si>
  <si>
    <t>600710.SH</t>
  </si>
  <si>
    <t>000550.SZ</t>
  </si>
  <si>
    <t>000966.SZ</t>
  </si>
  <si>
    <t>300390.SZ</t>
  </si>
  <si>
    <t>688333.SH</t>
  </si>
  <si>
    <t>300070.SZ</t>
  </si>
  <si>
    <t>002936.SZ</t>
  </si>
  <si>
    <t>郑州银行</t>
  </si>
  <si>
    <t>688567.SH</t>
  </si>
  <si>
    <t>601163.SH</t>
  </si>
  <si>
    <t>300666.SZ</t>
  </si>
  <si>
    <t>002701.SZ</t>
  </si>
  <si>
    <t>300459.SZ</t>
  </si>
  <si>
    <t>002544.SZ</t>
  </si>
  <si>
    <t>688208.SH</t>
  </si>
  <si>
    <t>600808.SH</t>
  </si>
  <si>
    <t>002176.SZ</t>
  </si>
  <si>
    <t>301035.SZ</t>
  </si>
  <si>
    <t>300364.SZ</t>
  </si>
  <si>
    <t>300775.SZ</t>
  </si>
  <si>
    <t>688347.SH</t>
  </si>
  <si>
    <t>华虹公司</t>
  </si>
  <si>
    <t>688303.SH</t>
  </si>
  <si>
    <t>000539.SZ</t>
  </si>
  <si>
    <t>601137.SH</t>
  </si>
  <si>
    <t>300458.SZ</t>
  </si>
  <si>
    <t>688390.SH</t>
  </si>
  <si>
    <t>600611.SH</t>
  </si>
  <si>
    <t>002320.SZ</t>
  </si>
  <si>
    <t>600850.SH</t>
  </si>
  <si>
    <t>300761.SZ</t>
  </si>
  <si>
    <t>600667.SH</t>
  </si>
  <si>
    <t>002091.SZ</t>
  </si>
  <si>
    <t>002015.SZ</t>
  </si>
  <si>
    <t>300475.SZ</t>
  </si>
  <si>
    <t>603733.SH</t>
  </si>
  <si>
    <t>300315.SZ</t>
  </si>
  <si>
    <t>688200.SH</t>
  </si>
  <si>
    <t>000860.SZ</t>
  </si>
  <si>
    <t>002668.SZ</t>
  </si>
  <si>
    <t>688561.SH</t>
  </si>
  <si>
    <t>001696.SZ</t>
  </si>
  <si>
    <t>603920.SH</t>
  </si>
  <si>
    <t>000029.SZ</t>
  </si>
  <si>
    <t>002312.SZ</t>
  </si>
  <si>
    <t>600623.SH</t>
  </si>
  <si>
    <t>600057.SH</t>
  </si>
  <si>
    <t>688017.SH</t>
  </si>
  <si>
    <t>002506.SZ</t>
  </si>
  <si>
    <t>603515.SH</t>
  </si>
  <si>
    <t>600718.SH</t>
  </si>
  <si>
    <t>002222.SZ</t>
  </si>
  <si>
    <t>600757.SH</t>
  </si>
  <si>
    <t>000410.SZ</t>
  </si>
  <si>
    <t>601949.SH</t>
  </si>
  <si>
    <t>601718.SH</t>
  </si>
  <si>
    <t>600971.SH</t>
  </si>
  <si>
    <t>600211.SH</t>
  </si>
  <si>
    <t>002705.SZ</t>
  </si>
  <si>
    <t>688772.SH</t>
  </si>
  <si>
    <t>珠海冠宇</t>
  </si>
  <si>
    <t>600552.SH</t>
  </si>
  <si>
    <t>688475.SH</t>
  </si>
  <si>
    <t>萤石网络</t>
  </si>
  <si>
    <t>603283.SH</t>
  </si>
  <si>
    <t>003006.SZ</t>
  </si>
  <si>
    <t>600461.SH</t>
  </si>
  <si>
    <t>600572.SH</t>
  </si>
  <si>
    <t>300677.SZ</t>
  </si>
  <si>
    <t>002407.SZ</t>
  </si>
  <si>
    <t>600395.SH</t>
  </si>
  <si>
    <t>600602.SH</t>
  </si>
  <si>
    <t>603277.SH</t>
  </si>
  <si>
    <t>688018.SH</t>
  </si>
  <si>
    <t>301358.SZ</t>
  </si>
  <si>
    <t>湖南裕能</t>
  </si>
  <si>
    <t>002268.SZ</t>
  </si>
  <si>
    <t>002847.SZ</t>
  </si>
  <si>
    <t>688166.SH</t>
  </si>
  <si>
    <t>002484.SZ</t>
  </si>
  <si>
    <t>600328.SH</t>
  </si>
  <si>
    <t>603883.SH</t>
  </si>
  <si>
    <t>600597.SH</t>
  </si>
  <si>
    <t>002563.SZ</t>
  </si>
  <si>
    <t>002373.SZ</t>
  </si>
  <si>
    <t>300212.SZ</t>
  </si>
  <si>
    <t>600633.SH</t>
  </si>
  <si>
    <t>300034.SZ</t>
  </si>
  <si>
    <t>002755.SZ</t>
  </si>
  <si>
    <t>600821.SH</t>
  </si>
  <si>
    <t>002151.SZ</t>
  </si>
  <si>
    <t>000688.SZ</t>
  </si>
  <si>
    <t>688516.SH</t>
  </si>
  <si>
    <t>000810.SZ</t>
  </si>
  <si>
    <t>603888.SH</t>
  </si>
  <si>
    <t>600864.SH</t>
  </si>
  <si>
    <t>000035.SZ</t>
  </si>
  <si>
    <t>002075.SZ</t>
  </si>
  <si>
    <t>600399.SH</t>
  </si>
  <si>
    <t>688016.SH</t>
  </si>
  <si>
    <t>688289.SH</t>
  </si>
  <si>
    <t>000156.SZ</t>
  </si>
  <si>
    <t>000582.SZ</t>
  </si>
  <si>
    <t>600273.SH</t>
  </si>
  <si>
    <t>002287.SZ</t>
  </si>
  <si>
    <t>601200.SH</t>
  </si>
  <si>
    <t>000012.SZ</t>
  </si>
  <si>
    <t>000547.SZ</t>
  </si>
  <si>
    <t>600995.SH</t>
  </si>
  <si>
    <t>601068.SH</t>
  </si>
  <si>
    <t>601107.SH</t>
  </si>
  <si>
    <t>601882.SH</t>
  </si>
  <si>
    <t>002139.SZ</t>
  </si>
  <si>
    <t>002010.SZ</t>
  </si>
  <si>
    <t>000088.SZ</t>
  </si>
  <si>
    <t>600269.SH</t>
  </si>
  <si>
    <t>300253.SZ</t>
  </si>
  <si>
    <t>600064.SH</t>
  </si>
  <si>
    <t>601512.SH</t>
  </si>
  <si>
    <t>000818.SZ</t>
  </si>
  <si>
    <t>000970.SZ</t>
  </si>
  <si>
    <t>002698.SZ</t>
  </si>
  <si>
    <t>002617.SZ</t>
  </si>
  <si>
    <t>688536.SH</t>
  </si>
  <si>
    <t>688001.SH</t>
  </si>
  <si>
    <t>000031.SZ</t>
  </si>
  <si>
    <t>603027.SH</t>
  </si>
  <si>
    <t>002948.SZ</t>
  </si>
  <si>
    <t>青岛银行</t>
  </si>
  <si>
    <t>002240.SZ</t>
  </si>
  <si>
    <t>601028.SH</t>
  </si>
  <si>
    <t>002498.SZ</t>
  </si>
  <si>
    <t>600997.SH</t>
  </si>
  <si>
    <t>300255.SZ</t>
  </si>
  <si>
    <t>688088.SH</t>
  </si>
  <si>
    <t>600315.SH</t>
  </si>
  <si>
    <t>600409.SH</t>
  </si>
  <si>
    <t>000680.SZ</t>
  </si>
  <si>
    <t>000657.SZ</t>
  </si>
  <si>
    <t>300573.SZ</t>
  </si>
  <si>
    <t>600993.SH</t>
  </si>
  <si>
    <t>002851.SZ</t>
  </si>
  <si>
    <t>603567.SH</t>
  </si>
  <si>
    <t>600908.SH</t>
  </si>
  <si>
    <t>无锡银行</t>
  </si>
  <si>
    <t>001286.SZ</t>
  </si>
  <si>
    <t>陕西能源</t>
  </si>
  <si>
    <t>002011.SZ</t>
  </si>
  <si>
    <t>000762.SZ</t>
  </si>
  <si>
    <t>301498.SZ</t>
  </si>
  <si>
    <t>乖宝宠物</t>
  </si>
  <si>
    <t>600787.SH</t>
  </si>
  <si>
    <t>002895.SZ</t>
  </si>
  <si>
    <t>300827.SZ</t>
  </si>
  <si>
    <t>300567.SZ</t>
  </si>
  <si>
    <t>300009.SZ</t>
  </si>
  <si>
    <t>600877.SH</t>
  </si>
  <si>
    <t>603317.SH</t>
  </si>
  <si>
    <t>603279.SH</t>
  </si>
  <si>
    <t>002607.SZ</t>
  </si>
  <si>
    <t>600595.SH</t>
  </si>
  <si>
    <t>600587.SH</t>
  </si>
  <si>
    <t>603171.SH</t>
  </si>
  <si>
    <t>税友股份</t>
  </si>
  <si>
    <t>002747.SZ</t>
  </si>
  <si>
    <t>600422.SH</t>
  </si>
  <si>
    <t>000061.SZ</t>
  </si>
  <si>
    <t>000567.SZ</t>
  </si>
  <si>
    <t>000516.SZ</t>
  </si>
  <si>
    <t>002053.SZ</t>
  </si>
  <si>
    <t>000553.SZ</t>
  </si>
  <si>
    <t>300438.SZ</t>
  </si>
  <si>
    <t>000685.SZ</t>
  </si>
  <si>
    <t>601869.SH</t>
  </si>
  <si>
    <t>300682.SZ</t>
  </si>
  <si>
    <t>603530.SH</t>
  </si>
  <si>
    <t>000536.SZ</t>
  </si>
  <si>
    <t>600266.SH</t>
  </si>
  <si>
    <t>300741.SZ</t>
  </si>
  <si>
    <t>000761.SZ</t>
  </si>
  <si>
    <t>000828.SZ</t>
  </si>
  <si>
    <t>002439.SZ</t>
  </si>
  <si>
    <t>002368.SZ</t>
  </si>
  <si>
    <t>600996.SH</t>
  </si>
  <si>
    <t>300641.SZ</t>
  </si>
  <si>
    <t>001914.SZ</t>
  </si>
  <si>
    <t>603678.SH</t>
  </si>
  <si>
    <t>000869.SZ</t>
  </si>
  <si>
    <t>300068.SZ</t>
  </si>
  <si>
    <t>003035.SZ</t>
  </si>
  <si>
    <t>600773.SH</t>
  </si>
  <si>
    <t>600459.SH</t>
  </si>
  <si>
    <t>300672.SZ</t>
  </si>
  <si>
    <t>688363.SH</t>
  </si>
  <si>
    <t>002518.SZ</t>
  </si>
  <si>
    <t>002153.SZ</t>
  </si>
  <si>
    <t>600033.SH</t>
  </si>
  <si>
    <t>001203.SZ</t>
  </si>
  <si>
    <t>300595.SZ</t>
  </si>
  <si>
    <t>300229.SZ</t>
  </si>
  <si>
    <t>603599.SH</t>
  </si>
  <si>
    <t>600446.SH</t>
  </si>
  <si>
    <t>600596.SH</t>
  </si>
  <si>
    <t>600894.SH</t>
  </si>
  <si>
    <t>300777.SZ</t>
  </si>
  <si>
    <t>600185.SH</t>
  </si>
  <si>
    <t>688276.SH</t>
  </si>
  <si>
    <t>百克生物</t>
  </si>
  <si>
    <t>600740.SH</t>
  </si>
  <si>
    <t>300182.SZ</t>
  </si>
  <si>
    <t>600641.SH</t>
  </si>
  <si>
    <t>002158.SZ</t>
  </si>
  <si>
    <t>301004.SZ</t>
  </si>
  <si>
    <t>605368.SH</t>
  </si>
  <si>
    <t>000839.SZ</t>
  </si>
  <si>
    <t>002675.SZ</t>
  </si>
  <si>
    <t>688375.SH</t>
  </si>
  <si>
    <t>国博电子</t>
  </si>
  <si>
    <t>002497.SZ</t>
  </si>
  <si>
    <t>600657.SH</t>
  </si>
  <si>
    <t>600114.SH</t>
  </si>
  <si>
    <t>002901.SZ</t>
  </si>
  <si>
    <t>601005.SH</t>
  </si>
  <si>
    <t>000829.SZ</t>
  </si>
  <si>
    <t>600835.SH</t>
  </si>
  <si>
    <t>300456.SZ</t>
  </si>
  <si>
    <t>688161.SH</t>
  </si>
  <si>
    <t>威高骨科</t>
  </si>
  <si>
    <t>601311.SH</t>
  </si>
  <si>
    <t>300811.SZ</t>
  </si>
  <si>
    <t>002131.SZ</t>
  </si>
  <si>
    <t>600133.SH</t>
  </si>
  <si>
    <t>300492.SZ</t>
  </si>
  <si>
    <t>600645.SH</t>
  </si>
  <si>
    <t>600888.SH</t>
  </si>
  <si>
    <t>000791.SZ</t>
  </si>
  <si>
    <t>300083.SZ</t>
  </si>
  <si>
    <t>688097.SH</t>
  </si>
  <si>
    <t>600577.SH</t>
  </si>
  <si>
    <t>002019.SZ</t>
  </si>
  <si>
    <t>300773.SZ</t>
  </si>
  <si>
    <t>002061.SZ</t>
  </si>
  <si>
    <t>601059.SH</t>
  </si>
  <si>
    <t>信达证券</t>
  </si>
  <si>
    <t>002249.SZ</t>
  </si>
  <si>
    <t>603300.SH</t>
  </si>
  <si>
    <t>603127.SH</t>
  </si>
  <si>
    <t>000552.SZ</t>
  </si>
  <si>
    <t>603983.SH</t>
  </si>
  <si>
    <t>600759.SH</t>
  </si>
  <si>
    <t>603055.SH</t>
  </si>
  <si>
    <t>300118.SZ</t>
  </si>
  <si>
    <t>688006.SH</t>
  </si>
  <si>
    <t>601860.SH</t>
  </si>
  <si>
    <t>紫金银行</t>
  </si>
  <si>
    <t>000727.SZ</t>
  </si>
  <si>
    <t>300457.SZ</t>
  </si>
  <si>
    <t>002807.SZ</t>
  </si>
  <si>
    <t>江阴银行</t>
  </si>
  <si>
    <t>601020.SH</t>
  </si>
  <si>
    <t>600267.SH</t>
  </si>
  <si>
    <t>000690.SZ</t>
  </si>
  <si>
    <t>600782.SH</t>
  </si>
  <si>
    <t>000712.SZ</t>
  </si>
  <si>
    <t>锦龙股份</t>
  </si>
  <si>
    <t>605116.SH</t>
  </si>
  <si>
    <t>002099.SZ</t>
  </si>
  <si>
    <t>300738.SZ</t>
  </si>
  <si>
    <t>000930.SZ</t>
  </si>
  <si>
    <t>300049.SZ</t>
  </si>
  <si>
    <t>300568.SZ</t>
  </si>
  <si>
    <t>603185.SH</t>
  </si>
  <si>
    <t>300026.SZ</t>
  </si>
  <si>
    <t>688055.SH</t>
  </si>
  <si>
    <t>688063.SH</t>
  </si>
  <si>
    <t>002925.SZ</t>
  </si>
  <si>
    <t>603100.SH</t>
  </si>
  <si>
    <t>688177.SH</t>
  </si>
  <si>
    <t>688582.SH</t>
  </si>
  <si>
    <t>芯动联科</t>
  </si>
  <si>
    <t>601136.SH</t>
  </si>
  <si>
    <t>首创证券</t>
  </si>
  <si>
    <t>688779.SH</t>
  </si>
  <si>
    <t>五矿新能</t>
  </si>
  <si>
    <t>002572.SZ</t>
  </si>
  <si>
    <t>000801.SZ</t>
  </si>
  <si>
    <t>600507.SH</t>
  </si>
  <si>
    <t>002317.SZ</t>
  </si>
  <si>
    <t>603108.SH</t>
  </si>
  <si>
    <t>601778.SH</t>
  </si>
  <si>
    <t>600020.SH</t>
  </si>
  <si>
    <t>002387.SZ</t>
  </si>
  <si>
    <t>300415.SZ</t>
  </si>
  <si>
    <t>688032.SH</t>
  </si>
  <si>
    <t>300762.SZ</t>
  </si>
  <si>
    <t>600648.SH</t>
  </si>
  <si>
    <t>600639.SH</t>
  </si>
  <si>
    <t>000521.SZ</t>
  </si>
  <si>
    <t>000032.SZ</t>
  </si>
  <si>
    <t>600917.SH</t>
  </si>
  <si>
    <t>002237.SZ</t>
  </si>
  <si>
    <t>688083.SH</t>
  </si>
  <si>
    <t>300296.SZ</t>
  </si>
  <si>
    <t>000950.SZ</t>
  </si>
  <si>
    <t>600338.SH</t>
  </si>
  <si>
    <t>603477.SH</t>
  </si>
  <si>
    <t>600163.SH</t>
  </si>
  <si>
    <t>300357.SZ</t>
  </si>
  <si>
    <t>000969.SZ</t>
  </si>
  <si>
    <t>000935.SZ</t>
  </si>
  <si>
    <t>688139.SH</t>
  </si>
  <si>
    <t>002865.SZ</t>
  </si>
  <si>
    <t>300188.SZ</t>
  </si>
  <si>
    <t>600728.SH</t>
  </si>
  <si>
    <t>600017.SH</t>
  </si>
  <si>
    <t>600649.SH</t>
  </si>
  <si>
    <t>002051.SZ</t>
  </si>
  <si>
    <t>002063.SZ</t>
  </si>
  <si>
    <t>605011.SH</t>
  </si>
  <si>
    <t>杭州热电</t>
  </si>
  <si>
    <t>600037.SH</t>
  </si>
  <si>
    <t>601595.SH</t>
  </si>
  <si>
    <t>300236.SZ</t>
  </si>
  <si>
    <t>000049.SZ</t>
  </si>
  <si>
    <t>002396.SZ</t>
  </si>
  <si>
    <t>300133.SZ</t>
  </si>
  <si>
    <t>002400.SZ</t>
  </si>
  <si>
    <t>600776.SH</t>
  </si>
  <si>
    <t>002761.SZ</t>
  </si>
  <si>
    <t>603919.SH</t>
  </si>
  <si>
    <t>000555.SZ</t>
  </si>
  <si>
    <t>002183.SZ</t>
  </si>
  <si>
    <t>688052.SH</t>
  </si>
  <si>
    <t>纳芯微</t>
  </si>
  <si>
    <t>002233.SZ</t>
  </si>
  <si>
    <t>000877.SZ</t>
  </si>
  <si>
    <t>603305.SH</t>
  </si>
  <si>
    <t>603866.SH</t>
  </si>
  <si>
    <t>600771.SH</t>
  </si>
  <si>
    <t>300779.SZ</t>
  </si>
  <si>
    <t>600869.SH</t>
  </si>
  <si>
    <t>002946.SZ</t>
  </si>
  <si>
    <t>600335.SH</t>
  </si>
  <si>
    <t>603881.SH</t>
  </si>
  <si>
    <t>600508.SH</t>
  </si>
  <si>
    <t>600686.SH</t>
  </si>
  <si>
    <t>002100.SZ</t>
  </si>
  <si>
    <t>600925.SH</t>
  </si>
  <si>
    <t>苏能股份</t>
  </si>
  <si>
    <t>600179.SH</t>
  </si>
  <si>
    <t>600307.SH</t>
  </si>
  <si>
    <t>002626.SZ</t>
  </si>
  <si>
    <t>300432.SZ</t>
  </si>
  <si>
    <t>000758.SZ</t>
  </si>
  <si>
    <t>603327.SH</t>
  </si>
  <si>
    <t>000913.SZ</t>
  </si>
  <si>
    <t>600259.SH</t>
  </si>
  <si>
    <t>300770.SZ</t>
  </si>
  <si>
    <t>002020.SZ</t>
  </si>
  <si>
    <t>600475.SH</t>
  </si>
  <si>
    <t>600812.SH</t>
  </si>
  <si>
    <t>002511.SZ</t>
  </si>
  <si>
    <t>002245.SZ</t>
  </si>
  <si>
    <t>000923.SZ</t>
  </si>
  <si>
    <t>002204.SZ</t>
  </si>
  <si>
    <t>688114.SH</t>
  </si>
  <si>
    <t>300620.SZ</t>
  </si>
  <si>
    <t>688297.SH</t>
  </si>
  <si>
    <t>中无人机</t>
  </si>
  <si>
    <t>600783.SH</t>
  </si>
  <si>
    <t>300856.SZ</t>
  </si>
  <si>
    <t>603876.SH</t>
  </si>
  <si>
    <t>002654.SZ</t>
  </si>
  <si>
    <t>605099.SH</t>
  </si>
  <si>
    <t>603299.SH</t>
  </si>
  <si>
    <t>002004.SZ</t>
  </si>
  <si>
    <t>605599.SH</t>
  </si>
  <si>
    <t>菜百股份</t>
  </si>
  <si>
    <t>000990.SZ</t>
  </si>
  <si>
    <t>600662.SH</t>
  </si>
  <si>
    <t>000928.SZ</t>
  </si>
  <si>
    <t>300674.SZ</t>
  </si>
  <si>
    <t>002335.SZ</t>
  </si>
  <si>
    <t>002081.SZ</t>
  </si>
  <si>
    <t>688484.SH</t>
  </si>
  <si>
    <t>南芯科技</t>
  </si>
  <si>
    <t>601686.SH</t>
  </si>
  <si>
    <t>601828.SH</t>
  </si>
  <si>
    <t>601528.SH</t>
  </si>
  <si>
    <t>瑞丰银行</t>
  </si>
  <si>
    <t>600151.SH</t>
  </si>
  <si>
    <t>300045.SZ</t>
  </si>
  <si>
    <t>002239.SZ</t>
  </si>
  <si>
    <t>002839.SZ</t>
  </si>
  <si>
    <t>张家港行</t>
  </si>
  <si>
    <t>002192.SZ</t>
  </si>
  <si>
    <t>300910.SZ</t>
  </si>
  <si>
    <t>600664.SH</t>
  </si>
  <si>
    <t>603043.SH</t>
  </si>
  <si>
    <t>603220.SH</t>
  </si>
  <si>
    <t>002275.SZ</t>
  </si>
  <si>
    <t>000628.SZ</t>
  </si>
  <si>
    <t>688300.SH</t>
  </si>
  <si>
    <t>000065.SZ</t>
  </si>
  <si>
    <t>600206.SH</t>
  </si>
  <si>
    <t>603328.SH</t>
  </si>
  <si>
    <t>603517.SH</t>
  </si>
  <si>
    <t>688106.SH</t>
  </si>
  <si>
    <t>301308.SZ</t>
  </si>
  <si>
    <t>江波龙</t>
  </si>
  <si>
    <t>600210.SH</t>
  </si>
  <si>
    <t>600640.SH</t>
  </si>
  <si>
    <t>600305.SH</t>
  </si>
  <si>
    <t>300821.SZ</t>
  </si>
  <si>
    <t>600987.SH</t>
  </si>
  <si>
    <t>000030.SZ</t>
  </si>
  <si>
    <t>300428.SZ</t>
  </si>
  <si>
    <t>600094.SH</t>
  </si>
  <si>
    <t>003021.SZ</t>
  </si>
  <si>
    <t>300660.SZ</t>
  </si>
  <si>
    <t>605008.SH</t>
  </si>
  <si>
    <t>002745.SZ</t>
  </si>
  <si>
    <t>603039.SH</t>
  </si>
  <si>
    <t>300685.SZ</t>
  </si>
  <si>
    <t>000719.SZ</t>
  </si>
  <si>
    <t>002428.SZ</t>
  </si>
  <si>
    <t>601069.SH</t>
  </si>
  <si>
    <t>000676.SZ</t>
  </si>
  <si>
    <t>688387.SH</t>
  </si>
  <si>
    <t>信科移动</t>
  </si>
  <si>
    <t>000899.SZ</t>
  </si>
  <si>
    <t>002922.SZ</t>
  </si>
  <si>
    <t>300257.SZ</t>
  </si>
  <si>
    <t>600651.SH</t>
  </si>
  <si>
    <t>002267.SZ</t>
  </si>
  <si>
    <t>300168.SZ</t>
  </si>
  <si>
    <t>600903.SH</t>
  </si>
  <si>
    <t>603053.SH</t>
  </si>
  <si>
    <t>688596.SH</t>
  </si>
  <si>
    <t>002402.SZ</t>
  </si>
  <si>
    <t>000901.SZ</t>
  </si>
  <si>
    <t>000980.SZ</t>
  </si>
  <si>
    <t>002226.SZ</t>
  </si>
  <si>
    <t>000681.SZ</t>
  </si>
  <si>
    <t>000848.SZ</t>
  </si>
  <si>
    <t>300181.SZ</t>
  </si>
  <si>
    <t>301029.SZ</t>
  </si>
  <si>
    <t>688658.SH</t>
  </si>
  <si>
    <t>300525.SZ</t>
  </si>
  <si>
    <t>002030.SZ</t>
  </si>
  <si>
    <t>600330.SH</t>
  </si>
  <si>
    <t>002643.SZ</t>
  </si>
  <si>
    <t>603083.SH</t>
  </si>
  <si>
    <t>300776.SZ</t>
  </si>
  <si>
    <t>600502.SH</t>
  </si>
  <si>
    <t>002488.SZ</t>
  </si>
  <si>
    <t>002243.SZ</t>
  </si>
  <si>
    <t>600746.SH</t>
  </si>
  <si>
    <t>002171.SZ</t>
  </si>
  <si>
    <t>300455.SZ</t>
  </si>
  <si>
    <t>002978.SZ</t>
  </si>
  <si>
    <t>000498.SZ</t>
  </si>
  <si>
    <t>603619.SH</t>
  </si>
  <si>
    <t>603698.SH</t>
  </si>
  <si>
    <t>600458.SH</t>
  </si>
  <si>
    <t>000885.SZ</t>
  </si>
  <si>
    <t>600480.SH</t>
  </si>
  <si>
    <t>688123.SH</t>
  </si>
  <si>
    <t>600586.SH</t>
  </si>
  <si>
    <t>600557.SH</t>
  </si>
  <si>
    <t>601609.SH</t>
  </si>
  <si>
    <t>300747.SZ</t>
  </si>
  <si>
    <t>000650.SZ</t>
  </si>
  <si>
    <t>301047.SZ</t>
  </si>
  <si>
    <t>002043.SZ</t>
  </si>
  <si>
    <t>002588.SZ</t>
  </si>
  <si>
    <t>603398.SH</t>
  </si>
  <si>
    <t>600059.SH</t>
  </si>
  <si>
    <t>002242.SZ</t>
  </si>
  <si>
    <t>600635.SH</t>
  </si>
  <si>
    <t>601500.SH</t>
  </si>
  <si>
    <t>002036.SZ</t>
  </si>
  <si>
    <t>000048.SZ</t>
  </si>
  <si>
    <t>601339.SH</t>
  </si>
  <si>
    <t>603690.SH</t>
  </si>
  <si>
    <t>603662.SH</t>
  </si>
  <si>
    <t>002302.SZ</t>
  </si>
  <si>
    <t>300101.SZ</t>
  </si>
  <si>
    <t>000544.SZ</t>
  </si>
  <si>
    <t>002726.SZ</t>
  </si>
  <si>
    <t>300360.SZ</t>
  </si>
  <si>
    <t>300613.SZ</t>
  </si>
  <si>
    <t>688116.SH</t>
  </si>
  <si>
    <t>603713.SH</t>
  </si>
  <si>
    <t>002182.SZ</t>
  </si>
  <si>
    <t>002041.SZ</t>
  </si>
  <si>
    <t>603267.SH</t>
  </si>
  <si>
    <t>603227.SH</t>
  </si>
  <si>
    <t>688630.SH</t>
  </si>
  <si>
    <t>芯碁微装</t>
  </si>
  <si>
    <t>603533.SH</t>
  </si>
  <si>
    <t>600125.SH</t>
  </si>
  <si>
    <t>002827.SZ</t>
  </si>
  <si>
    <t>001287.SZ</t>
  </si>
  <si>
    <t>中电港</t>
  </si>
  <si>
    <t>000420.SZ</t>
  </si>
  <si>
    <t>603693.SH</t>
  </si>
  <si>
    <t>000917.SZ</t>
  </si>
  <si>
    <t>603197.SH</t>
  </si>
  <si>
    <t>603323.SH</t>
  </si>
  <si>
    <t>苏农银行</t>
  </si>
  <si>
    <t>300319.SZ</t>
  </si>
  <si>
    <t>300772.SZ</t>
  </si>
  <si>
    <t>000981.SZ</t>
  </si>
  <si>
    <t>600199.SH</t>
  </si>
  <si>
    <t>002967.SZ</t>
  </si>
  <si>
    <t>605090.SH</t>
  </si>
  <si>
    <t>603128.SH</t>
  </si>
  <si>
    <t>600509.SH</t>
  </si>
  <si>
    <t>000401.SZ</t>
  </si>
  <si>
    <t>002928.SZ</t>
  </si>
  <si>
    <t>300624.SZ</t>
  </si>
  <si>
    <t>002534.SZ</t>
  </si>
  <si>
    <t>603013.SH</t>
  </si>
  <si>
    <t>603992.SH</t>
  </si>
  <si>
    <t>600326.SH</t>
  </si>
  <si>
    <t>605365.SH</t>
  </si>
  <si>
    <t>立达信</t>
  </si>
  <si>
    <t>002378.SZ</t>
  </si>
  <si>
    <t>601619.SH</t>
  </si>
  <si>
    <t>600481.SH</t>
  </si>
  <si>
    <t>002832.SZ</t>
  </si>
  <si>
    <t>301301.SZ</t>
  </si>
  <si>
    <t>川宁生物</t>
  </si>
  <si>
    <t>603308.SH</t>
  </si>
  <si>
    <t>000837.SZ</t>
  </si>
  <si>
    <t>003039.SZ</t>
  </si>
  <si>
    <t>顺控发展</t>
  </si>
  <si>
    <t>300224.SZ</t>
  </si>
  <si>
    <t>000503.SZ</t>
  </si>
  <si>
    <t>002079.SZ</t>
  </si>
  <si>
    <t>688220.SH</t>
  </si>
  <si>
    <t>000589.SZ</t>
  </si>
  <si>
    <t>300401.SZ</t>
  </si>
  <si>
    <t>600058.SH</t>
  </si>
  <si>
    <t>603099.SH</t>
  </si>
  <si>
    <t>600927.SH</t>
  </si>
  <si>
    <t>永安期货</t>
  </si>
  <si>
    <t>603588.SH</t>
  </si>
  <si>
    <t>300185.SZ</t>
  </si>
  <si>
    <t>601606.SH</t>
  </si>
  <si>
    <t>600197.SH</t>
  </si>
  <si>
    <t>603508.SH</t>
  </si>
  <si>
    <t>002605.SZ</t>
  </si>
  <si>
    <t>002174.SZ</t>
  </si>
  <si>
    <t>002545.SZ</t>
  </si>
  <si>
    <t>600252.SH</t>
  </si>
  <si>
    <t>300527.SZ</t>
  </si>
  <si>
    <t>002567.SZ</t>
  </si>
  <si>
    <t>002254.SZ</t>
  </si>
  <si>
    <t>600055.SH</t>
  </si>
  <si>
    <t>001301.SZ</t>
  </si>
  <si>
    <t>尚太科技</t>
  </si>
  <si>
    <t>600643.SH</t>
  </si>
  <si>
    <t>601890.SH</t>
  </si>
  <si>
    <t>002073.SZ</t>
  </si>
  <si>
    <t>600138.SH</t>
  </si>
  <si>
    <t>002276.SZ</t>
  </si>
  <si>
    <t>002338.SZ</t>
  </si>
  <si>
    <t>002859.SZ</t>
  </si>
  <si>
    <t>600963.SH</t>
  </si>
  <si>
    <t>000402.SZ</t>
  </si>
  <si>
    <t>605183.SH</t>
  </si>
  <si>
    <t>600810.SH</t>
  </si>
  <si>
    <t>000603.SZ</t>
  </si>
  <si>
    <t>301050.SZ</t>
  </si>
  <si>
    <t>002992.SZ</t>
  </si>
  <si>
    <t>601678.SH</t>
  </si>
  <si>
    <t>601003.SH</t>
  </si>
  <si>
    <t>600201.SH</t>
  </si>
  <si>
    <t>688702.SH</t>
  </si>
  <si>
    <t>盛科通信</t>
  </si>
  <si>
    <t>688639.SH</t>
  </si>
  <si>
    <t>600117.SH</t>
  </si>
  <si>
    <t>300199.SZ</t>
  </si>
  <si>
    <t>002048.SZ</t>
  </si>
  <si>
    <t>002101.SZ</t>
  </si>
  <si>
    <t>300598.SZ</t>
  </si>
  <si>
    <t>601208.SH</t>
  </si>
  <si>
    <t>688321.SH</t>
  </si>
  <si>
    <t>300130.SZ</t>
  </si>
  <si>
    <t>600158.SH</t>
  </si>
  <si>
    <t>000767.SZ</t>
  </si>
  <si>
    <t>688128.SH</t>
  </si>
  <si>
    <t>600976.SH</t>
  </si>
  <si>
    <t>300655.SZ</t>
  </si>
  <si>
    <t>002274.SZ</t>
  </si>
  <si>
    <t>600075.SH</t>
  </si>
  <si>
    <t>000736.SZ</t>
  </si>
  <si>
    <t>002110.SZ</t>
  </si>
  <si>
    <t>603360.SH</t>
  </si>
  <si>
    <t>002987.SZ</t>
  </si>
  <si>
    <t>002039.SZ</t>
  </si>
  <si>
    <t>688766.SH</t>
  </si>
  <si>
    <t>普冉股份</t>
  </si>
  <si>
    <t>000595.SZ</t>
  </si>
  <si>
    <t>603103.SH</t>
  </si>
  <si>
    <t>600720.SH</t>
  </si>
  <si>
    <t>002434.SZ</t>
  </si>
  <si>
    <t>002149.SZ</t>
  </si>
  <si>
    <t>000756.SZ</t>
  </si>
  <si>
    <t>600567.SH</t>
  </si>
  <si>
    <t>002077.SZ</t>
  </si>
  <si>
    <t>002716.SZ</t>
  </si>
  <si>
    <t>600501.SH</t>
  </si>
  <si>
    <t>688082.SH</t>
  </si>
  <si>
    <t>603050.SH</t>
  </si>
  <si>
    <t>000612.SZ</t>
  </si>
  <si>
    <t>600929.SH</t>
  </si>
  <si>
    <t>000090.SZ</t>
  </si>
  <si>
    <t>300134.SZ</t>
  </si>
  <si>
    <t>603496.SH</t>
  </si>
  <si>
    <t>688005.SH</t>
  </si>
  <si>
    <t>600789.SH</t>
  </si>
  <si>
    <t>002539.SZ</t>
  </si>
  <si>
    <t>600531.SH</t>
  </si>
  <si>
    <t>600556.SH</t>
  </si>
  <si>
    <t>000560.SZ</t>
  </si>
  <si>
    <t>300470.SZ</t>
  </si>
  <si>
    <t>002326.SZ</t>
  </si>
  <si>
    <t>300184.SZ</t>
  </si>
  <si>
    <t>001337.SZ</t>
  </si>
  <si>
    <t>四川黄金</t>
  </si>
  <si>
    <t>000888.SZ</t>
  </si>
  <si>
    <t>600035.SH</t>
  </si>
  <si>
    <t>600882.SH</t>
  </si>
  <si>
    <t>600682.SH</t>
  </si>
  <si>
    <t>002023.SZ</t>
  </si>
  <si>
    <t>605222.SH</t>
  </si>
  <si>
    <t>603009.SH</t>
  </si>
  <si>
    <t>300580.SZ</t>
  </si>
  <si>
    <t>000526.SZ</t>
  </si>
  <si>
    <t>600063.SH</t>
  </si>
  <si>
    <t>003012.SZ</t>
  </si>
  <si>
    <t>600169.SH</t>
  </si>
  <si>
    <t>600223.SH</t>
  </si>
  <si>
    <t>300657.SZ</t>
  </si>
  <si>
    <t>002891.SZ</t>
  </si>
  <si>
    <t>688248.SH</t>
  </si>
  <si>
    <t>南网科技</t>
  </si>
  <si>
    <t>300170.SZ</t>
  </si>
  <si>
    <t>600734.SH</t>
  </si>
  <si>
    <t>688127.SH</t>
  </si>
  <si>
    <t>603609.SH</t>
  </si>
  <si>
    <t>600217.SH</t>
  </si>
  <si>
    <t>300482.SZ</t>
  </si>
  <si>
    <t>002215.SZ</t>
  </si>
  <si>
    <t>000811.SZ</t>
  </si>
  <si>
    <t>688586.SH</t>
  </si>
  <si>
    <t>300678.SZ</t>
  </si>
  <si>
    <t>603093.SH</t>
  </si>
  <si>
    <t>南华期货</t>
  </si>
  <si>
    <t>002219.SZ</t>
  </si>
  <si>
    <t>000948.SZ</t>
  </si>
  <si>
    <t>605005.SH</t>
  </si>
  <si>
    <t>605339.SH</t>
  </si>
  <si>
    <t>南侨食品</t>
  </si>
  <si>
    <t>300634.SZ</t>
  </si>
  <si>
    <t>000755.SZ</t>
  </si>
  <si>
    <t>603281.SH</t>
  </si>
  <si>
    <t>江瀚新材</t>
  </si>
  <si>
    <t>300008.SZ</t>
  </si>
  <si>
    <t>600874.SH</t>
  </si>
  <si>
    <t>002232.SZ</t>
  </si>
  <si>
    <t>000821.SZ</t>
  </si>
  <si>
    <t>300303.SZ</t>
  </si>
  <si>
    <t>688513.SH</t>
  </si>
  <si>
    <t>001227.SZ</t>
  </si>
  <si>
    <t>兰州银行</t>
  </si>
  <si>
    <t>688279.SH</t>
  </si>
  <si>
    <t>峰岹科技</t>
  </si>
  <si>
    <t>000795.SZ</t>
  </si>
  <si>
    <t>000672.SZ</t>
  </si>
  <si>
    <t>301219.SZ</t>
  </si>
  <si>
    <t>腾远钴业</t>
  </si>
  <si>
    <t>600200.SH</t>
  </si>
  <si>
    <t>000058.SZ</t>
  </si>
  <si>
    <t>300576.SZ</t>
  </si>
  <si>
    <t>688409.SH</t>
  </si>
  <si>
    <t>富创精密</t>
  </si>
  <si>
    <t>603668.SH</t>
  </si>
  <si>
    <t>000059.SZ</t>
  </si>
  <si>
    <t>002045.SZ</t>
  </si>
  <si>
    <t>000006.SZ</t>
  </si>
  <si>
    <t>300075.SZ</t>
  </si>
  <si>
    <t>300855.SZ</t>
  </si>
  <si>
    <t>600525.SH</t>
  </si>
  <si>
    <t>300618.SZ</t>
  </si>
  <si>
    <t>002093.SZ</t>
  </si>
  <si>
    <t>300327.SZ</t>
  </si>
  <si>
    <t>000912.SZ</t>
  </si>
  <si>
    <t>603583.SH</t>
  </si>
  <si>
    <t>300393.SZ</t>
  </si>
  <si>
    <t>300180.SZ</t>
  </si>
  <si>
    <t>600376.SH</t>
  </si>
  <si>
    <t>600366.SH</t>
  </si>
  <si>
    <t>003031.SZ</t>
  </si>
  <si>
    <t>600268.SH</t>
  </si>
  <si>
    <t>601187.SH</t>
  </si>
  <si>
    <t>厦门银行</t>
  </si>
  <si>
    <t>300769.SZ</t>
  </si>
  <si>
    <t>300053.SZ</t>
  </si>
  <si>
    <t>300363.SZ</t>
  </si>
  <si>
    <t>002216.SZ</t>
  </si>
  <si>
    <t>603297.SH</t>
  </si>
  <si>
    <t>603977.SH</t>
  </si>
  <si>
    <t>000566.SZ</t>
  </si>
  <si>
    <t>603995.SH</t>
  </si>
  <si>
    <t>688322.SH</t>
  </si>
  <si>
    <t>奥比中光</t>
  </si>
  <si>
    <t>600403.SH</t>
  </si>
  <si>
    <t>600195.SH</t>
  </si>
  <si>
    <t>000597.SZ</t>
  </si>
  <si>
    <t>002458.SZ</t>
  </si>
  <si>
    <t>603256.SH</t>
  </si>
  <si>
    <t>000557.SZ</t>
  </si>
  <si>
    <t>600780.SH</t>
  </si>
  <si>
    <t>601015.SH</t>
  </si>
  <si>
    <t>000737.SZ</t>
  </si>
  <si>
    <t>002482.SZ</t>
  </si>
  <si>
    <t>002543.SZ</t>
  </si>
  <si>
    <t>002426.SZ</t>
  </si>
  <si>
    <t>688007.SH</t>
  </si>
  <si>
    <t>300290.SZ</t>
  </si>
  <si>
    <t>603306.SH</t>
  </si>
  <si>
    <t>002941.SZ</t>
  </si>
  <si>
    <t>600053.SH</t>
  </si>
  <si>
    <t>002703.SZ</t>
  </si>
  <si>
    <t>000915.SZ</t>
  </si>
  <si>
    <t>600226.SH</t>
  </si>
  <si>
    <t>002034.SZ</t>
  </si>
  <si>
    <t>600744.SH</t>
  </si>
  <si>
    <t>688003.SH</t>
  </si>
  <si>
    <t>600198.SH</t>
  </si>
  <si>
    <t>603663.SH</t>
  </si>
  <si>
    <t>002913.SZ</t>
  </si>
  <si>
    <t>002238.SZ</t>
  </si>
  <si>
    <t>002096.SZ</t>
  </si>
  <si>
    <t>300917.SZ</t>
  </si>
  <si>
    <t>605118.SH</t>
  </si>
  <si>
    <t>002993.SZ</t>
  </si>
  <si>
    <t>300705.SZ</t>
  </si>
  <si>
    <t>600313.SH</t>
  </si>
  <si>
    <t>600751.SH</t>
  </si>
  <si>
    <t>300036.SZ</t>
  </si>
  <si>
    <t>688172.SH</t>
  </si>
  <si>
    <t>燕东微</t>
  </si>
  <si>
    <t>000078.SZ</t>
  </si>
  <si>
    <t>300398.SZ</t>
  </si>
  <si>
    <t>688327.SH</t>
  </si>
  <si>
    <t>云从科技</t>
  </si>
  <si>
    <t>872808.BJ</t>
  </si>
  <si>
    <t>曙光数创</t>
  </si>
  <si>
    <t>002097.SZ</t>
  </si>
  <si>
    <t>002537.SZ</t>
  </si>
  <si>
    <t>605020.SH</t>
  </si>
  <si>
    <t>永和股份</t>
  </si>
  <si>
    <t>001309.SZ</t>
  </si>
  <si>
    <t>德明利</t>
  </si>
  <si>
    <t>002997.SZ</t>
  </si>
  <si>
    <t>600073.SH</t>
  </si>
  <si>
    <t>605507.SH</t>
  </si>
  <si>
    <t>国邦医药</t>
  </si>
  <si>
    <t>688690.SH</t>
  </si>
  <si>
    <t>002960.SZ</t>
  </si>
  <si>
    <t>300841.SZ</t>
  </si>
  <si>
    <t>002959.SZ</t>
  </si>
  <si>
    <t>600742.SH</t>
  </si>
  <si>
    <t>603169.SH</t>
  </si>
  <si>
    <t>300723.SZ</t>
  </si>
  <si>
    <t>000524.SZ</t>
  </si>
  <si>
    <t>605198.SH</t>
  </si>
  <si>
    <t>300463.SZ</t>
  </si>
  <si>
    <t>002541.SZ</t>
  </si>
  <si>
    <t>002533.SZ</t>
  </si>
  <si>
    <t>605123.SH</t>
  </si>
  <si>
    <t>300913.SZ</t>
  </si>
  <si>
    <t>002324.SZ</t>
  </si>
  <si>
    <t>603229.SH</t>
  </si>
  <si>
    <t>688298.SH</t>
  </si>
  <si>
    <t>300166.SZ</t>
  </si>
  <si>
    <t>300171.SZ</t>
  </si>
  <si>
    <t>000488.SZ</t>
  </si>
  <si>
    <t>002516.SZ</t>
  </si>
  <si>
    <t>600618.SH</t>
  </si>
  <si>
    <t>688305.SH</t>
  </si>
  <si>
    <t>600389.SH</t>
  </si>
  <si>
    <t>688343.SH</t>
  </si>
  <si>
    <t>云天励飞</t>
  </si>
  <si>
    <t>003009.SZ</t>
  </si>
  <si>
    <t>600551.SH</t>
  </si>
  <si>
    <t>000620.SZ</t>
  </si>
  <si>
    <t>300085.SZ</t>
  </si>
  <si>
    <t>688091.SH</t>
  </si>
  <si>
    <t>688798.SH</t>
  </si>
  <si>
    <t>艾为电子</t>
  </si>
  <si>
    <t>301510.SZ</t>
  </si>
  <si>
    <t>固高科技</t>
  </si>
  <si>
    <t>688686.SH</t>
  </si>
  <si>
    <t>002681.SZ</t>
  </si>
  <si>
    <t>300638.SZ</t>
  </si>
  <si>
    <t>603680.SH</t>
  </si>
  <si>
    <t>688389.SH</t>
  </si>
  <si>
    <t>600866.SH</t>
  </si>
  <si>
    <t>300098.SZ</t>
  </si>
  <si>
    <t>300602.SZ</t>
  </si>
  <si>
    <t>300102.SZ</t>
  </si>
  <si>
    <t>002819.SZ</t>
  </si>
  <si>
    <t>300671.SZ</t>
  </si>
  <si>
    <t>603367.SH</t>
  </si>
  <si>
    <t>002258.SZ</t>
  </si>
  <si>
    <t>600106.SH</t>
  </si>
  <si>
    <t>300284.SZ</t>
  </si>
  <si>
    <t>600370.SH</t>
  </si>
  <si>
    <t>002935.SZ</t>
  </si>
  <si>
    <t>603348.SH</t>
  </si>
  <si>
    <t>603301.SH</t>
  </si>
  <si>
    <t>000025.SZ</t>
  </si>
  <si>
    <t>002880.SZ</t>
  </si>
  <si>
    <t>002390.SZ</t>
  </si>
  <si>
    <t>688559.SH</t>
  </si>
  <si>
    <t>000631.SZ</t>
  </si>
  <si>
    <t>688498.SH</t>
  </si>
  <si>
    <t>源杰科技</t>
  </si>
  <si>
    <t>002690.SZ</t>
  </si>
  <si>
    <t>600186.SH</t>
  </si>
  <si>
    <t>000968.SZ</t>
  </si>
  <si>
    <t>600726.SH</t>
  </si>
  <si>
    <t>002706.SZ</t>
  </si>
  <si>
    <t>002322.SZ</t>
  </si>
  <si>
    <t>002038.SZ</t>
  </si>
  <si>
    <t>000008.SZ</t>
  </si>
  <si>
    <t>600897.SH</t>
  </si>
  <si>
    <t>301267.SZ</t>
  </si>
  <si>
    <t>华厦眼科</t>
  </si>
  <si>
    <t>300337.SZ</t>
  </si>
  <si>
    <t>300087.SZ</t>
  </si>
  <si>
    <t>002292.SZ</t>
  </si>
  <si>
    <t>600429.SH</t>
  </si>
  <si>
    <t>000501.SZ</t>
  </si>
  <si>
    <t>300113.SZ</t>
  </si>
  <si>
    <t>000819.SZ</t>
  </si>
  <si>
    <t>300722.SZ</t>
  </si>
  <si>
    <t>600054.SH</t>
  </si>
  <si>
    <t>603026.SH</t>
  </si>
  <si>
    <t>600986.SH</t>
  </si>
  <si>
    <t>002349.SZ</t>
  </si>
  <si>
    <t>603368.SH</t>
  </si>
  <si>
    <t>601330.SH</t>
  </si>
  <si>
    <t>300077.SZ</t>
  </si>
  <si>
    <t>605376.SH</t>
  </si>
  <si>
    <t>000541.SZ</t>
  </si>
  <si>
    <t>002125.SZ</t>
  </si>
  <si>
    <t>002897.SZ</t>
  </si>
  <si>
    <t>000957.SZ</t>
  </si>
  <si>
    <t>002379.SZ</t>
  </si>
  <si>
    <t>601226.SH</t>
  </si>
  <si>
    <t>000735.SZ</t>
  </si>
  <si>
    <t>600368.SH</t>
  </si>
  <si>
    <t>000922.SZ</t>
  </si>
  <si>
    <t>002106.SZ</t>
  </si>
  <si>
    <t>603877.SH</t>
  </si>
  <si>
    <t>300693.SZ</t>
  </si>
  <si>
    <t>000813.SZ</t>
  </si>
  <si>
    <t>300260.SZ</t>
  </si>
  <si>
    <t>688700.SH</t>
  </si>
  <si>
    <t>688526.SH</t>
  </si>
  <si>
    <t>605016.SH</t>
  </si>
  <si>
    <t>百龙创园</t>
  </si>
  <si>
    <t>600088.SH</t>
  </si>
  <si>
    <t>002293.SZ</t>
  </si>
  <si>
    <t>002102.SZ</t>
  </si>
  <si>
    <t>300570.SZ</t>
  </si>
  <si>
    <t>300079.SZ</t>
  </si>
  <si>
    <t>603915.SH</t>
  </si>
  <si>
    <t>002440.SZ</t>
  </si>
  <si>
    <t>000900.SZ</t>
  </si>
  <si>
    <t>600983.SH</t>
  </si>
  <si>
    <t>603067.SH</t>
  </si>
  <si>
    <t>600084.SH</t>
  </si>
  <si>
    <t>301091.SZ</t>
  </si>
  <si>
    <t>深城交</t>
  </si>
  <si>
    <t>002749.SZ</t>
  </si>
  <si>
    <t>300768.SZ</t>
  </si>
  <si>
    <t>603008.SH</t>
  </si>
  <si>
    <t>600478.SH</t>
  </si>
  <si>
    <t>300131.SZ</t>
  </si>
  <si>
    <t>002031.SZ</t>
  </si>
  <si>
    <t>600605.SH</t>
  </si>
  <si>
    <t>603112.SH</t>
  </si>
  <si>
    <t>603118.SH</t>
  </si>
  <si>
    <t>600961.SH</t>
  </si>
  <si>
    <t>605377.SH</t>
  </si>
  <si>
    <t>002929.SZ</t>
  </si>
  <si>
    <t>601908.SH</t>
  </si>
  <si>
    <t>688131.SH</t>
  </si>
  <si>
    <t>605009.SH</t>
  </si>
  <si>
    <t>300516.SZ</t>
  </si>
  <si>
    <t>603855.SH</t>
  </si>
  <si>
    <t>603383.SH</t>
  </si>
  <si>
    <t>600477.SH</t>
  </si>
  <si>
    <t>600604.SH</t>
  </si>
  <si>
    <t>002127.SZ</t>
  </si>
  <si>
    <t>002611.SZ</t>
  </si>
  <si>
    <t>688563.SH</t>
  </si>
  <si>
    <t>航材股份</t>
  </si>
  <si>
    <t>605168.SH</t>
  </si>
  <si>
    <t>300151.SZ</t>
  </si>
  <si>
    <t>603063.SH</t>
  </si>
  <si>
    <t>600225.SH</t>
  </si>
  <si>
    <t>600724.SH</t>
  </si>
  <si>
    <t>002884.SZ</t>
  </si>
  <si>
    <t>002961.SZ</t>
  </si>
  <si>
    <t>瑞达期货</t>
  </si>
  <si>
    <t>601886.SH</t>
  </si>
  <si>
    <t>601279.SH</t>
  </si>
  <si>
    <t>英利汽车</t>
  </si>
  <si>
    <t>002777.SZ</t>
  </si>
  <si>
    <t>603863.SH</t>
  </si>
  <si>
    <t>300072.SZ</t>
  </si>
  <si>
    <t>300579.SZ</t>
  </si>
  <si>
    <t>000700.SZ</t>
  </si>
  <si>
    <t>002489.SZ</t>
  </si>
  <si>
    <t>002016.SZ</t>
  </si>
  <si>
    <t>002590.SZ</t>
  </si>
  <si>
    <t>002014.SZ</t>
  </si>
  <si>
    <t>002707.SZ</t>
  </si>
  <si>
    <t>000777.SZ</t>
  </si>
  <si>
    <t>300031.SZ</t>
  </si>
  <si>
    <t>600811.SH</t>
  </si>
  <si>
    <t>300926.SZ</t>
  </si>
  <si>
    <t>600609.SH</t>
  </si>
  <si>
    <t>688556.SH</t>
  </si>
  <si>
    <t>603612.SH</t>
  </si>
  <si>
    <t>688326.SH</t>
  </si>
  <si>
    <t>经纬恒润</t>
  </si>
  <si>
    <t>688425.SH</t>
  </si>
  <si>
    <t>铁建重工</t>
  </si>
  <si>
    <t>600966.SH</t>
  </si>
  <si>
    <t>000572.SZ</t>
  </si>
  <si>
    <t>603636.SH</t>
  </si>
  <si>
    <t>000815.SZ</t>
  </si>
  <si>
    <t>603439.SH</t>
  </si>
  <si>
    <t>300451.SZ</t>
  </si>
  <si>
    <t>002017.SZ</t>
  </si>
  <si>
    <t>002088.SZ</t>
  </si>
  <si>
    <t>300342.SZ</t>
  </si>
  <si>
    <t>300379.SZ</t>
  </si>
  <si>
    <t>300863.SZ</t>
  </si>
  <si>
    <t>300100.SZ</t>
  </si>
  <si>
    <t>002042.SZ</t>
  </si>
  <si>
    <t>603516.SH</t>
  </si>
  <si>
    <t>600310.SH</t>
  </si>
  <si>
    <t>600278.SH</t>
  </si>
  <si>
    <t>600343.SH</t>
  </si>
  <si>
    <t>600817.SH</t>
  </si>
  <si>
    <t>688268.SH</t>
  </si>
  <si>
    <t>000852.SZ</t>
  </si>
  <si>
    <t>002121.SZ</t>
  </si>
  <si>
    <t>002123.SZ</t>
  </si>
  <si>
    <t>605305.SH</t>
  </si>
  <si>
    <t>600251.SH</t>
  </si>
  <si>
    <t>002163.SZ</t>
  </si>
  <si>
    <t>300261.SZ</t>
  </si>
  <si>
    <t>600391.SH</t>
  </si>
  <si>
    <t>002782.SZ</t>
  </si>
  <si>
    <t>600775.SH</t>
  </si>
  <si>
    <t>000962.SZ</t>
  </si>
  <si>
    <t>301293.SZ</t>
  </si>
  <si>
    <t>三博脑科</t>
  </si>
  <si>
    <t>002635.SZ</t>
  </si>
  <si>
    <t>300406.SZ</t>
  </si>
  <si>
    <t>300341.SZ</t>
  </si>
  <si>
    <t>002150.SZ</t>
  </si>
  <si>
    <t>002035.SZ</t>
  </si>
  <si>
    <t>603738.SH</t>
  </si>
  <si>
    <t>300596.SZ</t>
  </si>
  <si>
    <t>300027.SZ</t>
  </si>
  <si>
    <t>002006.SZ</t>
  </si>
  <si>
    <t>600105.SH</t>
  </si>
  <si>
    <t>603223.SH</t>
  </si>
  <si>
    <t>603587.SH</t>
  </si>
  <si>
    <t>300048.SZ</t>
  </si>
  <si>
    <t>600861.SH</t>
  </si>
  <si>
    <t>601968.SH</t>
  </si>
  <si>
    <t>002351.SZ</t>
  </si>
  <si>
    <t>002214.SZ</t>
  </si>
  <si>
    <t>002937.SZ</t>
  </si>
  <si>
    <t>002190.SZ</t>
  </si>
  <si>
    <t>688439.SH</t>
  </si>
  <si>
    <t>振华风光</t>
  </si>
  <si>
    <t>600284.SH</t>
  </si>
  <si>
    <t>002046.SZ</t>
  </si>
  <si>
    <t>002060.SZ</t>
  </si>
  <si>
    <t>002108.SZ</t>
  </si>
  <si>
    <t>002401.SZ</t>
  </si>
  <si>
    <t>600797.SH</t>
  </si>
  <si>
    <t>603181.SH</t>
  </si>
  <si>
    <t>300244.SZ</t>
  </si>
  <si>
    <t>601199.SH</t>
  </si>
  <si>
    <t>600400.SH</t>
  </si>
  <si>
    <t>002212.SZ</t>
  </si>
  <si>
    <t>000517.SZ</t>
  </si>
  <si>
    <t>003013.SZ</t>
  </si>
  <si>
    <t>300203.SZ</t>
  </si>
  <si>
    <t>300791.SZ</t>
  </si>
  <si>
    <t>600496.SH</t>
  </si>
  <si>
    <t>603303.SH</t>
  </si>
  <si>
    <t>300416.SZ</t>
  </si>
  <si>
    <t>600654.SH</t>
  </si>
  <si>
    <t>002284.SZ</t>
  </si>
  <si>
    <t>688185.SH</t>
  </si>
  <si>
    <t>603069.SH</t>
  </si>
  <si>
    <t>002519.SZ</t>
  </si>
  <si>
    <t>600187.SH</t>
  </si>
  <si>
    <t>002191.SZ</t>
  </si>
  <si>
    <t>002146.SZ</t>
  </si>
  <si>
    <t>600071.SH</t>
  </si>
  <si>
    <t>300304.SZ</t>
  </si>
  <si>
    <t>002815.SZ</t>
  </si>
  <si>
    <t>600449.SH</t>
  </si>
  <si>
    <t>603989.SH</t>
  </si>
  <si>
    <t>300348.SZ</t>
  </si>
  <si>
    <t>688698.SH</t>
  </si>
  <si>
    <t>000600.SZ</t>
  </si>
  <si>
    <t>600110.SH</t>
  </si>
  <si>
    <t>002536.SZ</t>
  </si>
  <si>
    <t>603035.SH</t>
  </si>
  <si>
    <t>002419.SZ</t>
  </si>
  <si>
    <t>832982.BJ</t>
  </si>
  <si>
    <t>锦波生物</t>
  </si>
  <si>
    <t>600619.SH</t>
  </si>
  <si>
    <t>002947.SZ</t>
  </si>
  <si>
    <t>600790.SH</t>
  </si>
  <si>
    <t>002315.SZ</t>
  </si>
  <si>
    <t>300226.SZ</t>
  </si>
  <si>
    <t>603002.SH</t>
  </si>
  <si>
    <t>603408.SH</t>
  </si>
  <si>
    <t>002421.SZ</t>
  </si>
  <si>
    <t>002636.SZ</t>
  </si>
  <si>
    <t>002840.SZ</t>
  </si>
  <si>
    <t>600490.SH</t>
  </si>
  <si>
    <t>600736.SH</t>
  </si>
  <si>
    <t>300755.SZ</t>
  </si>
  <si>
    <t>002957.SZ</t>
  </si>
  <si>
    <t>600189.SH</t>
  </si>
  <si>
    <t>688505.SH</t>
  </si>
  <si>
    <t>600748.SH</t>
  </si>
  <si>
    <t>002246.SZ</t>
  </si>
  <si>
    <t>600694.SH</t>
  </si>
  <si>
    <t>603708.SH</t>
  </si>
  <si>
    <t>603848.SH</t>
  </si>
  <si>
    <t>300726.SZ</t>
  </si>
  <si>
    <t>300143.SZ</t>
  </si>
  <si>
    <t>002649.SZ</t>
  </si>
  <si>
    <t>002583.SZ</t>
  </si>
  <si>
    <t>605369.SH</t>
  </si>
  <si>
    <t>300972.SZ</t>
  </si>
  <si>
    <t>300035.SZ</t>
  </si>
  <si>
    <t>002515.SZ</t>
  </si>
  <si>
    <t>300109.SZ</t>
  </si>
  <si>
    <t>000881.SZ</t>
  </si>
  <si>
    <t>688503.SH</t>
  </si>
  <si>
    <t>聚和材料</t>
  </si>
  <si>
    <t>300468.SZ</t>
  </si>
  <si>
    <t>688362.SH</t>
  </si>
  <si>
    <t>甬矽电子</t>
  </si>
  <si>
    <t>000652.SZ</t>
  </si>
  <si>
    <t>300382.SZ</t>
  </si>
  <si>
    <t>000936.SZ</t>
  </si>
  <si>
    <t>301511.SZ</t>
  </si>
  <si>
    <t>德福科技</t>
  </si>
  <si>
    <t>600308.SH</t>
  </si>
  <si>
    <t>002727.SZ</t>
  </si>
  <si>
    <t>300861.SZ</t>
  </si>
  <si>
    <t>300039.SZ</t>
  </si>
  <si>
    <t>688399.SH</t>
  </si>
  <si>
    <t>603031.SH</t>
  </si>
  <si>
    <t>000036.SZ</t>
  </si>
  <si>
    <t>600336.SH</t>
  </si>
  <si>
    <t>603626.SH</t>
  </si>
  <si>
    <t>601388.SH</t>
  </si>
  <si>
    <t>002678.SZ</t>
  </si>
  <si>
    <t>300140.SZ</t>
  </si>
  <si>
    <t>002573.SZ</t>
  </si>
  <si>
    <t>688192.SH</t>
  </si>
  <si>
    <t>迪哲医药</t>
  </si>
  <si>
    <t>603667.SH</t>
  </si>
  <si>
    <t>300047.SZ</t>
  </si>
  <si>
    <t>688087.SH</t>
  </si>
  <si>
    <t>300663.SZ</t>
  </si>
  <si>
    <t>600955.SH</t>
  </si>
  <si>
    <t>维远股份</t>
  </si>
  <si>
    <t>603060.SH</t>
  </si>
  <si>
    <t>600433.SH</t>
  </si>
  <si>
    <t>002550.SZ</t>
  </si>
  <si>
    <t>688668.SH</t>
  </si>
  <si>
    <t>300293.SZ</t>
  </si>
  <si>
    <t>300847.SZ</t>
  </si>
  <si>
    <t>300183.SZ</t>
  </si>
  <si>
    <t>002697.SZ</t>
  </si>
  <si>
    <t>600108.SH</t>
  </si>
  <si>
    <t>688095.SH</t>
  </si>
  <si>
    <t>002438.SZ</t>
  </si>
  <si>
    <t>603889.SH</t>
  </si>
  <si>
    <t>001896.SZ</t>
  </si>
  <si>
    <t>002033.SZ</t>
  </si>
  <si>
    <t>300783.SZ</t>
  </si>
  <si>
    <t>002664.SZ</t>
  </si>
  <si>
    <t>600973.SH</t>
  </si>
  <si>
    <t>000949.SZ</t>
  </si>
  <si>
    <t>603078.SH</t>
  </si>
  <si>
    <t>300788.SZ</t>
  </si>
  <si>
    <t>688138.SH</t>
  </si>
  <si>
    <t>002446.SZ</t>
  </si>
  <si>
    <t>300232.SZ</t>
  </si>
  <si>
    <t>300369.SZ</t>
  </si>
  <si>
    <t>300409.SZ</t>
  </si>
  <si>
    <t>600975.SH</t>
  </si>
  <si>
    <t>600081.SH</t>
  </si>
  <si>
    <t>300493.SZ</t>
  </si>
  <si>
    <t>300217.SZ</t>
  </si>
  <si>
    <t>002057.SZ</t>
  </si>
  <si>
    <t>603960.SH</t>
  </si>
  <si>
    <t>002481.SZ</t>
  </si>
  <si>
    <t>300888.SZ</t>
  </si>
  <si>
    <t>300174.SZ</t>
  </si>
  <si>
    <t>603203.SH</t>
  </si>
  <si>
    <t>000534.SZ</t>
  </si>
  <si>
    <t>688085.SH</t>
  </si>
  <si>
    <t>603929.SH</t>
  </si>
  <si>
    <t>002059.SZ</t>
  </si>
  <si>
    <t>603123.SH</t>
  </si>
  <si>
    <t>688062.SH</t>
  </si>
  <si>
    <t>迈威生物</t>
  </si>
  <si>
    <t>601518.SH</t>
  </si>
  <si>
    <t>603998.SH</t>
  </si>
  <si>
    <t>300129.SZ</t>
  </si>
  <si>
    <t>300709.SZ</t>
  </si>
  <si>
    <t>301058.SZ</t>
  </si>
  <si>
    <t>600410.SH</t>
  </si>
  <si>
    <t>300005.SZ</t>
  </si>
  <si>
    <t>300378.SZ</t>
  </si>
  <si>
    <t>605007.SH</t>
  </si>
  <si>
    <t>600681.SH</t>
  </si>
  <si>
    <t>000717.SZ</t>
  </si>
  <si>
    <t>600713.SH</t>
  </si>
  <si>
    <t>688432.SH</t>
  </si>
  <si>
    <t>有研硅</t>
  </si>
  <si>
    <t>300123.SZ</t>
  </si>
  <si>
    <t>600846.SH</t>
  </si>
  <si>
    <t>688349.SH</t>
  </si>
  <si>
    <t>三一重能</t>
  </si>
  <si>
    <t>002111.SZ</t>
  </si>
  <si>
    <t>002470.SZ</t>
  </si>
  <si>
    <t>300343.SZ</t>
  </si>
  <si>
    <t>000523.SZ</t>
  </si>
  <si>
    <t>688368.SH</t>
  </si>
  <si>
    <t>002467.SZ</t>
  </si>
  <si>
    <t>301381.SZ</t>
  </si>
  <si>
    <t>赛维时代</t>
  </si>
  <si>
    <t>601366.SH</t>
  </si>
  <si>
    <t>603178.SH</t>
  </si>
  <si>
    <t>002530.SZ</t>
  </si>
  <si>
    <t>000096.SZ</t>
  </si>
  <si>
    <t>603661.SH</t>
  </si>
  <si>
    <t>300352.SZ</t>
  </si>
  <si>
    <t>600162.SH</t>
  </si>
  <si>
    <t>600229.SH</t>
  </si>
  <si>
    <t>002382.SZ</t>
  </si>
  <si>
    <t>300815.SZ</t>
  </si>
  <si>
    <t>002641.SZ</t>
  </si>
  <si>
    <t>688601.SH</t>
  </si>
  <si>
    <t>601515.SH</t>
  </si>
  <si>
    <t>000404.SZ</t>
  </si>
  <si>
    <t>601579.SH</t>
  </si>
  <si>
    <t>600425.SH</t>
  </si>
  <si>
    <t>003040.SZ</t>
  </si>
  <si>
    <t>楚天龙</t>
  </si>
  <si>
    <t>002855.SZ</t>
  </si>
  <si>
    <t>603711.SH</t>
  </si>
  <si>
    <t>300725.SZ</t>
  </si>
  <si>
    <t>002413.SZ</t>
  </si>
  <si>
    <t>301487.SZ</t>
  </si>
  <si>
    <t>盟固利</t>
  </si>
  <si>
    <t>603111.SH</t>
  </si>
  <si>
    <t>688625.SH</t>
  </si>
  <si>
    <t>600353.SH</t>
  </si>
  <si>
    <t>600231.SH</t>
  </si>
  <si>
    <t>000886.SZ</t>
  </si>
  <si>
    <t>600990.SH</t>
  </si>
  <si>
    <t>000822.SZ</t>
  </si>
  <si>
    <t>688739.SH</t>
  </si>
  <si>
    <t>600178.SH</t>
  </si>
  <si>
    <t>688697.SH</t>
  </si>
  <si>
    <t>纽威数控</t>
  </si>
  <si>
    <t>600279.SH</t>
  </si>
  <si>
    <t>002194.SZ</t>
  </si>
  <si>
    <t>300859.SZ</t>
  </si>
  <si>
    <t>300145.SZ</t>
  </si>
  <si>
    <t>002752.SZ</t>
  </si>
  <si>
    <t>603018.SH</t>
  </si>
  <si>
    <t>600826.SH</t>
  </si>
  <si>
    <t>603936.SH</t>
  </si>
  <si>
    <t>300263.SZ</t>
  </si>
  <si>
    <t>001330.SZ</t>
  </si>
  <si>
    <t>博纳影业</t>
  </si>
  <si>
    <t>601700.SH</t>
  </si>
  <si>
    <t>603357.SH</t>
  </si>
  <si>
    <t>603212.SH</t>
  </si>
  <si>
    <t>300353.SZ</t>
  </si>
  <si>
    <t>605300.SH</t>
  </si>
  <si>
    <t>000531.SZ</t>
  </si>
  <si>
    <t>603528.SH</t>
  </si>
  <si>
    <t>600855.SH</t>
  </si>
  <si>
    <t>301048.SZ</t>
  </si>
  <si>
    <t>金鹰重工</t>
  </si>
  <si>
    <t>600828.SH</t>
  </si>
  <si>
    <t>000016.SZ</t>
  </si>
  <si>
    <t>002556.SZ</t>
  </si>
  <si>
    <t>002250.SZ</t>
  </si>
  <si>
    <t>600814.SH</t>
  </si>
  <si>
    <t>605199.SH</t>
  </si>
  <si>
    <t>002229.SZ</t>
  </si>
  <si>
    <t>000011.SZ</t>
  </si>
  <si>
    <t>002786.SZ</t>
  </si>
  <si>
    <t>300729.SZ</t>
  </si>
  <si>
    <t>002741.SZ</t>
  </si>
  <si>
    <t>300532.SZ</t>
  </si>
  <si>
    <t>002386.SZ</t>
  </si>
  <si>
    <t>002375.SZ</t>
  </si>
  <si>
    <t>002540.SZ</t>
  </si>
  <si>
    <t>002170.SZ</t>
  </si>
  <si>
    <t>600708.SH</t>
  </si>
  <si>
    <t>600468.SH</t>
  </si>
  <si>
    <t>600939.SH</t>
  </si>
  <si>
    <t>300825.SZ</t>
  </si>
  <si>
    <t>601008.SH</t>
  </si>
  <si>
    <t>600184.SH</t>
  </si>
  <si>
    <t>300128.SZ</t>
  </si>
  <si>
    <t>300147.SZ</t>
  </si>
  <si>
    <t>688157.SH</t>
  </si>
  <si>
    <t>300065.SZ</t>
  </si>
  <si>
    <t>002785.SZ</t>
  </si>
  <si>
    <t>688383.SH</t>
  </si>
  <si>
    <t>301291.SZ</t>
  </si>
  <si>
    <t>明阳电气</t>
  </si>
  <si>
    <t>002009.SZ</t>
  </si>
  <si>
    <t>605108.SH</t>
  </si>
  <si>
    <t>600691.SH</t>
  </si>
  <si>
    <t>603131.SH</t>
  </si>
  <si>
    <t>002930.SZ</t>
  </si>
  <si>
    <t>603511.SH</t>
  </si>
  <si>
    <t>爱慕股份</t>
  </si>
  <si>
    <t>688548.SH</t>
  </si>
  <si>
    <t>广钢气体</t>
  </si>
  <si>
    <t>002291.SZ</t>
  </si>
  <si>
    <t>000797.SZ</t>
  </si>
  <si>
    <t>002979.SZ</t>
  </si>
  <si>
    <t>600658.SH</t>
  </si>
  <si>
    <t>600340.SH</t>
  </si>
  <si>
    <t>603010.SH</t>
  </si>
  <si>
    <t>002354.SZ</t>
  </si>
  <si>
    <t>002210.SZ</t>
  </si>
  <si>
    <t>300687.SZ</t>
  </si>
  <si>
    <t>600488.SH</t>
  </si>
  <si>
    <t>600981.SH</t>
  </si>
  <si>
    <t>002208.SZ</t>
  </si>
  <si>
    <t>300307.SZ</t>
  </si>
  <si>
    <t>002285.SZ</t>
  </si>
  <si>
    <t>603809.SH</t>
  </si>
  <si>
    <t>600629.SH</t>
  </si>
  <si>
    <t>688660.SH</t>
  </si>
  <si>
    <t>000905.SZ</t>
  </si>
  <si>
    <t>600101.SH</t>
  </si>
  <si>
    <t>600469.SH</t>
  </si>
  <si>
    <t>300233.SZ</t>
  </si>
  <si>
    <t>300814.SZ</t>
  </si>
  <si>
    <t>中富电路</t>
  </si>
  <si>
    <t>600207.SH</t>
  </si>
  <si>
    <t>300593.SZ</t>
  </si>
  <si>
    <t>002189.SZ</t>
  </si>
  <si>
    <t>300842.SZ</t>
  </si>
  <si>
    <t>300925.SZ</t>
  </si>
  <si>
    <t>603489.SH</t>
  </si>
  <si>
    <t>600571.SH</t>
  </si>
  <si>
    <t>300322.SZ</t>
  </si>
  <si>
    <t>603098.SH</t>
  </si>
  <si>
    <t>601116.SH</t>
  </si>
  <si>
    <t>002437.SZ</t>
  </si>
  <si>
    <t>300870.SZ</t>
  </si>
  <si>
    <t>002283.SZ</t>
  </si>
  <si>
    <t>688518.SH</t>
  </si>
  <si>
    <t>603416.SH</t>
  </si>
  <si>
    <t>688776.SH</t>
  </si>
  <si>
    <t>国光电气</t>
  </si>
  <si>
    <t>600127.SH</t>
  </si>
  <si>
    <t>000718.SZ</t>
  </si>
  <si>
    <t>300278.SZ</t>
  </si>
  <si>
    <t>688110.SH</t>
  </si>
  <si>
    <t>东芯股份</t>
  </si>
  <si>
    <t>603801.SH</t>
  </si>
  <si>
    <t>002279.SZ</t>
  </si>
  <si>
    <t>002449.SZ</t>
  </si>
  <si>
    <t>600825.SH</t>
  </si>
  <si>
    <t>688331.SH</t>
  </si>
  <si>
    <t>荣昌生物</t>
  </si>
  <si>
    <t>688685.SH</t>
  </si>
  <si>
    <t>603718.SH</t>
  </si>
  <si>
    <t>600495.SH</t>
  </si>
  <si>
    <t>002218.SZ</t>
  </si>
  <si>
    <t>002632.SZ</t>
  </si>
  <si>
    <t>002538.SZ</t>
  </si>
  <si>
    <t>000507.SZ</t>
  </si>
  <si>
    <t>688519.SH</t>
  </si>
  <si>
    <t>603466.SH</t>
  </si>
  <si>
    <t>600650.SH</t>
  </si>
  <si>
    <t>002334.SZ</t>
  </si>
  <si>
    <t>600479.SH</t>
  </si>
  <si>
    <t>000823.SZ</t>
  </si>
  <si>
    <t>002445.SZ</t>
  </si>
  <si>
    <t>603507.SH</t>
  </si>
  <si>
    <t>300820.SZ</t>
  </si>
  <si>
    <t>600523.SH</t>
  </si>
  <si>
    <t>603985.SH</t>
  </si>
  <si>
    <t>600301.SH</t>
  </si>
  <si>
    <t>603611.SH</t>
  </si>
  <si>
    <t>600830.SH</t>
  </si>
  <si>
    <t>301171.SZ</t>
  </si>
  <si>
    <t>易点天下</t>
  </si>
  <si>
    <t>688239.SH</t>
  </si>
  <si>
    <t>航宇科技</t>
  </si>
  <si>
    <t>300797.SZ</t>
  </si>
  <si>
    <t>002344.SZ</t>
  </si>
  <si>
    <t>603235.SH</t>
  </si>
  <si>
    <t>天新药业</t>
  </si>
  <si>
    <t>000903.SZ</t>
  </si>
  <si>
    <t>002122.SZ</t>
  </si>
  <si>
    <t>603719.SH</t>
  </si>
  <si>
    <t>002733.SZ</t>
  </si>
  <si>
    <t>601188.SH</t>
  </si>
  <si>
    <t>603258.SH</t>
  </si>
  <si>
    <t>688609.SH</t>
  </si>
  <si>
    <t>九联科技</t>
  </si>
  <si>
    <t>300080.SZ</t>
  </si>
  <si>
    <t>300708.SZ</t>
  </si>
  <si>
    <t>300592.SZ</t>
  </si>
  <si>
    <t>000722.SZ</t>
  </si>
  <si>
    <t>688400.SH</t>
  </si>
  <si>
    <t>凌云光</t>
  </si>
  <si>
    <t>002068.SZ</t>
  </si>
  <si>
    <t>002646.SZ</t>
  </si>
  <si>
    <t>002116.SZ</t>
  </si>
  <si>
    <t>300581.SZ</t>
  </si>
  <si>
    <t>002955.SZ</t>
  </si>
  <si>
    <t>300318.SZ</t>
  </si>
  <si>
    <t>300219.SZ</t>
  </si>
  <si>
    <t>688165.SH</t>
  </si>
  <si>
    <t>688508.SH</t>
  </si>
  <si>
    <t>600581.SH</t>
  </si>
  <si>
    <t>600283.SH</t>
  </si>
  <si>
    <t>002662.SZ</t>
  </si>
  <si>
    <t>300793.SZ</t>
  </si>
  <si>
    <t>000665.SZ</t>
  </si>
  <si>
    <t>600569.SH</t>
  </si>
  <si>
    <t>688090.SH</t>
  </si>
  <si>
    <t>605056.SH</t>
  </si>
  <si>
    <t>咸亨国际</t>
  </si>
  <si>
    <t>300119.SZ</t>
  </si>
  <si>
    <t>300441.SZ</t>
  </si>
  <si>
    <t>600617.SH</t>
  </si>
  <si>
    <t>600880.SH</t>
  </si>
  <si>
    <t>301215.SZ</t>
  </si>
  <si>
    <t>中汽股份</t>
  </si>
  <si>
    <t>600230.SH</t>
  </si>
  <si>
    <t>688315.SH</t>
  </si>
  <si>
    <t>002366.SZ</t>
  </si>
  <si>
    <t>300520.SZ</t>
  </si>
  <si>
    <t>300041.SZ</t>
  </si>
  <si>
    <t>002119.SZ</t>
  </si>
  <si>
    <t>603322.SH</t>
  </si>
  <si>
    <t>605050.SH</t>
  </si>
  <si>
    <t>000863.SZ</t>
  </si>
  <si>
    <t>300507.SZ</t>
  </si>
  <si>
    <t>603566.SH</t>
  </si>
  <si>
    <t>002345.SZ</t>
  </si>
  <si>
    <t>002154.SZ</t>
  </si>
  <si>
    <t>603906.SH</t>
  </si>
  <si>
    <t>300349.SZ</t>
  </si>
  <si>
    <t>300302.SZ</t>
  </si>
  <si>
    <t>002896.SZ</t>
  </si>
  <si>
    <t>300548.SZ</t>
  </si>
  <si>
    <t>002135.SZ</t>
  </si>
  <si>
    <t>300443.SZ</t>
  </si>
  <si>
    <t>601929.SH</t>
  </si>
  <si>
    <t>601566.SH</t>
  </si>
  <si>
    <t>600491.SH</t>
  </si>
  <si>
    <t>600103.SH</t>
  </si>
  <si>
    <t>000561.SZ</t>
  </si>
  <si>
    <t>002167.SZ</t>
  </si>
  <si>
    <t>688569.SH</t>
  </si>
  <si>
    <t>600180.SH</t>
  </si>
  <si>
    <t>688313.SH</t>
  </si>
  <si>
    <t>300997.SZ</t>
  </si>
  <si>
    <t>欢乐家</t>
  </si>
  <si>
    <t>002585.SZ</t>
  </si>
  <si>
    <t>300328.SZ</t>
  </si>
  <si>
    <t>600121.SH</t>
  </si>
  <si>
    <t>600628.SH</t>
  </si>
  <si>
    <t>002452.SZ</t>
  </si>
  <si>
    <t>300366.SZ</t>
  </si>
  <si>
    <t>605218.SH</t>
  </si>
  <si>
    <t>003019.SZ</t>
  </si>
  <si>
    <t>002549.SZ</t>
  </si>
  <si>
    <t>301095.SZ</t>
  </si>
  <si>
    <t>广立微</t>
  </si>
  <si>
    <t>603896.SH</t>
  </si>
  <si>
    <t>600935.SH</t>
  </si>
  <si>
    <t>华塑股份</t>
  </si>
  <si>
    <t>600351.SH</t>
  </si>
  <si>
    <t>300377.SZ</t>
  </si>
  <si>
    <t>688158.SH</t>
  </si>
  <si>
    <t>300019.SZ</t>
  </si>
  <si>
    <t>605196.SH</t>
  </si>
  <si>
    <t>华通线缆</t>
  </si>
  <si>
    <t>688403.SH</t>
  </si>
  <si>
    <t>汇成股份</t>
  </si>
  <si>
    <t>000532.SZ</t>
  </si>
  <si>
    <t>002579.SZ</t>
  </si>
  <si>
    <t>300271.SZ</t>
  </si>
  <si>
    <t>301153.SZ</t>
  </si>
  <si>
    <t>中科江南</t>
  </si>
  <si>
    <t>002677.SZ</t>
  </si>
  <si>
    <t>002521.SZ</t>
  </si>
  <si>
    <t>688101.SH</t>
  </si>
  <si>
    <t>300197.SZ</t>
  </si>
  <si>
    <t>000731.SZ</t>
  </si>
  <si>
    <t>002606.SZ</t>
  </si>
  <si>
    <t>603113.SH</t>
  </si>
  <si>
    <t>300210.SZ</t>
  </si>
  <si>
    <t>600300.SH</t>
  </si>
  <si>
    <t>603897.SH</t>
  </si>
  <si>
    <t>688190.SH</t>
  </si>
  <si>
    <t>云路股份</t>
  </si>
  <si>
    <t>002321.SZ</t>
  </si>
  <si>
    <t>300292.SZ</t>
  </si>
  <si>
    <t>300161.SZ</t>
  </si>
  <si>
    <t>605077.SH</t>
  </si>
  <si>
    <t>301030.SZ</t>
  </si>
  <si>
    <t>301367.SZ</t>
  </si>
  <si>
    <t>怡和嘉业</t>
  </si>
  <si>
    <t>300324.SZ</t>
  </si>
  <si>
    <t>603551.SH</t>
  </si>
  <si>
    <t>600982.SH</t>
  </si>
  <si>
    <t>300320.SZ</t>
  </si>
  <si>
    <t>002501.SZ</t>
  </si>
  <si>
    <t>600292.SH</t>
  </si>
  <si>
    <t>000546.SZ</t>
  </si>
  <si>
    <t>688093.SH</t>
  </si>
  <si>
    <t>688696.SH</t>
  </si>
  <si>
    <t>000601.SZ</t>
  </si>
  <si>
    <t>300469.SZ</t>
  </si>
  <si>
    <t>605098.SH</t>
  </si>
  <si>
    <t>行动教育</t>
  </si>
  <si>
    <t>002393.SZ</t>
  </si>
  <si>
    <t>603199.SH</t>
  </si>
  <si>
    <t>002657.SZ</t>
  </si>
  <si>
    <t>002327.SZ</t>
  </si>
  <si>
    <t>600936.SH</t>
  </si>
  <si>
    <t>688108.SH</t>
  </si>
  <si>
    <t>002491.SZ</t>
  </si>
  <si>
    <t>603569.SH</t>
  </si>
  <si>
    <t>688262.SH</t>
  </si>
  <si>
    <t>国芯科技</t>
  </si>
  <si>
    <t>603689.SH</t>
  </si>
  <si>
    <t>300061.SZ</t>
  </si>
  <si>
    <t>300569.SZ</t>
  </si>
  <si>
    <t>002746.SZ</t>
  </si>
  <si>
    <t>300388.SZ</t>
  </si>
  <si>
    <t>002970.SZ</t>
  </si>
  <si>
    <t>002483.SZ</t>
  </si>
  <si>
    <t>002526.SZ</t>
  </si>
  <si>
    <t>603938.SH</t>
  </si>
  <si>
    <t>300287.SZ</t>
  </si>
  <si>
    <t>688141.SH</t>
  </si>
  <si>
    <t>杰华特</t>
  </si>
  <si>
    <t>300177.SZ</t>
  </si>
  <si>
    <t>601789.SH</t>
  </si>
  <si>
    <t>601588.SH</t>
  </si>
  <si>
    <t>600168.SH</t>
  </si>
  <si>
    <t>300256.SZ</t>
  </si>
  <si>
    <t>688155.SH</t>
  </si>
  <si>
    <t>603421.SH</t>
  </si>
  <si>
    <t>600510.SH</t>
  </si>
  <si>
    <t>603950.SH</t>
  </si>
  <si>
    <t>688626.SH</t>
  </si>
  <si>
    <t>301018.SZ</t>
  </si>
  <si>
    <t>申菱环境</t>
  </si>
  <si>
    <t>603189.SH</t>
  </si>
  <si>
    <t>300951.SZ</t>
  </si>
  <si>
    <t>002793.SZ</t>
  </si>
  <si>
    <t>300698.SZ</t>
  </si>
  <si>
    <t>300222.SZ</t>
  </si>
  <si>
    <t>603081.SH</t>
  </si>
  <si>
    <t>002758.SZ</t>
  </si>
  <si>
    <t>300796.SZ</t>
  </si>
  <si>
    <t>688799.SH</t>
  </si>
  <si>
    <t>688348.SH</t>
  </si>
  <si>
    <t>昱能科技</t>
  </si>
  <si>
    <t>601368.SH</t>
  </si>
  <si>
    <t>300194.SZ</t>
  </si>
  <si>
    <t>300481.SZ</t>
  </si>
  <si>
    <t>603703.SH</t>
  </si>
  <si>
    <t>688566.SH</t>
  </si>
  <si>
    <t>600794.SH</t>
  </si>
  <si>
    <t>605167.SH</t>
  </si>
  <si>
    <t>利柏特</t>
  </si>
  <si>
    <t>688692.SH</t>
  </si>
  <si>
    <t>达梦数据</t>
  </si>
  <si>
    <t>603105.SH</t>
  </si>
  <si>
    <t>002881.SZ</t>
  </si>
  <si>
    <t>300291.SZ</t>
  </si>
  <si>
    <t>002265.SZ</t>
  </si>
  <si>
    <t>300737.SZ</t>
  </si>
  <si>
    <t>603187.SH</t>
  </si>
  <si>
    <t>603387.SH</t>
  </si>
  <si>
    <t>603639.SH</t>
  </si>
  <si>
    <t>300758.SZ</t>
  </si>
  <si>
    <t>300110.SZ</t>
  </si>
  <si>
    <t>605286.SH</t>
  </si>
  <si>
    <t>同力日升</t>
  </si>
  <si>
    <t>300332.SZ</t>
  </si>
  <si>
    <t>002985.SZ</t>
  </si>
  <si>
    <t>000045.SZ</t>
  </si>
  <si>
    <t>002833.SZ</t>
  </si>
  <si>
    <t>300046.SZ</t>
  </si>
  <si>
    <t>300872.SZ</t>
  </si>
  <si>
    <t>002181.SZ</t>
  </si>
  <si>
    <t>603890.SH</t>
  </si>
  <si>
    <t>300351.SZ</t>
  </si>
  <si>
    <t>300067.SZ</t>
  </si>
  <si>
    <t>300435.SZ</t>
  </si>
  <si>
    <t>600815.SH</t>
  </si>
  <si>
    <t>603629.SH</t>
  </si>
  <si>
    <t>600758.SH</t>
  </si>
  <si>
    <t>301205.SZ</t>
  </si>
  <si>
    <t>联特科技</t>
  </si>
  <si>
    <t>600979.SH</t>
  </si>
  <si>
    <t>002810.SZ</t>
  </si>
  <si>
    <t>000973.SZ</t>
  </si>
  <si>
    <t>300396.SZ</t>
  </si>
  <si>
    <t>300252.SZ</t>
  </si>
  <si>
    <t>002907.SZ</t>
  </si>
  <si>
    <t>688388.SH</t>
  </si>
  <si>
    <t>002892.SZ</t>
  </si>
  <si>
    <t>603558.SH</t>
  </si>
  <si>
    <t>603867.SH</t>
  </si>
  <si>
    <t>002708.SZ</t>
  </si>
  <si>
    <t>002512.SZ</t>
  </si>
  <si>
    <t>300446.SZ</t>
  </si>
  <si>
    <t>300429.SZ</t>
  </si>
  <si>
    <t>000751.SZ</t>
  </si>
  <si>
    <t>000993.SZ</t>
  </si>
  <si>
    <t>300975.SZ</t>
  </si>
  <si>
    <t>002383.SZ</t>
  </si>
  <si>
    <t>300740.SZ</t>
  </si>
  <si>
    <t>600851.SH</t>
  </si>
  <si>
    <t>688612.SH</t>
  </si>
  <si>
    <t>威迈斯</t>
  </si>
  <si>
    <t>002376.SZ</t>
  </si>
  <si>
    <t>002269.SZ</t>
  </si>
  <si>
    <t>600361.SH</t>
  </si>
  <si>
    <t>002356.SZ</t>
  </si>
  <si>
    <t>300358.SZ</t>
  </si>
  <si>
    <t>300850.SZ</t>
  </si>
  <si>
    <t>603155.SH</t>
  </si>
  <si>
    <t>605277.SH</t>
  </si>
  <si>
    <t>002510.SZ</t>
  </si>
  <si>
    <t>688212.SH</t>
  </si>
  <si>
    <t>澳华内镜</t>
  </si>
  <si>
    <t>600841.SH</t>
  </si>
  <si>
    <t>000802.SZ</t>
  </si>
  <si>
    <t>600992.SH</t>
  </si>
  <si>
    <t>603815.SH</t>
  </si>
  <si>
    <t>600698.SH</t>
  </si>
  <si>
    <t>300590.SZ</t>
  </si>
  <si>
    <t>002166.SZ</t>
  </si>
  <si>
    <t>002140.SZ</t>
  </si>
  <si>
    <t>002869.SZ</t>
  </si>
  <si>
    <t>002263.SZ</t>
  </si>
  <si>
    <t>002791.SZ</t>
  </si>
  <si>
    <t>000505.SZ</t>
  </si>
  <si>
    <t>688533.SH</t>
  </si>
  <si>
    <t>603931.SH</t>
  </si>
  <si>
    <t>002637.SZ</t>
  </si>
  <si>
    <t>603918.SH</t>
  </si>
  <si>
    <t>601599.SH</t>
  </si>
  <si>
    <t>002779.SZ</t>
  </si>
  <si>
    <t>002395.SZ</t>
  </si>
  <si>
    <t>603823.SH</t>
  </si>
  <si>
    <t>300968.SZ</t>
  </si>
  <si>
    <t>300494.SZ</t>
  </si>
  <si>
    <t>300880.SZ</t>
  </si>
  <si>
    <t>300587.SZ</t>
  </si>
  <si>
    <t>301078.SZ</t>
  </si>
  <si>
    <t>孩子王</t>
  </si>
  <si>
    <t>300007.SZ</t>
  </si>
  <si>
    <t>000551.SZ</t>
  </si>
  <si>
    <t>301316.SZ</t>
  </si>
  <si>
    <t>慧博云通</t>
  </si>
  <si>
    <t>002766.SZ</t>
  </si>
  <si>
    <t>002577.SZ</t>
  </si>
  <si>
    <t>002642.SZ</t>
  </si>
  <si>
    <t>300276.SZ</t>
  </si>
  <si>
    <t>600203.SH</t>
  </si>
  <si>
    <t>688222.SH</t>
  </si>
  <si>
    <t>002818.SZ</t>
  </si>
  <si>
    <t>002364.SZ</t>
  </si>
  <si>
    <t>600666.SH</t>
  </si>
  <si>
    <t>301155.SZ</t>
  </si>
  <si>
    <t>海力风电</t>
  </si>
  <si>
    <t>002559.SZ</t>
  </si>
  <si>
    <t>300497.SZ</t>
  </si>
  <si>
    <t>688510.SH</t>
  </si>
  <si>
    <t>300766.SZ</t>
  </si>
  <si>
    <t>601061.SH</t>
  </si>
  <si>
    <t>中信金属</t>
  </si>
  <si>
    <t>603595.SH</t>
  </si>
  <si>
    <t>300523.SZ</t>
  </si>
  <si>
    <t>300712.SZ</t>
  </si>
  <si>
    <t>300711.SZ</t>
  </si>
  <si>
    <t>300025.SZ</t>
  </si>
  <si>
    <t>688319.SH</t>
  </si>
  <si>
    <t>300981.SZ</t>
  </si>
  <si>
    <t>688299.SH</t>
  </si>
  <si>
    <t>600396.SH</t>
  </si>
  <si>
    <t>600756.SH</t>
  </si>
  <si>
    <t>688107.SH</t>
  </si>
  <si>
    <t>安路科技</t>
  </si>
  <si>
    <t>603859.SH</t>
  </si>
  <si>
    <t>002838.SZ</t>
  </si>
  <si>
    <t>603969.SH</t>
  </si>
  <si>
    <t>300895.SZ</t>
  </si>
  <si>
    <t>603138.SH</t>
  </si>
  <si>
    <t>600881.SH</t>
  </si>
  <si>
    <t>002454.SZ</t>
  </si>
  <si>
    <t>000789.SZ</t>
  </si>
  <si>
    <t>600592.SH</t>
  </si>
  <si>
    <t>600876.SH</t>
  </si>
  <si>
    <t>002169.SZ</t>
  </si>
  <si>
    <t>002792.SZ</t>
  </si>
  <si>
    <t>601065.SH</t>
  </si>
  <si>
    <t>江盐集团</t>
  </si>
  <si>
    <t>000713.SZ</t>
  </si>
  <si>
    <t>002301.SZ</t>
  </si>
  <si>
    <t>688687.SH</t>
  </si>
  <si>
    <t>605179.SH</t>
  </si>
  <si>
    <t>600729.SH</t>
  </si>
  <si>
    <t>002117.SZ</t>
  </si>
  <si>
    <t>002552.SZ</t>
  </si>
  <si>
    <t>300653.SZ</t>
  </si>
  <si>
    <t>605319.SH</t>
  </si>
  <si>
    <t>无锡振华</t>
  </si>
  <si>
    <t>688621.SH</t>
  </si>
  <si>
    <t>603800.SH</t>
  </si>
  <si>
    <t>300781.SZ</t>
  </si>
  <si>
    <t>688281.SH</t>
  </si>
  <si>
    <t>华秦科技</t>
  </si>
  <si>
    <t>603499.SH</t>
  </si>
  <si>
    <t>600843.SH</t>
  </si>
  <si>
    <t>002685.SZ</t>
  </si>
  <si>
    <t>603773.SH</t>
  </si>
  <si>
    <t>300552.SZ</t>
  </si>
  <si>
    <t>002655.SZ</t>
  </si>
  <si>
    <t>603167.SH</t>
  </si>
  <si>
    <t>600078.SH</t>
  </si>
  <si>
    <t>600576.SH</t>
  </si>
  <si>
    <t>600868.SH</t>
  </si>
  <si>
    <t>000850.SZ</t>
  </si>
  <si>
    <t>000897.SZ</t>
  </si>
  <si>
    <t>605228.SH</t>
  </si>
  <si>
    <t>603386.SH</t>
  </si>
  <si>
    <t>002919.SZ</t>
  </si>
  <si>
    <t>002882.SZ</t>
  </si>
  <si>
    <t>300531.SZ</t>
  </si>
  <si>
    <t>301263.SZ</t>
  </si>
  <si>
    <t>泰恩康</t>
  </si>
  <si>
    <t>002455.SZ</t>
  </si>
  <si>
    <t>002639.SZ</t>
  </si>
  <si>
    <t>688550.SH</t>
  </si>
  <si>
    <t>300882.SZ</t>
  </si>
  <si>
    <t>601921.SH</t>
  </si>
  <si>
    <t>浙版传媒</t>
  </si>
  <si>
    <t>002083.SZ</t>
  </si>
  <si>
    <t>605018.SH</t>
  </si>
  <si>
    <t>300011.SZ</t>
  </si>
  <si>
    <t>605133.SH</t>
  </si>
  <si>
    <t>300444.SZ</t>
  </si>
  <si>
    <t>600860.SH</t>
  </si>
  <si>
    <t>000910.SZ</t>
  </si>
  <si>
    <t>002206.SZ</t>
  </si>
  <si>
    <t>002300.SZ</t>
  </si>
  <si>
    <t>000779.SZ</t>
  </si>
  <si>
    <t>688522.SH</t>
  </si>
  <si>
    <t>纳睿雷达</t>
  </si>
  <si>
    <t>300213.SZ</t>
  </si>
  <si>
    <t>300894.SZ</t>
  </si>
  <si>
    <t>300586.SZ</t>
  </si>
  <si>
    <t>300563.SZ</t>
  </si>
  <si>
    <t>002950.SZ</t>
  </si>
  <si>
    <t>300629.SZ</t>
  </si>
  <si>
    <t>002988.SZ</t>
  </si>
  <si>
    <t>603991.SH</t>
  </si>
  <si>
    <t>603628.SH</t>
  </si>
  <si>
    <t>001236.SZ</t>
  </si>
  <si>
    <t>弘业期货</t>
  </si>
  <si>
    <t>300962.SZ</t>
  </si>
  <si>
    <t>中金辐照</t>
  </si>
  <si>
    <t>603380.SH</t>
  </si>
  <si>
    <t>300160.SZ</t>
  </si>
  <si>
    <t>300465.SZ</t>
  </si>
  <si>
    <t>603861.SH</t>
  </si>
  <si>
    <t>603590.SH</t>
  </si>
  <si>
    <t>002029.SZ</t>
  </si>
  <si>
    <t>603399.SH</t>
  </si>
  <si>
    <t>603396.SH</t>
  </si>
  <si>
    <t>600679.SH</t>
  </si>
  <si>
    <t>300158.SZ</t>
  </si>
  <si>
    <t>300193.SZ</t>
  </si>
  <si>
    <t>300201.SZ</t>
  </si>
  <si>
    <t>300258.SZ</t>
  </si>
  <si>
    <t>002479.SZ</t>
  </si>
  <si>
    <t>000882.SZ</t>
  </si>
  <si>
    <t>603676.SH</t>
  </si>
  <si>
    <t>300792.SZ</t>
  </si>
  <si>
    <t>300639.SZ</t>
  </si>
  <si>
    <t>300082.SZ</t>
  </si>
  <si>
    <t>003000.SZ</t>
  </si>
  <si>
    <t>600113.SH</t>
  </si>
  <si>
    <t>300953.SZ</t>
  </si>
  <si>
    <t>600834.SH</t>
  </si>
  <si>
    <t>600636.SH</t>
  </si>
  <si>
    <t>002644.SZ</t>
  </si>
  <si>
    <t>000026.SZ</t>
  </si>
  <si>
    <t>603032.SH</t>
  </si>
  <si>
    <t>300688.SZ</t>
  </si>
  <si>
    <t>300331.SZ</t>
  </si>
  <si>
    <t>600261.SH</t>
  </si>
  <si>
    <t>600819.SH</t>
  </si>
  <si>
    <t>002115.SZ</t>
  </si>
  <si>
    <t>300846.SZ</t>
  </si>
  <si>
    <t>300900.SZ</t>
  </si>
  <si>
    <t>300138.SZ</t>
  </si>
  <si>
    <t>000417.SZ</t>
  </si>
  <si>
    <t>002581.SZ</t>
  </si>
  <si>
    <t>002627.SZ</t>
  </si>
  <si>
    <t>601113.SH</t>
  </si>
  <si>
    <t>688800.SH</t>
  </si>
  <si>
    <t>瑞可达</t>
  </si>
  <si>
    <t>002478.SZ</t>
  </si>
  <si>
    <t>002026.SZ</t>
  </si>
  <si>
    <t>603158.SH</t>
  </si>
  <si>
    <t>300159.SZ</t>
  </si>
  <si>
    <t>688595.SH</t>
  </si>
  <si>
    <t>600620.SH</t>
  </si>
  <si>
    <t>300510.SZ</t>
  </si>
  <si>
    <t>000697.SZ</t>
  </si>
  <si>
    <t>002062.SZ</t>
  </si>
  <si>
    <t>603324.SH</t>
  </si>
  <si>
    <t>盛剑科技</t>
  </si>
  <si>
    <t>000920.SZ</t>
  </si>
  <si>
    <t>605158.SH</t>
  </si>
  <si>
    <t>603319.SH</t>
  </si>
  <si>
    <t>600676.SH</t>
  </si>
  <si>
    <t>300739.SZ</t>
  </si>
  <si>
    <t>688677.SH</t>
  </si>
  <si>
    <t>002037.SZ</t>
  </si>
  <si>
    <t>002589.SZ</t>
  </si>
  <si>
    <t>688066.SH</t>
  </si>
  <si>
    <t>605337.SH</t>
  </si>
  <si>
    <t>002693.SZ</t>
  </si>
  <si>
    <t>002333.SZ</t>
  </si>
  <si>
    <t>002757.SZ</t>
  </si>
  <si>
    <t>300869.SZ</t>
  </si>
  <si>
    <t>600727.SH</t>
  </si>
  <si>
    <t>002104.SZ</t>
  </si>
  <si>
    <t>603200.SH</t>
  </si>
  <si>
    <t>600824.SH</t>
  </si>
  <si>
    <t>605338.SH</t>
  </si>
  <si>
    <t>300355.SZ</t>
  </si>
  <si>
    <t>002612.SZ</t>
  </si>
  <si>
    <t>301051.SZ</t>
  </si>
  <si>
    <t>信濠光电</t>
  </si>
  <si>
    <t>600822.SH</t>
  </si>
  <si>
    <t>300843.SZ</t>
  </si>
  <si>
    <t>300617.SZ</t>
  </si>
  <si>
    <t>600589.SH</t>
  </si>
  <si>
    <t>000151.SZ</t>
  </si>
  <si>
    <t>603687.SH</t>
  </si>
  <si>
    <t>301031.SZ</t>
  </si>
  <si>
    <t>中熔电气</t>
  </si>
  <si>
    <t>603970.SH</t>
  </si>
  <si>
    <t>000868.SZ</t>
  </si>
  <si>
    <t>688117.SH</t>
  </si>
  <si>
    <t>002523.SZ</t>
  </si>
  <si>
    <t>300691.SZ</t>
  </si>
  <si>
    <t>002297.SZ</t>
  </si>
  <si>
    <t>301363.SZ</t>
  </si>
  <si>
    <t>美好医疗</t>
  </si>
  <si>
    <t>300905.SZ</t>
  </si>
  <si>
    <t>600590.SH</t>
  </si>
  <si>
    <t>600463.SH</t>
  </si>
  <si>
    <t>002768.SZ</t>
  </si>
  <si>
    <t>002480.SZ</t>
  </si>
  <si>
    <t>002527.SZ</t>
  </si>
  <si>
    <t>600239.SH</t>
  </si>
  <si>
    <t>000599.SZ</t>
  </si>
  <si>
    <t>000720.SZ</t>
  </si>
  <si>
    <t>688339.SH</t>
  </si>
  <si>
    <t>002554.SZ</t>
  </si>
  <si>
    <t>603313.SH</t>
  </si>
  <si>
    <t>688153.SH</t>
  </si>
  <si>
    <t>唯捷创芯</t>
  </si>
  <si>
    <t>603666.SH</t>
  </si>
  <si>
    <t>300042.SZ</t>
  </si>
  <si>
    <t>002307.SZ</t>
  </si>
  <si>
    <t>300893.SZ</t>
  </si>
  <si>
    <t>002986.SZ</t>
  </si>
  <si>
    <t>300267.SZ</t>
  </si>
  <si>
    <t>600505.SH</t>
  </si>
  <si>
    <t>000726.SZ</t>
  </si>
  <si>
    <t>000906.SZ</t>
  </si>
  <si>
    <t>002362.SZ</t>
  </si>
  <si>
    <t>600798.SH</t>
  </si>
  <si>
    <t>600255.SH</t>
  </si>
  <si>
    <t>002132.SZ</t>
  </si>
  <si>
    <t>688598.SH</t>
  </si>
  <si>
    <t>601010.SH</t>
  </si>
  <si>
    <t>000670.SZ</t>
  </si>
  <si>
    <t>002228.SZ</t>
  </si>
  <si>
    <t>600630.SH</t>
  </si>
  <si>
    <t>688382.SH</t>
  </si>
  <si>
    <t>益方生物</t>
  </si>
  <si>
    <t>688428.SH</t>
  </si>
  <si>
    <t>诺诚健华</t>
  </si>
  <si>
    <t>603239.SH</t>
  </si>
  <si>
    <t>000068.SZ</t>
  </si>
  <si>
    <t>000788.SZ</t>
  </si>
  <si>
    <t>300066.SZ</t>
  </si>
  <si>
    <t>300566.SZ</t>
  </si>
  <si>
    <t>300206.SZ</t>
  </si>
  <si>
    <t>603669.SH</t>
  </si>
  <si>
    <t>002645.SZ</t>
  </si>
  <si>
    <t>688219.SH</t>
  </si>
  <si>
    <t>002277.SZ</t>
  </si>
  <si>
    <t>002224.SZ</t>
  </si>
  <si>
    <t>605128.SH</t>
  </si>
  <si>
    <t>002055.SZ</t>
  </si>
  <si>
    <t>600512.SH</t>
  </si>
  <si>
    <t>300702.SZ</t>
  </si>
  <si>
    <t>002109.SZ</t>
  </si>
  <si>
    <t>600829.SH</t>
  </si>
  <si>
    <t>300848.SZ</t>
  </si>
  <si>
    <t>300006.SZ</t>
  </si>
  <si>
    <t>688593.SH</t>
  </si>
  <si>
    <t>新相微</t>
  </si>
  <si>
    <t>601011.SH</t>
  </si>
  <si>
    <t>603757.SH</t>
  </si>
  <si>
    <t>603912.SH</t>
  </si>
  <si>
    <t>600853.SH</t>
  </si>
  <si>
    <t>300397.SZ</t>
  </si>
  <si>
    <t>603126.SH</t>
  </si>
  <si>
    <t>605399.SH</t>
  </si>
  <si>
    <t>300228.SZ</t>
  </si>
  <si>
    <t>603686.SH</t>
  </si>
  <si>
    <t>688628.SH</t>
  </si>
  <si>
    <t>300323.SZ</t>
  </si>
  <si>
    <t>688352.SH</t>
  </si>
  <si>
    <t>颀中科技</t>
  </si>
  <si>
    <t>300310.SZ</t>
  </si>
  <si>
    <t>603598.SH</t>
  </si>
  <si>
    <t>833575.BJ</t>
  </si>
  <si>
    <t>康乐卫士</t>
  </si>
  <si>
    <t>002561.SZ</t>
  </si>
  <si>
    <t>300471.SZ</t>
  </si>
  <si>
    <t>000655.SZ</t>
  </si>
  <si>
    <t>300541.SZ</t>
  </si>
  <si>
    <t>002965.SZ</t>
  </si>
  <si>
    <t>300939.SZ</t>
  </si>
  <si>
    <t>300664.SZ</t>
  </si>
  <si>
    <t>002198.SZ</t>
  </si>
  <si>
    <t>300094.SZ</t>
  </si>
  <si>
    <t>600238.SH</t>
  </si>
  <si>
    <t>603767.SH</t>
  </si>
  <si>
    <t>688209.SH</t>
  </si>
  <si>
    <t>英集芯</t>
  </si>
  <si>
    <t>002462.SZ</t>
  </si>
  <si>
    <t>603366.SH</t>
  </si>
  <si>
    <t>000965.SZ</t>
  </si>
  <si>
    <t>002609.SZ</t>
  </si>
  <si>
    <t>300833.SZ</t>
  </si>
  <si>
    <t>300790.SZ</t>
  </si>
  <si>
    <t>300127.SZ</t>
  </si>
  <si>
    <t>000409.SZ</t>
  </si>
  <si>
    <t>002843.SZ</t>
  </si>
  <si>
    <t>688105.SH</t>
  </si>
  <si>
    <t>诺唯赞</t>
  </si>
  <si>
    <t>603722.SH</t>
  </si>
  <si>
    <t>600770.SH</t>
  </si>
  <si>
    <t>605268.SH</t>
  </si>
  <si>
    <t>688611.SH</t>
  </si>
  <si>
    <t>688629.SH</t>
  </si>
  <si>
    <t>华丰科技</t>
  </si>
  <si>
    <t>603186.SH</t>
  </si>
  <si>
    <t>002358.SZ</t>
  </si>
  <si>
    <t>002870.SZ</t>
  </si>
  <si>
    <t>601089.SH</t>
  </si>
  <si>
    <t>福元医药</t>
  </si>
  <si>
    <t>603701.SH</t>
  </si>
  <si>
    <t>600792.SH</t>
  </si>
  <si>
    <t>300982.SZ</t>
  </si>
  <si>
    <t>301297.SZ</t>
  </si>
  <si>
    <t>富乐德</t>
  </si>
  <si>
    <t>300010.SZ</t>
  </si>
  <si>
    <t>300139.SZ</t>
  </si>
  <si>
    <t>605366.SH</t>
  </si>
  <si>
    <t>600661.SH</t>
  </si>
  <si>
    <t>605188.SH</t>
  </si>
  <si>
    <t>605088.SH</t>
  </si>
  <si>
    <t>000558.SZ</t>
  </si>
  <si>
    <t>600237.SH</t>
  </si>
  <si>
    <t>002469.SZ</t>
  </si>
  <si>
    <t>600818.SH</t>
  </si>
  <si>
    <t>688549.SH</t>
  </si>
  <si>
    <t>中巨芯</t>
  </si>
  <si>
    <t>300043.SZ</t>
  </si>
  <si>
    <t>688631.SH</t>
  </si>
  <si>
    <t>莱斯信息</t>
  </si>
  <si>
    <t>300411.SZ</t>
  </si>
  <si>
    <t>002989.SZ</t>
  </si>
  <si>
    <t>688202.SH</t>
  </si>
  <si>
    <t>300503.SZ</t>
  </si>
  <si>
    <t>000859.SZ</t>
  </si>
  <si>
    <t>002771.SZ</t>
  </si>
  <si>
    <t>600616.SH</t>
  </si>
  <si>
    <t>600345.SH</t>
  </si>
  <si>
    <t>002406.SZ</t>
  </si>
  <si>
    <t>601999.SH</t>
  </si>
  <si>
    <t>688025.SH</t>
  </si>
  <si>
    <t>300044.SZ</t>
  </si>
  <si>
    <t>603166.SH</t>
  </si>
  <si>
    <t>300057.SZ</t>
  </si>
  <si>
    <t>688488.SH</t>
  </si>
  <si>
    <t>688553.SH</t>
  </si>
  <si>
    <t>汇宇制药</t>
  </si>
  <si>
    <t>603339.SH</t>
  </si>
  <si>
    <t>002282.SZ</t>
  </si>
  <si>
    <t>301005.SZ</t>
  </si>
  <si>
    <t>超捷股份</t>
  </si>
  <si>
    <t>000925.SZ</t>
  </si>
  <si>
    <t>000931.SZ</t>
  </si>
  <si>
    <t>603085.SH</t>
  </si>
  <si>
    <t>300326.SZ</t>
  </si>
  <si>
    <t>000926.SZ</t>
  </si>
  <si>
    <t>002095.SZ</t>
  </si>
  <si>
    <t>600644.SH</t>
  </si>
  <si>
    <t>605086.SH</t>
  </si>
  <si>
    <t>龙高股份</t>
  </si>
  <si>
    <t>300265.SZ</t>
  </si>
  <si>
    <t>301060.SZ</t>
  </si>
  <si>
    <t>兰卫医学</t>
  </si>
  <si>
    <t>301370.SZ</t>
  </si>
  <si>
    <t>国科恒泰</t>
  </si>
  <si>
    <t>000428.SZ</t>
  </si>
  <si>
    <t>603618.SH</t>
  </si>
  <si>
    <t>300218.SZ</t>
  </si>
  <si>
    <t>603600.SH</t>
  </si>
  <si>
    <t>300056.SZ</t>
  </si>
  <si>
    <t>300684.SZ</t>
  </si>
  <si>
    <t>000707.SZ</t>
  </si>
  <si>
    <t>600805.SH</t>
  </si>
  <si>
    <t>300204.SZ</t>
  </si>
  <si>
    <t>002672.SZ</t>
  </si>
  <si>
    <t>600052.SH</t>
  </si>
  <si>
    <t>688102.SH</t>
  </si>
  <si>
    <t>斯瑞新材</t>
  </si>
  <si>
    <t>603615.SH</t>
  </si>
  <si>
    <t>688543.SH</t>
  </si>
  <si>
    <t>国科军工</t>
  </si>
  <si>
    <t>002520.SZ</t>
  </si>
  <si>
    <t>603222.SH</t>
  </si>
  <si>
    <t>688023.SH</t>
  </si>
  <si>
    <t>688312.SH</t>
  </si>
  <si>
    <t>300577.SZ</t>
  </si>
  <si>
    <t>600962.SH</t>
  </si>
  <si>
    <t>600288.SH</t>
  </si>
  <si>
    <t>300384.SZ</t>
  </si>
  <si>
    <t>000411.SZ</t>
  </si>
  <si>
    <t>002933.SZ</t>
  </si>
  <si>
    <t>301071.SZ</t>
  </si>
  <si>
    <t>300259.SZ</t>
  </si>
  <si>
    <t>600683.SH</t>
  </si>
  <si>
    <t>300121.SZ</t>
  </si>
  <si>
    <t>300862.SZ</t>
  </si>
  <si>
    <t>000919.SZ</t>
  </si>
  <si>
    <t>300402.SZ</t>
  </si>
  <si>
    <t>600558.SH</t>
  </si>
  <si>
    <t>003015.SZ</t>
  </si>
  <si>
    <t>300985.SZ</t>
  </si>
  <si>
    <t>600743.SH</t>
  </si>
  <si>
    <t>300973.SZ</t>
  </si>
  <si>
    <t>301382.SZ</t>
  </si>
  <si>
    <t>蜂助手</t>
  </si>
  <si>
    <t>603309.SH</t>
  </si>
  <si>
    <t>300426.SZ</t>
  </si>
  <si>
    <t>300225.SZ</t>
  </si>
  <si>
    <t>603365.SH</t>
  </si>
  <si>
    <t>603758.SH</t>
  </si>
  <si>
    <t>002346.SZ</t>
  </si>
  <si>
    <t>002264.SZ</t>
  </si>
  <si>
    <t>002547.SZ</t>
  </si>
  <si>
    <t>601002.SH</t>
  </si>
  <si>
    <t>002580.SZ</t>
  </si>
  <si>
    <t>301589.SZ</t>
  </si>
  <si>
    <t>诺瓦星云</t>
  </si>
  <si>
    <t>600280.SH</t>
  </si>
  <si>
    <t>300107.SZ</t>
  </si>
  <si>
    <t>600503.SH</t>
  </si>
  <si>
    <t>605060.SH</t>
  </si>
  <si>
    <t>联德股份</t>
  </si>
  <si>
    <t>600668.SH</t>
  </si>
  <si>
    <t>688330.SH</t>
  </si>
  <si>
    <t>002689.SZ</t>
  </si>
  <si>
    <t>300864.SZ</t>
  </si>
  <si>
    <t>600318.SH</t>
  </si>
  <si>
    <t>688381.SH</t>
  </si>
  <si>
    <t>帝奥微</t>
  </si>
  <si>
    <t>688270.SH</t>
  </si>
  <si>
    <t>臻镭科技</t>
  </si>
  <si>
    <t>002889.SZ</t>
  </si>
  <si>
    <t>003029.SZ</t>
  </si>
  <si>
    <t>300231.SZ</t>
  </si>
  <si>
    <t>688195.SH</t>
  </si>
  <si>
    <t>688150.SH</t>
  </si>
  <si>
    <t>莱特光电</t>
  </si>
  <si>
    <t>300852.SZ</t>
  </si>
  <si>
    <t>600725.SH</t>
  </si>
  <si>
    <t>002623.SZ</t>
  </si>
  <si>
    <t>603208.SH</t>
  </si>
  <si>
    <t>002765.SZ</t>
  </si>
  <si>
    <t>002676.SZ</t>
  </si>
  <si>
    <t>300550.SZ</t>
  </si>
  <si>
    <t>688277.SH</t>
  </si>
  <si>
    <t>688167.SH</t>
  </si>
  <si>
    <t>炬光科技</t>
  </si>
  <si>
    <t>002759.SZ</t>
  </si>
  <si>
    <t>000529.SZ</t>
  </si>
  <si>
    <t>002305.SZ</t>
  </si>
  <si>
    <t>603967.SH</t>
  </si>
  <si>
    <t>688136.SH</t>
  </si>
  <si>
    <t>603058.SH</t>
  </si>
  <si>
    <t>002695.SZ</t>
  </si>
  <si>
    <t>600367.SH</t>
  </si>
  <si>
    <t>600135.SH</t>
  </si>
  <si>
    <t>002427.SZ</t>
  </si>
  <si>
    <t>688372.SH</t>
  </si>
  <si>
    <t>伟测科技</t>
  </si>
  <si>
    <t>603378.SH</t>
  </si>
  <si>
    <t>002090.SZ</t>
  </si>
  <si>
    <t>002367.SZ</t>
  </si>
  <si>
    <t>688707.SH</t>
  </si>
  <si>
    <t>688269.SH</t>
  </si>
  <si>
    <t>300542.SZ</t>
  </si>
  <si>
    <t>688311.SH</t>
  </si>
  <si>
    <t>002548.SZ</t>
  </si>
  <si>
    <t>002342.SZ</t>
  </si>
  <si>
    <t>600520.SH</t>
  </si>
  <si>
    <t>002067.SZ</t>
  </si>
  <si>
    <t>603610.SH</t>
  </si>
  <si>
    <t>000721.SZ</t>
  </si>
  <si>
    <t>603648.SH</t>
  </si>
  <si>
    <t>002161.SZ</t>
  </si>
  <si>
    <t>688579.SH</t>
  </si>
  <si>
    <t>600439.SH</t>
  </si>
  <si>
    <t>300288.SZ</t>
  </si>
  <si>
    <t>603535.SH</t>
  </si>
  <si>
    <t>600293.SH</t>
  </si>
  <si>
    <t>300052.SZ</t>
  </si>
  <si>
    <t>688179.SH</t>
  </si>
  <si>
    <t>688588.SH</t>
  </si>
  <si>
    <t>301087.SZ</t>
  </si>
  <si>
    <t>603266.SH</t>
  </si>
  <si>
    <t>605166.SH</t>
  </si>
  <si>
    <t>600379.SH</t>
  </si>
  <si>
    <t>002902.SZ</t>
  </si>
  <si>
    <t>688418.SH</t>
  </si>
  <si>
    <t>300607.SZ</t>
  </si>
  <si>
    <t>000159.SZ</t>
  </si>
  <si>
    <t>688356.SH</t>
  </si>
  <si>
    <t>600327.SH</t>
  </si>
  <si>
    <t>688015.SH</t>
  </si>
  <si>
    <t>002803.SZ</t>
  </si>
  <si>
    <t>300381.SZ</t>
  </si>
  <si>
    <t>001270.SZ</t>
  </si>
  <si>
    <t>铖昌科技</t>
  </si>
  <si>
    <t>300479.SZ</t>
  </si>
  <si>
    <t>003016.SZ</t>
  </si>
  <si>
    <t>600218.SH</t>
  </si>
  <si>
    <t>688378.SH</t>
  </si>
  <si>
    <t>002162.SZ</t>
  </si>
  <si>
    <t>601177.SH</t>
  </si>
  <si>
    <t>002355.SZ</t>
  </si>
  <si>
    <t>300908.SZ</t>
  </si>
  <si>
    <t>000592.SZ</t>
  </si>
  <si>
    <t>603878.SH</t>
  </si>
  <si>
    <t>002022.SZ</t>
  </si>
  <si>
    <t>300400.SZ</t>
  </si>
  <si>
    <t>301127.SZ</t>
  </si>
  <si>
    <t>天源环保</t>
  </si>
  <si>
    <t>601096.SH</t>
  </si>
  <si>
    <t>宏盛华源</t>
  </si>
  <si>
    <t>600560.SH</t>
  </si>
  <si>
    <t>600738.SH</t>
  </si>
  <si>
    <t>603721.SH</t>
  </si>
  <si>
    <t>603916.SH</t>
  </si>
  <si>
    <t>300200.SZ</t>
  </si>
  <si>
    <t>301238.SZ</t>
  </si>
  <si>
    <t>瑞泰新材</t>
  </si>
  <si>
    <t>002805.SZ</t>
  </si>
  <si>
    <t>002431.SZ</t>
  </si>
  <si>
    <t>002876.SZ</t>
  </si>
  <si>
    <t>603777.SH</t>
  </si>
  <si>
    <t>301000.SZ</t>
  </si>
  <si>
    <t>002392.SZ</t>
  </si>
  <si>
    <t>300248.SZ</t>
  </si>
  <si>
    <t>000514.SZ</t>
  </si>
  <si>
    <t>688627.SH</t>
  </si>
  <si>
    <t>精智达</t>
  </si>
  <si>
    <t>300680.SZ</t>
  </si>
  <si>
    <t>301021.SZ</t>
  </si>
  <si>
    <t>688733.SH</t>
  </si>
  <si>
    <t>603886.SH</t>
  </si>
  <si>
    <t>300806.SZ</t>
  </si>
  <si>
    <t>000659.SZ</t>
  </si>
  <si>
    <t>603779.SH</t>
  </si>
  <si>
    <t>002651.SZ</t>
  </si>
  <si>
    <t>603117.SH</t>
  </si>
  <si>
    <t>002587.SZ</t>
  </si>
  <si>
    <t>600262.SH</t>
  </si>
  <si>
    <t>688103.SH</t>
  </si>
  <si>
    <t>国力股份</t>
  </si>
  <si>
    <t>688160.SH</t>
  </si>
  <si>
    <t>000812.SZ</t>
  </si>
  <si>
    <t>688317.SH</t>
  </si>
  <si>
    <t>688252.SH</t>
  </si>
  <si>
    <t>天德钰</t>
  </si>
  <si>
    <t>600838.SH</t>
  </si>
  <si>
    <t>600984.SH</t>
  </si>
  <si>
    <t>000753.SZ</t>
  </si>
  <si>
    <t>603901.SH</t>
  </si>
  <si>
    <t>002845.SZ</t>
  </si>
  <si>
    <t>688456.SH</t>
  </si>
  <si>
    <t>603999.SH</t>
  </si>
  <si>
    <t>300275.SZ</t>
  </si>
  <si>
    <t>600622.SH</t>
  </si>
  <si>
    <t>002255.SZ</t>
  </si>
  <si>
    <t>002290.SZ</t>
  </si>
  <si>
    <t>002788.SZ</t>
  </si>
  <si>
    <t>605299.SH</t>
  </si>
  <si>
    <t>002225.SZ</t>
  </si>
  <si>
    <t>600579.SH</t>
  </si>
  <si>
    <t>301348.SZ</t>
  </si>
  <si>
    <t>蓝箭电子</t>
  </si>
  <si>
    <t>300111.SZ</t>
  </si>
  <si>
    <t>688793.SH</t>
  </si>
  <si>
    <t>300345.SZ</t>
  </si>
  <si>
    <t>603165.SH</t>
  </si>
  <si>
    <t>603601.SH</t>
  </si>
  <si>
    <t>002584.SZ</t>
  </si>
  <si>
    <t>688258.SH</t>
  </si>
  <si>
    <t>300286.SZ</t>
  </si>
  <si>
    <t>002962.SZ</t>
  </si>
  <si>
    <t>300239.SZ</t>
  </si>
  <si>
    <t>001258.SZ</t>
  </si>
  <si>
    <t>立新能源</t>
  </si>
  <si>
    <t>300105.SZ</t>
  </si>
  <si>
    <t>603011.SH</t>
  </si>
  <si>
    <t>300619.SZ</t>
  </si>
  <si>
    <t>600784.SH</t>
  </si>
  <si>
    <t>300489.SZ</t>
  </si>
  <si>
    <t>002457.SZ</t>
  </si>
  <si>
    <t>603727.SH</t>
  </si>
  <si>
    <t>300099.SZ</t>
  </si>
  <si>
    <t>002813.SZ</t>
  </si>
  <si>
    <t>300858.SZ</t>
  </si>
  <si>
    <t>603040.SH</t>
  </si>
  <si>
    <t>300540.SZ</t>
  </si>
  <si>
    <t>000509.SZ</t>
  </si>
  <si>
    <t>002443.SZ</t>
  </si>
  <si>
    <t>600537.SH</t>
  </si>
  <si>
    <t>000793.SZ</t>
  </si>
  <si>
    <t>002823.SZ</t>
  </si>
  <si>
    <t>000610.SZ</t>
  </si>
  <si>
    <t>300187.SZ</t>
  </si>
  <si>
    <t>300374.SZ</t>
  </si>
  <si>
    <t>300238.SZ</t>
  </si>
  <si>
    <t>300504.SZ</t>
  </si>
  <si>
    <t>688531.SH</t>
  </si>
  <si>
    <t>日联科技</t>
  </si>
  <si>
    <t>603068.SH</t>
  </si>
  <si>
    <t>605388.SH</t>
  </si>
  <si>
    <t>688433.SH</t>
  </si>
  <si>
    <t>华曙高科</t>
  </si>
  <si>
    <t>300359.SZ</t>
  </si>
  <si>
    <t>300430.SZ</t>
  </si>
  <si>
    <t>605378.SH</t>
  </si>
  <si>
    <t>野马电池</t>
  </si>
  <si>
    <t>603066.SH</t>
  </si>
  <si>
    <t>830946.BJ</t>
  </si>
  <si>
    <t>600731.SH</t>
  </si>
  <si>
    <t>300425.SZ</t>
  </si>
  <si>
    <t>002314.SZ</t>
  </si>
  <si>
    <t>300822.SZ</t>
  </si>
  <si>
    <t>000607.SZ</t>
  </si>
  <si>
    <t>603012.SH</t>
  </si>
  <si>
    <t>300802.SZ</t>
  </si>
  <si>
    <t>300424.SZ</t>
  </si>
  <si>
    <t>600716.SH</t>
  </si>
  <si>
    <t>300403.SZ</t>
  </si>
  <si>
    <t>600626.SH</t>
  </si>
  <si>
    <t>688767.SH</t>
  </si>
  <si>
    <t>博拓生物</t>
  </si>
  <si>
    <t>002912.SZ</t>
  </si>
  <si>
    <t>000421.SZ</t>
  </si>
  <si>
    <t>603706.SH</t>
  </si>
  <si>
    <t>300622.SZ</t>
  </si>
  <si>
    <t>301175.SZ</t>
  </si>
  <si>
    <t>中科环保</t>
  </si>
  <si>
    <t>600152.SH</t>
  </si>
  <si>
    <t>603990.SH</t>
  </si>
  <si>
    <t>300911.SZ</t>
  </si>
  <si>
    <t>300609.SZ</t>
  </si>
  <si>
    <t>301216.SZ</t>
  </si>
  <si>
    <t>万凯新材</t>
  </si>
  <si>
    <t>600526.SH</t>
  </si>
  <si>
    <t>002522.SZ</t>
  </si>
  <si>
    <t>002040.SZ</t>
  </si>
  <si>
    <t>603136.SH</t>
  </si>
  <si>
    <t>601956.SH</t>
  </si>
  <si>
    <t>600638.SH</t>
  </si>
  <si>
    <t>002575.SZ</t>
  </si>
  <si>
    <t>300480.SZ</t>
  </si>
  <si>
    <t>002640.SZ</t>
  </si>
  <si>
    <t>300081.SZ</t>
  </si>
  <si>
    <t>600172.SH</t>
  </si>
  <si>
    <t>300460.SZ</t>
  </si>
  <si>
    <t>601218.SH</t>
  </si>
  <si>
    <t>603095.SH</t>
  </si>
  <si>
    <t>300299.SZ</t>
  </si>
  <si>
    <t>603351.SH</t>
  </si>
  <si>
    <t>002728.SZ</t>
  </si>
  <si>
    <t>605066.SH</t>
  </si>
  <si>
    <t>600386.SH</t>
  </si>
  <si>
    <t>002952.SZ</t>
  </si>
  <si>
    <t>600965.SH</t>
  </si>
  <si>
    <t>603390.SH</t>
  </si>
  <si>
    <t>002688.SZ</t>
  </si>
  <si>
    <t>301525.SZ</t>
  </si>
  <si>
    <t>儒竞科技</t>
  </si>
  <si>
    <t>603887.SH</t>
  </si>
  <si>
    <t>688033.SH</t>
  </si>
  <si>
    <t>603109.SH</t>
  </si>
  <si>
    <t>603315.SH</t>
  </si>
  <si>
    <t>603987.SH</t>
  </si>
  <si>
    <t>603922.SH</t>
  </si>
  <si>
    <t>688711.SH</t>
  </si>
  <si>
    <t>宏微科技</t>
  </si>
  <si>
    <t>603015.SH</t>
  </si>
  <si>
    <t>000862.SZ</t>
  </si>
  <si>
    <t>002565.SZ</t>
  </si>
  <si>
    <t>600382.SH</t>
  </si>
  <si>
    <t>603088.SH</t>
  </si>
  <si>
    <t>603739.SH</t>
  </si>
  <si>
    <t>002886.SZ</t>
  </si>
  <si>
    <t>002570.SZ</t>
  </si>
  <si>
    <t>603217.SH</t>
  </si>
  <si>
    <t>605588.SH</t>
  </si>
  <si>
    <t>冠石科技</t>
  </si>
  <si>
    <t>002173.SZ</t>
  </si>
  <si>
    <t>300918.SZ</t>
  </si>
  <si>
    <t>300191.SZ</t>
  </si>
  <si>
    <t>300317.SZ</t>
  </si>
  <si>
    <t>688380.SH</t>
  </si>
  <si>
    <t>中微半导</t>
  </si>
  <si>
    <t>300719.SZ</t>
  </si>
  <si>
    <t>300466.SZ</t>
  </si>
  <si>
    <t>002915.SZ</t>
  </si>
  <si>
    <t>002339.SZ</t>
  </si>
  <si>
    <t>300667.SZ</t>
  </si>
  <si>
    <t>300608.SZ</t>
  </si>
  <si>
    <t>002630.SZ</t>
  </si>
  <si>
    <t>688591.SH</t>
  </si>
  <si>
    <t>泰凌微</t>
  </si>
  <si>
    <t>300545.SZ</t>
  </si>
  <si>
    <t>300809.SZ</t>
  </si>
  <si>
    <t>300439.SZ</t>
  </si>
  <si>
    <t>603115.SH</t>
  </si>
  <si>
    <t>002661.SZ</t>
  </si>
  <si>
    <t>600769.SH</t>
  </si>
  <si>
    <t>300718.SZ</t>
  </si>
  <si>
    <t>001207.SZ</t>
  </si>
  <si>
    <t>联科科技</t>
  </si>
  <si>
    <t>002425.SZ</t>
  </si>
  <si>
    <t>300636.SZ</t>
  </si>
  <si>
    <t>002186.SZ</t>
  </si>
  <si>
    <t>688590.SH</t>
  </si>
  <si>
    <t>300654.SZ</t>
  </si>
  <si>
    <t>603520.SH</t>
  </si>
  <si>
    <t>300032.SZ</t>
  </si>
  <si>
    <t>600730.SH</t>
  </si>
  <si>
    <t>300630.SZ</t>
  </si>
  <si>
    <t>688515.SH</t>
  </si>
  <si>
    <t>裕太微</t>
  </si>
  <si>
    <t>300603.SZ</t>
  </si>
  <si>
    <t>002201.SZ</t>
  </si>
  <si>
    <t>688057.SH</t>
  </si>
  <si>
    <t>688253.SH</t>
  </si>
  <si>
    <t>英诺特</t>
  </si>
  <si>
    <t>688787.SH</t>
  </si>
  <si>
    <t>300120.SZ</t>
  </si>
  <si>
    <t>000571.SZ</t>
  </si>
  <si>
    <t>002350.SZ</t>
  </si>
  <si>
    <t>300063.SZ</t>
  </si>
  <si>
    <t>603856.SH</t>
  </si>
  <si>
    <t>300933.SZ</t>
  </si>
  <si>
    <t>300662.SZ</t>
  </si>
  <si>
    <t>603759.SH</t>
  </si>
  <si>
    <t>海天股份</t>
  </si>
  <si>
    <t>002296.SZ</t>
  </si>
  <si>
    <t>600222.SH</t>
  </si>
  <si>
    <t>300277.SZ</t>
  </si>
  <si>
    <t>688699.SH</t>
  </si>
  <si>
    <t>300499.SZ</t>
  </si>
  <si>
    <t>688135.SH</t>
  </si>
  <si>
    <t>603607.SH</t>
  </si>
  <si>
    <t>600173.SH</t>
  </si>
  <si>
    <t>600960.SH</t>
  </si>
  <si>
    <t>001298.SZ</t>
  </si>
  <si>
    <t>好上好</t>
  </si>
  <si>
    <t>002331.SZ</t>
  </si>
  <si>
    <t>603071.SH</t>
  </si>
  <si>
    <t>物产环能</t>
  </si>
  <si>
    <t>600693.SH</t>
  </si>
  <si>
    <t>603209.SH</t>
  </si>
  <si>
    <t>兴通股份</t>
  </si>
  <si>
    <t>603933.SH</t>
  </si>
  <si>
    <t>600067.SH</t>
  </si>
  <si>
    <t>603988.SH</t>
  </si>
  <si>
    <t>605006.SH</t>
  </si>
  <si>
    <t>002546.SZ</t>
  </si>
  <si>
    <t>605266.SH</t>
  </si>
  <si>
    <t>301260.SZ</t>
  </si>
  <si>
    <t>格力博</t>
  </si>
  <si>
    <t>300683.SZ</t>
  </si>
  <si>
    <t>603788.SH</t>
  </si>
  <si>
    <t>002885.SZ</t>
  </si>
  <si>
    <t>300399.SZ</t>
  </si>
  <si>
    <t>688633.SH</t>
  </si>
  <si>
    <t>301262.SZ</t>
  </si>
  <si>
    <t>海看股份</t>
  </si>
  <si>
    <t>002412.SZ</t>
  </si>
  <si>
    <t>002448.SZ</t>
  </si>
  <si>
    <t>000816.SZ</t>
  </si>
  <si>
    <t>003025.SZ</t>
  </si>
  <si>
    <t>688146.SH</t>
  </si>
  <si>
    <t>中船特气</t>
  </si>
  <si>
    <t>300215.SZ</t>
  </si>
  <si>
    <t>605500.SH</t>
  </si>
  <si>
    <t>603948.SH</t>
  </si>
  <si>
    <t>300436.SZ</t>
  </si>
  <si>
    <t>002631.SZ</t>
  </si>
  <si>
    <t>600722.SH</t>
  </si>
  <si>
    <t>002178.SZ</t>
  </si>
  <si>
    <t>688665.SH</t>
  </si>
  <si>
    <t>833819.BJ</t>
  </si>
  <si>
    <t>300488.SZ</t>
  </si>
  <si>
    <t>300490.SZ</t>
  </si>
  <si>
    <t>603180.SH</t>
  </si>
  <si>
    <t>300583.SZ</t>
  </si>
  <si>
    <t>002112.SZ</t>
  </si>
  <si>
    <t>002471.SZ</t>
  </si>
  <si>
    <t>002082.SZ</t>
  </si>
  <si>
    <t>600613.SH</t>
  </si>
  <si>
    <t>002932.SZ</t>
  </si>
  <si>
    <t>603633.SH</t>
  </si>
  <si>
    <t>002441.SZ</t>
  </si>
  <si>
    <t>002098.SZ</t>
  </si>
  <si>
    <t>688059.SH</t>
  </si>
  <si>
    <t>301206.SZ</t>
  </si>
  <si>
    <t>三元生物</t>
  </si>
  <si>
    <t>300578.SZ</t>
  </si>
  <si>
    <t>300996.SZ</t>
  </si>
  <si>
    <t>002991.SZ</t>
  </si>
  <si>
    <t>688295.SH</t>
  </si>
  <si>
    <t>中复神鹰</t>
  </si>
  <si>
    <t>688079.SH</t>
  </si>
  <si>
    <t>603016.SH</t>
  </si>
  <si>
    <t>600653.SH</t>
  </si>
  <si>
    <t>605162.SH</t>
  </si>
  <si>
    <t>新中港</t>
  </si>
  <si>
    <t>300695.SZ</t>
  </si>
  <si>
    <t>301268.SZ</t>
  </si>
  <si>
    <t>铭利达</t>
  </si>
  <si>
    <t>603817.SH</t>
  </si>
  <si>
    <t>002783.SZ</t>
  </si>
  <si>
    <t>688089.SH</t>
  </si>
  <si>
    <t>000570.SZ</t>
  </si>
  <si>
    <t>688661.SH</t>
  </si>
  <si>
    <t>600684.SH</t>
  </si>
  <si>
    <t>000716.SZ</t>
  </si>
  <si>
    <t>000639.SZ</t>
  </si>
  <si>
    <t>688133.SH</t>
  </si>
  <si>
    <t>605058.SH</t>
  </si>
  <si>
    <t>688486.SH</t>
  </si>
  <si>
    <t>龙迅股份</t>
  </si>
  <si>
    <t>002328.SZ</t>
  </si>
  <si>
    <t>300055.SZ</t>
  </si>
  <si>
    <t>300149.SZ</t>
  </si>
  <si>
    <t>600215.SH</t>
  </si>
  <si>
    <t>603602.SH</t>
  </si>
  <si>
    <t>300016.SZ</t>
  </si>
  <si>
    <t>605398.SH</t>
  </si>
  <si>
    <t>000042.SZ</t>
  </si>
  <si>
    <t>688359.SH</t>
  </si>
  <si>
    <t>300179.SZ</t>
  </si>
  <si>
    <t>300547.SZ</t>
  </si>
  <si>
    <t>600545.SH</t>
  </si>
  <si>
    <t>603096.SH</t>
  </si>
  <si>
    <t>300249.SZ</t>
  </si>
  <si>
    <t>600594.SH</t>
  </si>
  <si>
    <t>603232.SH</t>
  </si>
  <si>
    <t>600354.SH</t>
  </si>
  <si>
    <t>300589.SZ</t>
  </si>
  <si>
    <t>300173.SZ</t>
  </si>
  <si>
    <t>300473.SZ</t>
  </si>
  <si>
    <t>838402.BJ</t>
  </si>
  <si>
    <t>硅烷科技</t>
  </si>
  <si>
    <t>600130.SH</t>
  </si>
  <si>
    <t>002343.SZ</t>
  </si>
  <si>
    <t>300559.SZ</t>
  </si>
  <si>
    <t>603519.SH</t>
  </si>
  <si>
    <t>688233.SH</t>
  </si>
  <si>
    <t>301062.SZ</t>
  </si>
  <si>
    <t>上海艾录</t>
  </si>
  <si>
    <t>002971.SZ</t>
  </si>
  <si>
    <t>002647.SZ</t>
  </si>
  <si>
    <t>300434.SZ</t>
  </si>
  <si>
    <t>603966.SH</t>
  </si>
  <si>
    <t>600527.SH</t>
  </si>
  <si>
    <t>300697.SZ</t>
  </si>
  <si>
    <t>688048.SH</t>
  </si>
  <si>
    <t>长光华芯</t>
  </si>
  <si>
    <t>002542.SZ</t>
  </si>
  <si>
    <t>603660.SH</t>
  </si>
  <si>
    <t>002686.SZ</t>
  </si>
  <si>
    <t>000037.SZ</t>
  </si>
  <si>
    <t>601007.SH</t>
  </si>
  <si>
    <t>601086.SH</t>
  </si>
  <si>
    <t>002363.SZ</t>
  </si>
  <si>
    <t>301017.SZ</t>
  </si>
  <si>
    <t>002692.SZ</t>
  </si>
  <si>
    <t>603061.SH</t>
  </si>
  <si>
    <t>金海通</t>
  </si>
  <si>
    <t>300040.SZ</t>
  </si>
  <si>
    <t>301096.SZ</t>
  </si>
  <si>
    <t>002165.SZ</t>
  </si>
  <si>
    <t>000419.SZ</t>
  </si>
  <si>
    <t>603106.SH</t>
  </si>
  <si>
    <t>002361.SZ</t>
  </si>
  <si>
    <t>600833.SH</t>
  </si>
  <si>
    <t>300565.SZ</t>
  </si>
  <si>
    <t>002496.SZ</t>
  </si>
  <si>
    <t>000019.SZ</t>
  </si>
  <si>
    <t>600719.SH</t>
  </si>
  <si>
    <t>603020.SH</t>
  </si>
  <si>
    <t>003002.SZ</t>
  </si>
  <si>
    <t>301486.SZ</t>
  </si>
  <si>
    <t>致尚科技</t>
  </si>
  <si>
    <t>600119.SH</t>
  </si>
  <si>
    <t>002724.SZ</t>
  </si>
  <si>
    <t>301020.SZ</t>
  </si>
  <si>
    <t>密封科技</t>
  </si>
  <si>
    <t>300530.SZ</t>
  </si>
  <si>
    <t>300093.SZ</t>
  </si>
  <si>
    <t>002535.SZ</t>
  </si>
  <si>
    <t>688261.SH</t>
  </si>
  <si>
    <t>东微半导</t>
  </si>
  <si>
    <t>002298.SZ</t>
  </si>
  <si>
    <t>688031.SH</t>
  </si>
  <si>
    <t>星环科技</t>
  </si>
  <si>
    <t>300051.SZ</t>
  </si>
  <si>
    <t>300528.SZ</t>
  </si>
  <si>
    <t>002160.SZ</t>
  </si>
  <si>
    <t>300890.SZ</t>
  </si>
  <si>
    <t>603697.SH</t>
  </si>
  <si>
    <t>688226.SH</t>
  </si>
  <si>
    <t>威腾电气</t>
  </si>
  <si>
    <t>000407.SZ</t>
  </si>
  <si>
    <t>002256.SZ</t>
  </si>
  <si>
    <t>688308.SH</t>
  </si>
  <si>
    <t>603726.SH</t>
  </si>
  <si>
    <t>605389.SH</t>
  </si>
  <si>
    <t>长龄液压</t>
  </si>
  <si>
    <t>605186.SH</t>
  </si>
  <si>
    <t>002614.SZ</t>
  </si>
  <si>
    <t>301327.SZ</t>
  </si>
  <si>
    <t>华宝新能</t>
  </si>
  <si>
    <t>688196.SH</t>
  </si>
  <si>
    <t>002866.SZ</t>
  </si>
  <si>
    <t>300420.SZ</t>
  </si>
  <si>
    <t>002404.SZ</t>
  </si>
  <si>
    <t>002669.SZ</t>
  </si>
  <si>
    <t>002451.SZ</t>
  </si>
  <si>
    <t>000838.SZ</t>
  </si>
  <si>
    <t>300727.SZ</t>
  </si>
  <si>
    <t>600865.SH</t>
  </si>
  <si>
    <t>300370.SZ</t>
  </si>
  <si>
    <t>000576.SZ</t>
  </si>
  <si>
    <t>600212.SH</t>
  </si>
  <si>
    <t>688320.SH</t>
  </si>
  <si>
    <t>禾川科技</t>
  </si>
  <si>
    <t>688663.SH</t>
  </si>
  <si>
    <t>605089.SH</t>
  </si>
  <si>
    <t>味知香</t>
  </si>
  <si>
    <t>835368.BJ</t>
  </si>
  <si>
    <t>605577.SH</t>
  </si>
  <si>
    <t>龙版传媒</t>
  </si>
  <si>
    <t>000520.SZ</t>
  </si>
  <si>
    <t>600749.SH</t>
  </si>
  <si>
    <t>300860.SZ</t>
  </si>
  <si>
    <t>002824.SZ</t>
  </si>
  <si>
    <t>002956.SZ</t>
  </si>
  <si>
    <t>003026.SZ</t>
  </si>
  <si>
    <t>003020.SZ</t>
  </si>
  <si>
    <t>688365.SH</t>
  </si>
  <si>
    <t>002323.SZ</t>
  </si>
  <si>
    <t>002638.SZ</t>
  </si>
  <si>
    <t>601616.SH</t>
  </si>
  <si>
    <t>002560.SZ</t>
  </si>
  <si>
    <t>300354.SZ</t>
  </si>
  <si>
    <t>600333.SH</t>
  </si>
  <si>
    <t>002514.SZ</t>
  </si>
  <si>
    <t>002474.SZ</t>
  </si>
  <si>
    <t>002990.SZ</t>
  </si>
  <si>
    <t>300221.SZ</t>
  </si>
  <si>
    <t>688206.SH</t>
  </si>
  <si>
    <t>概伦电子</t>
  </si>
  <si>
    <t>605136.SH</t>
  </si>
  <si>
    <t>603119.SH</t>
  </si>
  <si>
    <t>浙江荣泰</t>
  </si>
  <si>
    <t>603116.SH</t>
  </si>
  <si>
    <t>688046.SH</t>
  </si>
  <si>
    <t>药康生物</t>
  </si>
  <si>
    <t>300522.SZ</t>
  </si>
  <si>
    <t>002908.SZ</t>
  </si>
  <si>
    <t>301038.SZ</t>
  </si>
  <si>
    <t>深水规院</t>
  </si>
  <si>
    <t>603586.SH</t>
  </si>
  <si>
    <t>002940.SZ</t>
  </si>
  <si>
    <t>002878.SZ</t>
  </si>
  <si>
    <t>002235.SZ</t>
  </si>
  <si>
    <t>688788.SH</t>
  </si>
  <si>
    <t>002772.SZ</t>
  </si>
  <si>
    <t>603030.SH</t>
  </si>
  <si>
    <t>300505.SZ</t>
  </si>
  <si>
    <t>603121.SH</t>
  </si>
  <si>
    <t>300196.SZ</t>
  </si>
  <si>
    <t>002799.SZ</t>
  </si>
  <si>
    <t>688191.SH</t>
  </si>
  <si>
    <t>688401.SH</t>
  </si>
  <si>
    <t>路维光电</t>
  </si>
  <si>
    <t>300643.SZ</t>
  </si>
  <si>
    <t>600191.SH</t>
  </si>
  <si>
    <t>300380.SZ</t>
  </si>
  <si>
    <t>300891.SZ</t>
  </si>
  <si>
    <t>002674.SZ</t>
  </si>
  <si>
    <t>600513.SH</t>
  </si>
  <si>
    <t>002562.SZ</t>
  </si>
  <si>
    <t>603825.SH</t>
  </si>
  <si>
    <t>603076.SH</t>
  </si>
  <si>
    <t>603768.SH</t>
  </si>
  <si>
    <t>300669.SZ</t>
  </si>
  <si>
    <t>300078.SZ</t>
  </si>
  <si>
    <t>002659.SZ</t>
  </si>
  <si>
    <t>688500.SH</t>
  </si>
  <si>
    <t>002927.SZ</t>
  </si>
  <si>
    <t>000014.SZ</t>
  </si>
  <si>
    <t>300656.SZ</t>
  </si>
  <si>
    <t>600467.SH</t>
  </si>
  <si>
    <t>000798.SZ</t>
  </si>
  <si>
    <t>600980.SH</t>
  </si>
  <si>
    <t>300135.SZ</t>
  </si>
  <si>
    <t>000020.SZ</t>
  </si>
  <si>
    <t>603787.SH</t>
  </si>
  <si>
    <t>002330.SZ</t>
  </si>
  <si>
    <t>603580.SH</t>
  </si>
  <si>
    <t>002337.SZ</t>
  </si>
  <si>
    <t>300647.SZ</t>
  </si>
  <si>
    <t>300873.SZ</t>
  </si>
  <si>
    <t>301207.SZ</t>
  </si>
  <si>
    <t>华兰疫苗</t>
  </si>
  <si>
    <t>002369.SZ</t>
  </si>
  <si>
    <t>688606.SH</t>
  </si>
  <si>
    <t>300289.SZ</t>
  </si>
  <si>
    <t>300440.SZ</t>
  </si>
  <si>
    <t>300879.SZ</t>
  </si>
  <si>
    <t>002213.SZ</t>
  </si>
  <si>
    <t>002981.SZ</t>
  </si>
  <si>
    <t>000153.SZ</t>
  </si>
  <si>
    <t>603803.SH</t>
  </si>
  <si>
    <t>688786.SH</t>
  </si>
  <si>
    <t>300824.SZ</t>
  </si>
  <si>
    <t>001323.SZ</t>
  </si>
  <si>
    <t>慕思股份</t>
  </si>
  <si>
    <t>600892.SH</t>
  </si>
  <si>
    <t>688049.SH</t>
  </si>
  <si>
    <t>炬芯科技</t>
  </si>
  <si>
    <t>600800.SH</t>
  </si>
  <si>
    <t>688351.SH</t>
  </si>
  <si>
    <t>微电生理</t>
  </si>
  <si>
    <t>600573.SH</t>
  </si>
  <si>
    <t>301333.SZ</t>
  </si>
  <si>
    <t>诺思格</t>
  </si>
  <si>
    <t>603006.SH</t>
  </si>
  <si>
    <t>002829.SZ</t>
  </si>
  <si>
    <t>300172.SZ</t>
  </si>
  <si>
    <t>688589.SH</t>
  </si>
  <si>
    <t>300365.SZ</t>
  </si>
  <si>
    <t>000710.SZ</t>
  </si>
  <si>
    <t>300681.SZ</t>
  </si>
  <si>
    <t>300241.SZ</t>
  </si>
  <si>
    <t>603488.SH</t>
  </si>
  <si>
    <t>002717.SZ</t>
  </si>
  <si>
    <t>000695.SZ</t>
  </si>
  <si>
    <t>300071.SZ</t>
  </si>
  <si>
    <t>000833.SZ</t>
  </si>
  <si>
    <t>002418.SZ</t>
  </si>
  <si>
    <t>603538.SH</t>
  </si>
  <si>
    <t>603836.SH</t>
  </si>
  <si>
    <t>海程邦达</t>
  </si>
  <si>
    <t>603980.SH</t>
  </si>
  <si>
    <t>603898.SH</t>
  </si>
  <si>
    <t>002983.SZ</t>
  </si>
  <si>
    <t>000677.SZ</t>
  </si>
  <si>
    <t>300266.SZ</t>
  </si>
  <si>
    <t>836077.BJ</t>
  </si>
  <si>
    <t>吉林碳谷</t>
  </si>
  <si>
    <t>600419.SH</t>
  </si>
  <si>
    <t>603755.SH</t>
  </si>
  <si>
    <t>000055.SZ</t>
  </si>
  <si>
    <t>002177.SZ</t>
  </si>
  <si>
    <t>300696.SZ</t>
  </si>
  <si>
    <t>300386.SZ</t>
  </si>
  <si>
    <t>002735.SZ</t>
  </si>
  <si>
    <t>300190.SZ</t>
  </si>
  <si>
    <t>000504.SZ</t>
  </si>
  <si>
    <t>300513.SZ</t>
  </si>
  <si>
    <t>002234.SZ</t>
  </si>
  <si>
    <t>003032.SZ</t>
  </si>
  <si>
    <t>603037.SH</t>
  </si>
  <si>
    <t>300571.SZ</t>
  </si>
  <si>
    <t>688259.SH</t>
  </si>
  <si>
    <t>创耀科技</t>
  </si>
  <si>
    <t>600359.SH</t>
  </si>
  <si>
    <t>603956.SH</t>
  </si>
  <si>
    <t>300448.SZ</t>
  </si>
  <si>
    <t>300453.SZ</t>
  </si>
  <si>
    <t>002175.SZ</t>
  </si>
  <si>
    <t>002380.SZ</t>
  </si>
  <si>
    <t>600624.SH</t>
  </si>
  <si>
    <t>301259.SZ</t>
  </si>
  <si>
    <t>艾布鲁</t>
  </si>
  <si>
    <t>301332.SZ</t>
  </si>
  <si>
    <t>德尔玛</t>
  </si>
  <si>
    <t>300887.SZ</t>
  </si>
  <si>
    <t>688020.SH</t>
  </si>
  <si>
    <t>688499.SH</t>
  </si>
  <si>
    <t>603808.SH</t>
  </si>
  <si>
    <t>603527.SH</t>
  </si>
  <si>
    <t>002313.SZ</t>
  </si>
  <si>
    <t>688039.SH</t>
  </si>
  <si>
    <t>605555.SH</t>
  </si>
  <si>
    <t>德昌股份</t>
  </si>
  <si>
    <t>600250.SH</t>
  </si>
  <si>
    <t>688293.SH</t>
  </si>
  <si>
    <t>奥浦迈</t>
  </si>
  <si>
    <t>300533.SZ</t>
  </si>
  <si>
    <t>301061.SZ</t>
  </si>
  <si>
    <t>匠心家居</t>
  </si>
  <si>
    <t>000782.SZ</t>
  </si>
  <si>
    <t>002734.SZ</t>
  </si>
  <si>
    <t>002286.SZ</t>
  </si>
  <si>
    <t>002875.SZ</t>
  </si>
  <si>
    <t>600721.SH</t>
  </si>
  <si>
    <t>300477.SZ</t>
  </si>
  <si>
    <t>603776.SH</t>
  </si>
  <si>
    <t>688678.SH</t>
  </si>
  <si>
    <t>301028.SZ</t>
  </si>
  <si>
    <t>000533.SZ</t>
  </si>
  <si>
    <t>605580.SH</t>
  </si>
  <si>
    <t>恒盛能源</t>
  </si>
  <si>
    <t>688338.SH</t>
  </si>
  <si>
    <t>300192.SZ</t>
  </si>
  <si>
    <t>301368.SZ</t>
  </si>
  <si>
    <t>丰立智能</t>
  </si>
  <si>
    <t>301033.SZ</t>
  </si>
  <si>
    <t>300272.SZ</t>
  </si>
  <si>
    <t>001201.SZ</t>
  </si>
  <si>
    <t>东瑞股份</t>
  </si>
  <si>
    <t>000678.SZ</t>
  </si>
  <si>
    <t>000701.SZ</t>
  </si>
  <si>
    <t>688478.SH</t>
  </si>
  <si>
    <t>晶升股份</t>
  </si>
  <si>
    <t>002187.SZ</t>
  </si>
  <si>
    <t>688468.SH</t>
  </si>
  <si>
    <t>688358.SH</t>
  </si>
  <si>
    <t>603289.SH</t>
  </si>
  <si>
    <t>688068.SH</t>
  </si>
  <si>
    <t>603153.SH</t>
  </si>
  <si>
    <t>上海建科</t>
  </si>
  <si>
    <t>000530.SZ</t>
  </si>
  <si>
    <t>301080.SZ</t>
  </si>
  <si>
    <t>600080.SH</t>
  </si>
  <si>
    <t>002553.SZ</t>
  </si>
  <si>
    <t>002863.SZ</t>
  </si>
  <si>
    <t>300867.SZ</t>
  </si>
  <si>
    <t>300148.SZ</t>
  </si>
  <si>
    <t>300344.SZ</t>
  </si>
  <si>
    <t>688636.SH</t>
  </si>
  <si>
    <t>002801.SZ</t>
  </si>
  <si>
    <t>300746.SZ</t>
  </si>
  <si>
    <t>000911.SZ</t>
  </si>
  <si>
    <t>300021.SZ</t>
  </si>
  <si>
    <t>600227.SH</t>
  </si>
  <si>
    <t>001215.SZ</t>
  </si>
  <si>
    <t>千味央厨</t>
  </si>
  <si>
    <t>300631.SZ</t>
  </si>
  <si>
    <t>603665.SH</t>
  </si>
  <si>
    <t>603318.SH</t>
  </si>
  <si>
    <t>301011.SZ</t>
  </si>
  <si>
    <t>华立科技</t>
  </si>
  <si>
    <t>605258.SH</t>
  </si>
  <si>
    <t>603518.SH</t>
  </si>
  <si>
    <t>002730.SZ</t>
  </si>
  <si>
    <t>301165.SZ</t>
  </si>
  <si>
    <t>锐捷网络</t>
  </si>
  <si>
    <t>300534.SZ</t>
  </si>
  <si>
    <t>688205.SH</t>
  </si>
  <si>
    <t>德科立</t>
  </si>
  <si>
    <t>300818.SZ</t>
  </si>
  <si>
    <t>000826.SZ</t>
  </si>
  <si>
    <t>688443.SH</t>
  </si>
  <si>
    <t>智翔金泰</t>
  </si>
  <si>
    <t>688560.SH</t>
  </si>
  <si>
    <t>600807.SH</t>
  </si>
  <si>
    <t>603191.SH</t>
  </si>
  <si>
    <t>望变电气</t>
  </si>
  <si>
    <t>605151.SH</t>
  </si>
  <si>
    <t>300720.SZ</t>
  </si>
  <si>
    <t>688225.SH</t>
  </si>
  <si>
    <t>301376.SZ</t>
  </si>
  <si>
    <t>致欧科技</t>
  </si>
  <si>
    <t>001339.SZ</t>
  </si>
  <si>
    <t>智微智能</t>
  </si>
  <si>
    <t>688159.SH</t>
  </si>
  <si>
    <t>002732.SZ</t>
  </si>
  <si>
    <t>603829.SH</t>
  </si>
  <si>
    <t>300947.SZ</t>
  </si>
  <si>
    <t>300050.SZ</t>
  </si>
  <si>
    <t>000790.SZ</t>
  </si>
  <si>
    <t>688010.SH</t>
  </si>
  <si>
    <t>300176.SZ</t>
  </si>
  <si>
    <t>300447.SZ</t>
  </si>
  <si>
    <t>600182.SH</t>
  </si>
  <si>
    <t>600593.SH</t>
  </si>
  <si>
    <t>002476.SZ</t>
  </si>
  <si>
    <t>002722.SZ</t>
  </si>
  <si>
    <t>000698.SZ</t>
  </si>
  <si>
    <t>688181.SH</t>
  </si>
  <si>
    <t>603196.SH</t>
  </si>
  <si>
    <t>688168.SH</t>
  </si>
  <si>
    <t>301089.SZ</t>
  </si>
  <si>
    <t>拓新药业</t>
  </si>
  <si>
    <t>605259.SH</t>
  </si>
  <si>
    <t>301012.SZ</t>
  </si>
  <si>
    <t>688577.SH</t>
  </si>
  <si>
    <t>002196.SZ</t>
  </si>
  <si>
    <t>600470.SH</t>
  </si>
  <si>
    <t>002615.SZ</t>
  </si>
  <si>
    <t>300942.SZ</t>
  </si>
  <si>
    <t>605318.SH</t>
  </si>
  <si>
    <t>002227.SZ</t>
  </si>
  <si>
    <t>688070.SH</t>
  </si>
  <si>
    <t>603579.SH</t>
  </si>
  <si>
    <t>600257.SH</t>
  </si>
  <si>
    <t>301025.SZ</t>
  </si>
  <si>
    <t>读客文化</t>
  </si>
  <si>
    <t>600249.SH</t>
  </si>
  <si>
    <t>688689.SH</t>
  </si>
  <si>
    <t>002168.SZ</t>
  </si>
  <si>
    <t>688535.SH</t>
  </si>
  <si>
    <t>华海诚科</t>
  </si>
  <si>
    <t>002578.SZ</t>
  </si>
  <si>
    <t>300537.SZ</t>
  </si>
  <si>
    <t>002923.SZ</t>
  </si>
  <si>
    <t>600665.SH</t>
  </si>
  <si>
    <t>603811.SH</t>
  </si>
  <si>
    <t>603162.SH</t>
  </si>
  <si>
    <t>海通发展</t>
  </si>
  <si>
    <t>300227.SZ</t>
  </si>
  <si>
    <t>002943.SZ</t>
  </si>
  <si>
    <t>600192.SH</t>
  </si>
  <si>
    <t>300606.SZ</t>
  </si>
  <si>
    <t>605288.SH</t>
  </si>
  <si>
    <t>603630.SH</t>
  </si>
  <si>
    <t>600148.SH</t>
  </si>
  <si>
    <t>300733.SZ</t>
  </si>
  <si>
    <t>300903.SZ</t>
  </si>
  <si>
    <t>688035.SH</t>
  </si>
  <si>
    <t>德邦科技</t>
  </si>
  <si>
    <t>001338.SZ</t>
  </si>
  <si>
    <t>永顺泰</t>
  </si>
  <si>
    <t>000626.SZ</t>
  </si>
  <si>
    <t>688377.SH</t>
  </si>
  <si>
    <t>300389.SZ</t>
  </si>
  <si>
    <t>688562.SH</t>
  </si>
  <si>
    <t>航天软件</t>
  </si>
  <si>
    <t>300572.SZ</t>
  </si>
  <si>
    <t>603101.SH</t>
  </si>
  <si>
    <t>301239.SZ</t>
  </si>
  <si>
    <t>300994.SZ</t>
  </si>
  <si>
    <t>久祺股份</t>
  </si>
  <si>
    <t>603976.SH</t>
  </si>
  <si>
    <t>300831.SZ</t>
  </si>
  <si>
    <t>300560.SZ</t>
  </si>
  <si>
    <t>300091.SZ</t>
  </si>
  <si>
    <t>301339.SZ</t>
  </si>
  <si>
    <t>通行宝</t>
  </si>
  <si>
    <t>002574.SZ</t>
  </si>
  <si>
    <t>300491.SZ</t>
  </si>
  <si>
    <t>688392.SH</t>
  </si>
  <si>
    <t>骄成超声</t>
  </si>
  <si>
    <t>002303.SZ</t>
  </si>
  <si>
    <t>688680.SH</t>
  </si>
  <si>
    <t>688558.SH</t>
  </si>
  <si>
    <t>002391.SZ</t>
  </si>
  <si>
    <t>000518.SZ</t>
  </si>
  <si>
    <t>300407.SZ</t>
  </si>
  <si>
    <t>600706.SH</t>
  </si>
  <si>
    <t>300909.SZ</t>
  </si>
  <si>
    <t>301036.SZ</t>
  </si>
  <si>
    <t>双乐股份</t>
  </si>
  <si>
    <t>300350.SZ</t>
  </si>
  <si>
    <t>002453.SZ</t>
  </si>
  <si>
    <t>603017.SH</t>
  </si>
  <si>
    <t>300467.SZ</t>
  </si>
  <si>
    <t>605488.SH</t>
  </si>
  <si>
    <t>福莱新材</t>
  </si>
  <si>
    <t>002107.SZ</t>
  </si>
  <si>
    <t>003038.SZ</t>
  </si>
  <si>
    <t>鑫铂股份</t>
  </si>
  <si>
    <t>300612.SZ</t>
  </si>
  <si>
    <t>600476.SH</t>
  </si>
  <si>
    <t>300250.SZ</t>
  </si>
  <si>
    <t>603135.SH</t>
  </si>
  <si>
    <t>中重科技</t>
  </si>
  <si>
    <t>300987.SZ</t>
  </si>
  <si>
    <t>605080.SH</t>
  </si>
  <si>
    <t>浙江自然</t>
  </si>
  <si>
    <t>603038.SH</t>
  </si>
  <si>
    <t>002348.SZ</t>
  </si>
  <si>
    <t>688109.SH</t>
  </si>
  <si>
    <t>品茗科技</t>
  </si>
  <si>
    <t>300800.SZ</t>
  </si>
  <si>
    <t>688580.SH</t>
  </si>
  <si>
    <t>688551.SH</t>
  </si>
  <si>
    <t>300175.SZ</t>
  </si>
  <si>
    <t>688585.SH</t>
  </si>
  <si>
    <t>000978.SZ</t>
  </si>
  <si>
    <t>688717.SH</t>
  </si>
  <si>
    <t>艾罗能源</t>
  </si>
  <si>
    <t>000715.SZ</t>
  </si>
  <si>
    <t>300732.SZ</t>
  </si>
  <si>
    <t>300715.SZ</t>
  </si>
  <si>
    <t>300230.SZ</t>
  </si>
  <si>
    <t>600785.SH</t>
  </si>
  <si>
    <t>002066.SZ</t>
  </si>
  <si>
    <t>601121.SH</t>
  </si>
  <si>
    <t>宝地矿业</t>
  </si>
  <si>
    <t>301550.SZ</t>
  </si>
  <si>
    <t>斯菱股份</t>
  </si>
  <si>
    <t>600854.SH</t>
  </si>
  <si>
    <t>300637.SZ</t>
  </si>
  <si>
    <t>300164.SZ</t>
  </si>
  <si>
    <t>002253.SZ</t>
  </si>
  <si>
    <t>000759.SZ</t>
  </si>
  <si>
    <t>300830.SZ</t>
  </si>
  <si>
    <t>603949.SH</t>
  </si>
  <si>
    <t>301439.SZ</t>
  </si>
  <si>
    <t>泓淋电力</t>
  </si>
  <si>
    <t>002148.SZ</t>
  </si>
  <si>
    <t>002917.SZ</t>
  </si>
  <si>
    <t>002613.SZ</t>
  </si>
  <si>
    <t>688186.SH</t>
  </si>
  <si>
    <t>300004.SZ</t>
  </si>
  <si>
    <t>002598.SZ</t>
  </si>
  <si>
    <t>000548.SZ</t>
  </si>
  <si>
    <t>002953.SZ</t>
  </si>
  <si>
    <t>688683.SH</t>
  </si>
  <si>
    <t>300240.SZ</t>
  </si>
  <si>
    <t>300993.SZ</t>
  </si>
  <si>
    <t>玉马遮阳</t>
  </si>
  <si>
    <t>688332.SH</t>
  </si>
  <si>
    <t>中科蓝讯</t>
  </si>
  <si>
    <t>300730.SZ</t>
  </si>
  <si>
    <t>430139.BJ</t>
  </si>
  <si>
    <t>华岭股份</t>
  </si>
  <si>
    <t>002796.SZ</t>
  </si>
  <si>
    <t>300247.SZ</t>
  </si>
  <si>
    <t>688360.SH</t>
  </si>
  <si>
    <t>603677.SH</t>
  </si>
  <si>
    <t>688398.SH</t>
  </si>
  <si>
    <t>001208.SZ</t>
  </si>
  <si>
    <t>华菱线缆</t>
  </si>
  <si>
    <t>603219.SH</t>
  </si>
  <si>
    <t>富佳股份</t>
  </si>
  <si>
    <t>603168.SH</t>
  </si>
  <si>
    <t>002381.SZ</t>
  </si>
  <si>
    <t>300414.SZ</t>
  </si>
  <si>
    <t>688571.SH</t>
  </si>
  <si>
    <t>688028.SH</t>
  </si>
  <si>
    <t>300404.SZ</t>
  </si>
  <si>
    <t>605028.SH</t>
  </si>
  <si>
    <t>世茂能源</t>
  </si>
  <si>
    <t>688581.SH</t>
  </si>
  <si>
    <t>安杰思</t>
  </si>
  <si>
    <t>300137.SZ</t>
  </si>
  <si>
    <t>301162.SZ</t>
  </si>
  <si>
    <t>国能日新</t>
  </si>
  <si>
    <t>301217.SZ</t>
  </si>
  <si>
    <t>铜冠铜箔</t>
  </si>
  <si>
    <t>300375.SZ</t>
  </si>
  <si>
    <t>300557.SZ</t>
  </si>
  <si>
    <t>600405.SH</t>
  </si>
  <si>
    <t>688302.SH</t>
  </si>
  <si>
    <t>海创药业</t>
  </si>
  <si>
    <t>688275.SH</t>
  </si>
  <si>
    <t>万润新能</t>
  </si>
  <si>
    <t>300582.SZ</t>
  </si>
  <si>
    <t>300632.SZ</t>
  </si>
  <si>
    <t>301046.SZ</t>
  </si>
  <si>
    <t>300706.SZ</t>
  </si>
  <si>
    <t>000972.SZ</t>
  </si>
  <si>
    <t>300141.SZ</t>
  </si>
  <si>
    <t>605001.SH</t>
  </si>
  <si>
    <t>600540.SH</t>
  </si>
  <si>
    <t>300279.SZ</t>
  </si>
  <si>
    <t>002184.SZ</t>
  </si>
  <si>
    <t>000705.SZ</t>
  </si>
  <si>
    <t>600714.SH</t>
  </si>
  <si>
    <t>002905.SZ</t>
  </si>
  <si>
    <t>600530.SH</t>
  </si>
  <si>
    <t>688357.SH</t>
  </si>
  <si>
    <t>600543.SH</t>
  </si>
  <si>
    <t>603958.SH</t>
  </si>
  <si>
    <t>603822.SH</t>
  </si>
  <si>
    <t>002849.SZ</t>
  </si>
  <si>
    <t>603221.SH</t>
  </si>
  <si>
    <t>603578.SH</t>
  </si>
  <si>
    <t>003043.SZ</t>
  </si>
  <si>
    <t>华亚智能</t>
  </si>
  <si>
    <t>603585.SH</t>
  </si>
  <si>
    <t>603577.SH</t>
  </si>
  <si>
    <t>300916.SZ</t>
  </si>
  <si>
    <t>002442.SZ</t>
  </si>
  <si>
    <t>300785.SZ</t>
  </si>
  <si>
    <t>688232.SH</t>
  </si>
  <si>
    <t>002658.SZ</t>
  </si>
  <si>
    <t>300452.SZ</t>
  </si>
  <si>
    <t>301526.SZ</t>
  </si>
  <si>
    <t>国际复材</t>
  </si>
  <si>
    <t>300245.SZ</t>
  </si>
  <si>
    <t>002047.SZ</t>
  </si>
  <si>
    <t>605208.SH</t>
  </si>
  <si>
    <t>600969.SH</t>
  </si>
  <si>
    <t>300162.SZ</t>
  </si>
  <si>
    <t>002388.SZ</t>
  </si>
  <si>
    <t>300561.SZ</t>
  </si>
  <si>
    <t>603330.SH</t>
  </si>
  <si>
    <t>301152.SZ</t>
  </si>
  <si>
    <t>300927.SZ</t>
  </si>
  <si>
    <t>688173.SH</t>
  </si>
  <si>
    <t>希荻微</t>
  </si>
  <si>
    <t>002398.SZ</t>
  </si>
  <si>
    <t>600858.SH</t>
  </si>
  <si>
    <t>688210.SH</t>
  </si>
  <si>
    <t>统联精密</t>
  </si>
  <si>
    <t>300421.SZ</t>
  </si>
  <si>
    <t>600844.SH</t>
  </si>
  <si>
    <t>688618.SH</t>
  </si>
  <si>
    <t>600533.SH</t>
  </si>
  <si>
    <t>002403.SZ</t>
  </si>
  <si>
    <t>603333.SH</t>
  </si>
  <si>
    <t>002671.SZ</t>
  </si>
  <si>
    <t>300486.SZ</t>
  </si>
  <si>
    <t>003033.SZ</t>
  </si>
  <si>
    <t>002306.SZ</t>
  </si>
  <si>
    <t>688597.SH</t>
  </si>
  <si>
    <t>688197.SH</t>
  </si>
  <si>
    <t>688314.SH</t>
  </si>
  <si>
    <t>康拓医疗</t>
  </si>
  <si>
    <t>002682.SZ</t>
  </si>
  <si>
    <t>603681.SH</t>
  </si>
  <si>
    <t>300659.SZ</t>
  </si>
  <si>
    <t>603080.SH</t>
  </si>
  <si>
    <t>002137.SZ</t>
  </si>
  <si>
    <t>300153.SZ</t>
  </si>
  <si>
    <t>002712.SZ</t>
  </si>
  <si>
    <t>688176.SH</t>
  </si>
  <si>
    <t>亚虹医药</t>
  </si>
  <si>
    <t>002596.SZ</t>
  </si>
  <si>
    <t>603778.SH</t>
  </si>
  <si>
    <t>600076.SH</t>
  </si>
  <si>
    <t>603683.SH</t>
  </si>
  <si>
    <t>300445.SZ</t>
  </si>
  <si>
    <t>603700.SH</t>
  </si>
  <si>
    <t>300778.SZ</t>
  </si>
  <si>
    <t>835640.BJ</t>
  </si>
  <si>
    <t>300551.SZ</t>
  </si>
  <si>
    <t>002420.SZ</t>
  </si>
  <si>
    <t>605177.SH</t>
  </si>
  <si>
    <t>600774.SH</t>
  </si>
  <si>
    <t>300945.SZ</t>
  </si>
  <si>
    <t>603036.SH</t>
  </si>
  <si>
    <t>603978.SH</t>
  </si>
  <si>
    <t>002172.SZ</t>
  </si>
  <si>
    <t>001212.SZ</t>
  </si>
  <si>
    <t>600712.SH</t>
  </si>
  <si>
    <t>300902.SZ</t>
  </si>
  <si>
    <t>300673.SZ</t>
  </si>
  <si>
    <t>688768.SH</t>
  </si>
  <si>
    <t>容知日新</t>
  </si>
  <si>
    <t>002599.SZ</t>
  </si>
  <si>
    <t>688228.SH</t>
  </si>
  <si>
    <t>300597.SZ</t>
  </si>
  <si>
    <t>300237.SZ</t>
  </si>
  <si>
    <t>002103.SZ</t>
  </si>
  <si>
    <t>001269.SZ</t>
  </si>
  <si>
    <t>欧晶科技</t>
  </si>
  <si>
    <t>603617.SH</t>
  </si>
  <si>
    <t>301270.SZ</t>
  </si>
  <si>
    <t>汉仪股份</t>
  </si>
  <si>
    <t>002394.SZ</t>
  </si>
  <si>
    <t>603059.SH</t>
  </si>
  <si>
    <t>002164.SZ</t>
  </si>
  <si>
    <t>300514.SZ</t>
  </si>
  <si>
    <t>002663.SZ</t>
  </si>
  <si>
    <t>300752.SZ</t>
  </si>
  <si>
    <t>300745.SZ</t>
  </si>
  <si>
    <t>001205.SZ</t>
  </si>
  <si>
    <t>600397.SH</t>
  </si>
  <si>
    <t>001283.SZ</t>
  </si>
  <si>
    <t>豪鹏科技</t>
  </si>
  <si>
    <t>603928.SH</t>
  </si>
  <si>
    <t>688201.SH</t>
  </si>
  <si>
    <t>002968.SZ</t>
  </si>
  <si>
    <t>300018.SZ</t>
  </si>
  <si>
    <t>688507.SH</t>
  </si>
  <si>
    <t>索辰科技</t>
  </si>
  <si>
    <t>603429.SH</t>
  </si>
  <si>
    <t>300092.SZ</t>
  </si>
  <si>
    <t>300585.SZ</t>
  </si>
  <si>
    <t>300805.SZ</t>
  </si>
  <si>
    <t>600889.SH</t>
  </si>
  <si>
    <t>600371.SH</t>
  </si>
  <si>
    <t>605068.SH</t>
  </si>
  <si>
    <t>002374.SZ</t>
  </si>
  <si>
    <t>300062.SZ</t>
  </si>
  <si>
    <t>601996.SH</t>
  </si>
  <si>
    <t>600228.SH</t>
  </si>
  <si>
    <t>300387.SZ</t>
  </si>
  <si>
    <t>688199.SH</t>
  </si>
  <si>
    <t>603982.SH</t>
  </si>
  <si>
    <t>300938.SZ</t>
  </si>
  <si>
    <t>603353.SH</t>
  </si>
  <si>
    <t>603311.SH</t>
  </si>
  <si>
    <t>688529.SH</t>
  </si>
  <si>
    <t>600337.SH</t>
  </si>
  <si>
    <t>300690.SZ</t>
  </si>
  <si>
    <t>300648.SZ</t>
  </si>
  <si>
    <t>834599.BJ</t>
  </si>
  <si>
    <t>同力股份</t>
  </si>
  <si>
    <t>300189.SZ</t>
  </si>
  <si>
    <t>603237.SH</t>
  </si>
  <si>
    <t>五芳斋</t>
  </si>
  <si>
    <t>601033.SH</t>
  </si>
  <si>
    <t>永兴股份</t>
  </si>
  <si>
    <t>300280.SZ</t>
  </si>
  <si>
    <t>603500.SH</t>
  </si>
  <si>
    <t>688238.SH</t>
  </si>
  <si>
    <t>和元生物</t>
  </si>
  <si>
    <t>688682.SH</t>
  </si>
  <si>
    <t>300484.SZ</t>
  </si>
  <si>
    <t>300512.SZ</t>
  </si>
  <si>
    <t>001289.SZ</t>
  </si>
  <si>
    <t>688410.SH</t>
  </si>
  <si>
    <t>山外山</t>
  </si>
  <si>
    <t>002021.SZ</t>
  </si>
  <si>
    <t>300333.SZ</t>
  </si>
  <si>
    <t>600356.SH</t>
  </si>
  <si>
    <t>603385.SH</t>
  </si>
  <si>
    <t>605055.SH</t>
  </si>
  <si>
    <t>688662.SH</t>
  </si>
  <si>
    <t>富信科技</t>
  </si>
  <si>
    <t>688286.SH</t>
  </si>
  <si>
    <t>301296.SZ</t>
  </si>
  <si>
    <t>新巨丰</t>
  </si>
  <si>
    <t>600159.SH</t>
  </si>
  <si>
    <t>301321.SZ</t>
  </si>
  <si>
    <t>300575.SZ</t>
  </si>
  <si>
    <t>002576.SZ</t>
  </si>
  <si>
    <t>301059.SZ</t>
  </si>
  <si>
    <t>金三江</t>
  </si>
  <si>
    <t>001267.SZ</t>
  </si>
  <si>
    <t>605100.SH</t>
  </si>
  <si>
    <t>301305.SZ</t>
  </si>
  <si>
    <t>朗坤环境</t>
  </si>
  <si>
    <t>300132.SZ</t>
  </si>
  <si>
    <t>002134.SZ</t>
  </si>
  <si>
    <t>603798.SH</t>
  </si>
  <si>
    <t>688613.SH</t>
  </si>
  <si>
    <t>000554.SZ</t>
  </si>
  <si>
    <t>300798.SZ</t>
  </si>
  <si>
    <t>002660.SZ</t>
  </si>
  <si>
    <t>301093.SZ</t>
  </si>
  <si>
    <t>华兰股份</t>
  </si>
  <si>
    <t>688148.SH</t>
  </si>
  <si>
    <t>002893.SZ</t>
  </si>
  <si>
    <t>300095.SZ</t>
  </si>
  <si>
    <t>603192.SH</t>
  </si>
  <si>
    <t>002136.SZ</t>
  </si>
  <si>
    <t>603909.SH</t>
  </si>
  <si>
    <t>603536.SH</t>
  </si>
  <si>
    <t>301325.SZ</t>
  </si>
  <si>
    <t>曼恩斯特</t>
  </si>
  <si>
    <t>000892.SZ</t>
  </si>
  <si>
    <t>600696.SH</t>
  </si>
  <si>
    <t>000430.SZ</t>
  </si>
  <si>
    <t>300518.SZ</t>
  </si>
  <si>
    <t>002763.SZ</t>
  </si>
  <si>
    <t>300941.SZ</t>
  </si>
  <si>
    <t>002248.SZ</t>
  </si>
  <si>
    <t>601022.SH</t>
  </si>
  <si>
    <t>宁波远洋</t>
  </si>
  <si>
    <t>688030.SH</t>
  </si>
  <si>
    <t>300986.SZ</t>
  </si>
  <si>
    <t>志特新材</t>
  </si>
  <si>
    <t>301026.SZ</t>
  </si>
  <si>
    <t>300940.SZ</t>
  </si>
  <si>
    <t>301013.SZ</t>
  </si>
  <si>
    <t>688207.SH</t>
  </si>
  <si>
    <t>格灵深瞳</t>
  </si>
  <si>
    <t>002159.SZ</t>
  </si>
  <si>
    <t>002729.SZ</t>
  </si>
  <si>
    <t>603079.SH</t>
  </si>
  <si>
    <t>603797.SH</t>
  </si>
  <si>
    <t>300314.SZ</t>
  </si>
  <si>
    <t>000985.SZ</t>
  </si>
  <si>
    <t>002873.SZ</t>
  </si>
  <si>
    <t>002694.SZ</t>
  </si>
  <si>
    <t>600423.SH</t>
  </si>
  <si>
    <t>000565.SZ</t>
  </si>
  <si>
    <t>002852.SZ</t>
  </si>
  <si>
    <t>603685.SH</t>
  </si>
  <si>
    <t>002616.SZ</t>
  </si>
  <si>
    <t>301188.SZ</t>
  </si>
  <si>
    <t>力诺特玻</t>
  </si>
  <si>
    <t>300169.SZ</t>
  </si>
  <si>
    <t>300835.SZ</t>
  </si>
  <si>
    <t>300810.SZ</t>
  </si>
  <si>
    <t>002069.SZ</t>
  </si>
  <si>
    <t>688306.SH</t>
  </si>
  <si>
    <t>均普智能</t>
  </si>
  <si>
    <t>603336.SH</t>
  </si>
  <si>
    <t>301307.SZ</t>
  </si>
  <si>
    <t>美利信</t>
  </si>
  <si>
    <t>603278.SH</t>
  </si>
  <si>
    <t>300084.SZ</t>
  </si>
  <si>
    <t>605180.SH</t>
  </si>
  <si>
    <t>华生科技</t>
  </si>
  <si>
    <t>301049.SZ</t>
  </si>
  <si>
    <t>超越科技</t>
  </si>
  <si>
    <t>605296.SH</t>
  </si>
  <si>
    <t>神农集团</t>
  </si>
  <si>
    <t>000545.SZ</t>
  </si>
  <si>
    <t>601798.SH</t>
  </si>
  <si>
    <t>600272.SH</t>
  </si>
  <si>
    <t>300295.SZ</t>
  </si>
  <si>
    <t>001314.SZ</t>
  </si>
  <si>
    <t>亿道信息</t>
  </si>
  <si>
    <t>300214.SZ</t>
  </si>
  <si>
    <t>300423.SZ</t>
  </si>
  <si>
    <t>300808.SZ</t>
  </si>
  <si>
    <t>300795.SZ</t>
  </si>
  <si>
    <t>605336.SH</t>
  </si>
  <si>
    <t>600678.SH</t>
  </si>
  <si>
    <t>300701.SZ</t>
  </si>
  <si>
    <t>603110.SH</t>
  </si>
  <si>
    <t>603682.SH</t>
  </si>
  <si>
    <t>300801.SZ</t>
  </si>
  <si>
    <t>300483.SZ</t>
  </si>
  <si>
    <t>300898.SZ</t>
  </si>
  <si>
    <t>688257.SH</t>
  </si>
  <si>
    <t>新锐股份</t>
  </si>
  <si>
    <t>603028.SH</t>
  </si>
  <si>
    <t>003007.SZ</t>
  </si>
  <si>
    <t>603656.SH</t>
  </si>
  <si>
    <t>300281.SZ</t>
  </si>
  <si>
    <t>002347.SZ</t>
  </si>
  <si>
    <t>603860.SH</t>
  </si>
  <si>
    <t>002329.SZ</t>
  </si>
  <si>
    <t>000635.SZ</t>
  </si>
  <si>
    <t>300645.SZ</t>
  </si>
  <si>
    <t>688221.SH</t>
  </si>
  <si>
    <t>002054.SZ</t>
  </si>
  <si>
    <t>603968.SH</t>
  </si>
  <si>
    <t>300485.SZ</t>
  </si>
  <si>
    <t>002868.SZ</t>
  </si>
  <si>
    <t>603895.SH</t>
  </si>
  <si>
    <t>300826.SZ</t>
  </si>
  <si>
    <t>301137.SZ</t>
  </si>
  <si>
    <t>哈焊华通</t>
  </si>
  <si>
    <t>688539.SH</t>
  </si>
  <si>
    <t>高华科技</t>
  </si>
  <si>
    <t>002319.SZ</t>
  </si>
  <si>
    <t>300254.SZ</t>
  </si>
  <si>
    <t>600097.SH</t>
  </si>
  <si>
    <t>688386.SH</t>
  </si>
  <si>
    <t>002272.SZ</t>
  </si>
  <si>
    <t>300787.SZ</t>
  </si>
  <si>
    <t>002012.SZ</t>
  </si>
  <si>
    <t>002524.SZ</t>
  </si>
  <si>
    <t>603926.SH</t>
  </si>
  <si>
    <t>603321.SH</t>
  </si>
  <si>
    <t>603286.SH</t>
  </si>
  <si>
    <t>688512.SH</t>
  </si>
  <si>
    <t>慧智微</t>
  </si>
  <si>
    <t>600241.SH</t>
  </si>
  <si>
    <t>603819.SH</t>
  </si>
  <si>
    <t>301285.SZ</t>
  </si>
  <si>
    <t>鸿日达</t>
  </si>
  <si>
    <t>300960.SZ</t>
  </si>
  <si>
    <t>301322.SZ</t>
  </si>
  <si>
    <t>绿通科技</t>
  </si>
  <si>
    <t>688119.SH</t>
  </si>
  <si>
    <t>中钢洛耐</t>
  </si>
  <si>
    <t>603843.SH</t>
  </si>
  <si>
    <t>002975.SZ</t>
  </si>
  <si>
    <t>002864.SZ</t>
  </si>
  <si>
    <t>603170.SH</t>
  </si>
  <si>
    <t>宝立食品</t>
  </si>
  <si>
    <t>301007.SZ</t>
  </si>
  <si>
    <t>德迈仕</t>
  </si>
  <si>
    <t>301055.SZ</t>
  </si>
  <si>
    <t>张小泉</t>
  </si>
  <si>
    <t>002999.SZ</t>
  </si>
  <si>
    <t>600099.SH</t>
  </si>
  <si>
    <t>430047.BJ</t>
  </si>
  <si>
    <t>603789.SH</t>
  </si>
  <si>
    <t>603132.SH</t>
  </si>
  <si>
    <t>金徽股份</t>
  </si>
  <si>
    <t>300978.SZ</t>
  </si>
  <si>
    <t>东箭科技</t>
  </si>
  <si>
    <t>600265.SH</t>
  </si>
  <si>
    <t>603335.SH</t>
  </si>
  <si>
    <t>688280.SH</t>
  </si>
  <si>
    <t>精进电动</t>
  </si>
  <si>
    <t>605189.SH</t>
  </si>
  <si>
    <t>富春染织</t>
  </si>
  <si>
    <t>300675.SZ</t>
  </si>
  <si>
    <t>300562.SZ</t>
  </si>
  <si>
    <t>603329.SH</t>
  </si>
  <si>
    <t>300086.SZ</t>
  </si>
  <si>
    <t>301611.SZ</t>
  </si>
  <si>
    <t>珂玛科技</t>
  </si>
  <si>
    <t>002691.SZ</t>
  </si>
  <si>
    <t>002731.SZ</t>
  </si>
  <si>
    <t>301421.SZ</t>
  </si>
  <si>
    <t>波长光电</t>
  </si>
  <si>
    <t>688337.SH</t>
  </si>
  <si>
    <t>普源精电</t>
  </si>
  <si>
    <t>003036.SZ</t>
  </si>
  <si>
    <t>603839.SH</t>
  </si>
  <si>
    <t>300030.SZ</t>
  </si>
  <si>
    <t>600444.SH</t>
  </si>
  <si>
    <t>002769.SZ</t>
  </si>
  <si>
    <t>300419.SZ</t>
  </si>
  <si>
    <t>603341.SH</t>
  </si>
  <si>
    <t>龙旗科技</t>
  </si>
  <si>
    <t>603908.SH</t>
  </si>
  <si>
    <t>002365.SZ</t>
  </si>
  <si>
    <t>600128.SH</t>
  </si>
  <si>
    <t>603326.SH</t>
  </si>
  <si>
    <t>300767.SZ</t>
  </si>
  <si>
    <t>301191.SZ</t>
  </si>
  <si>
    <t>菲菱科思</t>
  </si>
  <si>
    <t>603900.SH</t>
  </si>
  <si>
    <t>000952.SZ</t>
  </si>
  <si>
    <t>300410.SZ</t>
  </si>
  <si>
    <t>688323.SH</t>
  </si>
  <si>
    <t>603679.SH</t>
  </si>
  <si>
    <t>688080.SH</t>
  </si>
  <si>
    <t>301383.SZ</t>
  </si>
  <si>
    <t>天键股份</t>
  </si>
  <si>
    <t>300932.SZ</t>
  </si>
  <si>
    <t>000995.SZ</t>
  </si>
  <si>
    <t>688355.SH</t>
  </si>
  <si>
    <t>002790.SZ</t>
  </si>
  <si>
    <t>688143.SH</t>
  </si>
  <si>
    <t>长盈通</t>
  </si>
  <si>
    <t>301345.SZ</t>
  </si>
  <si>
    <t>涛涛车业</t>
  </si>
  <si>
    <t>688211.SH</t>
  </si>
  <si>
    <t>603389.SH</t>
  </si>
  <si>
    <t>300642.SZ</t>
  </si>
  <si>
    <t>002492.SZ</t>
  </si>
  <si>
    <t>000955.SZ</t>
  </si>
  <si>
    <t>603356.SH</t>
  </si>
  <si>
    <t>301371.SZ</t>
  </si>
  <si>
    <t>敷尔佳</t>
  </si>
  <si>
    <t>002835.SZ</t>
  </si>
  <si>
    <t>300964.SZ</t>
  </si>
  <si>
    <t>本川智能</t>
  </si>
  <si>
    <t>301056.SZ</t>
  </si>
  <si>
    <t>688290.SH</t>
  </si>
  <si>
    <t>景业智能</t>
  </si>
  <si>
    <t>300311.SZ</t>
  </si>
  <si>
    <t>000510.SZ</t>
  </si>
  <si>
    <t>603001.SH</t>
  </si>
  <si>
    <t>688517.SH</t>
  </si>
  <si>
    <t>600538.SH</t>
  </si>
  <si>
    <t>300074.SZ</t>
  </si>
  <si>
    <t>603041.SH</t>
  </si>
  <si>
    <t>300988.SZ</t>
  </si>
  <si>
    <t>002086.SZ</t>
  </si>
  <si>
    <t>301311.SZ</t>
  </si>
  <si>
    <t>昆船智能</t>
  </si>
  <si>
    <t>300907.SZ</t>
  </si>
  <si>
    <t>603320.SH</t>
  </si>
  <si>
    <t>603331.SH</t>
  </si>
  <si>
    <t>301069.SZ</t>
  </si>
  <si>
    <t>605003.SH</t>
  </si>
  <si>
    <t>300884.SZ</t>
  </si>
  <si>
    <t>601083.SH</t>
  </si>
  <si>
    <t>锦江航运</t>
  </si>
  <si>
    <t>688147.SH</t>
  </si>
  <si>
    <t>微导纳米</t>
  </si>
  <si>
    <t>002879.SZ</t>
  </si>
  <si>
    <t>603188.SH</t>
  </si>
  <si>
    <t>002370.SZ</t>
  </si>
  <si>
    <t>002825.SZ</t>
  </si>
  <si>
    <t>301052.SZ</t>
  </si>
  <si>
    <t>果麦文化</t>
  </si>
  <si>
    <t>300694.SZ</t>
  </si>
  <si>
    <t>600232.SH</t>
  </si>
  <si>
    <t>300515.SZ</t>
  </si>
  <si>
    <t>301183.SZ</t>
  </si>
  <si>
    <t>东田微</t>
  </si>
  <si>
    <t>300731.SZ</t>
  </si>
  <si>
    <t>688600.SH</t>
  </si>
  <si>
    <t>300556.SZ</t>
  </si>
  <si>
    <t>603790.SH</t>
  </si>
  <si>
    <t>002811.SZ</t>
  </si>
  <si>
    <t>301246.SZ</t>
  </si>
  <si>
    <t>宏源药业</t>
  </si>
  <si>
    <t>002996.SZ</t>
  </si>
  <si>
    <t>600051.SH</t>
  </si>
  <si>
    <t>603238.SH</t>
  </si>
  <si>
    <t>002860.SZ</t>
  </si>
  <si>
    <t>301200.SZ</t>
  </si>
  <si>
    <t>大族数控</t>
  </si>
  <si>
    <t>600615.SH</t>
  </si>
  <si>
    <t>300976.SZ</t>
  </si>
  <si>
    <t>达瑞电子</t>
  </si>
  <si>
    <t>002725.SZ</t>
  </si>
  <si>
    <t>603268.SH</t>
  </si>
  <si>
    <t>002628.SZ</t>
  </si>
  <si>
    <t>603917.SH</t>
  </si>
  <si>
    <t>300652.SZ</t>
  </si>
  <si>
    <t>002846.SZ</t>
  </si>
  <si>
    <t>300235.SZ</t>
  </si>
  <si>
    <t>603086.SH</t>
  </si>
  <si>
    <t>300901.SZ</t>
  </si>
  <si>
    <t>688391.SH</t>
  </si>
  <si>
    <t>钜泉科技</t>
  </si>
  <si>
    <t>600506.SH</t>
  </si>
  <si>
    <t>688667.SH</t>
  </si>
  <si>
    <t>菱电电控</t>
  </si>
  <si>
    <t>301172.SZ</t>
  </si>
  <si>
    <t>君逸数码</t>
  </si>
  <si>
    <t>300076.SZ</t>
  </si>
  <si>
    <t>603089.SH</t>
  </si>
  <si>
    <t>603161.SH</t>
  </si>
  <si>
    <t>837344.BJ</t>
  </si>
  <si>
    <t>000017.SZ</t>
  </si>
  <si>
    <t>603042.SH</t>
  </si>
  <si>
    <t>002787.SZ</t>
  </si>
  <si>
    <t>603269.SH</t>
  </si>
  <si>
    <t>000593.SZ</t>
  </si>
  <si>
    <t>002667.SZ</t>
  </si>
  <si>
    <t>001288.SZ</t>
  </si>
  <si>
    <t>运机集团</t>
  </si>
  <si>
    <t>002977.SZ</t>
  </si>
  <si>
    <t>603937.SH</t>
  </si>
  <si>
    <t>301223.SZ</t>
  </si>
  <si>
    <t>中荣股份</t>
  </si>
  <si>
    <t>300538.SZ</t>
  </si>
  <si>
    <t>873593.BJ</t>
  </si>
  <si>
    <t>鼎智科技</t>
  </si>
  <si>
    <t>300211.SZ</t>
  </si>
  <si>
    <t>603029.SH</t>
  </si>
  <si>
    <t>003001.SZ</t>
  </si>
  <si>
    <t>000056.SZ</t>
  </si>
  <si>
    <t>603725.SH</t>
  </si>
  <si>
    <t>301160.SZ</t>
  </si>
  <si>
    <t>翔楼新材</t>
  </si>
  <si>
    <t>301150.SZ</t>
  </si>
  <si>
    <t>中一科技</t>
  </si>
  <si>
    <t>000633.SZ</t>
  </si>
  <si>
    <t>002357.SZ</t>
  </si>
  <si>
    <t>600791.SH</t>
  </si>
  <si>
    <t>002666.SZ</t>
  </si>
  <si>
    <t>003028.SZ</t>
  </si>
  <si>
    <t>688077.SH</t>
  </si>
  <si>
    <t>300692.SZ</t>
  </si>
  <si>
    <t>603458.SH</t>
  </si>
  <si>
    <t>600235.SH</t>
  </si>
  <si>
    <t>002133.SZ</t>
  </si>
  <si>
    <t>688246.SH</t>
  </si>
  <si>
    <t>688310.SH</t>
  </si>
  <si>
    <t>300812.SZ</t>
  </si>
  <si>
    <t>301366.SZ</t>
  </si>
  <si>
    <t>一博科技</t>
  </si>
  <si>
    <t>873576.BJ</t>
  </si>
  <si>
    <t>天力复合</t>
  </si>
  <si>
    <t>002679.SZ</t>
  </si>
  <si>
    <t>300412.SZ</t>
  </si>
  <si>
    <t>300936.SZ</t>
  </si>
  <si>
    <t>603255.SH</t>
  </si>
  <si>
    <t>鼎际得</t>
  </si>
  <si>
    <t>002687.SZ</t>
  </si>
  <si>
    <t>002942.SZ</t>
  </si>
  <si>
    <t>000007.SZ</t>
  </si>
  <si>
    <t>003005.SZ</t>
  </si>
  <si>
    <t>300829.SZ</t>
  </si>
  <si>
    <t>002899.SZ</t>
  </si>
  <si>
    <t>600793.SH</t>
  </si>
  <si>
    <t>000692.SZ</t>
  </si>
  <si>
    <t>300150.SZ</t>
  </si>
  <si>
    <t>300422.SZ</t>
  </si>
  <si>
    <t>688458.SH</t>
  </si>
  <si>
    <t>美芯晟</t>
  </si>
  <si>
    <t>300543.SZ</t>
  </si>
  <si>
    <t>688078.SH</t>
  </si>
  <si>
    <t>002084.SZ</t>
  </si>
  <si>
    <t>688652.SH</t>
  </si>
  <si>
    <t>京仪装备</t>
  </si>
  <si>
    <t>002377.SZ</t>
  </si>
  <si>
    <t>000004.SZ</t>
  </si>
  <si>
    <t>300264.SZ</t>
  </si>
  <si>
    <t>688170.SH</t>
  </si>
  <si>
    <t>德龙激光</t>
  </si>
  <si>
    <t>300157.SZ</t>
  </si>
  <si>
    <t>688060.SH</t>
  </si>
  <si>
    <t>002076.SZ</t>
  </si>
  <si>
    <t>300786.SZ</t>
  </si>
  <si>
    <t>603183.SH</t>
  </si>
  <si>
    <t>300500.SZ</t>
  </si>
  <si>
    <t>300334.SZ</t>
  </si>
  <si>
    <t>688189.SH</t>
  </si>
  <si>
    <t>300154.SZ</t>
  </si>
  <si>
    <t>002774.SZ</t>
  </si>
  <si>
    <t>002969.SZ</t>
  </si>
  <si>
    <t>688557.SH</t>
  </si>
  <si>
    <t>688229.SH</t>
  </si>
  <si>
    <t>688098.SH</t>
  </si>
  <si>
    <t>300668.SZ</t>
  </si>
  <si>
    <t>300756.SZ</t>
  </si>
  <si>
    <t>002743.SZ</t>
  </si>
  <si>
    <t>002918.SZ</t>
  </si>
  <si>
    <t>688218.SH</t>
  </si>
  <si>
    <t>300112.SZ</t>
  </si>
  <si>
    <t>600735.SH</t>
  </si>
  <si>
    <t>600355.SH</t>
  </si>
  <si>
    <t>688602.SH</t>
  </si>
  <si>
    <t>康鹏科技</t>
  </si>
  <si>
    <t>688216.SH</t>
  </si>
  <si>
    <t>300546.SZ</t>
  </si>
  <si>
    <t>832735.BJ</t>
  </si>
  <si>
    <t>301085.SZ</t>
  </si>
  <si>
    <t>亚康股份</t>
  </si>
  <si>
    <t>002551.SZ</t>
  </si>
  <si>
    <t>600243.SH</t>
  </si>
  <si>
    <t>300584.SZ</t>
  </si>
  <si>
    <t>300849.SZ</t>
  </si>
  <si>
    <t>301330.SZ</t>
  </si>
  <si>
    <t>熵基科技</t>
  </si>
  <si>
    <t>301101.SZ</t>
  </si>
  <si>
    <t>明月镜片</t>
  </si>
  <si>
    <t>002723.SZ</t>
  </si>
  <si>
    <t>605122.SH</t>
  </si>
  <si>
    <t>四方新材</t>
  </si>
  <si>
    <t>301041.SZ</t>
  </si>
  <si>
    <t>002529.SZ</t>
  </si>
  <si>
    <t>688069.SH</t>
  </si>
  <si>
    <t>002582.SZ</t>
  </si>
  <si>
    <t>300625.SZ</t>
  </si>
  <si>
    <t>605155.SH</t>
  </si>
  <si>
    <t>300836.SZ</t>
  </si>
  <si>
    <t>002980.SZ</t>
  </si>
  <si>
    <t>300449.SZ</t>
  </si>
  <si>
    <t>600408.SH</t>
  </si>
  <si>
    <t>600281.SH</t>
  </si>
  <si>
    <t>688620.SH</t>
  </si>
  <si>
    <t>安凯微</t>
  </si>
  <si>
    <t>688026.SH</t>
  </si>
  <si>
    <t>688496.SH</t>
  </si>
  <si>
    <t>清越科技</t>
  </si>
  <si>
    <t>603696.SH</t>
  </si>
  <si>
    <t>600322.SH</t>
  </si>
  <si>
    <t>300771.SZ</t>
  </si>
  <si>
    <t>300616.SZ</t>
  </si>
  <si>
    <t>002817.SZ</t>
  </si>
  <si>
    <t>002114.SZ</t>
  </si>
  <si>
    <t>300700.SZ</t>
  </si>
  <si>
    <t>002094.SZ</t>
  </si>
  <si>
    <t>688022.SH</t>
  </si>
  <si>
    <t>301201.SZ</t>
  </si>
  <si>
    <t>诚达药业</t>
  </si>
  <si>
    <t>002877.SZ</t>
  </si>
  <si>
    <t>600156.SH</t>
  </si>
  <si>
    <t>688113.SH</t>
  </si>
  <si>
    <t>600610.SH</t>
  </si>
  <si>
    <t>002909.SZ</t>
  </si>
  <si>
    <t>688267.SH</t>
  </si>
  <si>
    <t>中触媒</t>
  </si>
  <si>
    <t>300875.SZ</t>
  </si>
  <si>
    <t>600082.SH</t>
  </si>
  <si>
    <t>002931.SZ</t>
  </si>
  <si>
    <t>605178.SH</t>
  </si>
  <si>
    <t>300949.SZ</t>
  </si>
  <si>
    <t>奥雅股份</t>
  </si>
  <si>
    <t>300743.SZ</t>
  </si>
  <si>
    <t>000757.SZ</t>
  </si>
  <si>
    <t>603359.SH</t>
  </si>
  <si>
    <t>301103.SZ</t>
  </si>
  <si>
    <t>何氏眼科</t>
  </si>
  <si>
    <t>603214.SH</t>
  </si>
  <si>
    <t>002593.SZ</t>
  </si>
  <si>
    <t>002802.SZ</t>
  </si>
  <si>
    <t>301149.SZ</t>
  </si>
  <si>
    <t>隆华新材</t>
  </si>
  <si>
    <t>301468.SZ</t>
  </si>
  <si>
    <t>博盈特焊</t>
  </si>
  <si>
    <t>688283.SH</t>
  </si>
  <si>
    <t>坤恒顺维</t>
  </si>
  <si>
    <t>002995.SZ</t>
  </si>
  <si>
    <t>603332.SH</t>
  </si>
  <si>
    <t>300097.SZ</t>
  </si>
  <si>
    <t>600697.SH</t>
  </si>
  <si>
    <t>300626.SZ</t>
  </si>
  <si>
    <t>301428.SZ</t>
  </si>
  <si>
    <t>世纪恒通</t>
  </si>
  <si>
    <t>002903.SZ</t>
  </si>
  <si>
    <t>300269.SZ</t>
  </si>
  <si>
    <t>300306.SZ</t>
  </si>
  <si>
    <t>300521.SZ</t>
  </si>
  <si>
    <t>688260.SH</t>
  </si>
  <si>
    <t>300305.SZ</t>
  </si>
  <si>
    <t>300242.SZ</t>
  </si>
  <si>
    <t>300335.SZ</t>
  </si>
  <si>
    <t>600358.SH</t>
  </si>
  <si>
    <t>002767.SZ</t>
  </si>
  <si>
    <t>301230.SZ</t>
  </si>
  <si>
    <t>泓博医药</t>
  </si>
  <si>
    <t>300707.SZ</t>
  </si>
  <si>
    <t>301323.SZ</t>
  </si>
  <si>
    <t>新莱福</t>
  </si>
  <si>
    <t>300928.SZ</t>
  </si>
  <si>
    <t>300721.SZ</t>
  </si>
  <si>
    <t>000803.SZ</t>
  </si>
  <si>
    <t>002795.SZ</t>
  </si>
  <si>
    <t>688656.SH</t>
  </si>
  <si>
    <t>688231.SH</t>
  </si>
  <si>
    <t>隆达股份</t>
  </si>
  <si>
    <t>603818.SH</t>
  </si>
  <si>
    <t>300686.SZ</t>
  </si>
  <si>
    <t>000605.SZ</t>
  </si>
  <si>
    <t>688369.SH</t>
  </si>
  <si>
    <t>301379.SZ</t>
  </si>
  <si>
    <t>天山电子</t>
  </si>
  <si>
    <t>600107.SH</t>
  </si>
  <si>
    <t>002486.SZ</t>
  </si>
  <si>
    <t>003010.SZ</t>
  </si>
  <si>
    <t>300554.SZ</t>
  </si>
  <si>
    <t>301509.SZ</t>
  </si>
  <si>
    <t>金凯生科</t>
  </si>
  <si>
    <t>688092.SH</t>
  </si>
  <si>
    <t>爱科科技</t>
  </si>
  <si>
    <t>301408.SZ</t>
  </si>
  <si>
    <t>华人健康</t>
  </si>
  <si>
    <t>002105.SZ</t>
  </si>
  <si>
    <t>688480.SH</t>
  </si>
  <si>
    <t>赛恩斯</t>
  </si>
  <si>
    <t>000586.SZ</t>
  </si>
  <si>
    <t>605138.SH</t>
  </si>
  <si>
    <t>盛泰集团</t>
  </si>
  <si>
    <t>301070.SZ</t>
  </si>
  <si>
    <t>002828.SZ</t>
  </si>
  <si>
    <t>688459.SH</t>
  </si>
  <si>
    <t>哈铁科技</t>
  </si>
  <si>
    <t>003042.SZ</t>
  </si>
  <si>
    <t>300270.SZ</t>
  </si>
  <si>
    <t>603717.SH</t>
  </si>
  <si>
    <t>300621.SZ</t>
  </si>
  <si>
    <t>000880.SZ</t>
  </si>
  <si>
    <t>300501.SZ</t>
  </si>
  <si>
    <t>002278.SZ</t>
  </si>
  <si>
    <t>003041.SZ</t>
  </si>
  <si>
    <t>000619.SZ</t>
  </si>
  <si>
    <t>603065.SH</t>
  </si>
  <si>
    <t>宿迁联盛</t>
  </si>
  <si>
    <t>301391.SZ</t>
  </si>
  <si>
    <t>卡莱特</t>
  </si>
  <si>
    <t>300644.SZ</t>
  </si>
  <si>
    <t>300283.SZ</t>
  </si>
  <si>
    <t>000573.SZ</t>
  </si>
  <si>
    <t>301008.SZ</t>
  </si>
  <si>
    <t>300839.SZ</t>
  </si>
  <si>
    <t>688373.SH</t>
  </si>
  <si>
    <t>盟科药业</t>
  </si>
  <si>
    <t>300963.SZ</t>
  </si>
  <si>
    <t>中洲特材</t>
  </si>
  <si>
    <t>002702.SZ</t>
  </si>
  <si>
    <t>688429.SH</t>
  </si>
  <si>
    <t>时创能源</t>
  </si>
  <si>
    <t>300885.SZ</t>
  </si>
  <si>
    <t>300923.SZ</t>
  </si>
  <si>
    <t>300243.SZ</t>
  </si>
  <si>
    <t>600202.SH</t>
  </si>
  <si>
    <t>002858.SZ</t>
  </si>
  <si>
    <t>603637.SH</t>
  </si>
  <si>
    <t>605255.SH</t>
  </si>
  <si>
    <t>605298.SH</t>
  </si>
  <si>
    <t>必得科技</t>
  </si>
  <si>
    <t>603655.SH</t>
  </si>
  <si>
    <t>300921.SZ</t>
  </si>
  <si>
    <t>南凌科技</t>
  </si>
  <si>
    <t>002820.SZ</t>
  </si>
  <si>
    <t>001308.SZ</t>
  </si>
  <si>
    <t>康冠科技</t>
  </si>
  <si>
    <t>002566.SZ</t>
  </si>
  <si>
    <t>301053.SZ</t>
  </si>
  <si>
    <t>远信工业</t>
  </si>
  <si>
    <t>300689.SZ</t>
  </si>
  <si>
    <t>301318.SZ</t>
  </si>
  <si>
    <t>维海德</t>
  </si>
  <si>
    <t>600692.SH</t>
  </si>
  <si>
    <t>002900.SZ</t>
  </si>
  <si>
    <t>002199.SZ</t>
  </si>
  <si>
    <t>300437.SZ</t>
  </si>
  <si>
    <t>832491.BJ</t>
  </si>
  <si>
    <t>001313.SZ</t>
  </si>
  <si>
    <t>粤海饲料</t>
  </si>
  <si>
    <t>605033.SH</t>
  </si>
  <si>
    <t>美邦股份</t>
  </si>
  <si>
    <t>000663.SZ</t>
  </si>
  <si>
    <t>003004.SZ</t>
  </si>
  <si>
    <t>002836.SZ</t>
  </si>
  <si>
    <t>603177.SH</t>
  </si>
  <si>
    <t>300340.SZ</t>
  </si>
  <si>
    <t>301109.SZ</t>
  </si>
  <si>
    <t>军信股份</t>
  </si>
  <si>
    <t>300819.SZ</t>
  </si>
  <si>
    <t>688056.SH</t>
  </si>
  <si>
    <t>301019.SZ</t>
  </si>
  <si>
    <t>宁波色母</t>
  </si>
  <si>
    <t>603506.SH</t>
  </si>
  <si>
    <t>603090.SH</t>
  </si>
  <si>
    <t>300774.SZ</t>
  </si>
  <si>
    <t>倍杰特</t>
  </si>
  <si>
    <t>300828.SZ</t>
  </si>
  <si>
    <t>688376.SH</t>
  </si>
  <si>
    <t>美埃科技</t>
  </si>
  <si>
    <t>688129.SH</t>
  </si>
  <si>
    <t>000856.SZ</t>
  </si>
  <si>
    <t>300650.SZ</t>
  </si>
  <si>
    <t>601133.SH</t>
  </si>
  <si>
    <t>柏诚股份</t>
  </si>
  <si>
    <t>301057.SZ</t>
  </si>
  <si>
    <t>汇隆新材</t>
  </si>
  <si>
    <t>300716.SZ</t>
  </si>
  <si>
    <t>002826.SZ</t>
  </si>
  <si>
    <t>300069.SZ</t>
  </si>
  <si>
    <t>300198.SZ</t>
  </si>
  <si>
    <t>688523.SH</t>
  </si>
  <si>
    <t>航天环宇</t>
  </si>
  <si>
    <t>834033.BJ</t>
  </si>
  <si>
    <t>康普化学</t>
  </si>
  <si>
    <t>688393.SH</t>
  </si>
  <si>
    <t>873122.BJ</t>
  </si>
  <si>
    <t>中纺标</t>
  </si>
  <si>
    <t>301185.SZ</t>
  </si>
  <si>
    <t>300840.SZ</t>
  </si>
  <si>
    <t>688646.SH</t>
  </si>
  <si>
    <t>逸飞激光</t>
  </si>
  <si>
    <t>600421.SH</t>
  </si>
  <si>
    <t>688501.SH</t>
  </si>
  <si>
    <t>青达环保</t>
  </si>
  <si>
    <t>002360.SZ</t>
  </si>
  <si>
    <t>688071.SH</t>
  </si>
  <si>
    <t>688576.SH</t>
  </si>
  <si>
    <t>西山科技</t>
  </si>
  <si>
    <t>603657.SH</t>
  </si>
  <si>
    <t>002982.SZ</t>
  </si>
  <si>
    <t>600149.SH</t>
  </si>
  <si>
    <t>301130.SZ</t>
  </si>
  <si>
    <t>西点药业</t>
  </si>
  <si>
    <t>002973.SZ</t>
  </si>
  <si>
    <t>301508.SZ</t>
  </si>
  <si>
    <t>中机认检</t>
  </si>
  <si>
    <t>301529.SZ</t>
  </si>
  <si>
    <t>福赛科技</t>
  </si>
  <si>
    <t>688718.SH</t>
  </si>
  <si>
    <t>002800.SZ</t>
  </si>
  <si>
    <t>002715.SZ</t>
  </si>
  <si>
    <t>688287.SH</t>
  </si>
  <si>
    <t>300472.SZ</t>
  </si>
  <si>
    <t>600778.SH</t>
  </si>
  <si>
    <t>002890.SZ</t>
  </si>
  <si>
    <t>002652.SZ</t>
  </si>
  <si>
    <t>300539.SZ</t>
  </si>
  <si>
    <t>300868.SZ</t>
  </si>
  <si>
    <t>600302.SH</t>
  </si>
  <si>
    <t>300461.SZ</t>
  </si>
  <si>
    <t>300922.SZ</t>
  </si>
  <si>
    <t>300106.SZ</t>
  </si>
  <si>
    <t>688345.SH</t>
  </si>
  <si>
    <t>688151.SH</t>
  </si>
  <si>
    <t>300152.SZ</t>
  </si>
  <si>
    <t>301221.SZ</t>
  </si>
  <si>
    <t>光庭信息</t>
  </si>
  <si>
    <t>002861.SZ</t>
  </si>
  <si>
    <t>301090.SZ</t>
  </si>
  <si>
    <t>300710.SZ</t>
  </si>
  <si>
    <t>688132.SH</t>
  </si>
  <si>
    <t>邦彦技术</t>
  </si>
  <si>
    <t>688121.SH</t>
  </si>
  <si>
    <t>002949.SZ</t>
  </si>
  <si>
    <t>000691.SZ</t>
  </si>
  <si>
    <t>300871.SZ</t>
  </si>
  <si>
    <t>688616.SH</t>
  </si>
  <si>
    <t>300943.SZ</t>
  </si>
  <si>
    <t>603810.SH</t>
  </si>
  <si>
    <t>301139.SZ</t>
  </si>
  <si>
    <t>元道通信</t>
  </si>
  <si>
    <t>301073.SZ</t>
  </si>
  <si>
    <t>688466.SH</t>
  </si>
  <si>
    <t>300906.SZ</t>
  </si>
  <si>
    <t>300780.SZ</t>
  </si>
  <si>
    <t>301115.SZ</t>
  </si>
  <si>
    <t>建科股份</t>
  </si>
  <si>
    <t>002696.SZ</t>
  </si>
  <si>
    <t>300817.SZ</t>
  </si>
  <si>
    <t>300883.SZ</t>
  </si>
  <si>
    <t>603107.SH</t>
  </si>
  <si>
    <t>上海汽配</t>
  </si>
  <si>
    <t>002806.SZ</t>
  </si>
  <si>
    <t>002753.SZ</t>
  </si>
  <si>
    <t>300246.SZ</t>
  </si>
  <si>
    <t>300881.SZ</t>
  </si>
  <si>
    <t>301193.SZ</t>
  </si>
  <si>
    <t>家联科技</t>
  </si>
  <si>
    <t>301265.SZ</t>
  </si>
  <si>
    <t>华新环保</t>
  </si>
  <si>
    <t>300549.SZ</t>
  </si>
  <si>
    <t>301110.SZ</t>
  </si>
  <si>
    <t>青木科技</t>
  </si>
  <si>
    <t>688502.SH</t>
  </si>
  <si>
    <t>茂莱光学</t>
  </si>
  <si>
    <t>000702.SZ</t>
  </si>
  <si>
    <t>301299.SZ</t>
  </si>
  <si>
    <t>卓创资讯</t>
  </si>
  <si>
    <t>002862.SZ</t>
  </si>
  <si>
    <t>300956.SZ</t>
  </si>
  <si>
    <t>600753.SH</t>
  </si>
  <si>
    <t>002207.SZ</t>
  </si>
  <si>
    <t>600448.SH</t>
  </si>
  <si>
    <t>300614.SZ</t>
  </si>
  <si>
    <t>301290.SZ</t>
  </si>
  <si>
    <t>东星医疗</t>
  </si>
  <si>
    <t>300195.SZ</t>
  </si>
  <si>
    <t>300853.SZ</t>
  </si>
  <si>
    <t>002205.SZ</t>
  </si>
  <si>
    <t>688084.SH</t>
  </si>
  <si>
    <t>晶品特装</t>
  </si>
  <si>
    <t>300946.SZ</t>
  </si>
  <si>
    <t>300717.SZ</t>
  </si>
  <si>
    <t>300670.SZ</t>
  </si>
  <si>
    <t>688058.SH</t>
  </si>
  <si>
    <t>000590.SZ</t>
  </si>
  <si>
    <t>603045.SH</t>
  </si>
  <si>
    <t>003008.SZ</t>
  </si>
  <si>
    <t>301559.SZ</t>
  </si>
  <si>
    <t>中集环科</t>
  </si>
  <si>
    <t>301179.SZ</t>
  </si>
  <si>
    <t>泽宇智能</t>
  </si>
  <si>
    <t>688073.SH</t>
  </si>
  <si>
    <t>毕得医药</t>
  </si>
  <si>
    <t>603159.SH</t>
  </si>
  <si>
    <t>002857.SZ</t>
  </si>
  <si>
    <t>001389.SZ</t>
  </si>
  <si>
    <t>广合科技</t>
  </si>
  <si>
    <t>688379.SH</t>
  </si>
  <si>
    <t>000953.SZ</t>
  </si>
  <si>
    <t>300391.SZ</t>
  </si>
  <si>
    <t>301505.SZ</t>
  </si>
  <si>
    <t>苏州规划</t>
  </si>
  <si>
    <t>600802.SH</t>
  </si>
  <si>
    <t>300610.SZ</t>
  </si>
  <si>
    <t>300234.SZ</t>
  </si>
  <si>
    <t>301195.SZ</t>
  </si>
  <si>
    <t>北路智控</t>
  </si>
  <si>
    <t>600883.SH</t>
  </si>
  <si>
    <t>688722.SH</t>
  </si>
  <si>
    <t>同益中</t>
  </si>
  <si>
    <t>002976.SZ</t>
  </si>
  <si>
    <t>603150.SH</t>
  </si>
  <si>
    <t>万朗磁塑</t>
  </si>
  <si>
    <t>301016.SZ</t>
  </si>
  <si>
    <t>300877.SZ</t>
  </si>
  <si>
    <t>001206.SZ</t>
  </si>
  <si>
    <t>依依股份</t>
  </si>
  <si>
    <t>301003.SZ</t>
  </si>
  <si>
    <t>603838.SH</t>
  </si>
  <si>
    <t>002634.SZ</t>
  </si>
  <si>
    <t>605081.SH</t>
  </si>
  <si>
    <t>600561.SH</t>
  </si>
  <si>
    <t>002972.SZ</t>
  </si>
  <si>
    <t>300703.SZ</t>
  </si>
  <si>
    <t>002622.SZ</t>
  </si>
  <si>
    <t>688489.SH</t>
  </si>
  <si>
    <t>三未信安</t>
  </si>
  <si>
    <t>603022.SH</t>
  </si>
  <si>
    <t>301261.SZ</t>
  </si>
  <si>
    <t>恒工精密</t>
  </si>
  <si>
    <t>301507.SZ</t>
  </si>
  <si>
    <t>民生健康</t>
  </si>
  <si>
    <t>688622.SH</t>
  </si>
  <si>
    <t>300990.SZ</t>
  </si>
  <si>
    <t>300519.SZ</t>
  </si>
  <si>
    <t>600796.SH</t>
  </si>
  <si>
    <t>301393.SZ</t>
  </si>
  <si>
    <t>昊帆生物</t>
  </si>
  <si>
    <t>000632.SZ</t>
  </si>
  <si>
    <t>300321.SZ</t>
  </si>
  <si>
    <t>605598.SH</t>
  </si>
  <si>
    <t>上海港湾</t>
  </si>
  <si>
    <t>603051.SH</t>
  </si>
  <si>
    <t>鹿山新材</t>
  </si>
  <si>
    <t>002295.SZ</t>
  </si>
  <si>
    <t>300807.SZ</t>
  </si>
  <si>
    <t>300615.SZ</t>
  </si>
  <si>
    <t>300948.SZ</t>
  </si>
  <si>
    <t>002231.SZ</t>
  </si>
  <si>
    <t>301120.SZ</t>
  </si>
  <si>
    <t>新特电气</t>
  </si>
  <si>
    <t>301168.SZ</t>
  </si>
  <si>
    <t>通灵股份</t>
  </si>
  <si>
    <t>002998.SZ</t>
  </si>
  <si>
    <t>300611.SZ</t>
  </si>
  <si>
    <t>300511.SZ</t>
  </si>
  <si>
    <t>300594.SZ</t>
  </si>
  <si>
    <t>003027.SZ</t>
  </si>
  <si>
    <t>688371.SH</t>
  </si>
  <si>
    <t>菲沃泰</t>
  </si>
  <si>
    <t>301281.SZ</t>
  </si>
  <si>
    <t>科源制药</t>
  </si>
  <si>
    <t>001311.SZ</t>
  </si>
  <si>
    <t>多利科技</t>
  </si>
  <si>
    <t>301282.SZ</t>
  </si>
  <si>
    <t>金禄电子</t>
  </si>
  <si>
    <t>301257.SZ</t>
  </si>
  <si>
    <t>普蕊斯</t>
  </si>
  <si>
    <t>301010.SZ</t>
  </si>
  <si>
    <t>603291.SH</t>
  </si>
  <si>
    <t>联合水务</t>
  </si>
  <si>
    <t>301042.SZ</t>
  </si>
  <si>
    <t>300837.SZ</t>
  </si>
  <si>
    <t>688670.SH</t>
  </si>
  <si>
    <t>金迪克</t>
  </si>
  <si>
    <t>301313.SZ</t>
  </si>
  <si>
    <t>凡拓数创</t>
  </si>
  <si>
    <t>002209.SZ</t>
  </si>
  <si>
    <t>300509.SZ</t>
  </si>
  <si>
    <t>688288.SH</t>
  </si>
  <si>
    <t>301248.SZ</t>
  </si>
  <si>
    <t>杰创智能</t>
  </si>
  <si>
    <t>688255.SH</t>
  </si>
  <si>
    <t>300464.SZ</t>
  </si>
  <si>
    <t>603213.SH</t>
  </si>
  <si>
    <t>镇洋发展</t>
  </si>
  <si>
    <t>301121.SZ</t>
  </si>
  <si>
    <t>紫建电子</t>
  </si>
  <si>
    <t>301065.SZ</t>
  </si>
  <si>
    <t>本立科技</t>
  </si>
  <si>
    <t>002571.SZ</t>
  </si>
  <si>
    <t>001322.SZ</t>
  </si>
  <si>
    <t>箭牌家居</t>
  </si>
  <si>
    <t>600857.SH</t>
  </si>
  <si>
    <t>300991.SZ</t>
  </si>
  <si>
    <t>创益通</t>
  </si>
  <si>
    <t>001324.SZ</t>
  </si>
  <si>
    <t>长青科技</t>
  </si>
  <si>
    <t>300022.SZ</t>
  </si>
  <si>
    <t>872190.BJ</t>
  </si>
  <si>
    <t>雷神科技</t>
  </si>
  <si>
    <t>688013.SH</t>
  </si>
  <si>
    <t>688325.SH</t>
  </si>
  <si>
    <t>赛微微电</t>
  </si>
  <si>
    <t>688603.SH</t>
  </si>
  <si>
    <t>天承科技</t>
  </si>
  <si>
    <t>301306.SZ</t>
  </si>
  <si>
    <t>西测测试</t>
  </si>
  <si>
    <t>300789.SZ</t>
  </si>
  <si>
    <t>688350.SH</t>
  </si>
  <si>
    <t>688669.SH</t>
  </si>
  <si>
    <t>301251.SZ</t>
  </si>
  <si>
    <t>威尔高</t>
  </si>
  <si>
    <t>300713.SZ</t>
  </si>
  <si>
    <t>002963.SZ</t>
  </si>
  <si>
    <t>301315.SZ</t>
  </si>
  <si>
    <t>威士顿</t>
  </si>
  <si>
    <t>300155.SZ</t>
  </si>
  <si>
    <t>300937.SZ</t>
  </si>
  <si>
    <t>301286.SZ</t>
  </si>
  <si>
    <t>侨源股份</t>
  </si>
  <si>
    <t>688011.SH</t>
  </si>
  <si>
    <t>830799.BJ</t>
  </si>
  <si>
    <t>300103.SZ</t>
  </si>
  <si>
    <t>002780.SZ</t>
  </si>
  <si>
    <t>002762.SZ</t>
  </si>
  <si>
    <t>001217.SZ</t>
  </si>
  <si>
    <t>华尔泰</t>
  </si>
  <si>
    <t>603139.SH</t>
  </si>
  <si>
    <t>301571.SZ</t>
  </si>
  <si>
    <t>国科天成</t>
  </si>
  <si>
    <t>301116.SZ</t>
  </si>
  <si>
    <t>益客食品</t>
  </si>
  <si>
    <t>002144.SZ</t>
  </si>
  <si>
    <t>688292.SH</t>
  </si>
  <si>
    <t>浩瀚深度</t>
  </si>
  <si>
    <t>000608.SZ</t>
  </si>
  <si>
    <t>301123.SZ</t>
  </si>
  <si>
    <t>奕东电子</t>
  </si>
  <si>
    <t>301302.SZ</t>
  </si>
  <si>
    <t>华如科技</t>
  </si>
  <si>
    <t>002778.SZ</t>
  </si>
  <si>
    <t>603716.SH</t>
  </si>
  <si>
    <t>000679.SZ</t>
  </si>
  <si>
    <t>000637.SZ</t>
  </si>
  <si>
    <t>301369.SZ</t>
  </si>
  <si>
    <t>联动科技</t>
  </si>
  <si>
    <t>002883.SZ</t>
  </si>
  <si>
    <t>002760.SZ</t>
  </si>
  <si>
    <t>688051.SH</t>
  </si>
  <si>
    <t>837821.BJ</t>
  </si>
  <si>
    <t>则成电子</t>
  </si>
  <si>
    <t>000638.SZ</t>
  </si>
  <si>
    <t>688184.SH</t>
  </si>
  <si>
    <t>帕瓦股份</t>
  </si>
  <si>
    <t>600493.SH</t>
  </si>
  <si>
    <t>002789.SZ</t>
  </si>
  <si>
    <t>301298.SZ</t>
  </si>
  <si>
    <t>东利机械</t>
  </si>
  <si>
    <t>002397.SZ</t>
  </si>
  <si>
    <t>300588.SZ</t>
  </si>
  <si>
    <t>605169.SH</t>
  </si>
  <si>
    <t>688655.SH</t>
  </si>
  <si>
    <t>688328.SH</t>
  </si>
  <si>
    <t>688395.SH</t>
  </si>
  <si>
    <t>600319.SH</t>
  </si>
  <si>
    <t>002058.SZ</t>
  </si>
  <si>
    <t>002072.SZ</t>
  </si>
  <si>
    <t>300967.SZ</t>
  </si>
  <si>
    <t>600847.SH</t>
  </si>
  <si>
    <t>301128.SZ</t>
  </si>
  <si>
    <t>强瑞技术</t>
  </si>
  <si>
    <t>301136.SZ</t>
  </si>
  <si>
    <t>招标股份</t>
  </si>
  <si>
    <t>300508.SZ</t>
  </si>
  <si>
    <t>600137.SH</t>
  </si>
  <si>
    <t>300971.SZ</t>
  </si>
  <si>
    <t>博亚精工</t>
  </si>
  <si>
    <t>688335.SH</t>
  </si>
  <si>
    <t>301397.SZ</t>
  </si>
  <si>
    <t>溯联股份</t>
  </si>
  <si>
    <t>301117.SZ</t>
  </si>
  <si>
    <t>佳缘科技</t>
  </si>
  <si>
    <t>688528.SH</t>
  </si>
  <si>
    <t>603903.SH</t>
  </si>
  <si>
    <t>301006.SZ</t>
  </si>
  <si>
    <t>迈拓股份</t>
  </si>
  <si>
    <t>688334.SH</t>
  </si>
  <si>
    <t>西高院</t>
  </si>
  <si>
    <t>301086.SZ</t>
  </si>
  <si>
    <t>鸿富瀚</t>
  </si>
  <si>
    <t>301377.SZ</t>
  </si>
  <si>
    <t>鼎泰高科</t>
  </si>
  <si>
    <t>301208.SZ</t>
  </si>
  <si>
    <t>中亦科技</t>
  </si>
  <si>
    <t>688182.SH</t>
  </si>
  <si>
    <t>灿勤科技</t>
  </si>
  <si>
    <t>001379.SZ</t>
  </si>
  <si>
    <t>腾达科技</t>
  </si>
  <si>
    <t>688118.SH</t>
  </si>
  <si>
    <t>301220.SZ</t>
  </si>
  <si>
    <t>亚香股份</t>
  </si>
  <si>
    <t>301099.SZ</t>
  </si>
  <si>
    <t>雅创电子</t>
  </si>
  <si>
    <t>300989.SZ</t>
  </si>
  <si>
    <t>蕾奥规划</t>
  </si>
  <si>
    <t>688509.SH</t>
  </si>
  <si>
    <t>300969.SZ</t>
  </si>
  <si>
    <t>恒帅股份</t>
  </si>
  <si>
    <t>300851.SZ</t>
  </si>
  <si>
    <t>301360.SZ</t>
  </si>
  <si>
    <t>荣旗科技</t>
  </si>
  <si>
    <t>300897.SZ</t>
  </si>
  <si>
    <t>603729.SH</t>
  </si>
  <si>
    <t>301045.SZ</t>
  </si>
  <si>
    <t>688247.SH</t>
  </si>
  <si>
    <t>宣泰医药</t>
  </si>
  <si>
    <t>688619.SH</t>
  </si>
  <si>
    <t>603052.SH</t>
  </si>
  <si>
    <t>可川科技</t>
  </si>
  <si>
    <t>301076.SZ</t>
  </si>
  <si>
    <t>新瀚新材</t>
  </si>
  <si>
    <t>301196.SZ</t>
  </si>
  <si>
    <t>唯科科技</t>
  </si>
  <si>
    <t>300950.SZ</t>
  </si>
  <si>
    <t>德固特</t>
  </si>
  <si>
    <t>002633.SZ</t>
  </si>
  <si>
    <t>600455.SH</t>
  </si>
  <si>
    <t>300371.SZ</t>
  </si>
  <si>
    <t>301456.SZ</t>
  </si>
  <si>
    <t>盘古智能</t>
  </si>
  <si>
    <t>301303.SZ</t>
  </si>
  <si>
    <t>真兰仪表</t>
  </si>
  <si>
    <t>688152.SH</t>
  </si>
  <si>
    <t>麒麟信安</t>
  </si>
  <si>
    <t>002842.SZ</t>
  </si>
  <si>
    <t>000890.SZ</t>
  </si>
  <si>
    <t>603193.SH</t>
  </si>
  <si>
    <t>润本股份</t>
  </si>
  <si>
    <t>603226.SH</t>
  </si>
  <si>
    <t>300591.SZ</t>
  </si>
  <si>
    <t>688552.SH</t>
  </si>
  <si>
    <t>航天南湖</t>
  </si>
  <si>
    <t>001319.SZ</t>
  </si>
  <si>
    <t>铭科精技</t>
  </si>
  <si>
    <t>300635.SZ</t>
  </si>
  <si>
    <t>688709.SH</t>
  </si>
  <si>
    <t>成都华微</t>
  </si>
  <si>
    <t>002848.SZ</t>
  </si>
  <si>
    <t>603616.SH</t>
  </si>
  <si>
    <t>603206.SH</t>
  </si>
  <si>
    <t>嘉环科技</t>
  </si>
  <si>
    <t>301528.SZ</t>
  </si>
  <si>
    <t>多浦乐</t>
  </si>
  <si>
    <t>002888.SZ</t>
  </si>
  <si>
    <t>300845.SZ</t>
  </si>
  <si>
    <t>600689.SH</t>
  </si>
  <si>
    <t>301488.SZ</t>
  </si>
  <si>
    <t>豪恩汽电</t>
  </si>
  <si>
    <t>603275.SH</t>
  </si>
  <si>
    <t>众辰科技</t>
  </si>
  <si>
    <t>605287.SH</t>
  </si>
  <si>
    <t>德才股份</t>
  </si>
  <si>
    <t>301166.SZ</t>
  </si>
  <si>
    <t>603125.SH</t>
  </si>
  <si>
    <t>常青科技</t>
  </si>
  <si>
    <t>300165.SZ</t>
  </si>
  <si>
    <t>002910.SZ</t>
  </si>
  <si>
    <t>301002.SZ</t>
  </si>
  <si>
    <t>688570.SH</t>
  </si>
  <si>
    <t>天玛智控</t>
  </si>
  <si>
    <t>002816.SZ</t>
  </si>
  <si>
    <t>300736.SZ</t>
  </si>
  <si>
    <t>002211.SZ</t>
  </si>
  <si>
    <t>301278.SZ</t>
  </si>
  <si>
    <t>快可电子</t>
  </si>
  <si>
    <t>301023.SZ</t>
  </si>
  <si>
    <t>江南奕帆</t>
  </si>
  <si>
    <t>688265.SH</t>
  </si>
  <si>
    <t>南模生物</t>
  </si>
  <si>
    <t>001219.SZ</t>
  </si>
  <si>
    <t>青岛食品</t>
  </si>
  <si>
    <t>300517.SZ</t>
  </si>
  <si>
    <t>002775.SZ</t>
  </si>
  <si>
    <t>300966.SZ</t>
  </si>
  <si>
    <t>301337.SZ</t>
  </si>
  <si>
    <t>亚华电子</t>
  </si>
  <si>
    <t>688455.SH</t>
  </si>
  <si>
    <t>科捷智能</t>
  </si>
  <si>
    <t>300605.SZ</t>
  </si>
  <si>
    <t>301266.SZ</t>
  </si>
  <si>
    <t>宇邦新材</t>
  </si>
  <si>
    <t>830809.BJ</t>
  </si>
  <si>
    <t>003030.SZ</t>
  </si>
  <si>
    <t>603381.SH</t>
  </si>
  <si>
    <t>永臻股份</t>
  </si>
  <si>
    <t>300462.SZ</t>
  </si>
  <si>
    <t>603057.SH</t>
  </si>
  <si>
    <t>紫燕食品</t>
  </si>
  <si>
    <t>301328.SZ</t>
  </si>
  <si>
    <t>维峰电子</t>
  </si>
  <si>
    <t>603310.SH</t>
  </si>
  <si>
    <t>巍华新材</t>
  </si>
  <si>
    <t>603102.SH</t>
  </si>
  <si>
    <t>百合股份</t>
  </si>
  <si>
    <t>301141.SZ</t>
  </si>
  <si>
    <t>中科磁业</t>
  </si>
  <si>
    <t>301211.SZ</t>
  </si>
  <si>
    <t>亨迪药业</t>
  </si>
  <si>
    <t>300889.SZ</t>
  </si>
  <si>
    <t>300992.SZ</t>
  </si>
  <si>
    <t>688416.SH</t>
  </si>
  <si>
    <t>恒烁股份</t>
  </si>
  <si>
    <t>300834.SZ</t>
  </si>
  <si>
    <t>星辉环材</t>
  </si>
  <si>
    <t>003017.SZ</t>
  </si>
  <si>
    <t>300961.SZ</t>
  </si>
  <si>
    <t>深水海纳</t>
  </si>
  <si>
    <t>301032.SZ</t>
  </si>
  <si>
    <t>300599.SZ</t>
  </si>
  <si>
    <t>300329.SZ</t>
  </si>
  <si>
    <t>688244.SH</t>
  </si>
  <si>
    <t>永信至诚</t>
  </si>
  <si>
    <t>002495.SZ</t>
  </si>
  <si>
    <t>603325.SH</t>
  </si>
  <si>
    <t>博隆技术</t>
  </si>
  <si>
    <t>301536.SZ</t>
  </si>
  <si>
    <t>星宸科技</t>
  </si>
  <si>
    <t>831305.BJ</t>
  </si>
  <si>
    <t>300915.SZ</t>
  </si>
  <si>
    <t>833171.BJ</t>
  </si>
  <si>
    <t>国航远洋</t>
  </si>
  <si>
    <t>000929.SZ</t>
  </si>
  <si>
    <t>603709.SH</t>
  </si>
  <si>
    <t>300553.SZ</t>
  </si>
  <si>
    <t>688038.SH</t>
  </si>
  <si>
    <t>301199.SZ</t>
  </si>
  <si>
    <t>迈赫股份</t>
  </si>
  <si>
    <t>301349.SZ</t>
  </si>
  <si>
    <t>信德新材</t>
  </si>
  <si>
    <t>003037.SZ</t>
  </si>
  <si>
    <t>688511.SH</t>
  </si>
  <si>
    <t>天微电子</t>
  </si>
  <si>
    <t>301218.SZ</t>
  </si>
  <si>
    <t>华是科技</t>
  </si>
  <si>
    <t>301395.SZ</t>
  </si>
  <si>
    <t>仁信新材</t>
  </si>
  <si>
    <t>603312.SH</t>
  </si>
  <si>
    <t>西典新能</t>
  </si>
  <si>
    <t>688075.SH</t>
  </si>
  <si>
    <t>安旭生物</t>
  </si>
  <si>
    <t>001328.SZ</t>
  </si>
  <si>
    <t>登康口腔</t>
  </si>
  <si>
    <t>001360.SZ</t>
  </si>
  <si>
    <t>南矿集团</t>
  </si>
  <si>
    <t>301232.SZ</t>
  </si>
  <si>
    <t>飞沃科技</t>
  </si>
  <si>
    <t>001218.SZ</t>
  </si>
  <si>
    <t>丽臣实业</t>
  </si>
  <si>
    <t>605289.SH</t>
  </si>
  <si>
    <t>罗曼股份</t>
  </si>
  <si>
    <t>002193.SZ</t>
  </si>
  <si>
    <t>688367.SH</t>
  </si>
  <si>
    <t>工大高科</t>
  </si>
  <si>
    <t>301132.SZ</t>
  </si>
  <si>
    <t>满坤科技</t>
  </si>
  <si>
    <t>300220.SZ</t>
  </si>
  <si>
    <t>836892.BJ</t>
  </si>
  <si>
    <t>广咨国际</t>
  </si>
  <si>
    <t>600768.SH</t>
  </si>
  <si>
    <t>836208.BJ</t>
  </si>
  <si>
    <t>青矩技术</t>
  </si>
  <si>
    <t>003018.SZ</t>
  </si>
  <si>
    <t>688307.SH</t>
  </si>
  <si>
    <t>中润光学</t>
  </si>
  <si>
    <t>688112.SH</t>
  </si>
  <si>
    <t>鼎阳科技</t>
  </si>
  <si>
    <t>002798.SZ</t>
  </si>
  <si>
    <t>603316.SH</t>
  </si>
  <si>
    <t>002921.SZ</t>
  </si>
  <si>
    <t>300385.SZ</t>
  </si>
  <si>
    <t>001211.SZ</t>
  </si>
  <si>
    <t>双枪科技</t>
  </si>
  <si>
    <t>300658.SZ</t>
  </si>
  <si>
    <t>603122.SH</t>
  </si>
  <si>
    <t>合富中国</t>
  </si>
  <si>
    <t>603880.SH</t>
  </si>
  <si>
    <t>300838.SZ</t>
  </si>
  <si>
    <t>002871.SZ</t>
  </si>
  <si>
    <t>301389.SZ</t>
  </si>
  <si>
    <t>隆扬电子</t>
  </si>
  <si>
    <t>688156.SH</t>
  </si>
  <si>
    <t>301283.SZ</t>
  </si>
  <si>
    <t>聚胶股份</t>
  </si>
  <si>
    <t>000668.SZ</t>
  </si>
  <si>
    <t>002713.SZ</t>
  </si>
  <si>
    <t>300931.SZ</t>
  </si>
  <si>
    <t>002188.SZ</t>
  </si>
  <si>
    <t>688137.SH</t>
  </si>
  <si>
    <t>近岸蛋白</t>
  </si>
  <si>
    <t>002247.SZ</t>
  </si>
  <si>
    <t>430418.BJ</t>
  </si>
  <si>
    <t>300970.SZ</t>
  </si>
  <si>
    <t>华绿生物</t>
  </si>
  <si>
    <t>301292.SZ</t>
  </si>
  <si>
    <t>海科新源</t>
  </si>
  <si>
    <t>301068.SZ</t>
  </si>
  <si>
    <t>大地海洋</t>
  </si>
  <si>
    <t>301516.SZ</t>
  </si>
  <si>
    <t>中远通</t>
  </si>
  <si>
    <t>001282.SZ</t>
  </si>
  <si>
    <t>三联锻造</t>
  </si>
  <si>
    <t>301396.SZ</t>
  </si>
  <si>
    <t>宏景科技</t>
  </si>
  <si>
    <t>603955.SH</t>
  </si>
  <si>
    <t>603182.SH</t>
  </si>
  <si>
    <t>嘉华股份</t>
  </si>
  <si>
    <t>605303.SH</t>
  </si>
  <si>
    <t>603215.SH</t>
  </si>
  <si>
    <t>比依股份</t>
  </si>
  <si>
    <t>301126.SZ</t>
  </si>
  <si>
    <t>001202.SZ</t>
  </si>
  <si>
    <t>301187.SZ</t>
  </si>
  <si>
    <t>欧圣电气</t>
  </si>
  <si>
    <t>603004.SH</t>
  </si>
  <si>
    <t>鼎龙科技</t>
  </si>
  <si>
    <t>301355.SZ</t>
  </si>
  <si>
    <t>南王科技</t>
  </si>
  <si>
    <t>300564.SZ</t>
  </si>
  <si>
    <t>301565.SZ</t>
  </si>
  <si>
    <t>中仑新材</t>
  </si>
  <si>
    <t>300813.SZ</t>
  </si>
  <si>
    <t>688353.SH</t>
  </si>
  <si>
    <t>华盛锂电</t>
  </si>
  <si>
    <t>301515.SZ</t>
  </si>
  <si>
    <t>港通医疗</t>
  </si>
  <si>
    <t>830879.BJ</t>
  </si>
  <si>
    <t>838163.BJ</t>
  </si>
  <si>
    <t>688203.SH</t>
  </si>
  <si>
    <t>海正生材</t>
  </si>
  <si>
    <t>301111.SZ</t>
  </si>
  <si>
    <t>粤万年青</t>
  </si>
  <si>
    <t>301272.SZ</t>
  </si>
  <si>
    <t>英华特</t>
  </si>
  <si>
    <t>688681.SH</t>
  </si>
  <si>
    <t>300980.SZ</t>
  </si>
  <si>
    <t>300935.SZ</t>
  </si>
  <si>
    <t>300998.SZ</t>
  </si>
  <si>
    <t>宁波方正</t>
  </si>
  <si>
    <t>300876.SZ</t>
  </si>
  <si>
    <t>002591.SZ</t>
  </si>
  <si>
    <t>605567.SH</t>
  </si>
  <si>
    <t>春雪食品</t>
  </si>
  <si>
    <t>301380.SZ</t>
  </si>
  <si>
    <t>挖金客</t>
  </si>
  <si>
    <t>301319.SZ</t>
  </si>
  <si>
    <t>唯特偶</t>
  </si>
  <si>
    <t>301329.SZ</t>
  </si>
  <si>
    <t>信音电子</t>
  </si>
  <si>
    <t>688115.SH</t>
  </si>
  <si>
    <t>思林杰</t>
  </si>
  <si>
    <t>001228.SZ</t>
  </si>
  <si>
    <t>永泰运</t>
  </si>
  <si>
    <t>000010.SZ</t>
  </si>
  <si>
    <t>300649.SZ</t>
  </si>
  <si>
    <t>301289.SZ</t>
  </si>
  <si>
    <t>国缆检测</t>
  </si>
  <si>
    <t>301312.SZ</t>
  </si>
  <si>
    <t>智立方</t>
  </si>
  <si>
    <t>300753.SZ</t>
  </si>
  <si>
    <t>301176.SZ</t>
  </si>
  <si>
    <t>逸豪新材</t>
  </si>
  <si>
    <t>301517.SZ</t>
  </si>
  <si>
    <t>陕西华达</t>
  </si>
  <si>
    <t>839167.BJ</t>
  </si>
  <si>
    <t>300959.SZ</t>
  </si>
  <si>
    <t>603230.SH</t>
  </si>
  <si>
    <t>内蒙新华</t>
  </si>
  <si>
    <t>301202.SZ</t>
  </si>
  <si>
    <t>朗威股份</t>
  </si>
  <si>
    <t>301158.SZ</t>
  </si>
  <si>
    <t>德石股份</t>
  </si>
  <si>
    <t>688081.SH</t>
  </si>
  <si>
    <t>300930.SZ</t>
  </si>
  <si>
    <t>002853.SZ</t>
  </si>
  <si>
    <t>300912.SZ</t>
  </si>
  <si>
    <t>301362.SZ</t>
  </si>
  <si>
    <t>民爆光电</t>
  </si>
  <si>
    <t>301197.SZ</t>
  </si>
  <si>
    <t>工大科雅</t>
  </si>
  <si>
    <t>002809.SZ</t>
  </si>
  <si>
    <t>300865.SZ</t>
  </si>
  <si>
    <t>003011.SZ</t>
  </si>
  <si>
    <t>688607.SH</t>
  </si>
  <si>
    <t>301001.SZ</t>
  </si>
  <si>
    <t>600193.SH</t>
  </si>
  <si>
    <t>301009.SZ</t>
  </si>
  <si>
    <t>300952.SZ</t>
  </si>
  <si>
    <t>301600.SZ</t>
  </si>
  <si>
    <t>慧翰股份</t>
  </si>
  <si>
    <t>002898.SZ</t>
  </si>
  <si>
    <t>603344.SH</t>
  </si>
  <si>
    <t>星德胜</t>
  </si>
  <si>
    <t>301067.SZ</t>
  </si>
  <si>
    <t>显盈科技</t>
  </si>
  <si>
    <t>834261.BJ</t>
  </si>
  <si>
    <t>一诺威</t>
  </si>
  <si>
    <t>002719.SZ</t>
  </si>
  <si>
    <t>688435.SH</t>
  </si>
  <si>
    <t>英方软件</t>
  </si>
  <si>
    <t>603211.SH</t>
  </si>
  <si>
    <t>晋拓股份</t>
  </si>
  <si>
    <t>300958.SZ</t>
  </si>
  <si>
    <t>603070.SH</t>
  </si>
  <si>
    <t>万控智造</t>
  </si>
  <si>
    <t>301022.SZ</t>
  </si>
  <si>
    <t>海泰科</t>
  </si>
  <si>
    <t>301135.SZ</t>
  </si>
  <si>
    <t>瑞德智能</t>
  </si>
  <si>
    <t>301519.SZ</t>
  </si>
  <si>
    <t>舜禹股份</t>
  </si>
  <si>
    <t>430510.BJ</t>
  </si>
  <si>
    <t>丰光精密</t>
  </si>
  <si>
    <t>300640.SZ</t>
  </si>
  <si>
    <t>301027.SZ</t>
  </si>
  <si>
    <t>华蓝集团</t>
  </si>
  <si>
    <t>300478.SZ</t>
  </si>
  <si>
    <t>301190.SZ</t>
  </si>
  <si>
    <t>善水科技</t>
  </si>
  <si>
    <t>603270.SH</t>
  </si>
  <si>
    <t>金帝股份</t>
  </si>
  <si>
    <t>688061.SH</t>
  </si>
  <si>
    <t>灿瑞科技</t>
  </si>
  <si>
    <t>300892.SZ</t>
  </si>
  <si>
    <t>300126.SZ</t>
  </si>
  <si>
    <t>002513.SZ</t>
  </si>
  <si>
    <t>001380.SZ</t>
  </si>
  <si>
    <t>华纬科技</t>
  </si>
  <si>
    <t>603130.SH</t>
  </si>
  <si>
    <t>云中马</t>
  </si>
  <si>
    <t>603082.SH</t>
  </si>
  <si>
    <t>北自科技</t>
  </si>
  <si>
    <t>002887.SZ</t>
  </si>
  <si>
    <t>301338.SZ</t>
  </si>
  <si>
    <t>凯格精机</t>
  </si>
  <si>
    <t>831961.BJ</t>
  </si>
  <si>
    <t>603173.SH</t>
  </si>
  <si>
    <t>福斯达</t>
  </si>
  <si>
    <t>600539.SH</t>
  </si>
  <si>
    <t>301280.SZ</t>
  </si>
  <si>
    <t>珠城科技</t>
  </si>
  <si>
    <t>001210.SZ</t>
  </si>
  <si>
    <t>金房能源</t>
  </si>
  <si>
    <t>301392.SZ</t>
  </si>
  <si>
    <t>汇成真空</t>
  </si>
  <si>
    <t>301335.SZ</t>
  </si>
  <si>
    <t>天元宠物</t>
  </si>
  <si>
    <t>603282.SH</t>
  </si>
  <si>
    <t>亚光股份</t>
  </si>
  <si>
    <t>688067.SH</t>
  </si>
  <si>
    <t>301548.SZ</t>
  </si>
  <si>
    <t>崇德科技</t>
  </si>
  <si>
    <t>300984.SZ</t>
  </si>
  <si>
    <t>金沃股份</t>
  </si>
  <si>
    <t>301580.SZ</t>
  </si>
  <si>
    <t>爱迪特</t>
  </si>
  <si>
    <t>603021.SH</t>
  </si>
  <si>
    <t>301320.SZ</t>
  </si>
  <si>
    <t>豪江智能</t>
  </si>
  <si>
    <t>301277.SZ</t>
  </si>
  <si>
    <t>新天地</t>
  </si>
  <si>
    <t>603273.SH</t>
  </si>
  <si>
    <t>天元智能</t>
  </si>
  <si>
    <t>871753.BJ</t>
  </si>
  <si>
    <t>天纺标</t>
  </si>
  <si>
    <t>001359.SZ</t>
  </si>
  <si>
    <t>平安电工</t>
  </si>
  <si>
    <t>603201.SH</t>
  </si>
  <si>
    <t>常润股份</t>
  </si>
  <si>
    <t>301178.SZ</t>
  </si>
  <si>
    <t>天亿马</t>
  </si>
  <si>
    <t>688737.SH</t>
  </si>
  <si>
    <t>中自科技</t>
  </si>
  <si>
    <t>831087.BJ</t>
  </si>
  <si>
    <t>秋乐种业</t>
  </si>
  <si>
    <t>688296.SH</t>
  </si>
  <si>
    <t>和达科技</t>
  </si>
  <si>
    <t>835174.BJ</t>
  </si>
  <si>
    <t>832522.BJ</t>
  </si>
  <si>
    <t>纳科诺尔</t>
  </si>
  <si>
    <t>835179.BJ</t>
  </si>
  <si>
    <t>凯德石英</t>
  </si>
  <si>
    <t>300535.SZ</t>
  </si>
  <si>
    <t>301418.SZ</t>
  </si>
  <si>
    <t>协昌科技</t>
  </si>
  <si>
    <t>605566.SH</t>
  </si>
  <si>
    <t>福莱蒽特</t>
  </si>
  <si>
    <t>301226.SZ</t>
  </si>
  <si>
    <t>祥明智能</t>
  </si>
  <si>
    <t>301092.SZ</t>
  </si>
  <si>
    <t>争光股份</t>
  </si>
  <si>
    <t>688236.SH</t>
  </si>
  <si>
    <t>春立医疗</t>
  </si>
  <si>
    <t>300816.SZ</t>
  </si>
  <si>
    <t>300929.SZ</t>
  </si>
  <si>
    <t>华骐环保</t>
  </si>
  <si>
    <t>688316.SH</t>
  </si>
  <si>
    <t>301538.SZ</t>
  </si>
  <si>
    <t>骏鼎达</t>
  </si>
  <si>
    <t>839493.BJ</t>
  </si>
  <si>
    <t>并行科技</t>
  </si>
  <si>
    <t>301310.SZ</t>
  </si>
  <si>
    <t>鑫宏业</t>
  </si>
  <si>
    <t>688309.SH</t>
  </si>
  <si>
    <t>003003.SZ</t>
  </si>
  <si>
    <t>301448.SZ</t>
  </si>
  <si>
    <t>开创电气</t>
  </si>
  <si>
    <t>688659.SH</t>
  </si>
  <si>
    <t>002494.SZ</t>
  </si>
  <si>
    <t>301503.SZ</t>
  </si>
  <si>
    <t>智迪科技</t>
  </si>
  <si>
    <t>301512.SZ</t>
  </si>
  <si>
    <t>智信精密</t>
  </si>
  <si>
    <t>430017.BJ</t>
  </si>
  <si>
    <t>星昊医药</t>
  </si>
  <si>
    <t>688230.SH</t>
  </si>
  <si>
    <t>芯导科技</t>
  </si>
  <si>
    <t>603207.SH</t>
  </si>
  <si>
    <t>小方制药</t>
  </si>
  <si>
    <t>836239.BJ</t>
  </si>
  <si>
    <t>长虹能源</t>
  </si>
  <si>
    <t>301558.SZ</t>
  </si>
  <si>
    <t>三态股份</t>
  </si>
  <si>
    <t>301489.SZ</t>
  </si>
  <si>
    <t>思泉新材</t>
  </si>
  <si>
    <t>301169.SZ</t>
  </si>
  <si>
    <t>零点有数</t>
  </si>
  <si>
    <t>688479.SH</t>
  </si>
  <si>
    <t>友车科技</t>
  </si>
  <si>
    <t>301106.SZ</t>
  </si>
  <si>
    <t>骏成科技</t>
  </si>
  <si>
    <t>301213.SZ</t>
  </si>
  <si>
    <t>观想科技</t>
  </si>
  <si>
    <t>301326.SZ</t>
  </si>
  <si>
    <t>捷邦科技</t>
  </si>
  <si>
    <t>301063.SZ</t>
  </si>
  <si>
    <t>海锅股份</t>
  </si>
  <si>
    <t>688691.SH</t>
  </si>
  <si>
    <t>灿芯股份</t>
  </si>
  <si>
    <t>300920.SZ</t>
  </si>
  <si>
    <t>300651.SZ</t>
  </si>
  <si>
    <t>301606.SZ</t>
  </si>
  <si>
    <t>绿联科技</t>
  </si>
  <si>
    <t>301235.SZ</t>
  </si>
  <si>
    <t>华康医疗</t>
  </si>
  <si>
    <t>301596.SZ</t>
  </si>
  <si>
    <t>瑞迪智驱</t>
  </si>
  <si>
    <t>002856.SZ</t>
  </si>
  <si>
    <t>301229.SZ</t>
  </si>
  <si>
    <t>纽泰格</t>
  </si>
  <si>
    <t>301378.SZ</t>
  </si>
  <si>
    <t>通达海</t>
  </si>
  <si>
    <t>835438.BJ</t>
  </si>
  <si>
    <t>戈碧迦</t>
  </si>
  <si>
    <t>300904.SZ</t>
  </si>
  <si>
    <t>威力传动</t>
  </si>
  <si>
    <t>688592.SH</t>
  </si>
  <si>
    <t>司南导航</t>
  </si>
  <si>
    <t>301159.SZ</t>
  </si>
  <si>
    <t>三维天地</t>
  </si>
  <si>
    <t>001222.SZ</t>
  </si>
  <si>
    <t>源飞宠物</t>
  </si>
  <si>
    <t>301040.SZ</t>
  </si>
  <si>
    <t>中环海陆</t>
  </si>
  <si>
    <t>688679.SH</t>
  </si>
  <si>
    <t>301079.SZ</t>
  </si>
  <si>
    <t>301256.SZ</t>
  </si>
  <si>
    <t>华融化学</t>
  </si>
  <si>
    <t>301608.SZ</t>
  </si>
  <si>
    <t>博实结</t>
  </si>
  <si>
    <t>301603.SZ</t>
  </si>
  <si>
    <t>乔锋智能</t>
  </si>
  <si>
    <t>001296.SZ</t>
  </si>
  <si>
    <t>长江材料</t>
  </si>
  <si>
    <t>300405.SZ</t>
  </si>
  <si>
    <t>832089.BJ</t>
  </si>
  <si>
    <t>禾昌聚合</t>
  </si>
  <si>
    <t>688045.SH</t>
  </si>
  <si>
    <t>必易微</t>
  </si>
  <si>
    <t>603391.SH</t>
  </si>
  <si>
    <t>力聚热能</t>
  </si>
  <si>
    <t>301118.SZ</t>
  </si>
  <si>
    <t>301189.SZ</t>
  </si>
  <si>
    <t>奥尼电子</t>
  </si>
  <si>
    <t>688004.SH</t>
  </si>
  <si>
    <t>300749.SZ</t>
  </si>
  <si>
    <t>301231.SZ</t>
  </si>
  <si>
    <t>荣信文化</t>
  </si>
  <si>
    <t>003023.SZ</t>
  </si>
  <si>
    <t>301210.SZ</t>
  </si>
  <si>
    <t>金杨股份</t>
  </si>
  <si>
    <t>300823.SZ</t>
  </si>
  <si>
    <t>301419.SZ</t>
  </si>
  <si>
    <t>阿莱德</t>
  </si>
  <si>
    <t>688215.SH</t>
  </si>
  <si>
    <t>301398.SZ</t>
  </si>
  <si>
    <t>星源卓镁</t>
  </si>
  <si>
    <t>002620.SZ</t>
  </si>
  <si>
    <t>301167.SZ</t>
  </si>
  <si>
    <t>建研设计</t>
  </si>
  <si>
    <t>001373.SZ</t>
  </si>
  <si>
    <t>翔腾新材</t>
  </si>
  <si>
    <t>301098.SZ</t>
  </si>
  <si>
    <t>831039.BJ</t>
  </si>
  <si>
    <t>603813.SH</t>
  </si>
  <si>
    <t>300886.SZ</t>
  </si>
  <si>
    <t>603097.SH</t>
  </si>
  <si>
    <t>江苏华辰</t>
  </si>
  <si>
    <t>833429.BJ</t>
  </si>
  <si>
    <t>康比特</t>
  </si>
  <si>
    <t>833914.BJ</t>
  </si>
  <si>
    <t>远航精密</t>
  </si>
  <si>
    <t>603163.SH</t>
  </si>
  <si>
    <t>圣晖集成</t>
  </si>
  <si>
    <t>301082.SZ</t>
  </si>
  <si>
    <t>久盛电气</t>
  </si>
  <si>
    <t>688651.SH</t>
  </si>
  <si>
    <t>盛邦安全</t>
  </si>
  <si>
    <t>300995.SZ</t>
  </si>
  <si>
    <t>301102.SZ</t>
  </si>
  <si>
    <t>兆讯传媒</t>
  </si>
  <si>
    <t>301156.SZ</t>
  </si>
  <si>
    <t>美农生物</t>
  </si>
  <si>
    <t>688217.SH</t>
  </si>
  <si>
    <t>301373.SZ</t>
  </si>
  <si>
    <t>凌玮科技</t>
  </si>
  <si>
    <t>688162.SH</t>
  </si>
  <si>
    <t>巨一科技</t>
  </si>
  <si>
    <t>832566.BJ</t>
  </si>
  <si>
    <t>300878.SZ</t>
  </si>
  <si>
    <t>301108.SZ</t>
  </si>
  <si>
    <t>洁雅股份</t>
  </si>
  <si>
    <t>688096.SH</t>
  </si>
  <si>
    <t>603190.SH</t>
  </si>
  <si>
    <t>亚通精工</t>
  </si>
  <si>
    <t>603062.SH</t>
  </si>
  <si>
    <t>麦加芯彩</t>
  </si>
  <si>
    <t>001230.SZ</t>
  </si>
  <si>
    <t>劲旅环境</t>
  </si>
  <si>
    <t>301607.SZ</t>
  </si>
  <si>
    <t>富特科技</t>
  </si>
  <si>
    <t>301386.SZ</t>
  </si>
  <si>
    <t>未来电器</t>
  </si>
  <si>
    <t>688273.SH</t>
  </si>
  <si>
    <t>麦澜德</t>
  </si>
  <si>
    <t>300665.SZ</t>
  </si>
  <si>
    <t>301161.SZ</t>
  </si>
  <si>
    <t>唯万密封</t>
  </si>
  <si>
    <t>832978.BJ</t>
  </si>
  <si>
    <t>开特股份</t>
  </si>
  <si>
    <t>301390.SZ</t>
  </si>
  <si>
    <t>经纬股份</t>
  </si>
  <si>
    <t>301586.SZ</t>
  </si>
  <si>
    <t>佳力奇</t>
  </si>
  <si>
    <t>301203.SZ</t>
  </si>
  <si>
    <t>国泰环保</t>
  </si>
  <si>
    <t>301372.SZ</t>
  </si>
  <si>
    <t>科净源</t>
  </si>
  <si>
    <t>001316.SZ</t>
  </si>
  <si>
    <t>润贝航科</t>
  </si>
  <si>
    <t>835305.BJ</t>
  </si>
  <si>
    <t>云创数据</t>
  </si>
  <si>
    <t>001318.SZ</t>
  </si>
  <si>
    <t>阳光乳业</t>
  </si>
  <si>
    <t>688448.SH</t>
  </si>
  <si>
    <t>磁谷科技</t>
  </si>
  <si>
    <t>301567.SZ</t>
  </si>
  <si>
    <t>贝隆精密</t>
  </si>
  <si>
    <t>301252.SZ</t>
  </si>
  <si>
    <t>同星科技</t>
  </si>
  <si>
    <t>603285.SH</t>
  </si>
  <si>
    <t>键邦股份</t>
  </si>
  <si>
    <t>688053.SH</t>
  </si>
  <si>
    <t>思科瑞</t>
  </si>
  <si>
    <t>688584.SH</t>
  </si>
  <si>
    <t>上海合晶</t>
  </si>
  <si>
    <t>301180.SZ</t>
  </si>
  <si>
    <t>688178.SH</t>
  </si>
  <si>
    <t>001216.SZ</t>
  </si>
  <si>
    <t>华瓷股份</t>
  </si>
  <si>
    <t>688693.SH</t>
  </si>
  <si>
    <t>锴威特</t>
  </si>
  <si>
    <t>000820.SZ</t>
  </si>
  <si>
    <t>001332.SZ</t>
  </si>
  <si>
    <t>锡装股份</t>
  </si>
  <si>
    <t>301518.SZ</t>
  </si>
  <si>
    <t>长华化学</t>
  </si>
  <si>
    <t>603350.SH</t>
  </si>
  <si>
    <t>安乃达</t>
  </si>
  <si>
    <t>301413.SZ</t>
  </si>
  <si>
    <t>安培龙</t>
  </si>
  <si>
    <t>301151.SZ</t>
  </si>
  <si>
    <t>冠龙节能</t>
  </si>
  <si>
    <t>301181.SZ</t>
  </si>
  <si>
    <t>标榜股份</t>
  </si>
  <si>
    <t>301566.SZ</t>
  </si>
  <si>
    <t>达利凯普</t>
  </si>
  <si>
    <t>833523.BJ</t>
  </si>
  <si>
    <t>688193.SH</t>
  </si>
  <si>
    <t>仁度生物</t>
  </si>
  <si>
    <t>688251.SH</t>
  </si>
  <si>
    <t>井松智能</t>
  </si>
  <si>
    <t>001239.SZ</t>
  </si>
  <si>
    <t>永达股份</t>
  </si>
  <si>
    <t>301177.SZ</t>
  </si>
  <si>
    <t>迪阿股份</t>
  </si>
  <si>
    <t>688370.SH</t>
  </si>
  <si>
    <t>丛麟科技</t>
  </si>
  <si>
    <t>301237.SZ</t>
  </si>
  <si>
    <t>和顺科技</t>
  </si>
  <si>
    <t>301182.SZ</t>
  </si>
  <si>
    <t>凯旺科技</t>
  </si>
  <si>
    <t>301192.SZ</t>
  </si>
  <si>
    <t>838837.BJ</t>
  </si>
  <si>
    <t>华原股份</t>
  </si>
  <si>
    <t>301356.SZ</t>
  </si>
  <si>
    <t>天振股份</t>
  </si>
  <si>
    <t>873806.BJ</t>
  </si>
  <si>
    <t>云星宇</t>
  </si>
  <si>
    <t>688163.SH</t>
  </si>
  <si>
    <t>赛伦生物</t>
  </si>
  <si>
    <t>603151.SH</t>
  </si>
  <si>
    <t>邦基科技</t>
  </si>
  <si>
    <t>834415.BJ</t>
  </si>
  <si>
    <t>300417.SZ</t>
  </si>
  <si>
    <t>301331.SZ</t>
  </si>
  <si>
    <t>恩威医药</t>
  </si>
  <si>
    <t>301387.SZ</t>
  </si>
  <si>
    <t>光大同创</t>
  </si>
  <si>
    <t>300899.SZ</t>
  </si>
  <si>
    <t>835237.BJ</t>
  </si>
  <si>
    <t>力佳科技</t>
  </si>
  <si>
    <t>873001.BJ</t>
  </si>
  <si>
    <t>纬达光电</t>
  </si>
  <si>
    <t>603137.SH</t>
  </si>
  <si>
    <t>恒尚节能</t>
  </si>
  <si>
    <t>688237.SH</t>
  </si>
  <si>
    <t>超卓航科</t>
  </si>
  <si>
    <t>001333.SZ</t>
  </si>
  <si>
    <t>光华股份</t>
  </si>
  <si>
    <t>001376.SZ</t>
  </si>
  <si>
    <t>百通能源</t>
  </si>
  <si>
    <t>301317.SZ</t>
  </si>
  <si>
    <t>鑫磊股份</t>
  </si>
  <si>
    <t>301258.SZ</t>
  </si>
  <si>
    <t>富士莱</t>
  </si>
  <si>
    <t>688485.SH</t>
  </si>
  <si>
    <t>九州一轨</t>
  </si>
  <si>
    <t>301255.SZ</t>
  </si>
  <si>
    <t>通力科技</t>
  </si>
  <si>
    <t>301499.SZ</t>
  </si>
  <si>
    <t>维科精密</t>
  </si>
  <si>
    <t>001238.SZ</t>
  </si>
  <si>
    <t>浙江正特</t>
  </si>
  <si>
    <t>838971.BJ</t>
  </si>
  <si>
    <t>天马新材</t>
  </si>
  <si>
    <t>603231.SH</t>
  </si>
  <si>
    <t>索宝蛋白</t>
  </si>
  <si>
    <t>688227.SH</t>
  </si>
  <si>
    <t>品高股份</t>
  </si>
  <si>
    <t>301225.SZ</t>
  </si>
  <si>
    <t>恒勃股份</t>
  </si>
  <si>
    <t>301077.SZ</t>
  </si>
  <si>
    <t>星华新材</t>
  </si>
  <si>
    <t>835985.BJ</t>
  </si>
  <si>
    <t>海泰新能</t>
  </si>
  <si>
    <t>837592.BJ</t>
  </si>
  <si>
    <t>华信永道</t>
  </si>
  <si>
    <t>301336.SZ</t>
  </si>
  <si>
    <t>301469.SZ</t>
  </si>
  <si>
    <t>恒达新材</t>
  </si>
  <si>
    <t>301112.SZ</t>
  </si>
  <si>
    <t>信邦智能</t>
  </si>
  <si>
    <t>603373.SH</t>
  </si>
  <si>
    <t>安邦护卫</t>
  </si>
  <si>
    <t>001278.SZ</t>
  </si>
  <si>
    <t>一彬科技</t>
  </si>
  <si>
    <t>301122.SZ</t>
  </si>
  <si>
    <t>采纳股份</t>
  </si>
  <si>
    <t>300955.SZ</t>
  </si>
  <si>
    <t>301133.SZ</t>
  </si>
  <si>
    <t>金钟股份</t>
  </si>
  <si>
    <t>301568.SZ</t>
  </si>
  <si>
    <t>思泰克</t>
  </si>
  <si>
    <t>301138.SZ</t>
  </si>
  <si>
    <t>华研精机</t>
  </si>
  <si>
    <t>603075.SH</t>
  </si>
  <si>
    <t>热威股份</t>
  </si>
  <si>
    <t>001229.SZ</t>
  </si>
  <si>
    <t>魅视科技</t>
  </si>
  <si>
    <t>301276.SZ</t>
  </si>
  <si>
    <t>嘉曼服饰</t>
  </si>
  <si>
    <t>871857.BJ</t>
  </si>
  <si>
    <t>泓禧科技</t>
  </si>
  <si>
    <t>688450.SH</t>
  </si>
  <si>
    <t>光格科技</t>
  </si>
  <si>
    <t>688721.SH</t>
  </si>
  <si>
    <t>龙图光罩</t>
  </si>
  <si>
    <t>688623.SH</t>
  </si>
  <si>
    <t>双元科技</t>
  </si>
  <si>
    <t>301361.SZ</t>
  </si>
  <si>
    <t>众智科技</t>
  </si>
  <si>
    <t>001300.SZ</t>
  </si>
  <si>
    <t>三柏硕</t>
  </si>
  <si>
    <t>603261.SH</t>
  </si>
  <si>
    <t>立航科技</t>
  </si>
  <si>
    <t>301129.SZ</t>
  </si>
  <si>
    <t>834021.BJ</t>
  </si>
  <si>
    <t>300784.SZ</t>
  </si>
  <si>
    <t>利安科技</t>
  </si>
  <si>
    <t>688175.SH</t>
  </si>
  <si>
    <t>高凌信息</t>
  </si>
  <si>
    <t>001378.SZ</t>
  </si>
  <si>
    <t>德冠新材</t>
  </si>
  <si>
    <t>688329.SH</t>
  </si>
  <si>
    <t>832419.BJ</t>
  </si>
  <si>
    <t>路斯股份</t>
  </si>
  <si>
    <t>001367.SZ</t>
  </si>
  <si>
    <t>海森药业</t>
  </si>
  <si>
    <t>001317.SZ</t>
  </si>
  <si>
    <t>三羊马</t>
  </si>
  <si>
    <t>301500.SZ</t>
  </si>
  <si>
    <t>飞南资源</t>
  </si>
  <si>
    <t>301459.SZ</t>
  </si>
  <si>
    <t>丰茂股份</t>
  </si>
  <si>
    <t>301131.SZ</t>
  </si>
  <si>
    <t>聚赛龙</t>
  </si>
  <si>
    <t>301300.SZ</t>
  </si>
  <si>
    <t>远翔新材</t>
  </si>
  <si>
    <t>836433.BJ</t>
  </si>
  <si>
    <t>688565.SH</t>
  </si>
  <si>
    <t>001266.SZ</t>
  </si>
  <si>
    <t>宏英智能</t>
  </si>
  <si>
    <t>603172.SH</t>
  </si>
  <si>
    <t>万丰股份</t>
  </si>
  <si>
    <t>831152.BJ</t>
  </si>
  <si>
    <t>昆工科技</t>
  </si>
  <si>
    <t>603073.SH</t>
  </si>
  <si>
    <t>彩蝶实业</t>
  </si>
  <si>
    <t>001306.SZ</t>
  </si>
  <si>
    <t>夏厦精密</t>
  </si>
  <si>
    <t>831832.BJ</t>
  </si>
  <si>
    <t>科达自控</t>
  </si>
  <si>
    <t>300983.SZ</t>
  </si>
  <si>
    <t>尤安设计</t>
  </si>
  <si>
    <t>301170.SZ</t>
  </si>
  <si>
    <t>锡南科技</t>
  </si>
  <si>
    <t>301083.SZ</t>
  </si>
  <si>
    <t>百胜智能</t>
  </si>
  <si>
    <t>301533.SZ</t>
  </si>
  <si>
    <t>威马农机</t>
  </si>
  <si>
    <t>001277.SZ</t>
  </si>
  <si>
    <t>速达股份</t>
  </si>
  <si>
    <t>603176.SH</t>
  </si>
  <si>
    <t>汇通集团</t>
  </si>
  <si>
    <t>688710.SH</t>
  </si>
  <si>
    <t>益诺思</t>
  </si>
  <si>
    <t>603375.SH</t>
  </si>
  <si>
    <t>盛景微</t>
  </si>
  <si>
    <t>301100.SZ</t>
  </si>
  <si>
    <t>风光股份</t>
  </si>
  <si>
    <t>301233.SZ</t>
  </si>
  <si>
    <t>盛帮股份</t>
  </si>
  <si>
    <t>301186.SZ</t>
  </si>
  <si>
    <t>超达装备</t>
  </si>
  <si>
    <t>002629.SZ</t>
  </si>
  <si>
    <t>688671.SH</t>
  </si>
  <si>
    <t>碧兴物联</t>
  </si>
  <si>
    <t>688426.SH</t>
  </si>
  <si>
    <t>康为世纪</t>
  </si>
  <si>
    <t>002830.SZ</t>
  </si>
  <si>
    <t>830839.BJ</t>
  </si>
  <si>
    <t>872925.BJ</t>
  </si>
  <si>
    <t>锦好医疗</t>
  </si>
  <si>
    <t>301288.SZ</t>
  </si>
  <si>
    <t>清研环境</t>
  </si>
  <si>
    <t>603276.SH</t>
  </si>
  <si>
    <t>恒兴新材</t>
  </si>
  <si>
    <t>001225.SZ</t>
  </si>
  <si>
    <t>和泰机电</t>
  </si>
  <si>
    <t>688573.SH</t>
  </si>
  <si>
    <t>信宇人</t>
  </si>
  <si>
    <t>301157.SZ</t>
  </si>
  <si>
    <t>华塑科技</t>
  </si>
  <si>
    <t>688171.SH</t>
  </si>
  <si>
    <t>纬德信息</t>
  </si>
  <si>
    <t>688420.SH</t>
  </si>
  <si>
    <t>美腾科技</t>
  </si>
  <si>
    <t>001268.SZ</t>
  </si>
  <si>
    <t>联合精密</t>
  </si>
  <si>
    <t>301088.SZ</t>
  </si>
  <si>
    <t>301578.SZ</t>
  </si>
  <si>
    <t>辰奕智能</t>
  </si>
  <si>
    <t>301591.SZ</t>
  </si>
  <si>
    <t>肯特股份</t>
  </si>
  <si>
    <t>301520.SZ</t>
  </si>
  <si>
    <t>万邦医药</t>
  </si>
  <si>
    <t>834062.BJ</t>
  </si>
  <si>
    <t>科润智控</t>
  </si>
  <si>
    <t>301587.SZ</t>
  </si>
  <si>
    <t>中瑞股份</t>
  </si>
  <si>
    <t>301097.SZ</t>
  </si>
  <si>
    <t>天益医疗</t>
  </si>
  <si>
    <t>301429.SZ</t>
  </si>
  <si>
    <t>森泰股份</t>
  </si>
  <si>
    <t>832023.BJ</t>
  </si>
  <si>
    <t>田野股份</t>
  </si>
  <si>
    <t>301222.SZ</t>
  </si>
  <si>
    <t>浙江恒威</t>
  </si>
  <si>
    <t>430489.BJ</t>
  </si>
  <si>
    <t>833266.BJ</t>
  </si>
  <si>
    <t>301066.SZ</t>
  </si>
  <si>
    <t>万事利</t>
  </si>
  <si>
    <t>873339.BJ</t>
  </si>
  <si>
    <t>恒太照明</t>
  </si>
  <si>
    <t>831010.BJ</t>
  </si>
  <si>
    <t>001358.SZ</t>
  </si>
  <si>
    <t>兴欣新材</t>
  </si>
  <si>
    <t>835670.BJ</t>
  </si>
  <si>
    <t>数字人</t>
  </si>
  <si>
    <t>301163.SZ</t>
  </si>
  <si>
    <t>宏德股份</t>
  </si>
  <si>
    <t>301198.SZ</t>
  </si>
  <si>
    <t>002718.SZ</t>
  </si>
  <si>
    <t>833509.BJ</t>
  </si>
  <si>
    <t>301148.SZ</t>
  </si>
  <si>
    <t>嘉戎技术</t>
  </si>
  <si>
    <t>688021.SH</t>
  </si>
  <si>
    <t>301539.SZ</t>
  </si>
  <si>
    <t>宏鑫科技</t>
  </si>
  <si>
    <t>001387.SZ</t>
  </si>
  <si>
    <t>雪祺电气</t>
  </si>
  <si>
    <t>688653.SH</t>
  </si>
  <si>
    <t>康希通信</t>
  </si>
  <si>
    <t>301502.SZ</t>
  </si>
  <si>
    <t>华阳智能</t>
  </si>
  <si>
    <t>300977.SZ</t>
  </si>
  <si>
    <t>深圳瑞捷</t>
  </si>
  <si>
    <t>001256.SZ</t>
  </si>
  <si>
    <t>炜冈科技</t>
  </si>
  <si>
    <t>688285.SH</t>
  </si>
  <si>
    <t>高铁电气</t>
  </si>
  <si>
    <t>300854.SZ</t>
  </si>
  <si>
    <t>中兰环保</t>
  </si>
  <si>
    <t>301552.SZ</t>
  </si>
  <si>
    <t>科力装备</t>
  </si>
  <si>
    <t>873703.BJ</t>
  </si>
  <si>
    <t>广厦环能</t>
  </si>
  <si>
    <t>300844.SZ</t>
  </si>
  <si>
    <t>山水比德</t>
  </si>
  <si>
    <t>688719.SH</t>
  </si>
  <si>
    <t>爱科赛博</t>
  </si>
  <si>
    <t>001366.SZ</t>
  </si>
  <si>
    <t>播恩集团</t>
  </si>
  <si>
    <t>301037.SZ</t>
  </si>
  <si>
    <t>保立佳</t>
  </si>
  <si>
    <t>301357.SZ</t>
  </si>
  <si>
    <t>北方长龙</t>
  </si>
  <si>
    <t>688648.SH</t>
  </si>
  <si>
    <t>中邮科技</t>
  </si>
  <si>
    <t>301081.SZ</t>
  </si>
  <si>
    <t>301399.SZ</t>
  </si>
  <si>
    <t>英特科技</t>
  </si>
  <si>
    <t>688125.SH</t>
  </si>
  <si>
    <t>安达智能</t>
  </si>
  <si>
    <t>300804.SZ</t>
  </si>
  <si>
    <t>广康生化</t>
  </si>
  <si>
    <t>001299.SZ</t>
  </si>
  <si>
    <t>美能能源</t>
  </si>
  <si>
    <t>001368.SZ</t>
  </si>
  <si>
    <t>通达创智</t>
  </si>
  <si>
    <t>837092.BJ</t>
  </si>
  <si>
    <t>001326.SZ</t>
  </si>
  <si>
    <t>联域股份</t>
  </si>
  <si>
    <t>301228.SZ</t>
  </si>
  <si>
    <t>688720.SH</t>
  </si>
  <si>
    <t>艾森股份</t>
  </si>
  <si>
    <t>301353.SZ</t>
  </si>
  <si>
    <t>普莱得</t>
  </si>
  <si>
    <t>301072.SZ</t>
  </si>
  <si>
    <t>中捷精工</t>
  </si>
  <si>
    <t>873693.BJ</t>
  </si>
  <si>
    <t>阿为特</t>
  </si>
  <si>
    <t>836270.BJ</t>
  </si>
  <si>
    <t>天铭科技</t>
  </si>
  <si>
    <t>301555.SZ</t>
  </si>
  <si>
    <t>惠柏新材</t>
  </si>
  <si>
    <t>838171.BJ</t>
  </si>
  <si>
    <t>邦德股份</t>
  </si>
  <si>
    <t>301043.SZ</t>
  </si>
  <si>
    <t>绿岛风</t>
  </si>
  <si>
    <t>838670.BJ</t>
  </si>
  <si>
    <t>恒进感应</t>
  </si>
  <si>
    <t>603280.SH</t>
  </si>
  <si>
    <t>南方路机</t>
  </si>
  <si>
    <t>301309.SZ</t>
  </si>
  <si>
    <t>万得凯</t>
  </si>
  <si>
    <t>871981.BJ</t>
  </si>
  <si>
    <t>晶赛科技</t>
  </si>
  <si>
    <t>835579.BJ</t>
  </si>
  <si>
    <t>机科股份</t>
  </si>
  <si>
    <t>301227.SZ</t>
  </si>
  <si>
    <t>森鹰窗业</t>
  </si>
  <si>
    <t>001223.SZ</t>
  </si>
  <si>
    <t>欧克科技</t>
  </si>
  <si>
    <t>603216.SH</t>
  </si>
  <si>
    <t>梦天家居</t>
  </si>
  <si>
    <t>301577.SZ</t>
  </si>
  <si>
    <t>美信科技</t>
  </si>
  <si>
    <t>837242.BJ</t>
  </si>
  <si>
    <t>830964.BJ</t>
  </si>
  <si>
    <t>838924.BJ</t>
  </si>
  <si>
    <t>广脉科技</t>
  </si>
  <si>
    <t>301209.SZ</t>
  </si>
  <si>
    <t>联合化学</t>
  </si>
  <si>
    <t>301295.SZ</t>
  </si>
  <si>
    <t>美硕科技</t>
  </si>
  <si>
    <t>830974.BJ</t>
  </si>
  <si>
    <t>凯大催化</t>
  </si>
  <si>
    <t>831304.BJ</t>
  </si>
  <si>
    <t>迪尔化工</t>
  </si>
  <si>
    <t>832225.BJ</t>
  </si>
  <si>
    <t>利通科技</t>
  </si>
  <si>
    <t>688130.SH</t>
  </si>
  <si>
    <t>晶华微</t>
  </si>
  <si>
    <t>830832.BJ</t>
  </si>
  <si>
    <t>001231.SZ</t>
  </si>
  <si>
    <t>农心科技</t>
  </si>
  <si>
    <t>831370.BJ</t>
  </si>
  <si>
    <t>301125.SZ</t>
  </si>
  <si>
    <t>腾亚精工</t>
  </si>
  <si>
    <t>835184.BJ</t>
  </si>
  <si>
    <t>833394.BJ</t>
  </si>
  <si>
    <t>民士达</t>
  </si>
  <si>
    <t>872541.BJ</t>
  </si>
  <si>
    <t>铁大科技</t>
  </si>
  <si>
    <t>301273.SZ</t>
  </si>
  <si>
    <t>瑞晨环保</t>
  </si>
  <si>
    <t>301388.SZ</t>
  </si>
  <si>
    <t>欣灵电气</t>
  </si>
  <si>
    <t>831195.BJ</t>
  </si>
  <si>
    <t>三祥科技</t>
  </si>
  <si>
    <t>301279.SZ</t>
  </si>
  <si>
    <t>金道科技</t>
  </si>
  <si>
    <t>301359.SZ</t>
  </si>
  <si>
    <t>东南电子</t>
  </si>
  <si>
    <t>301365.SZ</t>
  </si>
  <si>
    <t>矩阵股份</t>
  </si>
  <si>
    <t>301314.SZ</t>
  </si>
  <si>
    <t>科瑞思</t>
  </si>
  <si>
    <t>001209.SZ</t>
  </si>
  <si>
    <t>洪兴股份</t>
  </si>
  <si>
    <t>834682.BJ</t>
  </si>
  <si>
    <t>688291.SH</t>
  </si>
  <si>
    <t>金橙子</t>
  </si>
  <si>
    <t>001331.SZ</t>
  </si>
  <si>
    <t>胜通能源</t>
  </si>
  <si>
    <t>301446.SZ</t>
  </si>
  <si>
    <t>福事特</t>
  </si>
  <si>
    <t>605069.SH</t>
  </si>
  <si>
    <t>正和生态</t>
  </si>
  <si>
    <t>688716.SH</t>
  </si>
  <si>
    <t>中研股份</t>
  </si>
  <si>
    <t>430090.BJ</t>
  </si>
  <si>
    <t>839680.BJ</t>
  </si>
  <si>
    <t>广道数字</t>
  </si>
  <si>
    <t>832885.BJ</t>
  </si>
  <si>
    <t>星辰科技</t>
  </si>
  <si>
    <t>836247.BJ</t>
  </si>
  <si>
    <t>华密新材</t>
  </si>
  <si>
    <t>301119.SZ</t>
  </si>
  <si>
    <t>正强股份</t>
  </si>
  <si>
    <t>603048.SH</t>
  </si>
  <si>
    <t>浙江黎明</t>
  </si>
  <si>
    <t>603307.SH</t>
  </si>
  <si>
    <t>扬州金泉</t>
  </si>
  <si>
    <t>301212.SZ</t>
  </si>
  <si>
    <t>联盛化学</t>
  </si>
  <si>
    <t>834639.BJ</t>
  </si>
  <si>
    <t>晨光电缆</t>
  </si>
  <si>
    <t>836221.BJ</t>
  </si>
  <si>
    <t>易实精密</t>
  </si>
  <si>
    <t>870357.BJ</t>
  </si>
  <si>
    <t>雅葆轩</t>
  </si>
  <si>
    <t>688695.SH</t>
  </si>
  <si>
    <t>中创股份</t>
  </si>
  <si>
    <t>301075.SZ</t>
  </si>
  <si>
    <t>832469.BJ</t>
  </si>
  <si>
    <t>富恒新材</t>
  </si>
  <si>
    <t>688419.SH</t>
  </si>
  <si>
    <t>耐科装备</t>
  </si>
  <si>
    <t>688610.SH</t>
  </si>
  <si>
    <t>埃科光电</t>
  </si>
  <si>
    <t>430198.BJ</t>
  </si>
  <si>
    <t>831526.BJ</t>
  </si>
  <si>
    <t>凯华材料</t>
  </si>
  <si>
    <t>836395.BJ</t>
  </si>
  <si>
    <t>朗鸿科技</t>
  </si>
  <si>
    <t>001336.SZ</t>
  </si>
  <si>
    <t>楚环科技</t>
  </si>
  <si>
    <t>836807.BJ</t>
  </si>
  <si>
    <t>奔朗新材</t>
  </si>
  <si>
    <t>301107.SZ</t>
  </si>
  <si>
    <t>833454.BJ</t>
  </si>
  <si>
    <t>同心传动</t>
  </si>
  <si>
    <t>831278.BJ</t>
  </si>
  <si>
    <t>泰德股份</t>
  </si>
  <si>
    <t>839946.BJ</t>
  </si>
  <si>
    <t>688530.SH</t>
  </si>
  <si>
    <t>欧莱新材</t>
  </si>
  <si>
    <t>832786.BJ</t>
  </si>
  <si>
    <t>骑士乳业</t>
  </si>
  <si>
    <t>430300.BJ</t>
  </si>
  <si>
    <t>001234.SZ</t>
  </si>
  <si>
    <t>泰慕士</t>
  </si>
  <si>
    <t>688657.SH</t>
  </si>
  <si>
    <t>浩辰软件</t>
  </si>
  <si>
    <t>831726.BJ</t>
  </si>
  <si>
    <t>朱老六</t>
  </si>
  <si>
    <t>001259.SZ</t>
  </si>
  <si>
    <t>利仁科技</t>
  </si>
  <si>
    <t>832149.BJ</t>
  </si>
  <si>
    <t>利尔达</t>
  </si>
  <si>
    <t>301588.SZ</t>
  </si>
  <si>
    <t>美新科技</t>
  </si>
  <si>
    <t>001260.SZ</t>
  </si>
  <si>
    <t>坤泰股份</t>
  </si>
  <si>
    <t>832171.BJ</t>
  </si>
  <si>
    <t>志晟信息</t>
  </si>
  <si>
    <t>836263.BJ</t>
  </si>
  <si>
    <t>870199.BJ</t>
  </si>
  <si>
    <t>倍益康</t>
  </si>
  <si>
    <t>430476.BJ</t>
  </si>
  <si>
    <t>海能技术</t>
  </si>
  <si>
    <t>833427.BJ</t>
  </si>
  <si>
    <t>华维设计</t>
  </si>
  <si>
    <t>837212.BJ</t>
  </si>
  <si>
    <t>智新电子</t>
  </si>
  <si>
    <t>430478.BJ</t>
  </si>
  <si>
    <t>峆一药业</t>
  </si>
  <si>
    <t>836675.BJ</t>
  </si>
  <si>
    <t>831396.BJ</t>
  </si>
  <si>
    <t>许昌智能</t>
  </si>
  <si>
    <t>873152.BJ</t>
  </si>
  <si>
    <t>天宏锂电</t>
  </si>
  <si>
    <t>839719.BJ</t>
  </si>
  <si>
    <t>宁新新材</t>
  </si>
  <si>
    <t>920008.BJ</t>
  </si>
  <si>
    <t>成电光信</t>
  </si>
  <si>
    <t>301234.SZ</t>
  </si>
  <si>
    <t>五洲医疗</t>
  </si>
  <si>
    <t>871396.BJ</t>
  </si>
  <si>
    <t>836720.BJ</t>
  </si>
  <si>
    <t>吉冈精密</t>
  </si>
  <si>
    <t>839729.BJ</t>
  </si>
  <si>
    <t>001255.SZ</t>
  </si>
  <si>
    <t>博菲电气</t>
  </si>
  <si>
    <t>831445.BJ</t>
  </si>
  <si>
    <t>301287.SZ</t>
  </si>
  <si>
    <t>康力源</t>
  </si>
  <si>
    <t>835207.BJ</t>
  </si>
  <si>
    <t>众诚科技</t>
  </si>
  <si>
    <t>001226.SZ</t>
  </si>
  <si>
    <t>拓山重工</t>
  </si>
  <si>
    <t>839790.BJ</t>
  </si>
  <si>
    <t>联迪信息</t>
  </si>
  <si>
    <t>301105.SZ</t>
  </si>
  <si>
    <t>鸿铭股份</t>
  </si>
  <si>
    <t>833781.BJ</t>
  </si>
  <si>
    <t>瑞奇智造</t>
  </si>
  <si>
    <t>688638.SH</t>
  </si>
  <si>
    <t>誉辰智能</t>
  </si>
  <si>
    <t>831689.BJ</t>
  </si>
  <si>
    <t>克莱特</t>
  </si>
  <si>
    <t>430425.BJ</t>
  </si>
  <si>
    <t>乐创技术</t>
  </si>
  <si>
    <t>839725.BJ</t>
  </si>
  <si>
    <t>惠丰钻石</t>
  </si>
  <si>
    <t>430718.BJ</t>
  </si>
  <si>
    <t>合肥高科</t>
  </si>
  <si>
    <t>833751.BJ</t>
  </si>
  <si>
    <t>惠同新材</t>
  </si>
  <si>
    <t>835857.BJ</t>
  </si>
  <si>
    <t>百甲科技</t>
  </si>
  <si>
    <t>603272.SH</t>
  </si>
  <si>
    <t>联翔股份</t>
  </si>
  <si>
    <t>688272.SH</t>
  </si>
  <si>
    <t>831175.BJ</t>
  </si>
  <si>
    <t>派诺科技</t>
  </si>
  <si>
    <t>871553.BJ</t>
  </si>
  <si>
    <t>834014.BJ</t>
  </si>
  <si>
    <t>特瑞斯</t>
  </si>
  <si>
    <t>873305.BJ</t>
  </si>
  <si>
    <t>九菱科技</t>
  </si>
  <si>
    <t>871642.BJ</t>
  </si>
  <si>
    <t>831906.BJ</t>
  </si>
  <si>
    <t>舜宇精工</t>
  </si>
  <si>
    <t>301113.SZ</t>
  </si>
  <si>
    <t>雅艺科技</t>
  </si>
  <si>
    <t>835508.BJ</t>
  </si>
  <si>
    <t>834770.BJ</t>
  </si>
  <si>
    <t>艾能聚</t>
  </si>
  <si>
    <t>872374.BJ</t>
  </si>
  <si>
    <t>云里物里</t>
  </si>
  <si>
    <t>832175.BJ</t>
  </si>
  <si>
    <t>东方碳素</t>
  </si>
  <si>
    <t>870866.BJ</t>
  </si>
  <si>
    <t>绿亨科技</t>
  </si>
  <si>
    <t>838030.BJ</t>
  </si>
  <si>
    <t>870204.BJ</t>
  </si>
  <si>
    <t>沪江材料</t>
  </si>
  <si>
    <t>430685.BJ</t>
  </si>
  <si>
    <t>新芝生物</t>
  </si>
  <si>
    <t>838227.BJ</t>
  </si>
  <si>
    <t>美登科技</t>
  </si>
  <si>
    <t>833533.BJ</t>
  </si>
  <si>
    <t>骏创科技</t>
  </si>
  <si>
    <t>836414.BJ</t>
  </si>
  <si>
    <t>欧普泰</t>
  </si>
  <si>
    <t>301024.SZ</t>
  </si>
  <si>
    <t>霍普股份</t>
  </si>
  <si>
    <t>832278.BJ</t>
  </si>
  <si>
    <t>832876.BJ</t>
  </si>
  <si>
    <t>慧为智能</t>
  </si>
  <si>
    <t>872953.BJ</t>
  </si>
  <si>
    <t>国子软件</t>
  </si>
  <si>
    <t>838701.BJ</t>
  </si>
  <si>
    <t>豪声电子</t>
  </si>
  <si>
    <t>834950.BJ</t>
  </si>
  <si>
    <t>迅安科技</t>
  </si>
  <si>
    <t>873223.BJ</t>
  </si>
  <si>
    <t>荣亿精密</t>
  </si>
  <si>
    <t>833873.BJ</t>
  </si>
  <si>
    <t>中设咨询</t>
  </si>
  <si>
    <t>837046.BJ</t>
  </si>
  <si>
    <t>亿能电力</t>
  </si>
  <si>
    <t>833943.BJ</t>
  </si>
  <si>
    <t>优机股份</t>
  </si>
  <si>
    <t>836826.BJ</t>
  </si>
  <si>
    <t>839792.BJ</t>
  </si>
  <si>
    <t>东和新材</t>
  </si>
  <si>
    <t>871634.BJ</t>
  </si>
  <si>
    <t>新威凌</t>
  </si>
  <si>
    <t>430556.BJ</t>
  </si>
  <si>
    <t>雅达股份</t>
  </si>
  <si>
    <t>873169.BJ</t>
  </si>
  <si>
    <t>870436.BJ</t>
  </si>
  <si>
    <t>大地电气</t>
  </si>
  <si>
    <t>831768.BJ</t>
  </si>
  <si>
    <t>拾比佰</t>
  </si>
  <si>
    <t>833580.BJ</t>
  </si>
  <si>
    <t>科创新材</t>
  </si>
  <si>
    <t>833230.BJ</t>
  </si>
  <si>
    <t>欧康医药</t>
  </si>
  <si>
    <t>832000.BJ</t>
  </si>
  <si>
    <t>安徽凤凰</t>
  </si>
  <si>
    <t>836149.BJ</t>
  </si>
  <si>
    <t>837663.BJ</t>
  </si>
  <si>
    <t>明阳科技</t>
  </si>
  <si>
    <t>873570.BJ</t>
  </si>
  <si>
    <t>坤博精工</t>
  </si>
  <si>
    <t>430564.BJ</t>
  </si>
  <si>
    <t>天润科技</t>
  </si>
  <si>
    <t>833346.BJ</t>
  </si>
  <si>
    <t>威贸电子</t>
  </si>
  <si>
    <t>836547.BJ</t>
  </si>
  <si>
    <t>无锡晶海</t>
  </si>
  <si>
    <t>870508.BJ</t>
  </si>
  <si>
    <t>丰安股份</t>
  </si>
  <si>
    <t>834475.BJ</t>
  </si>
  <si>
    <t>831641.BJ</t>
  </si>
  <si>
    <t>格利尔</t>
  </si>
  <si>
    <t>831627.BJ</t>
  </si>
  <si>
    <t>力王股份</t>
  </si>
  <si>
    <t>837006.BJ</t>
  </si>
  <si>
    <t>晟楠科技</t>
  </si>
  <si>
    <t>831167.BJ</t>
  </si>
  <si>
    <t>鑫汇科</t>
  </si>
  <si>
    <t>920016.BJ</t>
  </si>
  <si>
    <t>中草香料</t>
  </si>
  <si>
    <t>837023.BJ</t>
  </si>
  <si>
    <t>芭薇股份</t>
  </si>
  <si>
    <t>836422.BJ</t>
  </si>
  <si>
    <t>润普食品</t>
  </si>
  <si>
    <t>873665.BJ</t>
  </si>
  <si>
    <t>科强股份</t>
  </si>
  <si>
    <t>872392.BJ</t>
  </si>
  <si>
    <t>佳合科技</t>
  </si>
  <si>
    <t>688701.SH</t>
  </si>
  <si>
    <t>831834.BJ</t>
  </si>
  <si>
    <t>833075.BJ</t>
  </si>
  <si>
    <t>柏星龙</t>
  </si>
  <si>
    <t>836419.BJ</t>
  </si>
  <si>
    <t>万德股份</t>
  </si>
  <si>
    <t>832471.BJ</t>
  </si>
  <si>
    <t>美邦科技</t>
  </si>
  <si>
    <t>834765.BJ</t>
  </si>
  <si>
    <t>833030.BJ</t>
  </si>
  <si>
    <t>立方控股</t>
  </si>
  <si>
    <t>838275.BJ</t>
  </si>
  <si>
    <t>836942.BJ</t>
  </si>
  <si>
    <t>恒立钻具</t>
  </si>
  <si>
    <t>873726.BJ</t>
  </si>
  <si>
    <t>卓兆点胶</t>
  </si>
  <si>
    <t>839273.BJ</t>
  </si>
  <si>
    <t>一致魔芋</t>
  </si>
  <si>
    <t>871694.BJ</t>
  </si>
  <si>
    <t>中裕科技</t>
  </si>
  <si>
    <t>830779.BJ</t>
  </si>
  <si>
    <t>武汉蓝电</t>
  </si>
  <si>
    <t>920118.BJ</t>
  </si>
  <si>
    <t>太湖远大</t>
  </si>
  <si>
    <t>871263.BJ</t>
  </si>
  <si>
    <t>莱赛激光</t>
  </si>
  <si>
    <t>873527.BJ</t>
  </si>
  <si>
    <t>夜光明</t>
  </si>
  <si>
    <t>837403.BJ</t>
  </si>
  <si>
    <t>康农种业</t>
  </si>
  <si>
    <t>873833.BJ</t>
  </si>
  <si>
    <t>美心翼申</t>
  </si>
  <si>
    <t>873690.BJ</t>
  </si>
  <si>
    <t>捷众科技</t>
  </si>
  <si>
    <t>838810.BJ</t>
  </si>
  <si>
    <t>春光药装</t>
  </si>
  <si>
    <t>836871.BJ</t>
  </si>
  <si>
    <t>派特尔</t>
  </si>
  <si>
    <t>871970.BJ</t>
  </si>
  <si>
    <t>大禹生物</t>
  </si>
  <si>
    <t>871245.BJ</t>
  </si>
  <si>
    <t>威博液压</t>
  </si>
  <si>
    <t>871478.BJ</t>
  </si>
  <si>
    <t>巨能股份</t>
  </si>
  <si>
    <t>833284.BJ</t>
  </si>
  <si>
    <t>灵鸽科技</t>
  </si>
  <si>
    <t>836699.BJ</t>
  </si>
  <si>
    <t>海达尔</t>
  </si>
  <si>
    <t>838262.BJ</t>
  </si>
  <si>
    <t>太湖雪</t>
  </si>
  <si>
    <t>836260.BJ</t>
  </si>
  <si>
    <t>中寰股份</t>
  </si>
  <si>
    <t>835892.BJ</t>
  </si>
  <si>
    <t>中科美菱</t>
  </si>
  <si>
    <t>870976.BJ</t>
  </si>
  <si>
    <t>视声智能</t>
  </si>
  <si>
    <t>834058.BJ</t>
  </si>
  <si>
    <t>华洋赛车</t>
  </si>
  <si>
    <t>839371.BJ</t>
  </si>
  <si>
    <t>欧福蛋业</t>
  </si>
  <si>
    <t>834407.BJ</t>
  </si>
  <si>
    <t>驰诚股份</t>
  </si>
  <si>
    <t>831856.BJ</t>
  </si>
  <si>
    <t>浩淼科技</t>
  </si>
  <si>
    <t>832662.BJ</t>
  </si>
  <si>
    <t>832145.BJ</t>
  </si>
  <si>
    <t>恒合股份</t>
  </si>
  <si>
    <t>836961.BJ</t>
  </si>
  <si>
    <t>西磁科技</t>
  </si>
  <si>
    <t>872351.BJ</t>
  </si>
  <si>
    <t>华光源海</t>
  </si>
  <si>
    <t>831855.BJ</t>
  </si>
  <si>
    <t>浙江大农</t>
  </si>
  <si>
    <t>833455.BJ</t>
  </si>
  <si>
    <t>汇隆活塞</t>
  </si>
  <si>
    <t>870656.BJ</t>
  </si>
  <si>
    <t>海昇药业</t>
  </si>
  <si>
    <t>920002.BJ</t>
  </si>
  <si>
    <t>万达轴承</t>
  </si>
  <si>
    <t>873167.BJ</t>
  </si>
  <si>
    <t>新赣江</t>
  </si>
  <si>
    <t>870299.BJ</t>
  </si>
  <si>
    <t>灿能电力</t>
  </si>
  <si>
    <t>832110.BJ</t>
  </si>
  <si>
    <t>雷特科技</t>
  </si>
  <si>
    <t>837748.BJ</t>
  </si>
  <si>
    <t>路桥信息</t>
  </si>
  <si>
    <t>830896.BJ</t>
  </si>
  <si>
    <t>旺成科技</t>
  </si>
  <si>
    <t>832651.BJ</t>
  </si>
  <si>
    <t>天罡股份</t>
  </si>
  <si>
    <t>873706.BJ</t>
  </si>
  <si>
    <t>铁拓机械</t>
  </si>
  <si>
    <t>837174.BJ</t>
  </si>
  <si>
    <t>宏裕包材</t>
  </si>
  <si>
    <t>836957.BJ</t>
  </si>
  <si>
    <t>汉维科技</t>
  </si>
  <si>
    <t>873679.BJ</t>
  </si>
  <si>
    <t>前进科技</t>
  </si>
  <si>
    <t>873132.BJ</t>
  </si>
  <si>
    <t>泰鹏智能</t>
  </si>
  <si>
    <t>870726.BJ</t>
  </si>
  <si>
    <t>鸿智科技</t>
  </si>
  <si>
    <t>836717.BJ</t>
  </si>
  <si>
    <t>瑞星股份</t>
  </si>
  <si>
    <t>872931.BJ</t>
  </si>
  <si>
    <t>无锡鼎邦</t>
  </si>
  <si>
    <t>836504.BJ</t>
  </si>
  <si>
    <t>博迅生物</t>
  </si>
  <si>
    <t>872895.BJ</t>
  </si>
  <si>
    <t>花溪科技</t>
  </si>
  <si>
    <t>832802.BJ</t>
  </si>
  <si>
    <t>保丽洁</t>
  </si>
  <si>
    <t>600519.SH</t>
    <phoneticPr fontId="2" type="noConversion"/>
  </si>
  <si>
    <t>价格[0918]</t>
  </si>
  <si>
    <t>价格[0918]</t>
    <phoneticPr fontId="2" type="noConversion"/>
  </si>
  <si>
    <t>流通市值[0918]</t>
  </si>
  <si>
    <t>流通市值[0918]</t>
    <phoneticPr fontId="2" type="noConversion"/>
  </si>
  <si>
    <t>济川药业</t>
    <phoneticPr fontId="2" type="noConversion"/>
  </si>
  <si>
    <t>豪迈科技</t>
    <phoneticPr fontId="2" type="noConversion"/>
  </si>
  <si>
    <t>汇川技术</t>
    <phoneticPr fontId="2" type="noConversion"/>
  </si>
  <si>
    <t>天地科技</t>
    <phoneticPr fontId="2" type="noConversion"/>
  </si>
  <si>
    <t>能源/新能源</t>
  </si>
  <si>
    <t>能源/新能源</t>
    <phoneticPr fontId="2" type="noConversion"/>
  </si>
  <si>
    <t>分类</t>
  </si>
  <si>
    <t>https://gushitong.baidu.com/stock/ab-600566</t>
  </si>
  <si>
    <t>https://gushitong.baidu.com/stock/ab-002595</t>
  </si>
  <si>
    <t>https://gushitong.baidu.com/stock/ab-603298</t>
  </si>
  <si>
    <t>https://gushitong.baidu.com/stock/ab-603596</t>
  </si>
  <si>
    <t>https://gushitong.baidu.com/stock/ab-603568</t>
  </si>
  <si>
    <t>https://gushitong.baidu.com/stock/ab-600398</t>
  </si>
  <si>
    <t>https://gushitong.baidu.com/stock/ab-688363</t>
  </si>
  <si>
    <t>https://gushitong.baidu.com/stock/ab-600511</t>
  </si>
  <si>
    <t>https://gushitong.baidu.com/stock/ab-600885</t>
  </si>
  <si>
    <t>https://gushitong.baidu.com/stock/ab-300285</t>
  </si>
  <si>
    <t>https://gushitong.baidu.com/stock/ab-002353</t>
  </si>
  <si>
    <t>https://gushitong.baidu.com/stock/ab-300373</t>
  </si>
  <si>
    <t>https://gushitong.baidu.com/stock/ab-002025</t>
  </si>
  <si>
    <t>https://gushitong.baidu.com/stock/ab-000513</t>
  </si>
  <si>
    <t>https://gushitong.baidu.com/stock/ab-600970</t>
  </si>
  <si>
    <t>https://gushitong.baidu.com/stock/ab-600298</t>
  </si>
  <si>
    <t>https://gushitong.baidu.com/stock/ab-000975</t>
  </si>
  <si>
    <t>https://gushitong.baidu.com/stock/ab-000568</t>
  </si>
  <si>
    <t>https://gushitong.baidu.com/stock/ab-300866</t>
  </si>
  <si>
    <t>https://gushitong.baidu.com/stock/ab-002463</t>
  </si>
  <si>
    <t>https://gushitong.baidu.com/stock/ab-000333</t>
  </si>
  <si>
    <t>https://gushitong.baidu.com/stock/ab-002050</t>
  </si>
  <si>
    <t>https://gushitong.baidu.com/stock/ab-002916</t>
  </si>
  <si>
    <t>三花智控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</si>
</sst>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5" formatCode="0.00_);[Red]\(0.00\)"/>
  </numFmts>
  <fonts count="24" x14ac:knownFonts="1">
    <font>
      <sz val="12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9"/>
      <color rgb="FFFFFFFF"/>
      <name val="Arial"/>
      <family val="2"/>
    </font>
    <font>
      <sz val="9"/>
      <color rgb="FF15212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DD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1C7A80"/>
      </left>
      <right style="medium">
        <color rgb="FF1C7A80"/>
      </right>
      <top style="medium">
        <color rgb="FF1C7A80"/>
      </top>
      <bottom style="medium">
        <color rgb="FF1C7A80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7" applyNumberFormat="0" applyFont="0" applyAlignment="0" applyProtection="0">
      <alignment vertical="center"/>
    </xf>
  </cellStyleXfs>
  <cellXfs count="37">
    <xf numFmtId="0" fontId="0" fillId="0" borderId="0" xfId="0" applyNumberFormat="1"/>
    <xf numFmtId="0" fontId="3" fillId="2" borderId="0" xfId="0" applyNumberFormat="1" applyFont="1" applyFill="1" applyAlignment="1">
      <alignment vertical="center"/>
    </xf>
    <xf numFmtId="0" fontId="0" fillId="0" borderId="0" xfId="0" applyNumberFormat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vertical="center"/>
    </xf>
    <xf numFmtId="0" fontId="0" fillId="0" borderId="4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6" xfId="0" applyNumberFormat="1" applyBorder="1"/>
    <xf numFmtId="0" fontId="0" fillId="0" borderId="7" xfId="0" applyNumberFormat="1" applyBorder="1" applyAlignment="1">
      <alignment vertical="center"/>
    </xf>
    <xf numFmtId="0" fontId="0" fillId="0" borderId="8" xfId="0" applyNumberFormat="1" applyBorder="1" applyAlignment="1">
      <alignment vertical="center"/>
    </xf>
    <xf numFmtId="0" fontId="0" fillId="0" borderId="9" xfId="0" applyNumberFormat="1" applyBorder="1"/>
    <xf numFmtId="0" fontId="0" fillId="0" borderId="5" xfId="0" applyNumberFormat="1" applyBorder="1"/>
    <xf numFmtId="0" fontId="0" fillId="0" borderId="8" xfId="0" applyNumberFormat="1" applyBorder="1"/>
    <xf numFmtId="185" fontId="0" fillId="0" borderId="5" xfId="0" applyNumberFormat="1" applyBorder="1" applyAlignment="1">
      <alignment vertical="center"/>
    </xf>
    <xf numFmtId="185" fontId="0" fillId="0" borderId="8" xfId="0" applyNumberFormat="1" applyBorder="1" applyAlignment="1">
      <alignment vertical="center"/>
    </xf>
    <xf numFmtId="185" fontId="0" fillId="0" borderId="0" xfId="0" applyNumberFormat="1"/>
    <xf numFmtId="0" fontId="0" fillId="0" borderId="0" xfId="0" applyNumberFormat="1" applyBorder="1"/>
    <xf numFmtId="0" fontId="3" fillId="2" borderId="3" xfId="0" applyNumberFormat="1" applyFont="1" applyFill="1" applyBorder="1" applyAlignment="1">
      <alignment vertical="center"/>
    </xf>
    <xf numFmtId="0" fontId="0" fillId="35" borderId="4" xfId="0" applyNumberFormat="1" applyFill="1" applyBorder="1" applyAlignment="1">
      <alignment vertical="center"/>
    </xf>
    <xf numFmtId="0" fontId="0" fillId="35" borderId="5" xfId="0" applyNumberFormat="1" applyFill="1" applyBorder="1" applyAlignment="1">
      <alignment vertical="center"/>
    </xf>
    <xf numFmtId="0" fontId="22" fillId="34" borderId="19" xfId="41" applyNumberFormat="1" applyFont="1" applyFill="1" applyBorder="1" applyAlignment="1">
      <alignment horizontal="center" vertical="center" wrapText="1"/>
    </xf>
    <xf numFmtId="185" fontId="0" fillId="35" borderId="5" xfId="0" applyNumberFormat="1" applyFill="1" applyBorder="1" applyAlignment="1">
      <alignment vertical="center"/>
    </xf>
    <xf numFmtId="0" fontId="23" fillId="0" borderId="19" xfId="41" applyNumberFormat="1" applyFont="1" applyBorder="1" applyAlignment="1">
      <alignment horizontal="center" vertical="center" wrapText="1"/>
    </xf>
    <xf numFmtId="185" fontId="3" fillId="2" borderId="2" xfId="0" applyNumberFormat="1" applyFont="1" applyFill="1" applyBorder="1" applyAlignment="1">
      <alignment vertical="center"/>
    </xf>
    <xf numFmtId="0" fontId="22" fillId="34" borderId="19" xfId="41" applyFont="1" applyFill="1" applyBorder="1" applyAlignment="1">
      <alignment horizontal="center" vertical="center" wrapText="1"/>
    </xf>
    <xf numFmtId="0" fontId="22" fillId="34" borderId="19" xfId="41" applyFont="1" applyFill="1" applyBorder="1" applyAlignment="1">
      <alignment horizontal="left" vertical="center" wrapText="1"/>
    </xf>
    <xf numFmtId="0" fontId="23" fillId="0" borderId="19" xfId="41" applyFont="1" applyBorder="1" applyAlignment="1">
      <alignment horizontal="center" vertical="center" wrapText="1"/>
    </xf>
    <xf numFmtId="2" fontId="23" fillId="0" borderId="19" xfId="41" applyNumberFormat="1" applyFont="1" applyBorder="1" applyAlignment="1">
      <alignment horizontal="right" vertical="center" wrapText="1"/>
    </xf>
    <xf numFmtId="0" fontId="0" fillId="36" borderId="4" xfId="0" applyNumberFormat="1" applyFill="1" applyBorder="1" applyAlignment="1">
      <alignment vertical="center"/>
    </xf>
    <xf numFmtId="0" fontId="0" fillId="36" borderId="5" xfId="0" applyNumberFormat="1" applyFill="1" applyBorder="1" applyAlignment="1">
      <alignment vertical="center"/>
    </xf>
    <xf numFmtId="185" fontId="0" fillId="36" borderId="5" xfId="0" applyNumberFormat="1" applyFill="1" applyBorder="1" applyAlignment="1">
      <alignment vertical="center"/>
    </xf>
    <xf numFmtId="0" fontId="0" fillId="36" borderId="5" xfId="0" applyNumberFormat="1" applyFill="1" applyBorder="1"/>
    <xf numFmtId="0" fontId="0" fillId="36" borderId="0" xfId="0" applyNumberFormat="1" applyFill="1"/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82"/>
  <sheetViews>
    <sheetView workbookViewId="0">
      <selection activeCell="D9" sqref="D9"/>
    </sheetView>
  </sheetViews>
  <sheetFormatPr defaultRowHeight="20.25" customHeight="1" x14ac:dyDescent="0.15"/>
  <cols>
    <col min="1" max="2" width="9.5" style="2" bestFit="1" customWidth="1"/>
    <col min="3" max="3" width="11.625" style="2" bestFit="1" customWidth="1"/>
    <col min="4" max="4" width="12.75" style="2" bestFit="1" customWidth="1"/>
    <col min="5" max="5" width="40.5" style="2" bestFit="1" customWidth="1"/>
    <col min="6" max="16384" width="9" style="2"/>
  </cols>
  <sheetData>
    <row r="1" spans="1:5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25" customHeight="1" x14ac:dyDescent="0.15">
      <c r="A2" s="2" t="s">
        <v>823</v>
      </c>
      <c r="B2" s="2" t="s">
        <v>824</v>
      </c>
      <c r="C2" s="2">
        <v>20.64</v>
      </c>
      <c r="D2" s="2">
        <v>138.1721</v>
      </c>
      <c r="E2" s="2" t="s">
        <v>315</v>
      </c>
    </row>
    <row r="3" spans="1:5" ht="20.25" customHeight="1" x14ac:dyDescent="0.15">
      <c r="A3" s="2" t="s">
        <v>75</v>
      </c>
      <c r="B3" s="2" t="s">
        <v>76</v>
      </c>
      <c r="C3" s="2">
        <v>9.6199999999999992</v>
      </c>
      <c r="D3" s="2">
        <v>36.295900000000003</v>
      </c>
      <c r="E3" s="2" t="s">
        <v>7</v>
      </c>
    </row>
    <row r="4" spans="1:5" ht="20.25" customHeight="1" x14ac:dyDescent="0.15">
      <c r="A4" s="2" t="s">
        <v>4725</v>
      </c>
      <c r="B4" s="2" t="s">
        <v>4726</v>
      </c>
      <c r="C4" s="2">
        <v>9.6199999999999992</v>
      </c>
      <c r="D4" s="2">
        <v>142.57660000000001</v>
      </c>
      <c r="E4" s="2" t="s">
        <v>374</v>
      </c>
    </row>
    <row r="5" spans="1:5" ht="20.25" customHeight="1" x14ac:dyDescent="0.15">
      <c r="A5" s="2" t="s">
        <v>229</v>
      </c>
      <c r="B5" s="2" t="s">
        <v>230</v>
      </c>
      <c r="C5" s="2">
        <v>9.16</v>
      </c>
      <c r="D5" s="2">
        <v>48.524500000000003</v>
      </c>
      <c r="E5" s="2" t="s">
        <v>231</v>
      </c>
    </row>
    <row r="6" spans="1:5" ht="20.25" customHeight="1" x14ac:dyDescent="0.15">
      <c r="A6" s="2" t="s">
        <v>39</v>
      </c>
      <c r="B6" s="2" t="s">
        <v>40</v>
      </c>
      <c r="C6" s="2">
        <v>9.0399999999999991</v>
      </c>
      <c r="D6" s="2">
        <v>4.9760999999999997</v>
      </c>
      <c r="E6" s="2" t="s">
        <v>41</v>
      </c>
    </row>
    <row r="7" spans="1:5" ht="20.25" customHeight="1" x14ac:dyDescent="0.15">
      <c r="A7" s="2" t="s">
        <v>1644</v>
      </c>
      <c r="B7" s="2" t="s">
        <v>1645</v>
      </c>
      <c r="C7" s="2">
        <v>8.32</v>
      </c>
      <c r="D7" s="2">
        <v>24.479399999999998</v>
      </c>
      <c r="E7" s="2" t="s">
        <v>1528</v>
      </c>
    </row>
    <row r="8" spans="1:5" ht="20.25" customHeight="1" x14ac:dyDescent="0.15">
      <c r="A8" s="2" t="s">
        <v>2783</v>
      </c>
      <c r="B8" s="2" t="s">
        <v>2784</v>
      </c>
      <c r="C8" s="2">
        <v>8.14</v>
      </c>
      <c r="D8" s="2">
        <v>80.272800000000004</v>
      </c>
      <c r="E8" s="2" t="s">
        <v>374</v>
      </c>
    </row>
    <row r="9" spans="1:5" ht="20.25" customHeight="1" x14ac:dyDescent="0.15">
      <c r="A9" s="2" t="s">
        <v>1373</v>
      </c>
      <c r="B9" s="2" t="s">
        <v>1374</v>
      </c>
      <c r="C9" s="2">
        <v>7.8</v>
      </c>
      <c r="D9" s="2">
        <v>85.207800000000006</v>
      </c>
      <c r="E9" s="2" t="s">
        <v>7</v>
      </c>
    </row>
    <row r="10" spans="1:5" ht="20.25" customHeight="1" x14ac:dyDescent="0.15">
      <c r="A10" s="2" t="s">
        <v>3286</v>
      </c>
      <c r="B10" s="2" t="s">
        <v>3287</v>
      </c>
      <c r="C10" s="2">
        <v>7.76</v>
      </c>
      <c r="D10" s="2">
        <v>350.70600000000002</v>
      </c>
      <c r="E10" s="2" t="s">
        <v>374</v>
      </c>
    </row>
    <row r="11" spans="1:5" ht="20.25" customHeight="1" x14ac:dyDescent="0.15">
      <c r="A11" s="2" t="s">
        <v>399</v>
      </c>
      <c r="B11" s="2" t="s">
        <v>400</v>
      </c>
      <c r="C11" s="2">
        <v>7.66</v>
      </c>
      <c r="D11" s="2">
        <v>38.8521</v>
      </c>
      <c r="E11" s="2" t="s">
        <v>231</v>
      </c>
    </row>
    <row r="12" spans="1:5" ht="20.25" customHeight="1" x14ac:dyDescent="0.15">
      <c r="A12" s="2" t="s">
        <v>557</v>
      </c>
      <c r="B12" s="2" t="s">
        <v>558</v>
      </c>
      <c r="C12" s="2">
        <v>7.62</v>
      </c>
      <c r="D12" s="2">
        <v>54.325299999999999</v>
      </c>
      <c r="E12" s="2" t="s">
        <v>240</v>
      </c>
    </row>
    <row r="13" spans="1:5" ht="20.25" customHeight="1" x14ac:dyDescent="0.15">
      <c r="A13" s="2" t="s">
        <v>5</v>
      </c>
      <c r="B13" s="2" t="s">
        <v>6</v>
      </c>
      <c r="C13" s="2">
        <v>7.6</v>
      </c>
      <c r="D13" s="2">
        <v>1.3796999999999999</v>
      </c>
      <c r="E13" s="2" t="s">
        <v>7</v>
      </c>
    </row>
    <row r="14" spans="1:5" ht="20.25" customHeight="1" x14ac:dyDescent="0.15">
      <c r="A14" s="2" t="s">
        <v>4026</v>
      </c>
      <c r="B14" s="2" t="s">
        <v>4027</v>
      </c>
      <c r="C14" s="2">
        <v>7.57</v>
      </c>
      <c r="D14" s="2">
        <v>76.8703</v>
      </c>
      <c r="E14" s="2" t="s">
        <v>374</v>
      </c>
    </row>
    <row r="15" spans="1:5" ht="20.25" customHeight="1" x14ac:dyDescent="0.15">
      <c r="A15" s="2" t="s">
        <v>1079</v>
      </c>
      <c r="B15" s="2" t="s">
        <v>1080</v>
      </c>
      <c r="C15" s="2">
        <v>7.43</v>
      </c>
      <c r="D15" s="2">
        <v>10.218999999999999</v>
      </c>
      <c r="E15" s="2" t="s">
        <v>647</v>
      </c>
    </row>
    <row r="16" spans="1:5" ht="20.25" customHeight="1" x14ac:dyDescent="0.15">
      <c r="A16" s="2" t="s">
        <v>1462</v>
      </c>
      <c r="B16" s="2" t="s">
        <v>1463</v>
      </c>
      <c r="C16" s="2">
        <v>7.34</v>
      </c>
      <c r="D16" s="2">
        <v>4.6212999999999997</v>
      </c>
      <c r="E16" s="2" t="s">
        <v>633</v>
      </c>
    </row>
    <row r="17" spans="1:5" ht="20.25" customHeight="1" x14ac:dyDescent="0.15">
      <c r="A17" s="2" t="s">
        <v>499</v>
      </c>
      <c r="B17" s="2" t="s">
        <v>500</v>
      </c>
      <c r="C17" s="2">
        <v>7.29</v>
      </c>
      <c r="D17" s="2">
        <v>1.8425</v>
      </c>
      <c r="E17" s="2" t="s">
        <v>501</v>
      </c>
    </row>
    <row r="18" spans="1:5" ht="20.25" customHeight="1" x14ac:dyDescent="0.15">
      <c r="A18" s="2" t="s">
        <v>1261</v>
      </c>
      <c r="B18" s="2" t="s">
        <v>1262</v>
      </c>
      <c r="C18" s="2">
        <v>7.28</v>
      </c>
      <c r="D18" s="2">
        <v>9.3327000000000009</v>
      </c>
      <c r="E18" s="2" t="s">
        <v>1263</v>
      </c>
    </row>
    <row r="19" spans="1:5" ht="20.25" customHeight="1" x14ac:dyDescent="0.15">
      <c r="A19" s="2" t="s">
        <v>2152</v>
      </c>
      <c r="B19" s="2" t="s">
        <v>2153</v>
      </c>
      <c r="C19" s="2">
        <v>7.125</v>
      </c>
      <c r="D19" s="2">
        <v>321.76609999999999</v>
      </c>
      <c r="E19" s="2" t="s">
        <v>374</v>
      </c>
    </row>
    <row r="20" spans="1:5" ht="20.25" customHeight="1" x14ac:dyDescent="0.15">
      <c r="A20" s="2" t="s">
        <v>255</v>
      </c>
      <c r="B20" s="2" t="s">
        <v>256</v>
      </c>
      <c r="C20" s="2">
        <v>7.05</v>
      </c>
      <c r="D20" s="2">
        <v>2.9083999999999999</v>
      </c>
      <c r="E20" s="2" t="s">
        <v>257</v>
      </c>
    </row>
    <row r="21" spans="1:5" ht="20.25" customHeight="1" x14ac:dyDescent="0.15">
      <c r="A21" s="2" t="s">
        <v>530</v>
      </c>
      <c r="B21" s="2" t="s">
        <v>531</v>
      </c>
      <c r="C21" s="2">
        <v>6.98</v>
      </c>
      <c r="D21" s="2">
        <v>4.5373999999999999</v>
      </c>
      <c r="E21" s="2" t="s">
        <v>7</v>
      </c>
    </row>
    <row r="22" spans="1:5" ht="20.25" customHeight="1" x14ac:dyDescent="0.15">
      <c r="A22" s="2" t="s">
        <v>107</v>
      </c>
      <c r="B22" s="2" t="s">
        <v>108</v>
      </c>
      <c r="C22" s="2">
        <v>6.96</v>
      </c>
      <c r="D22" s="2">
        <v>1.6021000000000001</v>
      </c>
      <c r="E22" s="2" t="s">
        <v>7</v>
      </c>
    </row>
    <row r="23" spans="1:5" ht="20.25" customHeight="1" x14ac:dyDescent="0.15">
      <c r="A23" s="2" t="s">
        <v>2276</v>
      </c>
      <c r="B23" s="2" t="s">
        <v>2277</v>
      </c>
      <c r="C23" s="2">
        <v>6.915</v>
      </c>
      <c r="D23" s="2">
        <v>14.3847</v>
      </c>
      <c r="E23" s="2" t="s">
        <v>257</v>
      </c>
    </row>
    <row r="24" spans="1:5" ht="20.25" customHeight="1" x14ac:dyDescent="0.15">
      <c r="A24" s="2" t="s">
        <v>517</v>
      </c>
      <c r="B24" s="2" t="s">
        <v>518</v>
      </c>
      <c r="C24" s="2">
        <v>6.75</v>
      </c>
      <c r="D24" s="2">
        <v>5.5810000000000004</v>
      </c>
      <c r="E24" s="2" t="s">
        <v>506</v>
      </c>
    </row>
    <row r="25" spans="1:5" ht="20.25" customHeight="1" x14ac:dyDescent="0.15">
      <c r="A25" s="2" t="s">
        <v>212</v>
      </c>
      <c r="B25" s="2" t="s">
        <v>213</v>
      </c>
      <c r="C25" s="2">
        <v>6.61</v>
      </c>
      <c r="D25" s="2">
        <v>4.2165999999999997</v>
      </c>
      <c r="E25" s="2" t="s">
        <v>214</v>
      </c>
    </row>
    <row r="26" spans="1:5" ht="20.25" customHeight="1" x14ac:dyDescent="0.15">
      <c r="A26" s="2" t="s">
        <v>675</v>
      </c>
      <c r="B26" s="2" t="s">
        <v>676</v>
      </c>
      <c r="C26" s="2">
        <v>6.53</v>
      </c>
      <c r="D26" s="2">
        <v>2.7103999999999999</v>
      </c>
      <c r="E26" s="2" t="s">
        <v>677</v>
      </c>
    </row>
    <row r="27" spans="1:5" ht="20.25" customHeight="1" x14ac:dyDescent="0.15">
      <c r="A27" s="2" t="s">
        <v>69</v>
      </c>
      <c r="B27" s="2" t="s">
        <v>70</v>
      </c>
      <c r="C27" s="2">
        <v>6.47</v>
      </c>
      <c r="D27" s="2">
        <v>3.0190999999999999</v>
      </c>
      <c r="E27" s="2" t="s">
        <v>71</v>
      </c>
    </row>
    <row r="28" spans="1:5" ht="20.25" customHeight="1" x14ac:dyDescent="0.15">
      <c r="A28" s="2" t="s">
        <v>2168</v>
      </c>
      <c r="B28" s="2" t="s">
        <v>2169</v>
      </c>
      <c r="C28" s="2">
        <v>6.45</v>
      </c>
      <c r="D28" s="2">
        <v>4.5053999999999998</v>
      </c>
      <c r="E28" s="2" t="s">
        <v>1774</v>
      </c>
    </row>
    <row r="29" spans="1:5" ht="20.25" customHeight="1" x14ac:dyDescent="0.15">
      <c r="A29" s="2" t="s">
        <v>1976</v>
      </c>
      <c r="B29" s="2" t="s">
        <v>1977</v>
      </c>
      <c r="C29" s="2">
        <v>6.43</v>
      </c>
      <c r="D29" s="2">
        <v>4.8648999999999996</v>
      </c>
      <c r="E29" s="2" t="s">
        <v>727</v>
      </c>
    </row>
    <row r="30" spans="1:5" ht="20.25" customHeight="1" x14ac:dyDescent="0.15">
      <c r="A30" s="2" t="s">
        <v>369</v>
      </c>
      <c r="B30" s="2" t="s">
        <v>370</v>
      </c>
      <c r="C30" s="2">
        <v>6.41</v>
      </c>
      <c r="D30" s="2">
        <v>21.881499999999999</v>
      </c>
      <c r="E30" s="2" t="s">
        <v>371</v>
      </c>
    </row>
    <row r="31" spans="1:5" ht="20.25" customHeight="1" x14ac:dyDescent="0.15">
      <c r="A31" s="2" t="s">
        <v>725</v>
      </c>
      <c r="B31" s="2" t="s">
        <v>726</v>
      </c>
      <c r="C31" s="2">
        <v>6.41</v>
      </c>
      <c r="D31" s="2">
        <v>4.6821000000000002</v>
      </c>
      <c r="E31" s="2" t="s">
        <v>727</v>
      </c>
    </row>
    <row r="32" spans="1:5" ht="20.25" customHeight="1" x14ac:dyDescent="0.15">
      <c r="A32" s="2" t="s">
        <v>1947</v>
      </c>
      <c r="B32" s="2" t="s">
        <v>1948</v>
      </c>
      <c r="C32" s="2">
        <v>6.39</v>
      </c>
      <c r="D32" s="2">
        <v>4.7196999999999996</v>
      </c>
      <c r="E32" s="2" t="s">
        <v>630</v>
      </c>
    </row>
    <row r="33" spans="1:5" ht="20.25" customHeight="1" x14ac:dyDescent="0.15">
      <c r="A33" s="2" t="s">
        <v>691</v>
      </c>
      <c r="B33" s="2" t="s">
        <v>692</v>
      </c>
      <c r="C33" s="2">
        <v>6.29</v>
      </c>
      <c r="D33" s="2">
        <v>6.3311000000000002</v>
      </c>
      <c r="E33" s="2" t="s">
        <v>633</v>
      </c>
    </row>
    <row r="34" spans="1:5" ht="20.25" customHeight="1" x14ac:dyDescent="0.15">
      <c r="A34" s="2" t="s">
        <v>1052</v>
      </c>
      <c r="B34" s="2" t="s">
        <v>1053</v>
      </c>
      <c r="C34" s="2">
        <v>6.21</v>
      </c>
      <c r="D34" s="2">
        <v>160.5421</v>
      </c>
      <c r="E34" s="2" t="s">
        <v>633</v>
      </c>
    </row>
    <row r="35" spans="1:5" ht="20.25" customHeight="1" x14ac:dyDescent="0.15">
      <c r="A35" s="2" t="s">
        <v>2145</v>
      </c>
      <c r="B35" s="2" t="s">
        <v>2146</v>
      </c>
      <c r="C35" s="2">
        <v>6.12</v>
      </c>
      <c r="D35" s="2">
        <v>106.0005</v>
      </c>
      <c r="E35" s="2" t="s">
        <v>60</v>
      </c>
    </row>
    <row r="36" spans="1:5" ht="20.25" customHeight="1" x14ac:dyDescent="0.15">
      <c r="A36" s="2" t="s">
        <v>1522</v>
      </c>
      <c r="B36" s="2" t="s">
        <v>1523</v>
      </c>
      <c r="C36" s="2">
        <v>6.09</v>
      </c>
      <c r="D36" s="2">
        <v>2.5972</v>
      </c>
      <c r="E36" s="2" t="s">
        <v>506</v>
      </c>
    </row>
    <row r="37" spans="1:5" ht="20.25" customHeight="1" x14ac:dyDescent="0.15">
      <c r="A37" s="2" t="s">
        <v>4300</v>
      </c>
      <c r="B37" s="2" t="s">
        <v>4301</v>
      </c>
      <c r="C37" s="2">
        <v>6.09</v>
      </c>
      <c r="D37" s="2">
        <v>12.1995</v>
      </c>
      <c r="E37" s="2" t="s">
        <v>1275</v>
      </c>
    </row>
    <row r="38" spans="1:5" ht="20.25" customHeight="1" x14ac:dyDescent="0.15">
      <c r="A38" s="2" t="s">
        <v>512</v>
      </c>
      <c r="B38" s="2" t="s">
        <v>513</v>
      </c>
      <c r="C38" s="2">
        <v>6.085</v>
      </c>
      <c r="D38" s="2">
        <v>4.7179000000000002</v>
      </c>
      <c r="E38" s="2" t="s">
        <v>514</v>
      </c>
    </row>
    <row r="39" spans="1:5" ht="20.25" customHeight="1" x14ac:dyDescent="0.15">
      <c r="A39" s="2" t="s">
        <v>258</v>
      </c>
      <c r="B39" s="2" t="s">
        <v>259</v>
      </c>
      <c r="C39" s="2">
        <v>6.02</v>
      </c>
      <c r="D39" s="2">
        <v>6.2621000000000002</v>
      </c>
      <c r="E39" s="2" t="s">
        <v>260</v>
      </c>
    </row>
    <row r="40" spans="1:5" ht="20.25" customHeight="1" x14ac:dyDescent="0.15">
      <c r="A40" s="2" t="s">
        <v>3437</v>
      </c>
      <c r="B40" s="2" t="s">
        <v>3438</v>
      </c>
      <c r="C40" s="2">
        <v>6.02</v>
      </c>
      <c r="D40" s="2">
        <v>5.1970000000000001</v>
      </c>
      <c r="E40" s="2" t="s">
        <v>630</v>
      </c>
    </row>
    <row r="41" spans="1:5" ht="20.25" customHeight="1" x14ac:dyDescent="0.15">
      <c r="A41" s="2" t="s">
        <v>252</v>
      </c>
      <c r="B41" s="2" t="s">
        <v>253</v>
      </c>
      <c r="C41" s="2">
        <v>5.97</v>
      </c>
      <c r="D41" s="2">
        <v>1167.3196</v>
      </c>
      <c r="E41" s="2" t="s">
        <v>254</v>
      </c>
    </row>
    <row r="42" spans="1:5" ht="20.25" customHeight="1" x14ac:dyDescent="0.15">
      <c r="A42" s="2" t="s">
        <v>1131</v>
      </c>
      <c r="B42" s="2" t="s">
        <v>1132</v>
      </c>
      <c r="C42" s="2">
        <v>5.92</v>
      </c>
      <c r="D42" s="2">
        <v>1.2579</v>
      </c>
      <c r="E42" s="2" t="s">
        <v>362</v>
      </c>
    </row>
    <row r="43" spans="1:5" ht="20.25" customHeight="1" x14ac:dyDescent="0.15">
      <c r="A43" s="2" t="s">
        <v>1664</v>
      </c>
      <c r="B43" s="2" t="s">
        <v>1665</v>
      </c>
      <c r="C43" s="2">
        <v>5.91</v>
      </c>
      <c r="D43" s="2">
        <v>18.288699999999999</v>
      </c>
      <c r="E43" s="2" t="s">
        <v>371</v>
      </c>
    </row>
    <row r="44" spans="1:5" ht="20.25" customHeight="1" x14ac:dyDescent="0.15">
      <c r="A44" s="2" t="s">
        <v>1558</v>
      </c>
      <c r="B44" s="2" t="s">
        <v>1559</v>
      </c>
      <c r="C44" s="2">
        <v>5.88</v>
      </c>
      <c r="D44" s="2">
        <v>6.5728999999999997</v>
      </c>
      <c r="E44" s="2" t="s">
        <v>7</v>
      </c>
    </row>
    <row r="45" spans="1:5" ht="20.25" customHeight="1" x14ac:dyDescent="0.15">
      <c r="A45" s="2" t="s">
        <v>28</v>
      </c>
      <c r="B45" s="2" t="s">
        <v>29</v>
      </c>
      <c r="C45" s="2">
        <v>5.86</v>
      </c>
      <c r="D45" s="2">
        <v>6.1573000000000002</v>
      </c>
      <c r="E45" s="2" t="s">
        <v>7</v>
      </c>
    </row>
    <row r="46" spans="1:5" ht="20.25" customHeight="1" x14ac:dyDescent="0.15">
      <c r="A46" s="2" t="s">
        <v>138</v>
      </c>
      <c r="B46" s="2" t="s">
        <v>139</v>
      </c>
      <c r="C46" s="2">
        <v>5.86</v>
      </c>
      <c r="D46" s="2">
        <v>2.0427</v>
      </c>
      <c r="E46" s="2" t="s">
        <v>140</v>
      </c>
    </row>
    <row r="47" spans="1:5" ht="20.25" customHeight="1" x14ac:dyDescent="0.15">
      <c r="A47" s="2" t="s">
        <v>655</v>
      </c>
      <c r="B47" s="2" t="s">
        <v>656</v>
      </c>
      <c r="C47" s="2">
        <v>5.83</v>
      </c>
      <c r="D47" s="2">
        <v>20.8566</v>
      </c>
      <c r="E47" s="2" t="s">
        <v>657</v>
      </c>
    </row>
    <row r="48" spans="1:5" ht="20.25" customHeight="1" x14ac:dyDescent="0.15">
      <c r="A48" s="2" t="s">
        <v>2186</v>
      </c>
      <c r="B48" s="2" t="s">
        <v>2187</v>
      </c>
      <c r="C48" s="2">
        <v>5.83</v>
      </c>
      <c r="D48" s="2">
        <v>1.3213999999999999</v>
      </c>
      <c r="E48" s="2" t="s">
        <v>1820</v>
      </c>
    </row>
    <row r="49" spans="1:5" ht="20.25" customHeight="1" x14ac:dyDescent="0.15">
      <c r="A49" s="2" t="s">
        <v>1548</v>
      </c>
      <c r="B49" s="2" t="s">
        <v>1549</v>
      </c>
      <c r="C49" s="2">
        <v>5.75</v>
      </c>
      <c r="D49" s="2">
        <v>67.298599999999993</v>
      </c>
      <c r="E49" s="2" t="s">
        <v>409</v>
      </c>
    </row>
    <row r="50" spans="1:5" ht="20.25" customHeight="1" x14ac:dyDescent="0.15">
      <c r="A50" s="2" t="s">
        <v>8181</v>
      </c>
      <c r="B50" s="2" t="s">
        <v>8182</v>
      </c>
      <c r="C50" s="2">
        <v>5.62</v>
      </c>
      <c r="D50" s="2">
        <v>64062.1204</v>
      </c>
      <c r="E50" s="2" t="s">
        <v>2355</v>
      </c>
    </row>
    <row r="51" spans="1:5" ht="20.25" customHeight="1" x14ac:dyDescent="0.15">
      <c r="A51" s="2" t="s">
        <v>451</v>
      </c>
      <c r="B51" s="2" t="s">
        <v>452</v>
      </c>
      <c r="C51" s="2">
        <v>5.61</v>
      </c>
      <c r="D51" s="2">
        <v>6.2853000000000003</v>
      </c>
      <c r="E51" s="2" t="s">
        <v>7</v>
      </c>
    </row>
    <row r="52" spans="1:5" ht="20.25" customHeight="1" x14ac:dyDescent="0.15">
      <c r="A52" s="2" t="s">
        <v>1012</v>
      </c>
      <c r="B52" s="2" t="s">
        <v>1013</v>
      </c>
      <c r="C52" s="2">
        <v>5.55</v>
      </c>
      <c r="D52" s="2">
        <v>1.5513999999999999</v>
      </c>
      <c r="E52" s="2" t="s">
        <v>7</v>
      </c>
    </row>
    <row r="53" spans="1:5" ht="20.25" customHeight="1" x14ac:dyDescent="0.15">
      <c r="A53" s="2" t="s">
        <v>5589</v>
      </c>
      <c r="B53" s="2" t="s">
        <v>5590</v>
      </c>
      <c r="C53" s="2">
        <v>5.55</v>
      </c>
      <c r="D53" s="2">
        <v>49.356099999999998</v>
      </c>
      <c r="E53" s="2" t="s">
        <v>1186</v>
      </c>
    </row>
    <row r="54" spans="1:5" ht="20.25" customHeight="1" x14ac:dyDescent="0.15">
      <c r="A54" s="2" t="s">
        <v>645</v>
      </c>
      <c r="B54" s="2" t="s">
        <v>646</v>
      </c>
      <c r="C54" s="2">
        <v>5.5350000000000001</v>
      </c>
      <c r="D54" s="2">
        <v>3.7637</v>
      </c>
      <c r="E54" s="2" t="s">
        <v>647</v>
      </c>
    </row>
    <row r="55" spans="1:5" ht="20.25" customHeight="1" x14ac:dyDescent="0.15">
      <c r="A55" s="2" t="s">
        <v>3457</v>
      </c>
      <c r="B55" s="2" t="s">
        <v>3458</v>
      </c>
      <c r="C55" s="2">
        <v>5.5250000000000004</v>
      </c>
      <c r="D55" s="2">
        <v>18.888200000000001</v>
      </c>
      <c r="E55" s="2" t="s">
        <v>727</v>
      </c>
    </row>
    <row r="56" spans="1:5" ht="20.25" customHeight="1" x14ac:dyDescent="0.15">
      <c r="A56" s="2" t="s">
        <v>2470</v>
      </c>
      <c r="B56" s="2" t="s">
        <v>2471</v>
      </c>
      <c r="C56" s="2">
        <v>5.52</v>
      </c>
      <c r="D56" s="2">
        <v>4.6178999999999997</v>
      </c>
      <c r="E56" s="2" t="s">
        <v>589</v>
      </c>
    </row>
    <row r="57" spans="1:5" ht="20.25" customHeight="1" x14ac:dyDescent="0.15">
      <c r="A57" s="2" t="s">
        <v>2737</v>
      </c>
      <c r="B57" s="2" t="s">
        <v>2738</v>
      </c>
      <c r="C57" s="2">
        <v>5.48</v>
      </c>
      <c r="D57" s="2">
        <v>6.4368999999999996</v>
      </c>
      <c r="E57" s="2" t="s">
        <v>931</v>
      </c>
    </row>
    <row r="58" spans="1:5" ht="20.25" customHeight="1" x14ac:dyDescent="0.15">
      <c r="A58" s="2" t="s">
        <v>2610</v>
      </c>
      <c r="B58" s="2" t="s">
        <v>2611</v>
      </c>
      <c r="C58" s="2">
        <v>5.45</v>
      </c>
      <c r="D58" s="2">
        <v>0.93079999999999996</v>
      </c>
      <c r="E58" s="2" t="s">
        <v>1066</v>
      </c>
    </row>
    <row r="59" spans="1:5" ht="20.25" customHeight="1" x14ac:dyDescent="0.15">
      <c r="A59" s="2" t="s">
        <v>372</v>
      </c>
      <c r="B59" s="2" t="s">
        <v>373</v>
      </c>
      <c r="C59" s="2">
        <v>5.4450000000000003</v>
      </c>
      <c r="D59" s="2">
        <v>1.5008999999999999</v>
      </c>
      <c r="E59" s="2" t="s">
        <v>374</v>
      </c>
    </row>
    <row r="60" spans="1:5" ht="20.25" customHeight="1" x14ac:dyDescent="0.15">
      <c r="A60" s="2" t="s">
        <v>2095</v>
      </c>
      <c r="B60" s="2" t="s">
        <v>2096</v>
      </c>
      <c r="C60" s="2">
        <v>5.37</v>
      </c>
      <c r="D60" s="2">
        <v>2.2823000000000002</v>
      </c>
      <c r="E60" s="2" t="s">
        <v>647</v>
      </c>
    </row>
    <row r="61" spans="1:5" ht="20.25" customHeight="1" x14ac:dyDescent="0.15">
      <c r="A61" s="2" t="s">
        <v>2461</v>
      </c>
      <c r="B61" s="2" t="s">
        <v>2462</v>
      </c>
      <c r="C61" s="2">
        <v>5.3650000000000002</v>
      </c>
      <c r="D61" s="2">
        <v>5.4935</v>
      </c>
      <c r="E61" s="2" t="s">
        <v>2463</v>
      </c>
    </row>
    <row r="62" spans="1:5" ht="20.25" customHeight="1" x14ac:dyDescent="0.15">
      <c r="A62" s="2" t="s">
        <v>7865</v>
      </c>
      <c r="B62" s="2" t="s">
        <v>7866</v>
      </c>
      <c r="C62" s="2">
        <v>5.35</v>
      </c>
      <c r="D62" s="2">
        <v>2.7685</v>
      </c>
      <c r="E62" s="2" t="s">
        <v>137</v>
      </c>
    </row>
    <row r="63" spans="1:5" ht="20.25" customHeight="1" x14ac:dyDescent="0.15">
      <c r="A63" s="2" t="s">
        <v>5004</v>
      </c>
      <c r="B63" s="2" t="s">
        <v>5005</v>
      </c>
      <c r="C63" s="2">
        <v>5.34</v>
      </c>
      <c r="D63" s="2">
        <v>1.2810999999999999</v>
      </c>
      <c r="E63" s="2" t="s">
        <v>647</v>
      </c>
    </row>
    <row r="64" spans="1:5" ht="20.25" customHeight="1" x14ac:dyDescent="0.15">
      <c r="A64" s="2" t="s">
        <v>3222</v>
      </c>
      <c r="B64" s="2" t="s">
        <v>3223</v>
      </c>
      <c r="C64" s="2">
        <v>5.33</v>
      </c>
      <c r="D64" s="2">
        <v>7.3326000000000002</v>
      </c>
      <c r="E64" s="2" t="s">
        <v>185</v>
      </c>
    </row>
    <row r="65" spans="1:5" ht="20.25" customHeight="1" x14ac:dyDescent="0.15">
      <c r="A65" s="2" t="s">
        <v>3493</v>
      </c>
      <c r="B65" s="2" t="s">
        <v>3494</v>
      </c>
      <c r="C65" s="2">
        <v>5.32</v>
      </c>
      <c r="D65" s="2">
        <v>13.870900000000001</v>
      </c>
      <c r="E65" s="2" t="s">
        <v>260</v>
      </c>
    </row>
    <row r="66" spans="1:5" ht="20.25" customHeight="1" x14ac:dyDescent="0.15">
      <c r="A66" s="2" t="s">
        <v>660</v>
      </c>
      <c r="B66" s="2" t="s">
        <v>661</v>
      </c>
      <c r="C66" s="2">
        <v>5.3</v>
      </c>
      <c r="D66" s="2">
        <v>11.218</v>
      </c>
      <c r="E66" s="2" t="s">
        <v>657</v>
      </c>
    </row>
    <row r="67" spans="1:5" ht="20.25" customHeight="1" x14ac:dyDescent="0.15">
      <c r="A67" s="2" t="s">
        <v>1951</v>
      </c>
      <c r="B67" s="2" t="s">
        <v>1952</v>
      </c>
      <c r="C67" s="2">
        <v>5.3</v>
      </c>
      <c r="D67" s="2">
        <v>4.7803000000000004</v>
      </c>
      <c r="E67" s="2" t="s">
        <v>1691</v>
      </c>
    </row>
    <row r="68" spans="1:5" ht="20.25" customHeight="1" x14ac:dyDescent="0.15">
      <c r="A68" s="2" t="s">
        <v>302</v>
      </c>
      <c r="B68" s="2" t="s">
        <v>303</v>
      </c>
      <c r="C68" s="2">
        <v>5.29</v>
      </c>
      <c r="D68" s="2">
        <v>2.9487999999999999</v>
      </c>
      <c r="E68" s="2" t="s">
        <v>137</v>
      </c>
    </row>
    <row r="69" spans="1:5" ht="20.25" customHeight="1" x14ac:dyDescent="0.15">
      <c r="A69" s="2" t="s">
        <v>2781</v>
      </c>
      <c r="B69" s="2" t="s">
        <v>2782</v>
      </c>
      <c r="C69" s="2">
        <v>5.29</v>
      </c>
      <c r="D69" s="2">
        <v>1.9830000000000001</v>
      </c>
      <c r="E69" s="2" t="s">
        <v>257</v>
      </c>
    </row>
    <row r="70" spans="1:5" ht="20.25" customHeight="1" x14ac:dyDescent="0.15">
      <c r="A70" s="2" t="s">
        <v>3080</v>
      </c>
      <c r="B70" s="2" t="s">
        <v>3081</v>
      </c>
      <c r="C70" s="2">
        <v>5.28</v>
      </c>
      <c r="D70" s="2">
        <v>3.8304</v>
      </c>
      <c r="E70" s="2" t="s">
        <v>1139</v>
      </c>
    </row>
    <row r="71" spans="1:5" ht="20.25" customHeight="1" x14ac:dyDescent="0.15">
      <c r="A71" s="2" t="s">
        <v>297</v>
      </c>
      <c r="B71" s="2" t="s">
        <v>298</v>
      </c>
      <c r="C71" s="2">
        <v>5.25</v>
      </c>
      <c r="D71" s="2">
        <v>0.68810000000000004</v>
      </c>
      <c r="E71" s="2" t="s">
        <v>299</v>
      </c>
    </row>
    <row r="72" spans="1:5" ht="20.25" customHeight="1" x14ac:dyDescent="0.15">
      <c r="A72" s="2" t="s">
        <v>313</v>
      </c>
      <c r="B72" s="2" t="s">
        <v>314</v>
      </c>
      <c r="C72" s="2">
        <v>5.25</v>
      </c>
      <c r="D72" s="2">
        <v>14.231199999999999</v>
      </c>
      <c r="E72" s="2" t="s">
        <v>315</v>
      </c>
    </row>
    <row r="73" spans="1:5" ht="20.25" customHeight="1" x14ac:dyDescent="0.15">
      <c r="A73" s="2" t="s">
        <v>939</v>
      </c>
      <c r="B73" s="2" t="s">
        <v>940</v>
      </c>
      <c r="C73" s="2">
        <v>5.25</v>
      </c>
      <c r="D73" s="2">
        <v>12.9275</v>
      </c>
      <c r="E73" s="2" t="s">
        <v>941</v>
      </c>
    </row>
    <row r="74" spans="1:5" ht="20.25" customHeight="1" x14ac:dyDescent="0.15">
      <c r="A74" s="2" t="s">
        <v>860</v>
      </c>
      <c r="B74" s="2" t="s">
        <v>861</v>
      </c>
      <c r="C74" s="2">
        <v>5.24</v>
      </c>
      <c r="D74" s="2">
        <v>2.1006999999999998</v>
      </c>
      <c r="E74" s="2" t="s">
        <v>862</v>
      </c>
    </row>
    <row r="75" spans="1:5" ht="20.25" customHeight="1" x14ac:dyDescent="0.15">
      <c r="A75" s="2" t="s">
        <v>974</v>
      </c>
      <c r="B75" s="2" t="s">
        <v>975</v>
      </c>
      <c r="C75" s="2">
        <v>5.22</v>
      </c>
      <c r="D75" s="2">
        <v>4.5195999999999996</v>
      </c>
      <c r="E75" s="2" t="s">
        <v>670</v>
      </c>
    </row>
    <row r="76" spans="1:5" ht="20.25" customHeight="1" x14ac:dyDescent="0.15">
      <c r="A76" s="2" t="s">
        <v>3082</v>
      </c>
      <c r="B76" s="2" t="s">
        <v>3083</v>
      </c>
      <c r="C76" s="2">
        <v>5.21</v>
      </c>
      <c r="D76" s="2">
        <v>3.4885000000000002</v>
      </c>
      <c r="E76" s="2" t="s">
        <v>140</v>
      </c>
    </row>
    <row r="77" spans="1:5" ht="20.25" customHeight="1" x14ac:dyDescent="0.15">
      <c r="A77" s="2" t="s">
        <v>2953</v>
      </c>
      <c r="B77" s="2" t="s">
        <v>2954</v>
      </c>
      <c r="C77" s="2">
        <v>5.18</v>
      </c>
      <c r="D77" s="2">
        <v>2.0905</v>
      </c>
      <c r="E77" s="2" t="s">
        <v>794</v>
      </c>
    </row>
    <row r="78" spans="1:5" ht="20.25" customHeight="1" x14ac:dyDescent="0.15">
      <c r="A78" s="2" t="s">
        <v>311</v>
      </c>
      <c r="B78" s="2" t="s">
        <v>312</v>
      </c>
      <c r="C78" s="2">
        <v>5.08</v>
      </c>
      <c r="D78" s="2">
        <v>4.7102000000000004</v>
      </c>
      <c r="E78" s="2" t="s">
        <v>149</v>
      </c>
    </row>
    <row r="79" spans="1:5" ht="20.25" customHeight="1" x14ac:dyDescent="0.15">
      <c r="A79" s="2" t="s">
        <v>751</v>
      </c>
      <c r="B79" s="2" t="s">
        <v>752</v>
      </c>
      <c r="C79" s="2">
        <v>5.07</v>
      </c>
      <c r="D79" s="2">
        <v>25.529299999999999</v>
      </c>
      <c r="E79" s="2" t="s">
        <v>747</v>
      </c>
    </row>
    <row r="80" spans="1:5" ht="20.25" customHeight="1" x14ac:dyDescent="0.15">
      <c r="A80" s="2" t="s">
        <v>2638</v>
      </c>
      <c r="B80" s="2" t="s">
        <v>2639</v>
      </c>
      <c r="C80" s="2">
        <v>5.05</v>
      </c>
      <c r="D80" s="2">
        <v>4.7359</v>
      </c>
      <c r="E80" s="2" t="s">
        <v>529</v>
      </c>
    </row>
    <row r="81" spans="1:5" ht="20.25" customHeight="1" x14ac:dyDescent="0.15">
      <c r="A81" s="2" t="s">
        <v>587</v>
      </c>
      <c r="B81" s="2" t="s">
        <v>588</v>
      </c>
      <c r="C81" s="2">
        <v>5.03</v>
      </c>
      <c r="D81" s="2">
        <v>2.2349999999999999</v>
      </c>
      <c r="E81" s="2" t="s">
        <v>589</v>
      </c>
    </row>
    <row r="82" spans="1:5" ht="20.25" customHeight="1" x14ac:dyDescent="0.15">
      <c r="A82" s="2" t="s">
        <v>3865</v>
      </c>
      <c r="B82" s="2" t="s">
        <v>3866</v>
      </c>
      <c r="C82" s="2">
        <v>5.0250000000000004</v>
      </c>
      <c r="D82" s="2">
        <v>6.6414999999999997</v>
      </c>
      <c r="E82" s="2" t="s">
        <v>647</v>
      </c>
    </row>
    <row r="83" spans="1:5" ht="20.25" customHeight="1" x14ac:dyDescent="0.15">
      <c r="A83" s="2" t="s">
        <v>101</v>
      </c>
      <c r="B83" s="2" t="s">
        <v>102</v>
      </c>
      <c r="C83" s="2">
        <v>5.0199999999999996</v>
      </c>
      <c r="D83" s="2">
        <v>5.2958999999999996</v>
      </c>
      <c r="E83" s="2" t="s">
        <v>103</v>
      </c>
    </row>
    <row r="84" spans="1:5" ht="20.25" customHeight="1" x14ac:dyDescent="0.15">
      <c r="A84" s="2" t="s">
        <v>1674</v>
      </c>
      <c r="B84" s="2" t="s">
        <v>1675</v>
      </c>
      <c r="C84" s="2">
        <v>5.0199999999999996</v>
      </c>
      <c r="D84" s="2">
        <v>14.5815</v>
      </c>
      <c r="E84" s="2" t="s">
        <v>677</v>
      </c>
    </row>
    <row r="85" spans="1:5" ht="20.25" customHeight="1" x14ac:dyDescent="0.15">
      <c r="A85" s="2" t="s">
        <v>534</v>
      </c>
      <c r="B85" s="2" t="s">
        <v>535</v>
      </c>
      <c r="C85" s="2">
        <v>5.01</v>
      </c>
      <c r="D85" s="2">
        <v>3.6558000000000002</v>
      </c>
      <c r="E85" s="2" t="s">
        <v>185</v>
      </c>
    </row>
    <row r="86" spans="1:5" ht="20.25" customHeight="1" x14ac:dyDescent="0.15">
      <c r="A86" s="2" t="s">
        <v>923</v>
      </c>
      <c r="B86" s="2" t="s">
        <v>924</v>
      </c>
      <c r="C86" s="2">
        <v>5.01</v>
      </c>
      <c r="D86" s="2">
        <v>5.4762000000000004</v>
      </c>
      <c r="E86" s="2" t="s">
        <v>677</v>
      </c>
    </row>
    <row r="87" spans="1:5" ht="20.25" customHeight="1" x14ac:dyDescent="0.15">
      <c r="A87" s="2" t="s">
        <v>1856</v>
      </c>
      <c r="B87" s="2" t="s">
        <v>1857</v>
      </c>
      <c r="C87" s="2">
        <v>5</v>
      </c>
      <c r="D87" s="2">
        <v>9.3216000000000001</v>
      </c>
      <c r="E87" s="2" t="s">
        <v>7</v>
      </c>
    </row>
    <row r="88" spans="1:5" ht="20.25" customHeight="1" x14ac:dyDescent="0.15">
      <c r="A88" s="2" t="s">
        <v>1751</v>
      </c>
      <c r="B88" s="2" t="s">
        <v>1752</v>
      </c>
      <c r="C88" s="2">
        <v>4.97</v>
      </c>
      <c r="D88" s="2">
        <v>4.9356999999999998</v>
      </c>
      <c r="E88" s="2" t="s">
        <v>647</v>
      </c>
    </row>
    <row r="89" spans="1:5" ht="20.25" customHeight="1" x14ac:dyDescent="0.15">
      <c r="A89" s="2" t="s">
        <v>155</v>
      </c>
      <c r="B89" s="2" t="s">
        <v>156</v>
      </c>
      <c r="C89" s="2">
        <v>4.96</v>
      </c>
      <c r="D89" s="2">
        <v>1.6424000000000001</v>
      </c>
      <c r="E89" s="2" t="s">
        <v>157</v>
      </c>
    </row>
    <row r="90" spans="1:5" ht="20.25" customHeight="1" x14ac:dyDescent="0.15">
      <c r="A90" s="2" t="s">
        <v>1955</v>
      </c>
      <c r="B90" s="2" t="s">
        <v>1956</v>
      </c>
      <c r="C90" s="2">
        <v>4.9400000000000004</v>
      </c>
      <c r="D90" s="2">
        <v>3.9076</v>
      </c>
      <c r="E90" s="2" t="s">
        <v>140</v>
      </c>
    </row>
    <row r="91" spans="1:5" ht="20.25" customHeight="1" x14ac:dyDescent="0.15">
      <c r="A91" s="2" t="s">
        <v>3116</v>
      </c>
      <c r="B91" s="2" t="s">
        <v>3117</v>
      </c>
      <c r="C91" s="2">
        <v>4.93</v>
      </c>
      <c r="D91" s="2">
        <v>9.4054000000000002</v>
      </c>
      <c r="E91" s="2" t="s">
        <v>231</v>
      </c>
    </row>
    <row r="92" spans="1:5" ht="20.25" customHeight="1" x14ac:dyDescent="0.15">
      <c r="A92" s="2" t="s">
        <v>196</v>
      </c>
      <c r="B92" s="2" t="s">
        <v>197</v>
      </c>
      <c r="C92" s="2">
        <v>4.8899999999999997</v>
      </c>
      <c r="D92" s="2">
        <v>8.2791999999999994</v>
      </c>
      <c r="E92" s="2" t="s">
        <v>198</v>
      </c>
    </row>
    <row r="93" spans="1:5" ht="20.25" customHeight="1" x14ac:dyDescent="0.15">
      <c r="A93" s="2" t="s">
        <v>2047</v>
      </c>
      <c r="B93" s="2" t="s">
        <v>2048</v>
      </c>
      <c r="C93" s="2">
        <v>4.88</v>
      </c>
      <c r="D93" s="2">
        <v>12.686199999999999</v>
      </c>
      <c r="E93" s="2" t="s">
        <v>677</v>
      </c>
    </row>
    <row r="94" spans="1:5" ht="20.25" customHeight="1" x14ac:dyDescent="0.15">
      <c r="A94" s="2" t="s">
        <v>4052</v>
      </c>
      <c r="B94" s="2" t="s">
        <v>4053</v>
      </c>
      <c r="C94" s="2">
        <v>4.88</v>
      </c>
      <c r="D94" s="2">
        <v>10.0749</v>
      </c>
      <c r="E94" s="2" t="s">
        <v>299</v>
      </c>
    </row>
    <row r="95" spans="1:5" ht="20.25" customHeight="1" x14ac:dyDescent="0.15">
      <c r="A95" s="2" t="s">
        <v>944</v>
      </c>
      <c r="B95" s="2" t="s">
        <v>945</v>
      </c>
      <c r="C95" s="2">
        <v>4.8600000000000003</v>
      </c>
      <c r="D95" s="2">
        <v>0.85499999999999998</v>
      </c>
      <c r="E95" s="2" t="s">
        <v>140</v>
      </c>
    </row>
    <row r="96" spans="1:5" ht="20.25" customHeight="1" x14ac:dyDescent="0.15">
      <c r="A96" s="2" t="s">
        <v>3525</v>
      </c>
      <c r="B96" s="2" t="s">
        <v>3526</v>
      </c>
      <c r="C96" s="2">
        <v>4.8499999999999996</v>
      </c>
      <c r="D96" s="2">
        <v>2.2443</v>
      </c>
      <c r="E96" s="2" t="s">
        <v>630</v>
      </c>
    </row>
    <row r="97" spans="1:5" ht="20.25" customHeight="1" x14ac:dyDescent="0.15">
      <c r="A97" s="2" t="s">
        <v>5036</v>
      </c>
      <c r="B97" s="2" t="s">
        <v>5037</v>
      </c>
      <c r="C97" s="2">
        <v>4.8499999999999996</v>
      </c>
      <c r="D97" s="2">
        <v>19.505800000000001</v>
      </c>
      <c r="E97" s="2" t="s">
        <v>374</v>
      </c>
    </row>
    <row r="98" spans="1:5" ht="20.25" customHeight="1" x14ac:dyDescent="0.15">
      <c r="A98" s="2" t="s">
        <v>665</v>
      </c>
      <c r="B98" s="2" t="s">
        <v>666</v>
      </c>
      <c r="C98" s="2">
        <v>4.8099999999999996</v>
      </c>
      <c r="D98" s="2">
        <v>5.1045999999999996</v>
      </c>
      <c r="E98" s="2" t="s">
        <v>667</v>
      </c>
    </row>
    <row r="99" spans="1:5" ht="20.25" customHeight="1" x14ac:dyDescent="0.15">
      <c r="A99" s="2" t="s">
        <v>3901</v>
      </c>
      <c r="B99" s="2" t="s">
        <v>3902</v>
      </c>
      <c r="C99" s="2">
        <v>4.8099999999999996</v>
      </c>
      <c r="D99" s="2">
        <v>6.8720999999999997</v>
      </c>
      <c r="E99" s="2" t="s">
        <v>1436</v>
      </c>
    </row>
    <row r="100" spans="1:5" ht="20.25" customHeight="1" x14ac:dyDescent="0.15">
      <c r="A100" s="2" t="s">
        <v>3012</v>
      </c>
      <c r="B100" s="2" t="s">
        <v>3013</v>
      </c>
      <c r="C100" s="2">
        <v>4.8</v>
      </c>
      <c r="D100" s="2">
        <v>0.81759999999999999</v>
      </c>
      <c r="E100" s="2" t="s">
        <v>638</v>
      </c>
    </row>
    <row r="101" spans="1:5" ht="20.25" customHeight="1" x14ac:dyDescent="0.15">
      <c r="A101" s="2" t="s">
        <v>1251</v>
      </c>
      <c r="B101" s="2" t="s">
        <v>1252</v>
      </c>
      <c r="C101" s="2">
        <v>4.79</v>
      </c>
      <c r="D101" s="2">
        <v>2.4805000000000001</v>
      </c>
      <c r="E101" s="2" t="s">
        <v>89</v>
      </c>
    </row>
    <row r="102" spans="1:5" ht="20.25" customHeight="1" x14ac:dyDescent="0.15">
      <c r="A102" s="2" t="s">
        <v>266</v>
      </c>
      <c r="B102" s="2" t="s">
        <v>267</v>
      </c>
      <c r="C102" s="2">
        <v>4.78</v>
      </c>
      <c r="D102" s="2">
        <v>1.8169</v>
      </c>
      <c r="E102" s="2" t="s">
        <v>268</v>
      </c>
    </row>
    <row r="103" spans="1:5" ht="20.25" customHeight="1" x14ac:dyDescent="0.15">
      <c r="A103" s="2" t="s">
        <v>2170</v>
      </c>
      <c r="B103" s="2" t="s">
        <v>2171</v>
      </c>
      <c r="C103" s="2">
        <v>4.78</v>
      </c>
      <c r="D103" s="2">
        <v>2.8871000000000002</v>
      </c>
      <c r="E103" s="2" t="s">
        <v>690</v>
      </c>
    </row>
    <row r="104" spans="1:5" ht="20.25" customHeight="1" x14ac:dyDescent="0.15">
      <c r="A104" s="2" t="s">
        <v>3312</v>
      </c>
      <c r="B104" s="2" t="s">
        <v>3313</v>
      </c>
      <c r="C104" s="2">
        <v>4.78</v>
      </c>
      <c r="D104" s="2">
        <v>1.7363</v>
      </c>
      <c r="E104" s="2" t="s">
        <v>44</v>
      </c>
    </row>
    <row r="105" spans="1:5" ht="20.25" customHeight="1" x14ac:dyDescent="0.15">
      <c r="A105" s="2" t="s">
        <v>2258</v>
      </c>
      <c r="B105" s="2" t="s">
        <v>2259</v>
      </c>
      <c r="C105" s="2">
        <v>4.7699999999999996</v>
      </c>
      <c r="D105" s="2">
        <v>89.698599999999999</v>
      </c>
      <c r="E105" s="2" t="s">
        <v>322</v>
      </c>
    </row>
    <row r="106" spans="1:5" ht="20.25" customHeight="1" x14ac:dyDescent="0.15">
      <c r="A106" s="2" t="s">
        <v>1901</v>
      </c>
      <c r="B106" s="2" t="s">
        <v>1902</v>
      </c>
      <c r="C106" s="2">
        <v>4.74</v>
      </c>
      <c r="D106" s="2">
        <v>1.8288</v>
      </c>
      <c r="E106" s="2" t="s">
        <v>1056</v>
      </c>
    </row>
    <row r="107" spans="1:5" ht="20.25" customHeight="1" x14ac:dyDescent="0.15">
      <c r="A107" s="2" t="s">
        <v>2296</v>
      </c>
      <c r="B107" s="2" t="s">
        <v>2297</v>
      </c>
      <c r="C107" s="2">
        <v>4.74</v>
      </c>
      <c r="D107" s="2">
        <v>4.6685999999999996</v>
      </c>
      <c r="E107" s="2" t="s">
        <v>1139</v>
      </c>
    </row>
    <row r="108" spans="1:5" ht="20.25" customHeight="1" x14ac:dyDescent="0.15">
      <c r="A108" s="2" t="s">
        <v>948</v>
      </c>
      <c r="B108" s="2" t="s">
        <v>949</v>
      </c>
      <c r="C108" s="2">
        <v>4.71</v>
      </c>
      <c r="D108" s="2">
        <v>1.2502</v>
      </c>
      <c r="E108" s="2" t="s">
        <v>171</v>
      </c>
    </row>
    <row r="109" spans="1:5" ht="20.25" customHeight="1" x14ac:dyDescent="0.15">
      <c r="A109" s="2" t="s">
        <v>50</v>
      </c>
      <c r="B109" s="2" t="s">
        <v>51</v>
      </c>
      <c r="C109" s="2">
        <v>4.6900000000000004</v>
      </c>
      <c r="D109" s="2">
        <v>4.2785000000000002</v>
      </c>
      <c r="E109" s="2" t="s">
        <v>52</v>
      </c>
    </row>
    <row r="110" spans="1:5" ht="20.25" customHeight="1" x14ac:dyDescent="0.15">
      <c r="A110" s="2" t="s">
        <v>3126</v>
      </c>
      <c r="B110" s="2" t="s">
        <v>3127</v>
      </c>
      <c r="C110" s="2">
        <v>4.6500000000000004</v>
      </c>
      <c r="D110" s="2">
        <v>2.1861999999999999</v>
      </c>
      <c r="E110" s="2" t="s">
        <v>630</v>
      </c>
    </row>
    <row r="111" spans="1:5" ht="20.25" customHeight="1" x14ac:dyDescent="0.15">
      <c r="A111" s="2" t="s">
        <v>2105</v>
      </c>
      <c r="B111" s="2" t="s">
        <v>2106</v>
      </c>
      <c r="C111" s="2">
        <v>4.6449999999999996</v>
      </c>
      <c r="D111" s="2">
        <v>3.1145</v>
      </c>
      <c r="E111" s="2" t="s">
        <v>1853</v>
      </c>
    </row>
    <row r="112" spans="1:5" ht="20.25" customHeight="1" x14ac:dyDescent="0.15">
      <c r="A112" s="2" t="s">
        <v>289</v>
      </c>
      <c r="B112" s="2" t="s">
        <v>290</v>
      </c>
      <c r="C112" s="2">
        <v>4.6399999999999997</v>
      </c>
      <c r="D112" s="2">
        <v>3.3496000000000001</v>
      </c>
      <c r="E112" s="2" t="s">
        <v>7</v>
      </c>
    </row>
    <row r="113" spans="1:5" ht="20.25" customHeight="1" x14ac:dyDescent="0.15">
      <c r="A113" s="2" t="s">
        <v>4964</v>
      </c>
      <c r="B113" s="2" t="s">
        <v>4965</v>
      </c>
      <c r="C113" s="2">
        <v>4.6349999999999998</v>
      </c>
      <c r="D113" s="2">
        <v>3.3523999999999998</v>
      </c>
      <c r="E113" s="2" t="s">
        <v>68</v>
      </c>
    </row>
    <row r="114" spans="1:5" ht="20.25" customHeight="1" x14ac:dyDescent="0.15">
      <c r="A114" s="2" t="s">
        <v>3691</v>
      </c>
      <c r="B114" s="2" t="s">
        <v>3692</v>
      </c>
      <c r="C114" s="2">
        <v>4.62</v>
      </c>
      <c r="D114" s="2">
        <v>1.6258999999999999</v>
      </c>
      <c r="E114" s="2" t="s">
        <v>3693</v>
      </c>
    </row>
    <row r="115" spans="1:5" ht="20.25" customHeight="1" x14ac:dyDescent="0.15">
      <c r="A115" s="2" t="s">
        <v>8411</v>
      </c>
      <c r="B115" s="2" t="s">
        <v>8412</v>
      </c>
      <c r="C115" s="2">
        <v>4.62</v>
      </c>
      <c r="D115" s="2">
        <v>11.656700000000001</v>
      </c>
      <c r="E115" s="2" t="s">
        <v>713</v>
      </c>
    </row>
    <row r="116" spans="1:5" ht="20.25" customHeight="1" x14ac:dyDescent="0.15">
      <c r="A116" s="2" t="s">
        <v>1903</v>
      </c>
      <c r="B116" s="2" t="s">
        <v>1904</v>
      </c>
      <c r="C116" s="2">
        <v>4.6100000000000003</v>
      </c>
      <c r="D116" s="2">
        <v>2.8490000000000002</v>
      </c>
      <c r="E116" s="2" t="s">
        <v>140</v>
      </c>
    </row>
    <row r="117" spans="1:5" ht="20.25" customHeight="1" x14ac:dyDescent="0.15">
      <c r="A117" s="2" t="s">
        <v>504</v>
      </c>
      <c r="B117" s="2" t="s">
        <v>505</v>
      </c>
      <c r="C117" s="2">
        <v>4.5999999999999996</v>
      </c>
      <c r="D117" s="2">
        <v>6.7187000000000001</v>
      </c>
      <c r="E117" s="2" t="s">
        <v>506</v>
      </c>
    </row>
    <row r="118" spans="1:5" ht="20.25" customHeight="1" x14ac:dyDescent="0.15">
      <c r="A118" s="2" t="s">
        <v>4354</v>
      </c>
      <c r="B118" s="2" t="s">
        <v>4355</v>
      </c>
      <c r="C118" s="2">
        <v>4.5999999999999996</v>
      </c>
      <c r="D118" s="2">
        <v>6.4175000000000004</v>
      </c>
      <c r="E118" s="2" t="s">
        <v>827</v>
      </c>
    </row>
    <row r="119" spans="1:5" ht="20.25" customHeight="1" x14ac:dyDescent="0.15">
      <c r="A119" s="2" t="s">
        <v>686</v>
      </c>
      <c r="B119" s="2" t="s">
        <v>687</v>
      </c>
      <c r="C119" s="2">
        <v>4.59</v>
      </c>
      <c r="D119" s="2">
        <v>4.6868999999999996</v>
      </c>
      <c r="E119" s="2" t="s">
        <v>41</v>
      </c>
    </row>
    <row r="120" spans="1:5" ht="20.25" customHeight="1" x14ac:dyDescent="0.15">
      <c r="A120" s="2" t="s">
        <v>2425</v>
      </c>
      <c r="B120" s="2" t="s">
        <v>2426</v>
      </c>
      <c r="C120" s="2">
        <v>4.59</v>
      </c>
      <c r="D120" s="2">
        <v>3.8064</v>
      </c>
      <c r="E120" s="2" t="s">
        <v>1041</v>
      </c>
    </row>
    <row r="121" spans="1:5" ht="20.25" customHeight="1" x14ac:dyDescent="0.15">
      <c r="A121" s="2" t="s">
        <v>2508</v>
      </c>
      <c r="B121" s="2" t="s">
        <v>2509</v>
      </c>
      <c r="C121" s="2">
        <v>4.59</v>
      </c>
      <c r="D121" s="2">
        <v>0.76239999999999997</v>
      </c>
      <c r="E121" s="2" t="s">
        <v>1997</v>
      </c>
    </row>
    <row r="122" spans="1:5" ht="20.25" customHeight="1" x14ac:dyDescent="0.15">
      <c r="A122" s="2" t="s">
        <v>6124</v>
      </c>
      <c r="B122" s="2" t="s">
        <v>6125</v>
      </c>
      <c r="C122" s="2">
        <v>4.59</v>
      </c>
      <c r="D122" s="2">
        <v>2.4169</v>
      </c>
      <c r="E122" s="2" t="s">
        <v>1774</v>
      </c>
    </row>
    <row r="123" spans="1:5" ht="20.25" customHeight="1" x14ac:dyDescent="0.15">
      <c r="A123" s="2" t="s">
        <v>3752</v>
      </c>
      <c r="B123" s="2" t="s">
        <v>3753</v>
      </c>
      <c r="C123" s="2">
        <v>4.58</v>
      </c>
      <c r="D123" s="2">
        <v>1.8078000000000001</v>
      </c>
      <c r="E123" s="2" t="s">
        <v>1338</v>
      </c>
    </row>
    <row r="124" spans="1:5" ht="20.25" customHeight="1" x14ac:dyDescent="0.15">
      <c r="A124" s="2" t="s">
        <v>838</v>
      </c>
      <c r="B124" s="2" t="s">
        <v>839</v>
      </c>
      <c r="C124" s="2">
        <v>4.5599999999999996</v>
      </c>
      <c r="D124" s="2">
        <v>2.6926000000000001</v>
      </c>
      <c r="E124" s="2" t="s">
        <v>137</v>
      </c>
    </row>
    <row r="125" spans="1:5" ht="20.25" customHeight="1" x14ac:dyDescent="0.15">
      <c r="A125" s="2" t="s">
        <v>1845</v>
      </c>
      <c r="B125" s="2" t="s">
        <v>1846</v>
      </c>
      <c r="C125" s="2">
        <v>4.5599999999999996</v>
      </c>
      <c r="D125" s="2">
        <v>27.398199999999999</v>
      </c>
      <c r="E125" s="2" t="s">
        <v>103</v>
      </c>
    </row>
    <row r="126" spans="1:5" ht="20.25" customHeight="1" x14ac:dyDescent="0.15">
      <c r="A126" s="2" t="s">
        <v>5318</v>
      </c>
      <c r="B126" s="2" t="s">
        <v>5319</v>
      </c>
      <c r="C126" s="2">
        <v>4.55</v>
      </c>
      <c r="D126" s="2">
        <v>18.8003</v>
      </c>
      <c r="E126" s="2" t="s">
        <v>356</v>
      </c>
    </row>
    <row r="127" spans="1:5" ht="20.25" customHeight="1" x14ac:dyDescent="0.15">
      <c r="A127" s="2" t="s">
        <v>61</v>
      </c>
      <c r="B127" s="2" t="s">
        <v>62</v>
      </c>
      <c r="C127" s="2">
        <v>4.53</v>
      </c>
      <c r="D127" s="2">
        <v>10.6363</v>
      </c>
      <c r="E127" s="2" t="s">
        <v>21</v>
      </c>
    </row>
    <row r="128" spans="1:5" ht="20.25" customHeight="1" x14ac:dyDescent="0.15">
      <c r="A128" s="2" t="s">
        <v>2210</v>
      </c>
      <c r="B128" s="2" t="s">
        <v>2211</v>
      </c>
      <c r="C128" s="2">
        <v>4.53</v>
      </c>
      <c r="D128" s="2">
        <v>3.8681999999999999</v>
      </c>
      <c r="E128" s="2" t="s">
        <v>1034</v>
      </c>
    </row>
    <row r="129" spans="1:5" ht="20.25" customHeight="1" x14ac:dyDescent="0.15">
      <c r="A129" s="2" t="s">
        <v>8371</v>
      </c>
      <c r="B129" s="2" t="s">
        <v>8372</v>
      </c>
      <c r="C129" s="2">
        <v>4.53</v>
      </c>
      <c r="D129" s="2">
        <v>4.6026999999999996</v>
      </c>
      <c r="E129" s="2" t="s">
        <v>638</v>
      </c>
    </row>
    <row r="130" spans="1:5" ht="20.25" customHeight="1" x14ac:dyDescent="0.15">
      <c r="A130" s="2" t="s">
        <v>1174</v>
      </c>
      <c r="B130" s="2" t="s">
        <v>1175</v>
      </c>
      <c r="C130" s="2">
        <v>4.5199999999999996</v>
      </c>
      <c r="D130" s="2">
        <v>1.7032</v>
      </c>
      <c r="E130" s="2" t="s">
        <v>365</v>
      </c>
    </row>
    <row r="131" spans="1:5" ht="20.25" customHeight="1" x14ac:dyDescent="0.15">
      <c r="A131" s="2" t="s">
        <v>628</v>
      </c>
      <c r="B131" s="2" t="s">
        <v>629</v>
      </c>
      <c r="C131" s="2">
        <v>4.51</v>
      </c>
      <c r="D131" s="2">
        <v>0.75790000000000002</v>
      </c>
      <c r="E131" s="2" t="s">
        <v>630</v>
      </c>
    </row>
    <row r="132" spans="1:5" ht="20.25" customHeight="1" x14ac:dyDescent="0.15">
      <c r="A132" s="2" t="s">
        <v>980</v>
      </c>
      <c r="B132" s="2" t="s">
        <v>981</v>
      </c>
      <c r="C132" s="2">
        <v>4.51</v>
      </c>
      <c r="D132" s="2">
        <v>9.0828000000000007</v>
      </c>
      <c r="E132" s="2" t="s">
        <v>982</v>
      </c>
    </row>
    <row r="133" spans="1:5" ht="20.25" customHeight="1" x14ac:dyDescent="0.15">
      <c r="A133" s="2" t="s">
        <v>1241</v>
      </c>
      <c r="B133" s="2" t="s">
        <v>1242</v>
      </c>
      <c r="C133" s="2">
        <v>4.51</v>
      </c>
      <c r="D133" s="2">
        <v>2.0041000000000002</v>
      </c>
      <c r="E133" s="2" t="s">
        <v>1243</v>
      </c>
    </row>
    <row r="134" spans="1:5" ht="20.25" customHeight="1" x14ac:dyDescent="0.15">
      <c r="A134" s="2" t="s">
        <v>6416</v>
      </c>
      <c r="B134" s="2" t="s">
        <v>6417</v>
      </c>
      <c r="C134" s="2">
        <v>4.4550000000000001</v>
      </c>
      <c r="D134" s="2">
        <v>16.264900000000001</v>
      </c>
      <c r="E134" s="2" t="s">
        <v>1608</v>
      </c>
    </row>
    <row r="135" spans="1:5" ht="20.25" customHeight="1" x14ac:dyDescent="0.15">
      <c r="A135" s="2" t="s">
        <v>3360</v>
      </c>
      <c r="B135" s="2" t="s">
        <v>3361</v>
      </c>
      <c r="C135" s="2">
        <v>4.45</v>
      </c>
      <c r="D135" s="2">
        <v>3.2873999999999999</v>
      </c>
      <c r="E135" s="2" t="s">
        <v>506</v>
      </c>
    </row>
    <row r="136" spans="1:5" ht="20.25" customHeight="1" x14ac:dyDescent="0.15">
      <c r="A136" s="2" t="s">
        <v>1046</v>
      </c>
      <c r="B136" s="2" t="s">
        <v>1047</v>
      </c>
      <c r="C136" s="2">
        <v>4.4400000000000004</v>
      </c>
      <c r="D136" s="2">
        <v>2.8847</v>
      </c>
      <c r="E136" s="2" t="s">
        <v>450</v>
      </c>
    </row>
    <row r="137" spans="1:5" ht="20.25" customHeight="1" x14ac:dyDescent="0.15">
      <c r="A137" s="2" t="s">
        <v>581</v>
      </c>
      <c r="B137" s="2" t="s">
        <v>582</v>
      </c>
      <c r="C137" s="2">
        <v>4.43</v>
      </c>
      <c r="D137" s="2">
        <v>22.795200000000001</v>
      </c>
      <c r="E137" s="2" t="s">
        <v>254</v>
      </c>
    </row>
    <row r="138" spans="1:5" ht="20.25" customHeight="1" x14ac:dyDescent="0.15">
      <c r="A138" s="2" t="s">
        <v>2156</v>
      </c>
      <c r="B138" s="2" t="s">
        <v>2157</v>
      </c>
      <c r="C138" s="2">
        <v>4.4249999999999998</v>
      </c>
      <c r="D138" s="2">
        <v>1.5279</v>
      </c>
      <c r="E138" s="2" t="s">
        <v>1486</v>
      </c>
    </row>
    <row r="139" spans="1:5" ht="20.25" customHeight="1" x14ac:dyDescent="0.15">
      <c r="A139" s="2" t="s">
        <v>2288</v>
      </c>
      <c r="B139" s="2" t="s">
        <v>2289</v>
      </c>
      <c r="C139" s="2">
        <v>4.42</v>
      </c>
      <c r="D139" s="2">
        <v>6.8710000000000004</v>
      </c>
      <c r="E139" s="2" t="s">
        <v>265</v>
      </c>
    </row>
    <row r="140" spans="1:5" ht="20.25" customHeight="1" x14ac:dyDescent="0.15">
      <c r="A140" s="2" t="s">
        <v>4388</v>
      </c>
      <c r="B140" s="2" t="s">
        <v>4389</v>
      </c>
      <c r="C140" s="2">
        <v>4.42</v>
      </c>
      <c r="D140" s="2">
        <v>11.1045</v>
      </c>
      <c r="E140" s="2" t="s">
        <v>1608</v>
      </c>
    </row>
    <row r="141" spans="1:5" ht="20.25" customHeight="1" x14ac:dyDescent="0.15">
      <c r="A141" s="2" t="s">
        <v>4336</v>
      </c>
      <c r="B141" s="2" t="s">
        <v>4337</v>
      </c>
      <c r="C141" s="2">
        <v>4.3949999999999996</v>
      </c>
      <c r="D141" s="2">
        <v>4.4335000000000004</v>
      </c>
      <c r="E141" s="2" t="s">
        <v>657</v>
      </c>
    </row>
    <row r="142" spans="1:5" ht="20.25" customHeight="1" x14ac:dyDescent="0.15">
      <c r="A142" s="2" t="s">
        <v>169</v>
      </c>
      <c r="B142" s="2" t="s">
        <v>170</v>
      </c>
      <c r="C142" s="2">
        <v>4.3899999999999997</v>
      </c>
      <c r="D142" s="2">
        <v>1.4602999999999999</v>
      </c>
      <c r="E142" s="2" t="s">
        <v>171</v>
      </c>
    </row>
    <row r="143" spans="1:5" ht="20.25" customHeight="1" x14ac:dyDescent="0.15">
      <c r="A143" s="2" t="s">
        <v>1341</v>
      </c>
      <c r="B143" s="2" t="s">
        <v>1342</v>
      </c>
      <c r="C143" s="2">
        <v>4.3899999999999997</v>
      </c>
      <c r="D143" s="2">
        <v>2.5156000000000001</v>
      </c>
      <c r="E143" s="2" t="s">
        <v>727</v>
      </c>
    </row>
    <row r="144" spans="1:5" ht="20.25" customHeight="1" x14ac:dyDescent="0.15">
      <c r="A144" s="2" t="s">
        <v>4946</v>
      </c>
      <c r="B144" s="2" t="s">
        <v>4947</v>
      </c>
      <c r="C144" s="2">
        <v>4.3899999999999997</v>
      </c>
      <c r="D144" s="2">
        <v>8.9278999999999993</v>
      </c>
      <c r="E144" s="2" t="s">
        <v>176</v>
      </c>
    </row>
    <row r="145" spans="1:5" ht="20.25" customHeight="1" x14ac:dyDescent="0.15">
      <c r="A145" s="2" t="s">
        <v>4257</v>
      </c>
      <c r="B145" s="2" t="s">
        <v>4258</v>
      </c>
      <c r="C145" s="2">
        <v>4.37</v>
      </c>
      <c r="D145" s="2">
        <v>5.3127000000000004</v>
      </c>
      <c r="E145" s="2" t="s">
        <v>1436</v>
      </c>
    </row>
    <row r="146" spans="1:5" ht="20.25" customHeight="1" x14ac:dyDescent="0.15">
      <c r="A146" s="2" t="s">
        <v>592</v>
      </c>
      <c r="B146" s="2" t="s">
        <v>593</v>
      </c>
      <c r="C146" s="2">
        <v>4.3600000000000003</v>
      </c>
      <c r="D146" s="2">
        <v>1.3291999999999999</v>
      </c>
      <c r="E146" s="2" t="s">
        <v>214</v>
      </c>
    </row>
    <row r="147" spans="1:5" ht="20.25" customHeight="1" x14ac:dyDescent="0.15">
      <c r="A147" s="2" t="s">
        <v>1143</v>
      </c>
      <c r="B147" s="2" t="s">
        <v>1144</v>
      </c>
      <c r="C147" s="2">
        <v>4.34</v>
      </c>
      <c r="D147" s="2">
        <v>2.5836000000000001</v>
      </c>
      <c r="E147" s="2" t="s">
        <v>1145</v>
      </c>
    </row>
    <row r="148" spans="1:5" ht="20.25" customHeight="1" x14ac:dyDescent="0.15">
      <c r="A148" s="2" t="s">
        <v>2809</v>
      </c>
      <c r="B148" s="2" t="s">
        <v>2810</v>
      </c>
      <c r="C148" s="2">
        <v>4.34</v>
      </c>
      <c r="D148" s="2">
        <v>5.4337999999999997</v>
      </c>
      <c r="E148" s="2" t="s">
        <v>265</v>
      </c>
    </row>
    <row r="149" spans="1:5" ht="20.25" customHeight="1" x14ac:dyDescent="0.15">
      <c r="A149" s="2" t="s">
        <v>1273</v>
      </c>
      <c r="B149" s="2" t="s">
        <v>1274</v>
      </c>
      <c r="C149" s="2">
        <v>4.32</v>
      </c>
      <c r="D149" s="2">
        <v>2.9569000000000001</v>
      </c>
      <c r="E149" s="2" t="s">
        <v>1275</v>
      </c>
    </row>
    <row r="150" spans="1:5" ht="20.25" customHeight="1" x14ac:dyDescent="0.15">
      <c r="A150" s="2" t="s">
        <v>1816</v>
      </c>
      <c r="B150" s="2" t="s">
        <v>1817</v>
      </c>
      <c r="C150" s="2">
        <v>4.32</v>
      </c>
      <c r="D150" s="2">
        <v>2.1160999999999999</v>
      </c>
      <c r="E150" s="2" t="s">
        <v>157</v>
      </c>
    </row>
    <row r="151" spans="1:5" ht="20.25" customHeight="1" x14ac:dyDescent="0.15">
      <c r="A151" s="2" t="s">
        <v>521</v>
      </c>
      <c r="B151" s="2" t="s">
        <v>522</v>
      </c>
      <c r="C151" s="2">
        <v>4.2699999999999996</v>
      </c>
      <c r="D151" s="2">
        <v>4.4090999999999996</v>
      </c>
      <c r="E151" s="2" t="s">
        <v>149</v>
      </c>
    </row>
    <row r="152" spans="1:5" ht="20.25" customHeight="1" x14ac:dyDescent="0.15">
      <c r="A152" s="2" t="s">
        <v>802</v>
      </c>
      <c r="B152" s="2" t="s">
        <v>803</v>
      </c>
      <c r="C152" s="2">
        <v>4.2699999999999996</v>
      </c>
      <c r="D152" s="2">
        <v>5.3228999999999997</v>
      </c>
      <c r="E152" s="2" t="s">
        <v>103</v>
      </c>
    </row>
    <row r="153" spans="1:5" ht="20.25" customHeight="1" x14ac:dyDescent="0.15">
      <c r="A153" s="2" t="s">
        <v>2640</v>
      </c>
      <c r="B153" s="2" t="s">
        <v>2641</v>
      </c>
      <c r="C153" s="2">
        <v>4.2699999999999996</v>
      </c>
      <c r="D153" s="2">
        <v>2.1682000000000001</v>
      </c>
      <c r="E153" s="2" t="s">
        <v>374</v>
      </c>
    </row>
    <row r="154" spans="1:5" ht="20.25" customHeight="1" x14ac:dyDescent="0.15">
      <c r="A154" s="2" t="s">
        <v>1591</v>
      </c>
      <c r="B154" s="2" t="s">
        <v>1592</v>
      </c>
      <c r="C154" s="2">
        <v>4.22</v>
      </c>
      <c r="D154" s="2">
        <v>1.2143999999999999</v>
      </c>
      <c r="E154" s="2" t="s">
        <v>1593</v>
      </c>
    </row>
    <row r="155" spans="1:5" ht="20.25" customHeight="1" x14ac:dyDescent="0.15">
      <c r="A155" s="2" t="s">
        <v>4064</v>
      </c>
      <c r="B155" s="2" t="s">
        <v>4065</v>
      </c>
      <c r="C155" s="2">
        <v>4.22</v>
      </c>
      <c r="D155" s="2">
        <v>1.1848000000000001</v>
      </c>
      <c r="E155" s="2" t="s">
        <v>157</v>
      </c>
    </row>
    <row r="156" spans="1:5" ht="20.25" customHeight="1" x14ac:dyDescent="0.15">
      <c r="A156" s="2" t="s">
        <v>1129</v>
      </c>
      <c r="B156" s="2" t="s">
        <v>1130</v>
      </c>
      <c r="C156" s="2">
        <v>4.1900000000000004</v>
      </c>
      <c r="D156" s="2">
        <v>1.7261</v>
      </c>
      <c r="E156" s="2" t="s">
        <v>198</v>
      </c>
    </row>
    <row r="157" spans="1:5" ht="20.25" customHeight="1" x14ac:dyDescent="0.15">
      <c r="A157" s="2" t="s">
        <v>2032</v>
      </c>
      <c r="B157" s="2" t="s">
        <v>2033</v>
      </c>
      <c r="C157" s="2">
        <v>4.1900000000000004</v>
      </c>
      <c r="D157" s="2">
        <v>4.3996000000000004</v>
      </c>
      <c r="E157" s="2" t="s">
        <v>406</v>
      </c>
    </row>
    <row r="158" spans="1:5" ht="20.25" customHeight="1" x14ac:dyDescent="0.15">
      <c r="A158" s="2" t="s">
        <v>3829</v>
      </c>
      <c r="B158" s="2" t="s">
        <v>3830</v>
      </c>
      <c r="C158" s="2">
        <v>4.1900000000000004</v>
      </c>
      <c r="D158" s="2">
        <v>3.6753999999999998</v>
      </c>
      <c r="E158" s="2" t="s">
        <v>1691</v>
      </c>
    </row>
    <row r="159" spans="1:5" ht="20.25" customHeight="1" x14ac:dyDescent="0.15">
      <c r="A159" s="2" t="s">
        <v>5515</v>
      </c>
      <c r="B159" s="2" t="s">
        <v>5516</v>
      </c>
      <c r="C159" s="2">
        <v>4.1900000000000004</v>
      </c>
      <c r="D159" s="2">
        <v>2.5257999999999998</v>
      </c>
      <c r="E159" s="2" t="s">
        <v>286</v>
      </c>
    </row>
    <row r="160" spans="1:5" ht="20.25" customHeight="1" x14ac:dyDescent="0.15">
      <c r="A160" s="2" t="s">
        <v>2306</v>
      </c>
      <c r="B160" s="2" t="s">
        <v>2307</v>
      </c>
      <c r="C160" s="2">
        <v>4.1500000000000004</v>
      </c>
      <c r="D160" s="2">
        <v>3.8820000000000001</v>
      </c>
      <c r="E160" s="2" t="s">
        <v>677</v>
      </c>
    </row>
    <row r="161" spans="1:5" ht="20.25" customHeight="1" x14ac:dyDescent="0.15">
      <c r="A161" s="2" t="s">
        <v>263</v>
      </c>
      <c r="B161" s="2" t="s">
        <v>264</v>
      </c>
      <c r="C161" s="2">
        <v>4.1399999999999997</v>
      </c>
      <c r="D161" s="2">
        <v>1.1861999999999999</v>
      </c>
      <c r="E161" s="2" t="s">
        <v>265</v>
      </c>
    </row>
    <row r="162" spans="1:5" ht="20.25" customHeight="1" x14ac:dyDescent="0.15">
      <c r="A162" s="2" t="s">
        <v>394</v>
      </c>
      <c r="B162" s="2" t="s">
        <v>395</v>
      </c>
      <c r="C162" s="2">
        <v>4.1399999999999997</v>
      </c>
      <c r="D162" s="2">
        <v>2.2033999999999998</v>
      </c>
      <c r="E162" s="2" t="s">
        <v>396</v>
      </c>
    </row>
    <row r="163" spans="1:5" ht="20.25" customHeight="1" x14ac:dyDescent="0.15">
      <c r="A163" s="2" t="s">
        <v>5714</v>
      </c>
      <c r="B163" s="2" t="s">
        <v>5715</v>
      </c>
      <c r="C163" s="2">
        <v>4.1349999999999998</v>
      </c>
      <c r="D163" s="2">
        <v>4.2366000000000001</v>
      </c>
      <c r="E163" s="2" t="s">
        <v>406</v>
      </c>
    </row>
    <row r="164" spans="1:5" ht="20.25" customHeight="1" x14ac:dyDescent="0.15">
      <c r="A164" s="2" t="s">
        <v>7145</v>
      </c>
      <c r="B164" s="2" t="s">
        <v>7146</v>
      </c>
      <c r="C164" s="2">
        <v>4.13</v>
      </c>
      <c r="D164" s="2">
        <v>0.56040000000000001</v>
      </c>
      <c r="E164" s="2" t="s">
        <v>2355</v>
      </c>
    </row>
    <row r="165" spans="1:5" ht="20.25" customHeight="1" x14ac:dyDescent="0.15">
      <c r="A165" s="2" t="s">
        <v>2568</v>
      </c>
      <c r="B165" s="2" t="s">
        <v>2569</v>
      </c>
      <c r="C165" s="2">
        <v>4.125</v>
      </c>
      <c r="D165" s="2">
        <v>3.3698000000000001</v>
      </c>
      <c r="E165" s="2" t="s">
        <v>403</v>
      </c>
    </row>
    <row r="166" spans="1:5" ht="20.25" customHeight="1" x14ac:dyDescent="0.15">
      <c r="A166" s="2" t="s">
        <v>1640</v>
      </c>
      <c r="B166" s="2" t="s">
        <v>1641</v>
      </c>
      <c r="C166" s="2">
        <v>4.12</v>
      </c>
      <c r="D166" s="2">
        <v>5.5330000000000004</v>
      </c>
      <c r="E166" s="2" t="s">
        <v>44</v>
      </c>
    </row>
    <row r="167" spans="1:5" ht="20.25" customHeight="1" x14ac:dyDescent="0.15">
      <c r="A167" s="2" t="s">
        <v>167</v>
      </c>
      <c r="B167" s="2" t="s">
        <v>168</v>
      </c>
      <c r="C167" s="2">
        <v>4.1100000000000003</v>
      </c>
      <c r="D167" s="2">
        <v>14.409599999999999</v>
      </c>
      <c r="E167" s="2" t="s">
        <v>7</v>
      </c>
    </row>
    <row r="168" spans="1:5" ht="20.25" customHeight="1" x14ac:dyDescent="0.15">
      <c r="A168" s="2" t="s">
        <v>6310</v>
      </c>
      <c r="B168" s="2" t="s">
        <v>6311</v>
      </c>
      <c r="C168" s="2">
        <v>4.1100000000000003</v>
      </c>
      <c r="D168" s="2">
        <v>0.73089999999999999</v>
      </c>
      <c r="E168" s="2" t="s">
        <v>359</v>
      </c>
    </row>
    <row r="169" spans="1:5" ht="20.25" customHeight="1" x14ac:dyDescent="0.15">
      <c r="A169" s="2" t="s">
        <v>1197</v>
      </c>
      <c r="B169" s="2" t="s">
        <v>1198</v>
      </c>
      <c r="C169" s="2">
        <v>4.07</v>
      </c>
      <c r="D169" s="2">
        <v>42.573300000000003</v>
      </c>
      <c r="E169" s="2" t="s">
        <v>1199</v>
      </c>
    </row>
    <row r="170" spans="1:5" ht="20.25" customHeight="1" x14ac:dyDescent="0.15">
      <c r="A170" s="2" t="s">
        <v>8021</v>
      </c>
      <c r="B170" s="2" t="s">
        <v>8022</v>
      </c>
      <c r="C170" s="2">
        <v>4.0599999999999996</v>
      </c>
      <c r="D170" s="2">
        <v>2.4068000000000001</v>
      </c>
      <c r="E170" s="2" t="s">
        <v>2355</v>
      </c>
    </row>
    <row r="171" spans="1:5" ht="20.25" customHeight="1" x14ac:dyDescent="0.15">
      <c r="A171" s="2" t="s">
        <v>993</v>
      </c>
      <c r="B171" s="2" t="s">
        <v>994</v>
      </c>
      <c r="C171" s="2">
        <v>4.05</v>
      </c>
      <c r="D171" s="2">
        <v>2.5171000000000001</v>
      </c>
      <c r="E171" s="2" t="s">
        <v>727</v>
      </c>
    </row>
    <row r="172" spans="1:5" ht="20.25" customHeight="1" x14ac:dyDescent="0.15">
      <c r="A172" s="2" t="s">
        <v>1636</v>
      </c>
      <c r="B172" s="2" t="s">
        <v>1637</v>
      </c>
      <c r="C172" s="2">
        <v>4.05</v>
      </c>
      <c r="D172" s="2">
        <v>725.08460000000002</v>
      </c>
      <c r="E172" s="2" t="s">
        <v>71</v>
      </c>
    </row>
    <row r="173" spans="1:5" ht="20.25" customHeight="1" x14ac:dyDescent="0.15">
      <c r="A173" s="2" t="s">
        <v>5974</v>
      </c>
      <c r="B173" s="2" t="s">
        <v>5975</v>
      </c>
      <c r="C173" s="2">
        <v>4.04</v>
      </c>
      <c r="D173" s="2">
        <v>0.54900000000000004</v>
      </c>
      <c r="E173" s="2" t="s">
        <v>201</v>
      </c>
    </row>
    <row r="174" spans="1:5" ht="20.25" customHeight="1" x14ac:dyDescent="0.15">
      <c r="A174" s="2" t="s">
        <v>66</v>
      </c>
      <c r="B174" s="2" t="s">
        <v>67</v>
      </c>
      <c r="C174" s="2">
        <v>4.03</v>
      </c>
      <c r="D174" s="2">
        <v>4.4686000000000003</v>
      </c>
      <c r="E174" s="2" t="s">
        <v>68</v>
      </c>
    </row>
    <row r="175" spans="1:5" ht="20.25" customHeight="1" x14ac:dyDescent="0.15">
      <c r="A175" s="2" t="s">
        <v>825</v>
      </c>
      <c r="B175" s="2" t="s">
        <v>826</v>
      </c>
      <c r="C175" s="2">
        <v>4.03</v>
      </c>
      <c r="D175" s="2">
        <v>3.8149000000000002</v>
      </c>
      <c r="E175" s="2" t="s">
        <v>827</v>
      </c>
    </row>
    <row r="176" spans="1:5" ht="20.25" customHeight="1" x14ac:dyDescent="0.15">
      <c r="A176" s="2" t="s">
        <v>2375</v>
      </c>
      <c r="B176" s="2" t="s">
        <v>2376</v>
      </c>
      <c r="C176" s="2">
        <v>4.0199999999999996</v>
      </c>
      <c r="D176" s="2">
        <v>18.174499999999998</v>
      </c>
      <c r="E176" s="2" t="s">
        <v>240</v>
      </c>
    </row>
    <row r="177" spans="1:5" ht="20.25" customHeight="1" x14ac:dyDescent="0.15">
      <c r="A177" s="2" t="s">
        <v>2526</v>
      </c>
      <c r="B177" s="2" t="s">
        <v>2527</v>
      </c>
      <c r="C177" s="2">
        <v>4.01</v>
      </c>
      <c r="D177" s="2">
        <v>2.7277999999999998</v>
      </c>
      <c r="E177" s="2" t="s">
        <v>35</v>
      </c>
    </row>
    <row r="178" spans="1:5" ht="20.25" customHeight="1" x14ac:dyDescent="0.15">
      <c r="A178" s="2" t="s">
        <v>1833</v>
      </c>
      <c r="B178" s="2" t="s">
        <v>1834</v>
      </c>
      <c r="C178" s="2">
        <v>4</v>
      </c>
      <c r="D178" s="2">
        <v>1.7867</v>
      </c>
      <c r="E178" s="2" t="s">
        <v>1515</v>
      </c>
    </row>
    <row r="179" spans="1:5" ht="20.25" customHeight="1" x14ac:dyDescent="0.15">
      <c r="A179" s="2" t="s">
        <v>8207</v>
      </c>
      <c r="B179" s="2" t="s">
        <v>8208</v>
      </c>
      <c r="C179" s="2">
        <v>3.9950000000000001</v>
      </c>
      <c r="D179" s="2">
        <v>3.3149999999999999</v>
      </c>
      <c r="E179" s="2" t="s">
        <v>1608</v>
      </c>
    </row>
    <row r="180" spans="1:5" ht="20.25" customHeight="1" x14ac:dyDescent="0.15">
      <c r="A180" s="2" t="s">
        <v>238</v>
      </c>
      <c r="B180" s="2" t="s">
        <v>239</v>
      </c>
      <c r="C180" s="2">
        <v>3.99</v>
      </c>
      <c r="D180" s="2">
        <v>14.161799999999999</v>
      </c>
      <c r="E180" s="2" t="s">
        <v>240</v>
      </c>
    </row>
    <row r="181" spans="1:5" ht="20.25" customHeight="1" x14ac:dyDescent="0.15">
      <c r="A181" s="2" t="s">
        <v>806</v>
      </c>
      <c r="B181" s="2" t="s">
        <v>807</v>
      </c>
      <c r="C181" s="2">
        <v>3.99</v>
      </c>
      <c r="D181" s="2">
        <v>1.137</v>
      </c>
      <c r="E181" s="2" t="s">
        <v>44</v>
      </c>
    </row>
    <row r="182" spans="1:5" ht="20.25" customHeight="1" x14ac:dyDescent="0.15">
      <c r="A182" s="2" t="s">
        <v>2443</v>
      </c>
      <c r="B182" s="2" t="s">
        <v>2444</v>
      </c>
      <c r="C182" s="2">
        <v>3.99</v>
      </c>
      <c r="D182" s="2">
        <v>2.0287000000000002</v>
      </c>
      <c r="E182" s="2" t="s">
        <v>1608</v>
      </c>
    </row>
    <row r="183" spans="1:5" ht="20.25" customHeight="1" x14ac:dyDescent="0.15">
      <c r="A183" s="2" t="s">
        <v>6248</v>
      </c>
      <c r="B183" s="2" t="s">
        <v>6249</v>
      </c>
      <c r="C183" s="2">
        <v>3.99</v>
      </c>
      <c r="D183" s="2">
        <v>2.4165000000000001</v>
      </c>
      <c r="E183" s="2" t="s">
        <v>713</v>
      </c>
    </row>
    <row r="184" spans="1:5" ht="20.25" customHeight="1" x14ac:dyDescent="0.15">
      <c r="A184" s="2" t="s">
        <v>1487</v>
      </c>
      <c r="B184" s="2" t="s">
        <v>1488</v>
      </c>
      <c r="C184" s="2">
        <v>3.98</v>
      </c>
      <c r="D184" s="2">
        <v>10.6877</v>
      </c>
      <c r="E184" s="2" t="s">
        <v>677</v>
      </c>
    </row>
    <row r="185" spans="1:5" ht="20.25" customHeight="1" x14ac:dyDescent="0.15">
      <c r="A185" s="2" t="s">
        <v>1739</v>
      </c>
      <c r="B185" s="2" t="s">
        <v>1740</v>
      </c>
      <c r="C185" s="2">
        <v>3.98</v>
      </c>
      <c r="D185" s="2">
        <v>11.3162</v>
      </c>
      <c r="E185" s="2" t="s">
        <v>827</v>
      </c>
    </row>
    <row r="186" spans="1:5" ht="20.25" customHeight="1" x14ac:dyDescent="0.15">
      <c r="A186" s="2" t="s">
        <v>2041</v>
      </c>
      <c r="B186" s="2" t="s">
        <v>2042</v>
      </c>
      <c r="C186" s="2">
        <v>3.98</v>
      </c>
      <c r="D186" s="2">
        <v>2.4636</v>
      </c>
      <c r="E186" s="2" t="s">
        <v>421</v>
      </c>
    </row>
    <row r="187" spans="1:5" ht="20.25" customHeight="1" x14ac:dyDescent="0.15">
      <c r="A187" s="2" t="s">
        <v>2324</v>
      </c>
      <c r="B187" s="2" t="s">
        <v>2325</v>
      </c>
      <c r="C187" s="2">
        <v>3.98</v>
      </c>
      <c r="D187" s="2">
        <v>2.1749000000000001</v>
      </c>
      <c r="E187" s="2" t="s">
        <v>2063</v>
      </c>
    </row>
    <row r="188" spans="1:5" ht="20.25" customHeight="1" x14ac:dyDescent="0.15">
      <c r="A188" s="2" t="s">
        <v>2220</v>
      </c>
      <c r="B188" s="2" t="s">
        <v>2221</v>
      </c>
      <c r="C188" s="2">
        <v>3.97</v>
      </c>
      <c r="D188" s="2">
        <v>2.1374</v>
      </c>
      <c r="E188" s="2" t="s">
        <v>44</v>
      </c>
    </row>
    <row r="189" spans="1:5" ht="20.25" customHeight="1" x14ac:dyDescent="0.15">
      <c r="A189" s="2" t="s">
        <v>5096</v>
      </c>
      <c r="B189" s="2" t="s">
        <v>5097</v>
      </c>
      <c r="C189" s="2">
        <v>3.9550000000000001</v>
      </c>
      <c r="D189" s="2">
        <v>5.0964</v>
      </c>
      <c r="E189" s="2" t="s">
        <v>638</v>
      </c>
    </row>
    <row r="190" spans="1:5" ht="20.25" customHeight="1" x14ac:dyDescent="0.15">
      <c r="A190" s="2" t="s">
        <v>389</v>
      </c>
      <c r="B190" s="2" t="s">
        <v>390</v>
      </c>
      <c r="C190" s="2">
        <v>3.95</v>
      </c>
      <c r="D190" s="2">
        <v>1.9923</v>
      </c>
      <c r="E190" s="2" t="s">
        <v>391</v>
      </c>
    </row>
    <row r="191" spans="1:5" ht="20.25" customHeight="1" x14ac:dyDescent="0.15">
      <c r="A191" s="2" t="s">
        <v>5906</v>
      </c>
      <c r="B191" s="2" t="s">
        <v>5907</v>
      </c>
      <c r="C191" s="2">
        <v>3.95</v>
      </c>
      <c r="D191" s="2">
        <v>119.4736</v>
      </c>
      <c r="E191" s="2" t="s">
        <v>374</v>
      </c>
    </row>
    <row r="192" spans="1:5" ht="20.25" customHeight="1" x14ac:dyDescent="0.15">
      <c r="A192" s="2" t="s">
        <v>3845</v>
      </c>
      <c r="B192" s="2" t="s">
        <v>3846</v>
      </c>
      <c r="C192" s="2">
        <v>3.9449999999999998</v>
      </c>
      <c r="D192" s="2">
        <v>0.57089999999999996</v>
      </c>
      <c r="E192" s="2" t="s">
        <v>257</v>
      </c>
    </row>
    <row r="193" spans="1:5" ht="20.25" customHeight="1" x14ac:dyDescent="0.15">
      <c r="A193" s="2" t="s">
        <v>929</v>
      </c>
      <c r="B193" s="2" t="s">
        <v>930</v>
      </c>
      <c r="C193" s="2">
        <v>3.94</v>
      </c>
      <c r="D193" s="2">
        <v>3.5623</v>
      </c>
      <c r="E193" s="2" t="s">
        <v>931</v>
      </c>
    </row>
    <row r="194" spans="1:5" ht="20.25" customHeight="1" x14ac:dyDescent="0.15">
      <c r="A194" s="2" t="s">
        <v>350</v>
      </c>
      <c r="B194" s="2" t="s">
        <v>351</v>
      </c>
      <c r="C194" s="2">
        <v>3.93</v>
      </c>
      <c r="D194" s="2">
        <v>1.4067000000000001</v>
      </c>
      <c r="E194" s="2" t="s">
        <v>286</v>
      </c>
    </row>
    <row r="195" spans="1:5" ht="20.25" customHeight="1" x14ac:dyDescent="0.15">
      <c r="A195" s="2" t="s">
        <v>2119</v>
      </c>
      <c r="B195" s="2" t="s">
        <v>2120</v>
      </c>
      <c r="C195" s="2">
        <v>3.93</v>
      </c>
      <c r="D195" s="2">
        <v>15.0901</v>
      </c>
      <c r="E195" s="2" t="s">
        <v>647</v>
      </c>
    </row>
    <row r="196" spans="1:5" ht="20.25" customHeight="1" x14ac:dyDescent="0.15">
      <c r="A196" s="2" t="s">
        <v>705</v>
      </c>
      <c r="B196" s="2" t="s">
        <v>706</v>
      </c>
      <c r="C196" s="2">
        <v>3.92</v>
      </c>
      <c r="D196" s="2">
        <v>4.8918999999999997</v>
      </c>
      <c r="E196" s="2" t="s">
        <v>157</v>
      </c>
    </row>
    <row r="197" spans="1:5" ht="20.25" customHeight="1" x14ac:dyDescent="0.15">
      <c r="A197" s="2" t="s">
        <v>56</v>
      </c>
      <c r="B197" s="2" t="s">
        <v>57</v>
      </c>
      <c r="C197" s="2">
        <v>3.91</v>
      </c>
      <c r="D197" s="2">
        <v>1.7498</v>
      </c>
      <c r="E197" s="2" t="s">
        <v>32</v>
      </c>
    </row>
    <row r="198" spans="1:5" ht="20.25" customHeight="1" x14ac:dyDescent="0.15">
      <c r="A198" s="2" t="s">
        <v>1919</v>
      </c>
      <c r="B198" s="2" t="s">
        <v>1920</v>
      </c>
      <c r="C198" s="2">
        <v>3.91</v>
      </c>
      <c r="D198" s="2">
        <v>1.6629</v>
      </c>
      <c r="E198" s="2" t="s">
        <v>727</v>
      </c>
    </row>
    <row r="199" spans="1:5" ht="20.25" customHeight="1" x14ac:dyDescent="0.15">
      <c r="A199" s="2" t="s">
        <v>3915</v>
      </c>
      <c r="B199" s="2" t="s">
        <v>3916</v>
      </c>
      <c r="C199" s="2">
        <v>3.91</v>
      </c>
      <c r="D199" s="2">
        <v>2.5287999999999999</v>
      </c>
      <c r="E199" s="2" t="s">
        <v>1145</v>
      </c>
    </row>
    <row r="200" spans="1:5" ht="20.25" customHeight="1" x14ac:dyDescent="0.15">
      <c r="A200" s="2" t="s">
        <v>5661</v>
      </c>
      <c r="B200" s="2" t="s">
        <v>5662</v>
      </c>
      <c r="C200" s="2">
        <v>3.91</v>
      </c>
      <c r="D200" s="2">
        <v>3.1789000000000001</v>
      </c>
      <c r="E200" s="2" t="s">
        <v>359</v>
      </c>
    </row>
    <row r="201" spans="1:5" ht="20.25" customHeight="1" x14ac:dyDescent="0.15">
      <c r="A201" s="2" t="s">
        <v>7085</v>
      </c>
      <c r="B201" s="2" t="s">
        <v>7086</v>
      </c>
      <c r="C201" s="2">
        <v>3.91</v>
      </c>
      <c r="D201" s="2">
        <v>2.2543000000000002</v>
      </c>
      <c r="E201" s="2" t="s">
        <v>149</v>
      </c>
    </row>
    <row r="202" spans="1:5" ht="20.25" customHeight="1" x14ac:dyDescent="0.15">
      <c r="A202" s="2" t="s">
        <v>1244</v>
      </c>
      <c r="B202" s="2" t="s">
        <v>1245</v>
      </c>
      <c r="C202" s="2">
        <v>3.9</v>
      </c>
      <c r="D202" s="2">
        <v>1.1357999999999999</v>
      </c>
      <c r="E202" s="2" t="s">
        <v>359</v>
      </c>
    </row>
    <row r="203" spans="1:5" ht="20.25" customHeight="1" x14ac:dyDescent="0.15">
      <c r="A203" s="2" t="s">
        <v>1652</v>
      </c>
      <c r="B203" s="2" t="s">
        <v>1653</v>
      </c>
      <c r="C203" s="2">
        <v>3.9</v>
      </c>
      <c r="D203" s="2">
        <v>5.61</v>
      </c>
      <c r="E203" s="2" t="s">
        <v>92</v>
      </c>
    </row>
    <row r="204" spans="1:5" ht="20.25" customHeight="1" x14ac:dyDescent="0.15">
      <c r="A204" s="2" t="s">
        <v>2951</v>
      </c>
      <c r="B204" s="2" t="s">
        <v>2952</v>
      </c>
      <c r="C204" s="2">
        <v>3.9</v>
      </c>
      <c r="D204" s="2">
        <v>3.4916</v>
      </c>
      <c r="E204" s="2" t="s">
        <v>403</v>
      </c>
    </row>
    <row r="205" spans="1:5" ht="20.25" customHeight="1" x14ac:dyDescent="0.15">
      <c r="A205" s="2" t="s">
        <v>4640</v>
      </c>
      <c r="B205" s="2" t="s">
        <v>4641</v>
      </c>
      <c r="C205" s="2">
        <v>3.9</v>
      </c>
      <c r="D205" s="2">
        <v>1.6777</v>
      </c>
      <c r="E205" s="2" t="s">
        <v>1224</v>
      </c>
    </row>
    <row r="206" spans="1:5" ht="20.25" customHeight="1" x14ac:dyDescent="0.15">
      <c r="A206" s="2" t="s">
        <v>8227</v>
      </c>
      <c r="B206" s="2" t="s">
        <v>8228</v>
      </c>
      <c r="C206" s="2">
        <v>3.895</v>
      </c>
      <c r="D206" s="2">
        <v>1.6177999999999999</v>
      </c>
      <c r="E206" s="2" t="s">
        <v>137</v>
      </c>
    </row>
    <row r="207" spans="1:5" ht="20.25" customHeight="1" x14ac:dyDescent="0.15">
      <c r="A207" s="2" t="s">
        <v>1182</v>
      </c>
      <c r="B207" s="2" t="s">
        <v>1183</v>
      </c>
      <c r="C207" s="2">
        <v>3.89</v>
      </c>
      <c r="D207" s="2">
        <v>49.251199999999997</v>
      </c>
      <c r="E207" s="2" t="s">
        <v>409</v>
      </c>
    </row>
    <row r="208" spans="1:5" ht="20.25" customHeight="1" x14ac:dyDescent="0.15">
      <c r="A208" s="2" t="s">
        <v>1600</v>
      </c>
      <c r="B208" s="2" t="s">
        <v>1601</v>
      </c>
      <c r="C208" s="2">
        <v>3.87</v>
      </c>
      <c r="D208" s="2">
        <v>3.4845000000000002</v>
      </c>
      <c r="E208" s="2" t="s">
        <v>1224</v>
      </c>
    </row>
    <row r="209" spans="1:5" ht="20.25" customHeight="1" x14ac:dyDescent="0.15">
      <c r="A209" s="2" t="s">
        <v>7459</v>
      </c>
      <c r="B209" s="2" t="s">
        <v>7460</v>
      </c>
      <c r="C209" s="2">
        <v>3.87</v>
      </c>
      <c r="D209" s="2">
        <v>0.9032</v>
      </c>
      <c r="E209" s="2" t="s">
        <v>201</v>
      </c>
    </row>
    <row r="210" spans="1:5" ht="20.25" customHeight="1" x14ac:dyDescent="0.15">
      <c r="A210" s="2" t="s">
        <v>624</v>
      </c>
      <c r="B210" s="2" t="s">
        <v>625</v>
      </c>
      <c r="C210" s="2">
        <v>3.86</v>
      </c>
      <c r="D210" s="2">
        <v>1.6571</v>
      </c>
      <c r="E210" s="2" t="s">
        <v>157</v>
      </c>
    </row>
    <row r="211" spans="1:5" ht="20.25" customHeight="1" x14ac:dyDescent="0.15">
      <c r="A211" s="2" t="s">
        <v>808</v>
      </c>
      <c r="B211" s="2" t="s">
        <v>809</v>
      </c>
      <c r="C211" s="2">
        <v>3.86</v>
      </c>
      <c r="D211" s="2">
        <v>4.0803000000000003</v>
      </c>
      <c r="E211" s="2" t="s">
        <v>794</v>
      </c>
    </row>
    <row r="212" spans="1:5" ht="20.25" customHeight="1" x14ac:dyDescent="0.15">
      <c r="A212" s="2" t="s">
        <v>3623</v>
      </c>
      <c r="B212" s="2" t="s">
        <v>3624</v>
      </c>
      <c r="C212" s="2">
        <v>3.86</v>
      </c>
      <c r="D212" s="2">
        <v>3.6358000000000001</v>
      </c>
      <c r="E212" s="2" t="s">
        <v>2681</v>
      </c>
    </row>
    <row r="213" spans="1:5" ht="20.25" customHeight="1" x14ac:dyDescent="0.15">
      <c r="A213" s="2" t="s">
        <v>3667</v>
      </c>
      <c r="B213" s="2" t="s">
        <v>3668</v>
      </c>
      <c r="C213" s="2">
        <v>3.86</v>
      </c>
      <c r="D213" s="2">
        <v>0.42909999999999998</v>
      </c>
      <c r="E213" s="2" t="s">
        <v>1061</v>
      </c>
    </row>
    <row r="214" spans="1:5" ht="20.25" customHeight="1" x14ac:dyDescent="0.15">
      <c r="A214" s="2" t="s">
        <v>2606</v>
      </c>
      <c r="B214" s="2" t="s">
        <v>2607</v>
      </c>
      <c r="C214" s="2">
        <v>3.85</v>
      </c>
      <c r="D214" s="2">
        <v>2.4184000000000001</v>
      </c>
      <c r="E214" s="2" t="s">
        <v>204</v>
      </c>
    </row>
    <row r="215" spans="1:5" ht="20.25" customHeight="1" x14ac:dyDescent="0.15">
      <c r="A215" s="2" t="s">
        <v>3298</v>
      </c>
      <c r="B215" s="2" t="s">
        <v>3299</v>
      </c>
      <c r="C215" s="2">
        <v>3.85</v>
      </c>
      <c r="D215" s="2">
        <v>1.6615</v>
      </c>
      <c r="E215" s="2" t="s">
        <v>374</v>
      </c>
    </row>
    <row r="216" spans="1:5" ht="20.25" customHeight="1" x14ac:dyDescent="0.15">
      <c r="A216" s="2" t="s">
        <v>4378</v>
      </c>
      <c r="B216" s="2" t="s">
        <v>4379</v>
      </c>
      <c r="C216" s="2">
        <v>3.85</v>
      </c>
      <c r="D216" s="2">
        <v>2.7818999999999998</v>
      </c>
      <c r="E216" s="2" t="s">
        <v>1515</v>
      </c>
    </row>
    <row r="217" spans="1:5" ht="20.25" customHeight="1" x14ac:dyDescent="0.15">
      <c r="A217" s="2" t="s">
        <v>4036</v>
      </c>
      <c r="B217" s="2" t="s">
        <v>4037</v>
      </c>
      <c r="C217" s="2">
        <v>3.8450000000000002</v>
      </c>
      <c r="D217" s="2">
        <v>14.079499999999999</v>
      </c>
      <c r="E217" s="2" t="s">
        <v>1275</v>
      </c>
    </row>
    <row r="218" spans="1:5" ht="20.25" customHeight="1" x14ac:dyDescent="0.15">
      <c r="A218" s="2" t="s">
        <v>407</v>
      </c>
      <c r="B218" s="2" t="s">
        <v>408</v>
      </c>
      <c r="C218" s="2">
        <v>3.83</v>
      </c>
      <c r="D218" s="2">
        <v>23.708400000000001</v>
      </c>
      <c r="E218" s="2" t="s">
        <v>409</v>
      </c>
    </row>
    <row r="219" spans="1:5" ht="20.25" customHeight="1" x14ac:dyDescent="0.15">
      <c r="A219" s="2" t="s">
        <v>1152</v>
      </c>
      <c r="B219" s="2" t="s">
        <v>1153</v>
      </c>
      <c r="C219" s="2">
        <v>3.83</v>
      </c>
      <c r="D219" s="2">
        <v>4.7184999999999997</v>
      </c>
      <c r="E219" s="2" t="s">
        <v>265</v>
      </c>
    </row>
    <row r="220" spans="1:5" ht="20.25" customHeight="1" x14ac:dyDescent="0.15">
      <c r="A220" s="2" t="s">
        <v>2447</v>
      </c>
      <c r="B220" s="2" t="s">
        <v>2448</v>
      </c>
      <c r="C220" s="2">
        <v>3.83</v>
      </c>
      <c r="D220" s="2">
        <v>3.2193000000000001</v>
      </c>
      <c r="E220" s="2" t="s">
        <v>630</v>
      </c>
    </row>
    <row r="221" spans="1:5" ht="20.25" customHeight="1" x14ac:dyDescent="0.15">
      <c r="A221" s="2" t="s">
        <v>2872</v>
      </c>
      <c r="B221" s="2" t="s">
        <v>2873</v>
      </c>
      <c r="C221" s="2">
        <v>3.83</v>
      </c>
      <c r="D221" s="2">
        <v>3.5228000000000002</v>
      </c>
      <c r="E221" s="2" t="s">
        <v>506</v>
      </c>
    </row>
    <row r="222" spans="1:5" ht="20.25" customHeight="1" x14ac:dyDescent="0.15">
      <c r="A222" s="2" t="s">
        <v>7533</v>
      </c>
      <c r="B222" s="2" t="s">
        <v>7534</v>
      </c>
      <c r="C222" s="2">
        <v>3.83</v>
      </c>
      <c r="D222" s="2">
        <v>1.6384000000000001</v>
      </c>
      <c r="E222" s="2" t="s">
        <v>44</v>
      </c>
    </row>
    <row r="223" spans="1:5" ht="20.25" customHeight="1" x14ac:dyDescent="0.15">
      <c r="A223" s="2" t="s">
        <v>226</v>
      </c>
      <c r="B223" s="2" t="s">
        <v>227</v>
      </c>
      <c r="C223" s="2">
        <v>3.82</v>
      </c>
      <c r="D223" s="2">
        <v>3.7214</v>
      </c>
      <c r="E223" s="2" t="s">
        <v>228</v>
      </c>
    </row>
    <row r="224" spans="1:5" ht="20.25" customHeight="1" x14ac:dyDescent="0.15">
      <c r="A224" s="2" t="s">
        <v>2160</v>
      </c>
      <c r="B224" s="2" t="s">
        <v>2161</v>
      </c>
      <c r="C224" s="2">
        <v>3.82</v>
      </c>
      <c r="D224" s="2">
        <v>1.6867000000000001</v>
      </c>
      <c r="E224" s="2" t="s">
        <v>406</v>
      </c>
    </row>
    <row r="225" spans="1:5" ht="20.25" customHeight="1" x14ac:dyDescent="0.15">
      <c r="A225" s="2" t="s">
        <v>2162</v>
      </c>
      <c r="B225" s="2" t="s">
        <v>2163</v>
      </c>
      <c r="C225" s="2">
        <v>3.82</v>
      </c>
      <c r="D225" s="2">
        <v>24.6754</v>
      </c>
      <c r="E225" s="2" t="s">
        <v>374</v>
      </c>
    </row>
    <row r="226" spans="1:5" ht="20.25" customHeight="1" x14ac:dyDescent="0.15">
      <c r="A226" s="2" t="s">
        <v>2811</v>
      </c>
      <c r="B226" s="2" t="s">
        <v>2812</v>
      </c>
      <c r="C226" s="2">
        <v>3.82</v>
      </c>
      <c r="D226" s="2">
        <v>1.1987000000000001</v>
      </c>
      <c r="E226" s="2" t="s">
        <v>68</v>
      </c>
    </row>
    <row r="227" spans="1:5" ht="20.25" customHeight="1" x14ac:dyDescent="0.15">
      <c r="A227" s="2" t="s">
        <v>912</v>
      </c>
      <c r="B227" s="2" t="s">
        <v>913</v>
      </c>
      <c r="C227" s="2">
        <v>3.81</v>
      </c>
      <c r="D227" s="2">
        <v>20.021999999999998</v>
      </c>
      <c r="E227" s="2" t="s">
        <v>506</v>
      </c>
    </row>
    <row r="228" spans="1:5" ht="20.25" customHeight="1" x14ac:dyDescent="0.15">
      <c r="A228" s="2" t="s">
        <v>968</v>
      </c>
      <c r="B228" s="2" t="s">
        <v>969</v>
      </c>
      <c r="C228" s="2">
        <v>3.81</v>
      </c>
      <c r="D228" s="2">
        <v>3.9763000000000002</v>
      </c>
      <c r="E228" s="2" t="s">
        <v>176</v>
      </c>
    </row>
    <row r="229" spans="1:5" ht="20.25" customHeight="1" x14ac:dyDescent="0.15">
      <c r="A229" s="2" t="s">
        <v>5280</v>
      </c>
      <c r="B229" s="2" t="s">
        <v>5281</v>
      </c>
      <c r="C229" s="2">
        <v>3.81</v>
      </c>
      <c r="D229" s="2">
        <v>0.7359</v>
      </c>
      <c r="E229" s="2" t="s">
        <v>647</v>
      </c>
    </row>
    <row r="230" spans="1:5" ht="20.25" customHeight="1" x14ac:dyDescent="0.15">
      <c r="A230" s="2" t="s">
        <v>5760</v>
      </c>
      <c r="B230" s="2" t="s">
        <v>5761</v>
      </c>
      <c r="C230" s="2">
        <v>3.8</v>
      </c>
      <c r="D230" s="2">
        <v>7.1753</v>
      </c>
      <c r="E230" s="2" t="s">
        <v>1275</v>
      </c>
    </row>
    <row r="231" spans="1:5" ht="20.25" customHeight="1" x14ac:dyDescent="0.15">
      <c r="A231" s="2" t="s">
        <v>7467</v>
      </c>
      <c r="B231" s="2" t="s">
        <v>7468</v>
      </c>
      <c r="C231" s="2">
        <v>3.8</v>
      </c>
      <c r="D231" s="2">
        <v>2.4679000000000002</v>
      </c>
      <c r="E231" s="2" t="s">
        <v>784</v>
      </c>
    </row>
    <row r="232" spans="1:5" ht="20.25" customHeight="1" x14ac:dyDescent="0.15">
      <c r="A232" s="2" t="s">
        <v>2652</v>
      </c>
      <c r="B232" s="2" t="s">
        <v>2653</v>
      </c>
      <c r="C232" s="2">
        <v>3.7850000000000001</v>
      </c>
      <c r="D232" s="2">
        <v>5.5137</v>
      </c>
      <c r="E232" s="2" t="s">
        <v>265</v>
      </c>
    </row>
    <row r="233" spans="1:5" ht="20.25" customHeight="1" x14ac:dyDescent="0.15">
      <c r="A233" s="2" t="s">
        <v>30</v>
      </c>
      <c r="B233" s="2" t="s">
        <v>31</v>
      </c>
      <c r="C233" s="2">
        <v>3.78</v>
      </c>
      <c r="D233" s="2">
        <v>0.90859999999999996</v>
      </c>
      <c r="E233" s="2" t="s">
        <v>32</v>
      </c>
    </row>
    <row r="234" spans="1:5" ht="20.25" customHeight="1" x14ac:dyDescent="0.15">
      <c r="A234" s="2" t="s">
        <v>1328</v>
      </c>
      <c r="B234" s="2" t="s">
        <v>1329</v>
      </c>
      <c r="C234" s="2">
        <v>3.78</v>
      </c>
      <c r="D234" s="2">
        <v>17.284500000000001</v>
      </c>
      <c r="E234" s="2" t="s">
        <v>747</v>
      </c>
    </row>
    <row r="235" spans="1:5" ht="20.25" customHeight="1" x14ac:dyDescent="0.15">
      <c r="A235" s="2" t="s">
        <v>5371</v>
      </c>
      <c r="B235" s="2" t="s">
        <v>5372</v>
      </c>
      <c r="C235" s="2">
        <v>3.7749999999999999</v>
      </c>
      <c r="D235" s="2">
        <v>14.5032</v>
      </c>
      <c r="E235" s="2" t="s">
        <v>574</v>
      </c>
    </row>
    <row r="236" spans="1:5" ht="20.25" customHeight="1" x14ac:dyDescent="0.15">
      <c r="A236" s="2" t="s">
        <v>6879</v>
      </c>
      <c r="B236" s="2" t="s">
        <v>6880</v>
      </c>
      <c r="C236" s="2">
        <v>3.77</v>
      </c>
      <c r="D236" s="2">
        <v>3.7637999999999998</v>
      </c>
      <c r="E236" s="2" t="s">
        <v>140</v>
      </c>
    </row>
    <row r="237" spans="1:5" ht="20.25" customHeight="1" x14ac:dyDescent="0.15">
      <c r="A237" s="2" t="s">
        <v>906</v>
      </c>
      <c r="B237" s="2" t="s">
        <v>907</v>
      </c>
      <c r="C237" s="2">
        <v>3.76</v>
      </c>
      <c r="D237" s="2">
        <v>1.0954999999999999</v>
      </c>
      <c r="E237" s="2" t="s">
        <v>137</v>
      </c>
    </row>
    <row r="238" spans="1:5" ht="20.25" customHeight="1" x14ac:dyDescent="0.15">
      <c r="A238" s="2" t="s">
        <v>1841</v>
      </c>
      <c r="B238" s="2" t="s">
        <v>1842</v>
      </c>
      <c r="C238" s="2">
        <v>3.76</v>
      </c>
      <c r="D238" s="2">
        <v>5.9131999999999998</v>
      </c>
      <c r="E238" s="2" t="s">
        <v>682</v>
      </c>
    </row>
    <row r="239" spans="1:5" ht="20.25" customHeight="1" x14ac:dyDescent="0.15">
      <c r="A239" s="2" t="s">
        <v>2097</v>
      </c>
      <c r="B239" s="2" t="s">
        <v>2098</v>
      </c>
      <c r="C239" s="2">
        <v>3.75</v>
      </c>
      <c r="D239" s="2">
        <v>0.85609999999999997</v>
      </c>
      <c r="E239" s="2" t="s">
        <v>787</v>
      </c>
    </row>
    <row r="240" spans="1:5" ht="20.25" customHeight="1" x14ac:dyDescent="0.15">
      <c r="A240" s="2" t="s">
        <v>3763</v>
      </c>
      <c r="B240" s="2" t="s">
        <v>3764</v>
      </c>
      <c r="C240" s="2">
        <v>3.75</v>
      </c>
      <c r="D240" s="2">
        <v>1.6202000000000001</v>
      </c>
      <c r="E240" s="2" t="s">
        <v>690</v>
      </c>
    </row>
    <row r="241" spans="1:5" ht="20.25" customHeight="1" x14ac:dyDescent="0.15">
      <c r="A241" s="2" t="s">
        <v>2292</v>
      </c>
      <c r="B241" s="2" t="s">
        <v>2293</v>
      </c>
      <c r="C241" s="2">
        <v>3.74</v>
      </c>
      <c r="D241" s="2">
        <v>4.6973000000000003</v>
      </c>
      <c r="E241" s="2" t="s">
        <v>171</v>
      </c>
    </row>
    <row r="242" spans="1:5" ht="20.25" customHeight="1" x14ac:dyDescent="0.15">
      <c r="A242" s="2" t="s">
        <v>2733</v>
      </c>
      <c r="B242" s="2" t="s">
        <v>2734</v>
      </c>
      <c r="C242" s="2">
        <v>3.74</v>
      </c>
      <c r="D242" s="2">
        <v>0.57450000000000001</v>
      </c>
      <c r="E242" s="2" t="s">
        <v>1158</v>
      </c>
    </row>
    <row r="243" spans="1:5" ht="20.25" customHeight="1" x14ac:dyDescent="0.15">
      <c r="A243" s="2" t="s">
        <v>1923</v>
      </c>
      <c r="B243" s="2" t="s">
        <v>1924</v>
      </c>
      <c r="C243" s="2">
        <v>3.7349999999999999</v>
      </c>
      <c r="D243" s="2">
        <v>2.0163000000000002</v>
      </c>
      <c r="E243" s="2" t="s">
        <v>1712</v>
      </c>
    </row>
    <row r="244" spans="1:5" ht="20.25" customHeight="1" x14ac:dyDescent="0.15">
      <c r="A244" s="2" t="s">
        <v>1747</v>
      </c>
      <c r="B244" s="2" t="s">
        <v>1748</v>
      </c>
      <c r="C244" s="2">
        <v>3.73</v>
      </c>
      <c r="D244" s="2">
        <v>90.257800000000003</v>
      </c>
      <c r="E244" s="2" t="s">
        <v>1158</v>
      </c>
    </row>
    <row r="245" spans="1:5" ht="20.25" customHeight="1" x14ac:dyDescent="0.15">
      <c r="A245" s="2" t="s">
        <v>3292</v>
      </c>
      <c r="B245" s="2" t="s">
        <v>3293</v>
      </c>
      <c r="C245" s="2">
        <v>3.7250000000000001</v>
      </c>
      <c r="D245" s="2">
        <v>6.3391999999999999</v>
      </c>
      <c r="E245" s="2" t="s">
        <v>171</v>
      </c>
    </row>
    <row r="246" spans="1:5" ht="20.25" customHeight="1" x14ac:dyDescent="0.15">
      <c r="A246" s="2" t="s">
        <v>3585</v>
      </c>
      <c r="B246" s="2" t="s">
        <v>3586</v>
      </c>
      <c r="C246" s="2">
        <v>3.72</v>
      </c>
      <c r="D246" s="2">
        <v>0.54149999999999998</v>
      </c>
      <c r="E246" s="2" t="s">
        <v>664</v>
      </c>
    </row>
    <row r="247" spans="1:5" ht="20.25" customHeight="1" x14ac:dyDescent="0.15">
      <c r="A247" s="2" t="s">
        <v>6104</v>
      </c>
      <c r="B247" s="2" t="s">
        <v>6105</v>
      </c>
      <c r="C247" s="2">
        <v>3.72</v>
      </c>
      <c r="D247" s="2">
        <v>0.86980000000000002</v>
      </c>
      <c r="E247" s="2" t="s">
        <v>359</v>
      </c>
    </row>
    <row r="248" spans="1:5" ht="20.25" customHeight="1" x14ac:dyDescent="0.15">
      <c r="A248" s="2" t="s">
        <v>8389</v>
      </c>
      <c r="B248" s="2" t="s">
        <v>8390</v>
      </c>
      <c r="C248" s="2">
        <v>3.72</v>
      </c>
      <c r="D248" s="2">
        <v>7.4507000000000003</v>
      </c>
      <c r="E248" s="2" t="s">
        <v>257</v>
      </c>
    </row>
    <row r="249" spans="1:5" ht="20.25" customHeight="1" x14ac:dyDescent="0.15">
      <c r="A249" s="2" t="s">
        <v>8213</v>
      </c>
      <c r="B249" s="2" t="s">
        <v>8214</v>
      </c>
      <c r="C249" s="2">
        <v>3.7149999999999999</v>
      </c>
      <c r="D249" s="2">
        <v>2.7732999999999999</v>
      </c>
      <c r="E249" s="2" t="s">
        <v>13</v>
      </c>
    </row>
    <row r="250" spans="1:5" ht="20.25" customHeight="1" x14ac:dyDescent="0.15">
      <c r="A250" s="2" t="s">
        <v>164</v>
      </c>
      <c r="B250" s="2" t="s">
        <v>165</v>
      </c>
      <c r="C250" s="2">
        <v>3.71</v>
      </c>
      <c r="D250" s="2">
        <v>15.6754</v>
      </c>
      <c r="E250" s="2" t="s">
        <v>166</v>
      </c>
    </row>
    <row r="251" spans="1:5" ht="20.25" customHeight="1" x14ac:dyDescent="0.15">
      <c r="A251" s="2" t="s">
        <v>871</v>
      </c>
      <c r="B251" s="2" t="s">
        <v>872</v>
      </c>
      <c r="C251" s="2">
        <v>3.7</v>
      </c>
      <c r="D251" s="2">
        <v>0.76780000000000004</v>
      </c>
      <c r="E251" s="2" t="s">
        <v>201</v>
      </c>
    </row>
    <row r="252" spans="1:5" ht="20.25" customHeight="1" x14ac:dyDescent="0.15">
      <c r="A252" s="2" t="s">
        <v>5118</v>
      </c>
      <c r="B252" s="2" t="s">
        <v>5119</v>
      </c>
      <c r="C252" s="2">
        <v>3.7</v>
      </c>
      <c r="D252" s="2">
        <v>2.5766</v>
      </c>
      <c r="E252" s="2" t="s">
        <v>68</v>
      </c>
    </row>
    <row r="253" spans="1:5" ht="20.25" customHeight="1" x14ac:dyDescent="0.15">
      <c r="A253" s="2" t="s">
        <v>3990</v>
      </c>
      <c r="B253" s="2" t="s">
        <v>3991</v>
      </c>
      <c r="C253" s="2">
        <v>3.69</v>
      </c>
      <c r="D253" s="2">
        <v>104.0569</v>
      </c>
      <c r="E253" s="2" t="s">
        <v>374</v>
      </c>
    </row>
    <row r="254" spans="1:5" ht="20.25" customHeight="1" x14ac:dyDescent="0.15">
      <c r="A254" s="2" t="s">
        <v>4618</v>
      </c>
      <c r="B254" s="2" t="s">
        <v>4619</v>
      </c>
      <c r="C254" s="2">
        <v>3.69</v>
      </c>
      <c r="D254" s="2">
        <v>9.9466999999999999</v>
      </c>
      <c r="E254" s="2" t="s">
        <v>2681</v>
      </c>
    </row>
    <row r="255" spans="1:5" ht="20.25" customHeight="1" x14ac:dyDescent="0.15">
      <c r="A255" s="2" t="s">
        <v>1227</v>
      </c>
      <c r="B255" s="2" t="s">
        <v>1228</v>
      </c>
      <c r="C255" s="2">
        <v>3.68</v>
      </c>
      <c r="D255" s="2">
        <v>49.890700000000002</v>
      </c>
      <c r="E255" s="2" t="s">
        <v>589</v>
      </c>
    </row>
    <row r="256" spans="1:5" ht="20.25" customHeight="1" x14ac:dyDescent="0.15">
      <c r="A256" s="2" t="s">
        <v>1253</v>
      </c>
      <c r="B256" s="2" t="s">
        <v>1254</v>
      </c>
      <c r="C256" s="2">
        <v>3.68</v>
      </c>
      <c r="D256" s="2">
        <v>2.4527000000000001</v>
      </c>
      <c r="E256" s="2" t="s">
        <v>682</v>
      </c>
    </row>
    <row r="257" spans="1:5" ht="20.25" customHeight="1" x14ac:dyDescent="0.15">
      <c r="A257" s="2" t="s">
        <v>3669</v>
      </c>
      <c r="B257" s="2" t="s">
        <v>3670</v>
      </c>
      <c r="C257" s="2">
        <v>3.68</v>
      </c>
      <c r="D257" s="2">
        <v>5095.5060999999996</v>
      </c>
      <c r="E257" s="2" t="s">
        <v>1820</v>
      </c>
    </row>
    <row r="258" spans="1:5" ht="20.25" customHeight="1" x14ac:dyDescent="0.15">
      <c r="A258" s="2" t="s">
        <v>5487</v>
      </c>
      <c r="B258" s="2" t="s">
        <v>5488</v>
      </c>
      <c r="C258" s="2">
        <v>3.68</v>
      </c>
      <c r="D258" s="2">
        <v>0.9204</v>
      </c>
      <c r="E258" s="2" t="s">
        <v>201</v>
      </c>
    </row>
    <row r="259" spans="1:5" ht="20.25" customHeight="1" x14ac:dyDescent="0.15">
      <c r="A259" s="2" t="s">
        <v>5138</v>
      </c>
      <c r="B259" s="2" t="s">
        <v>5139</v>
      </c>
      <c r="C259" s="2">
        <v>3.6749999999999998</v>
      </c>
      <c r="D259" s="2">
        <v>13.147600000000001</v>
      </c>
      <c r="E259" s="2" t="s">
        <v>310</v>
      </c>
    </row>
    <row r="260" spans="1:5" ht="20.25" customHeight="1" x14ac:dyDescent="0.15">
      <c r="A260" s="2" t="s">
        <v>1246</v>
      </c>
      <c r="B260" s="2" t="s">
        <v>1247</v>
      </c>
      <c r="C260" s="2">
        <v>3.67</v>
      </c>
      <c r="D260" s="2">
        <v>2.8784000000000001</v>
      </c>
      <c r="E260" s="2" t="s">
        <v>1248</v>
      </c>
    </row>
    <row r="261" spans="1:5" ht="20.25" customHeight="1" x14ac:dyDescent="0.15">
      <c r="A261" s="2" t="s">
        <v>3702</v>
      </c>
      <c r="B261" s="2" t="s">
        <v>3703</v>
      </c>
      <c r="C261" s="2">
        <v>3.67</v>
      </c>
      <c r="D261" s="2">
        <v>0.80730000000000002</v>
      </c>
      <c r="E261" s="2" t="s">
        <v>396</v>
      </c>
    </row>
    <row r="262" spans="1:5" ht="20.25" customHeight="1" x14ac:dyDescent="0.15">
      <c r="A262" s="2" t="s">
        <v>1518</v>
      </c>
      <c r="B262" s="2" t="s">
        <v>1519</v>
      </c>
      <c r="C262" s="2">
        <v>3.66</v>
      </c>
      <c r="D262" s="2">
        <v>4.5566000000000004</v>
      </c>
      <c r="E262" s="2" t="s">
        <v>92</v>
      </c>
    </row>
    <row r="263" spans="1:5" ht="20.25" customHeight="1" x14ac:dyDescent="0.15">
      <c r="A263" s="2" t="s">
        <v>2516</v>
      </c>
      <c r="B263" s="2" t="s">
        <v>2517</v>
      </c>
      <c r="C263" s="2">
        <v>3.66</v>
      </c>
      <c r="D263" s="2">
        <v>8.1130999999999993</v>
      </c>
      <c r="E263" s="2" t="s">
        <v>365</v>
      </c>
    </row>
    <row r="264" spans="1:5" ht="20.25" customHeight="1" x14ac:dyDescent="0.15">
      <c r="A264" s="2" t="s">
        <v>4562</v>
      </c>
      <c r="B264" s="2" t="s">
        <v>4563</v>
      </c>
      <c r="C264" s="2">
        <v>3.6549999999999998</v>
      </c>
      <c r="D264" s="2">
        <v>4.3314000000000004</v>
      </c>
      <c r="E264" s="2" t="s">
        <v>1994</v>
      </c>
    </row>
    <row r="265" spans="1:5" ht="20.25" customHeight="1" x14ac:dyDescent="0.15">
      <c r="A265" s="2" t="s">
        <v>697</v>
      </c>
      <c r="B265" s="2" t="s">
        <v>698</v>
      </c>
      <c r="C265" s="2">
        <v>3.65</v>
      </c>
      <c r="D265" s="2">
        <v>1.0215000000000001</v>
      </c>
      <c r="E265" s="2" t="s">
        <v>699</v>
      </c>
    </row>
    <row r="266" spans="1:5" ht="20.25" customHeight="1" x14ac:dyDescent="0.15">
      <c r="A266" s="2" t="s">
        <v>3405</v>
      </c>
      <c r="B266" s="2" t="s">
        <v>3406</v>
      </c>
      <c r="C266" s="2">
        <v>3.65</v>
      </c>
      <c r="D266" s="2">
        <v>25.1219</v>
      </c>
      <c r="E266" s="2" t="s">
        <v>1139</v>
      </c>
    </row>
    <row r="267" spans="1:5" ht="20.25" customHeight="1" x14ac:dyDescent="0.15">
      <c r="A267" s="2" t="s">
        <v>1304</v>
      </c>
      <c r="B267" s="2" t="s">
        <v>1305</v>
      </c>
      <c r="C267" s="2">
        <v>3.64</v>
      </c>
      <c r="D267" s="2">
        <v>1.1882999999999999</v>
      </c>
      <c r="E267" s="2" t="s">
        <v>501</v>
      </c>
    </row>
    <row r="268" spans="1:5" ht="20.25" customHeight="1" x14ac:dyDescent="0.15">
      <c r="A268" s="2" t="s">
        <v>1453</v>
      </c>
      <c r="B268" s="2" t="s">
        <v>1454</v>
      </c>
      <c r="C268" s="2">
        <v>3.64</v>
      </c>
      <c r="D268" s="2">
        <v>2.722</v>
      </c>
      <c r="E268" s="2" t="s">
        <v>741</v>
      </c>
    </row>
    <row r="269" spans="1:5" ht="20.25" customHeight="1" x14ac:dyDescent="0.15">
      <c r="A269" s="2" t="s">
        <v>2556</v>
      </c>
      <c r="B269" s="2" t="s">
        <v>2557</v>
      </c>
      <c r="C269" s="2">
        <v>3.64</v>
      </c>
      <c r="D269" s="2">
        <v>1.1916</v>
      </c>
      <c r="E269" s="2" t="s">
        <v>501</v>
      </c>
    </row>
    <row r="270" spans="1:5" ht="20.25" customHeight="1" x14ac:dyDescent="0.15">
      <c r="A270" s="2" t="s">
        <v>5214</v>
      </c>
      <c r="B270" s="2" t="s">
        <v>5215</v>
      </c>
      <c r="C270" s="2">
        <v>3.64</v>
      </c>
      <c r="D270" s="2">
        <v>10.2357</v>
      </c>
      <c r="E270" s="2" t="s">
        <v>152</v>
      </c>
    </row>
    <row r="271" spans="1:5" ht="20.25" customHeight="1" x14ac:dyDescent="0.15">
      <c r="A271" s="2" t="s">
        <v>6252</v>
      </c>
      <c r="B271" s="2" t="s">
        <v>6253</v>
      </c>
      <c r="C271" s="2">
        <v>3.6349999999999998</v>
      </c>
      <c r="D271" s="2">
        <v>2.8954</v>
      </c>
      <c r="E271" s="2" t="s">
        <v>406</v>
      </c>
    </row>
    <row r="272" spans="1:5" ht="20.25" customHeight="1" x14ac:dyDescent="0.15">
      <c r="A272" s="2" t="s">
        <v>174</v>
      </c>
      <c r="B272" s="2" t="s">
        <v>175</v>
      </c>
      <c r="C272" s="2">
        <v>3.63</v>
      </c>
      <c r="D272" s="2">
        <v>2.6177000000000001</v>
      </c>
      <c r="E272" s="2" t="s">
        <v>176</v>
      </c>
    </row>
    <row r="273" spans="1:5" ht="20.25" customHeight="1" x14ac:dyDescent="0.15">
      <c r="A273" s="2" t="s">
        <v>426</v>
      </c>
      <c r="B273" s="2" t="s">
        <v>427</v>
      </c>
      <c r="C273" s="2">
        <v>3.63</v>
      </c>
      <c r="D273" s="2">
        <v>2.2219000000000002</v>
      </c>
      <c r="E273" s="2" t="s">
        <v>140</v>
      </c>
    </row>
    <row r="274" spans="1:5" ht="20.25" customHeight="1" x14ac:dyDescent="0.15">
      <c r="A274" s="2" t="s">
        <v>2991</v>
      </c>
      <c r="B274" s="2" t="s">
        <v>2992</v>
      </c>
      <c r="C274" s="2">
        <v>3.63</v>
      </c>
      <c r="D274" s="2">
        <v>3.6438999999999999</v>
      </c>
      <c r="E274" s="2" t="s">
        <v>35</v>
      </c>
    </row>
    <row r="275" spans="1:5" ht="20.25" customHeight="1" x14ac:dyDescent="0.15">
      <c r="A275" s="2" t="s">
        <v>6428</v>
      </c>
      <c r="B275" s="2" t="s">
        <v>6429</v>
      </c>
      <c r="C275" s="2">
        <v>3.63</v>
      </c>
      <c r="D275" s="2">
        <v>1.6967000000000001</v>
      </c>
      <c r="E275" s="2" t="s">
        <v>1102</v>
      </c>
    </row>
    <row r="276" spans="1:5" ht="20.25" customHeight="1" x14ac:dyDescent="0.15">
      <c r="A276" s="2" t="s">
        <v>834</v>
      </c>
      <c r="B276" s="2" t="s">
        <v>835</v>
      </c>
      <c r="C276" s="2">
        <v>3.62</v>
      </c>
      <c r="D276" s="2">
        <v>0.88970000000000005</v>
      </c>
      <c r="E276" s="2" t="s">
        <v>690</v>
      </c>
    </row>
    <row r="277" spans="1:5" ht="20.25" customHeight="1" x14ac:dyDescent="0.15">
      <c r="A277" s="2" t="s">
        <v>1839</v>
      </c>
      <c r="B277" s="2" t="s">
        <v>1840</v>
      </c>
      <c r="C277" s="2">
        <v>3.62</v>
      </c>
      <c r="D277" s="2">
        <v>1.6591</v>
      </c>
      <c r="E277" s="2" t="s">
        <v>140</v>
      </c>
    </row>
    <row r="278" spans="1:5" ht="20.25" customHeight="1" x14ac:dyDescent="0.15">
      <c r="A278" s="2" t="s">
        <v>4104</v>
      </c>
      <c r="B278" s="2" t="s">
        <v>4105</v>
      </c>
      <c r="C278" s="2">
        <v>3.62</v>
      </c>
      <c r="D278" s="2">
        <v>6.2927</v>
      </c>
      <c r="E278" s="2" t="s">
        <v>406</v>
      </c>
    </row>
    <row r="279" spans="1:5" ht="20.25" customHeight="1" x14ac:dyDescent="0.15">
      <c r="A279" s="2" t="s">
        <v>4216</v>
      </c>
      <c r="B279" s="2" t="s">
        <v>4217</v>
      </c>
      <c r="C279" s="2">
        <v>3.62</v>
      </c>
      <c r="D279" s="2">
        <v>5.8220999999999998</v>
      </c>
      <c r="E279" s="2" t="s">
        <v>727</v>
      </c>
    </row>
    <row r="280" spans="1:5" ht="20.25" customHeight="1" x14ac:dyDescent="0.15">
      <c r="A280" s="2" t="s">
        <v>828</v>
      </c>
      <c r="B280" s="2" t="s">
        <v>829</v>
      </c>
      <c r="C280" s="2">
        <v>3.61</v>
      </c>
      <c r="D280" s="2">
        <v>2.3212000000000002</v>
      </c>
      <c r="E280" s="2" t="s">
        <v>171</v>
      </c>
    </row>
    <row r="281" spans="1:5" ht="20.25" customHeight="1" x14ac:dyDescent="0.15">
      <c r="A281" s="2" t="s">
        <v>1154</v>
      </c>
      <c r="B281" s="2" t="s">
        <v>1155</v>
      </c>
      <c r="C281" s="2">
        <v>3.61</v>
      </c>
      <c r="D281" s="2">
        <v>7.4554999999999998</v>
      </c>
      <c r="E281" s="2" t="s">
        <v>228</v>
      </c>
    </row>
    <row r="282" spans="1:5" ht="20.25" customHeight="1" x14ac:dyDescent="0.15">
      <c r="A282" s="2" t="s">
        <v>3589</v>
      </c>
      <c r="B282" s="2" t="s">
        <v>3590</v>
      </c>
      <c r="C282" s="2">
        <v>3.61</v>
      </c>
      <c r="D282" s="2">
        <v>1.2099</v>
      </c>
      <c r="E282" s="2" t="s">
        <v>713</v>
      </c>
    </row>
    <row r="283" spans="1:5" ht="20.25" customHeight="1" x14ac:dyDescent="0.15">
      <c r="A283" s="2" t="s">
        <v>4192</v>
      </c>
      <c r="B283" s="2" t="s">
        <v>4193</v>
      </c>
      <c r="C283" s="2">
        <v>3.61</v>
      </c>
      <c r="D283" s="2">
        <v>0.31340000000000001</v>
      </c>
      <c r="E283" s="2" t="s">
        <v>1338</v>
      </c>
    </row>
    <row r="284" spans="1:5" ht="20.25" customHeight="1" x14ac:dyDescent="0.15">
      <c r="A284" s="2" t="s">
        <v>5208</v>
      </c>
      <c r="B284" s="2" t="s">
        <v>5209</v>
      </c>
      <c r="C284" s="2">
        <v>3.61</v>
      </c>
      <c r="D284" s="2">
        <v>5.085</v>
      </c>
      <c r="E284" s="2" t="s">
        <v>931</v>
      </c>
    </row>
    <row r="285" spans="1:5" ht="20.25" customHeight="1" x14ac:dyDescent="0.15">
      <c r="A285" s="2" t="s">
        <v>3018</v>
      </c>
      <c r="B285" s="2" t="s">
        <v>3019</v>
      </c>
      <c r="C285" s="2">
        <v>3.605</v>
      </c>
      <c r="D285" s="2">
        <v>1.4215</v>
      </c>
      <c r="E285" s="2" t="s">
        <v>371</v>
      </c>
    </row>
    <row r="286" spans="1:5" ht="20.25" customHeight="1" x14ac:dyDescent="0.15">
      <c r="A286" s="2" t="s">
        <v>4849</v>
      </c>
      <c r="B286" s="2" t="s">
        <v>4850</v>
      </c>
      <c r="C286" s="2">
        <v>3.6</v>
      </c>
      <c r="D286" s="2">
        <v>4.4438000000000004</v>
      </c>
      <c r="E286" s="2" t="s">
        <v>68</v>
      </c>
    </row>
    <row r="287" spans="1:5" ht="20.25" customHeight="1" x14ac:dyDescent="0.15">
      <c r="A287" s="2" t="s">
        <v>5377</v>
      </c>
      <c r="B287" s="2" t="s">
        <v>5378</v>
      </c>
      <c r="C287" s="2">
        <v>3.5950000000000002</v>
      </c>
      <c r="D287" s="2">
        <v>4.3083</v>
      </c>
      <c r="E287" s="2" t="s">
        <v>35</v>
      </c>
    </row>
    <row r="288" spans="1:5" ht="20.25" customHeight="1" x14ac:dyDescent="0.15">
      <c r="A288" s="2" t="s">
        <v>3114</v>
      </c>
      <c r="B288" s="2" t="s">
        <v>3115</v>
      </c>
      <c r="C288" s="2">
        <v>3.59</v>
      </c>
      <c r="D288" s="2">
        <v>0.86599999999999999</v>
      </c>
      <c r="E288" s="2" t="s">
        <v>630</v>
      </c>
    </row>
    <row r="289" spans="1:5" ht="20.25" customHeight="1" x14ac:dyDescent="0.15">
      <c r="A289" s="2" t="s">
        <v>5220</v>
      </c>
      <c r="B289" s="2" t="s">
        <v>5221</v>
      </c>
      <c r="C289" s="2">
        <v>3.59</v>
      </c>
      <c r="D289" s="2">
        <v>2.2685</v>
      </c>
      <c r="E289" s="2" t="s">
        <v>35</v>
      </c>
    </row>
    <row r="290" spans="1:5" ht="20.25" customHeight="1" x14ac:dyDescent="0.15">
      <c r="A290" s="2" t="s">
        <v>7579</v>
      </c>
      <c r="B290" s="2" t="s">
        <v>7580</v>
      </c>
      <c r="C290" s="2">
        <v>3.585</v>
      </c>
      <c r="D290" s="2">
        <v>12.068199999999999</v>
      </c>
      <c r="E290" s="2" t="s">
        <v>2681</v>
      </c>
    </row>
    <row r="291" spans="1:5" ht="20.25" customHeight="1" x14ac:dyDescent="0.15">
      <c r="A291" s="2" t="s">
        <v>1849</v>
      </c>
      <c r="B291" s="2" t="s">
        <v>1850</v>
      </c>
      <c r="C291" s="2">
        <v>3.58</v>
      </c>
      <c r="D291" s="2">
        <v>2.9643000000000002</v>
      </c>
      <c r="E291" s="2" t="s">
        <v>506</v>
      </c>
    </row>
    <row r="292" spans="1:5" ht="20.25" customHeight="1" x14ac:dyDescent="0.15">
      <c r="A292" s="2" t="s">
        <v>1980</v>
      </c>
      <c r="B292" s="2" t="s">
        <v>1981</v>
      </c>
      <c r="C292" s="2">
        <v>3.58</v>
      </c>
      <c r="D292" s="2">
        <v>2.5002</v>
      </c>
      <c r="E292" s="2" t="s">
        <v>71</v>
      </c>
    </row>
    <row r="293" spans="1:5" ht="20.25" customHeight="1" x14ac:dyDescent="0.15">
      <c r="A293" s="2" t="s">
        <v>3639</v>
      </c>
      <c r="B293" s="2" t="s">
        <v>3640</v>
      </c>
      <c r="C293" s="2">
        <v>3.58</v>
      </c>
      <c r="D293" s="2">
        <v>1.9984999999999999</v>
      </c>
      <c r="E293" s="2" t="s">
        <v>157</v>
      </c>
    </row>
    <row r="294" spans="1:5" ht="20.25" customHeight="1" x14ac:dyDescent="0.15">
      <c r="A294" s="2" t="s">
        <v>8297</v>
      </c>
      <c r="B294" s="2" t="s">
        <v>8298</v>
      </c>
      <c r="C294" s="2">
        <v>3.58</v>
      </c>
      <c r="D294" s="2">
        <v>1.014</v>
      </c>
      <c r="E294" s="2" t="s">
        <v>44</v>
      </c>
    </row>
    <row r="295" spans="1:5" ht="20.25" customHeight="1" x14ac:dyDescent="0.15">
      <c r="A295" s="2" t="s">
        <v>3543</v>
      </c>
      <c r="B295" s="2" t="s">
        <v>3544</v>
      </c>
      <c r="C295" s="2">
        <v>3.5750000000000002</v>
      </c>
      <c r="D295" s="2">
        <v>4.4009</v>
      </c>
      <c r="E295" s="2" t="s">
        <v>35</v>
      </c>
    </row>
    <row r="296" spans="1:5" ht="20.25" customHeight="1" x14ac:dyDescent="0.15">
      <c r="A296" s="2" t="s">
        <v>2385</v>
      </c>
      <c r="B296" s="2" t="s">
        <v>2386</v>
      </c>
      <c r="C296" s="2">
        <v>3.57</v>
      </c>
      <c r="D296" s="2">
        <v>23.575500000000002</v>
      </c>
      <c r="E296" s="2" t="s">
        <v>633</v>
      </c>
    </row>
    <row r="297" spans="1:5" ht="20.25" customHeight="1" x14ac:dyDescent="0.15">
      <c r="A297" s="2" t="s">
        <v>3370</v>
      </c>
      <c r="B297" s="2" t="s">
        <v>3371</v>
      </c>
      <c r="C297" s="2">
        <v>3.57</v>
      </c>
      <c r="D297" s="2">
        <v>1.4095</v>
      </c>
      <c r="E297" s="2" t="s">
        <v>171</v>
      </c>
    </row>
    <row r="298" spans="1:5" ht="20.25" customHeight="1" x14ac:dyDescent="0.15">
      <c r="A298" s="2" t="s">
        <v>4702</v>
      </c>
      <c r="B298" s="2" t="s">
        <v>4703</v>
      </c>
      <c r="C298" s="2">
        <v>3.57</v>
      </c>
      <c r="D298" s="2">
        <v>4.4631999999999996</v>
      </c>
      <c r="E298" s="2" t="s">
        <v>374</v>
      </c>
    </row>
    <row r="299" spans="1:5" ht="20.25" customHeight="1" x14ac:dyDescent="0.15">
      <c r="A299" s="2" t="s">
        <v>6400</v>
      </c>
      <c r="B299" s="2" t="s">
        <v>6401</v>
      </c>
      <c r="C299" s="2">
        <v>3.57</v>
      </c>
      <c r="D299" s="2">
        <v>72.074799999999996</v>
      </c>
      <c r="E299" s="2" t="s">
        <v>310</v>
      </c>
    </row>
    <row r="300" spans="1:5" ht="20.25" customHeight="1" x14ac:dyDescent="0.15">
      <c r="A300" s="2" t="s">
        <v>3661</v>
      </c>
      <c r="B300" s="2" t="s">
        <v>3662</v>
      </c>
      <c r="C300" s="2">
        <v>3.5550000000000002</v>
      </c>
      <c r="D300" s="2">
        <v>1.3064</v>
      </c>
      <c r="E300" s="2" t="s">
        <v>1486</v>
      </c>
    </row>
    <row r="301" spans="1:5" ht="20.25" customHeight="1" x14ac:dyDescent="0.15">
      <c r="A301" s="2" t="s">
        <v>3769</v>
      </c>
      <c r="B301" s="2" t="s">
        <v>3770</v>
      </c>
      <c r="C301" s="2">
        <v>3.55</v>
      </c>
      <c r="D301" s="2">
        <v>1.4584999999999999</v>
      </c>
      <c r="E301" s="2" t="s">
        <v>406</v>
      </c>
    </row>
    <row r="302" spans="1:5" ht="20.25" customHeight="1" x14ac:dyDescent="0.15">
      <c r="A302" s="2" t="s">
        <v>4402</v>
      </c>
      <c r="B302" s="2" t="s">
        <v>4403</v>
      </c>
      <c r="C302" s="2">
        <v>3.55</v>
      </c>
      <c r="D302" s="2">
        <v>4.4680999999999997</v>
      </c>
      <c r="E302" s="2" t="s">
        <v>1691</v>
      </c>
    </row>
    <row r="303" spans="1:5" ht="20.25" customHeight="1" x14ac:dyDescent="0.15">
      <c r="A303" s="2" t="s">
        <v>527</v>
      </c>
      <c r="B303" s="2" t="s">
        <v>528</v>
      </c>
      <c r="C303" s="2">
        <v>3.54</v>
      </c>
      <c r="D303" s="2">
        <v>2.1762999999999999</v>
      </c>
      <c r="E303" s="2" t="s">
        <v>529</v>
      </c>
    </row>
    <row r="304" spans="1:5" ht="20.25" customHeight="1" x14ac:dyDescent="0.15">
      <c r="A304" s="2" t="s">
        <v>4646</v>
      </c>
      <c r="B304" s="2" t="s">
        <v>4647</v>
      </c>
      <c r="C304" s="2">
        <v>3.54</v>
      </c>
      <c r="D304" s="2">
        <v>8.4008000000000003</v>
      </c>
      <c r="E304" s="2" t="s">
        <v>1275</v>
      </c>
    </row>
    <row r="305" spans="1:5" ht="20.25" customHeight="1" x14ac:dyDescent="0.15">
      <c r="A305" s="2" t="s">
        <v>3242</v>
      </c>
      <c r="B305" s="2" t="s">
        <v>3243</v>
      </c>
      <c r="C305" s="2">
        <v>3.5350000000000001</v>
      </c>
      <c r="D305" s="2">
        <v>1.1727000000000001</v>
      </c>
      <c r="E305" s="2" t="s">
        <v>396</v>
      </c>
    </row>
    <row r="306" spans="1:5" ht="20.25" customHeight="1" x14ac:dyDescent="0.15">
      <c r="A306" s="2" t="s">
        <v>599</v>
      </c>
      <c r="B306" s="2" t="s">
        <v>600</v>
      </c>
      <c r="C306" s="2">
        <v>3.53</v>
      </c>
      <c r="D306" s="2">
        <v>1.9602999999999999</v>
      </c>
      <c r="E306" s="2" t="s">
        <v>106</v>
      </c>
    </row>
    <row r="307" spans="1:5" ht="20.25" customHeight="1" x14ac:dyDescent="0.15">
      <c r="A307" s="2" t="s">
        <v>2172</v>
      </c>
      <c r="B307" s="2" t="s">
        <v>2173</v>
      </c>
      <c r="C307" s="2">
        <v>3.53</v>
      </c>
      <c r="D307" s="2">
        <v>1.1072</v>
      </c>
      <c r="E307" s="2" t="s">
        <v>140</v>
      </c>
    </row>
    <row r="308" spans="1:5" ht="20.25" customHeight="1" x14ac:dyDescent="0.15">
      <c r="A308" s="2" t="s">
        <v>1359</v>
      </c>
      <c r="B308" s="2" t="s">
        <v>1360</v>
      </c>
      <c r="C308" s="2">
        <v>3.52</v>
      </c>
      <c r="D308" s="2">
        <v>1.329</v>
      </c>
      <c r="E308" s="2" t="s">
        <v>171</v>
      </c>
    </row>
    <row r="309" spans="1:5" ht="20.25" customHeight="1" x14ac:dyDescent="0.15">
      <c r="A309" s="2" t="s">
        <v>1925</v>
      </c>
      <c r="B309" s="2" t="s">
        <v>1926</v>
      </c>
      <c r="C309" s="2">
        <v>3.52</v>
      </c>
      <c r="D309" s="2">
        <v>0.9042</v>
      </c>
      <c r="E309" s="2" t="s">
        <v>171</v>
      </c>
    </row>
    <row r="310" spans="1:5" ht="20.25" customHeight="1" x14ac:dyDescent="0.15">
      <c r="A310" s="2" t="s">
        <v>954</v>
      </c>
      <c r="B310" s="2" t="s">
        <v>955</v>
      </c>
      <c r="C310" s="2">
        <v>3.51</v>
      </c>
      <c r="D310" s="2">
        <v>1.7385999999999999</v>
      </c>
      <c r="E310" s="2" t="s">
        <v>374</v>
      </c>
    </row>
    <row r="311" spans="1:5" ht="20.25" customHeight="1" x14ac:dyDescent="0.15">
      <c r="A311" s="2" t="s">
        <v>1399</v>
      </c>
      <c r="B311" s="2" t="s">
        <v>1400</v>
      </c>
      <c r="C311" s="2">
        <v>3.51</v>
      </c>
      <c r="D311" s="2">
        <v>4.1772999999999998</v>
      </c>
      <c r="E311" s="2" t="s">
        <v>368</v>
      </c>
    </row>
    <row r="312" spans="1:5" ht="20.25" customHeight="1" x14ac:dyDescent="0.15">
      <c r="A312" s="2" t="s">
        <v>3897</v>
      </c>
      <c r="B312" s="2" t="s">
        <v>3898</v>
      </c>
      <c r="C312" s="2">
        <v>3.51</v>
      </c>
      <c r="D312" s="2">
        <v>2.2492000000000001</v>
      </c>
      <c r="E312" s="2" t="s">
        <v>299</v>
      </c>
    </row>
    <row r="313" spans="1:5" ht="20.25" customHeight="1" x14ac:dyDescent="0.15">
      <c r="A313" s="2" t="s">
        <v>606</v>
      </c>
      <c r="B313" s="2" t="s">
        <v>607</v>
      </c>
      <c r="C313" s="2">
        <v>3.5</v>
      </c>
      <c r="D313" s="2">
        <v>1.5023</v>
      </c>
      <c r="E313" s="2" t="s">
        <v>143</v>
      </c>
    </row>
    <row r="314" spans="1:5" ht="20.25" customHeight="1" x14ac:dyDescent="0.15">
      <c r="A314" s="2" t="s">
        <v>1668</v>
      </c>
      <c r="B314" s="2" t="s">
        <v>1669</v>
      </c>
      <c r="C314" s="2">
        <v>3.5</v>
      </c>
      <c r="D314" s="2">
        <v>2.2961</v>
      </c>
      <c r="E314" s="2" t="s">
        <v>794</v>
      </c>
    </row>
    <row r="315" spans="1:5" ht="20.25" customHeight="1" x14ac:dyDescent="0.15">
      <c r="A315" s="2" t="s">
        <v>6430</v>
      </c>
      <c r="B315" s="2" t="s">
        <v>6431</v>
      </c>
      <c r="C315" s="2">
        <v>3.4950000000000001</v>
      </c>
      <c r="D315" s="2">
        <v>0.8125</v>
      </c>
      <c r="E315" s="2" t="s">
        <v>68</v>
      </c>
    </row>
    <row r="316" spans="1:5" ht="20.25" customHeight="1" x14ac:dyDescent="0.15">
      <c r="A316" s="2" t="s">
        <v>243</v>
      </c>
      <c r="B316" s="2" t="s">
        <v>244</v>
      </c>
      <c r="C316" s="2">
        <v>3.49</v>
      </c>
      <c r="D316" s="2">
        <v>0.53010000000000002</v>
      </c>
      <c r="E316" s="2" t="s">
        <v>245</v>
      </c>
    </row>
    <row r="317" spans="1:5" ht="20.25" customHeight="1" x14ac:dyDescent="0.15">
      <c r="A317" s="2" t="s">
        <v>4626</v>
      </c>
      <c r="B317" s="2" t="s">
        <v>4627</v>
      </c>
      <c r="C317" s="2">
        <v>3.49</v>
      </c>
      <c r="D317" s="2">
        <v>6.6966999999999999</v>
      </c>
      <c r="E317" s="2" t="s">
        <v>1593</v>
      </c>
    </row>
    <row r="318" spans="1:5" ht="20.25" customHeight="1" x14ac:dyDescent="0.15">
      <c r="A318" s="2" t="s">
        <v>6472</v>
      </c>
      <c r="B318" s="2" t="s">
        <v>6473</v>
      </c>
      <c r="C318" s="2">
        <v>3.49</v>
      </c>
      <c r="D318" s="2">
        <v>2.0169000000000001</v>
      </c>
      <c r="E318" s="2" t="s">
        <v>1997</v>
      </c>
    </row>
    <row r="319" spans="1:5" ht="20.25" customHeight="1" x14ac:dyDescent="0.15">
      <c r="A319" s="2" t="s">
        <v>3803</v>
      </c>
      <c r="B319" s="2" t="s">
        <v>3804</v>
      </c>
      <c r="C319" s="2">
        <v>3.4849999999999999</v>
      </c>
      <c r="D319" s="2">
        <v>1.0584</v>
      </c>
      <c r="E319" s="2" t="s">
        <v>1691</v>
      </c>
    </row>
    <row r="320" spans="1:5" ht="20.25" customHeight="1" x14ac:dyDescent="0.15">
      <c r="A320" s="2" t="s">
        <v>671</v>
      </c>
      <c r="B320" s="2" t="s">
        <v>672</v>
      </c>
      <c r="C320" s="2">
        <v>3.48</v>
      </c>
      <c r="D320" s="2">
        <v>3.0413999999999999</v>
      </c>
      <c r="E320" s="2" t="s">
        <v>32</v>
      </c>
    </row>
    <row r="321" spans="1:5" ht="20.25" customHeight="1" x14ac:dyDescent="0.15">
      <c r="A321" s="2" t="s">
        <v>1016</v>
      </c>
      <c r="B321" s="2" t="s">
        <v>1017</v>
      </c>
      <c r="C321" s="2">
        <v>3.48</v>
      </c>
      <c r="D321" s="2">
        <v>10.798999999999999</v>
      </c>
      <c r="E321" s="2" t="s">
        <v>44</v>
      </c>
    </row>
    <row r="322" spans="1:5" ht="20.25" customHeight="1" x14ac:dyDescent="0.15">
      <c r="A322" s="2" t="s">
        <v>2973</v>
      </c>
      <c r="B322" s="2" t="s">
        <v>2974</v>
      </c>
      <c r="C322" s="2">
        <v>3.48</v>
      </c>
      <c r="D322" s="2">
        <v>0.33329999999999999</v>
      </c>
      <c r="E322" s="2" t="s">
        <v>638</v>
      </c>
    </row>
    <row r="323" spans="1:5" ht="20.25" customHeight="1" x14ac:dyDescent="0.15">
      <c r="A323" s="2" t="s">
        <v>3078</v>
      </c>
      <c r="B323" s="2" t="s">
        <v>3079</v>
      </c>
      <c r="C323" s="2">
        <v>3.48</v>
      </c>
      <c r="D323" s="2">
        <v>9.2666000000000004</v>
      </c>
      <c r="E323" s="2" t="s">
        <v>188</v>
      </c>
    </row>
    <row r="324" spans="1:5" ht="20.25" customHeight="1" x14ac:dyDescent="0.15">
      <c r="A324" s="2" t="s">
        <v>3160</v>
      </c>
      <c r="B324" s="2" t="s">
        <v>3161</v>
      </c>
      <c r="C324" s="2">
        <v>3.48</v>
      </c>
      <c r="D324" s="2">
        <v>2.8559000000000001</v>
      </c>
      <c r="E324" s="2" t="s">
        <v>1515</v>
      </c>
    </row>
    <row r="325" spans="1:5" ht="20.25" customHeight="1" x14ac:dyDescent="0.15">
      <c r="A325" s="2" t="s">
        <v>8375</v>
      </c>
      <c r="B325" s="2" t="s">
        <v>8376</v>
      </c>
      <c r="C325" s="2">
        <v>3.48</v>
      </c>
      <c r="D325" s="2">
        <v>4.4120999999999997</v>
      </c>
      <c r="E325" s="2" t="s">
        <v>1041</v>
      </c>
    </row>
    <row r="326" spans="1:5" ht="20.25" customHeight="1" x14ac:dyDescent="0.15">
      <c r="A326" s="2" t="s">
        <v>867</v>
      </c>
      <c r="B326" s="2" t="s">
        <v>868</v>
      </c>
      <c r="C326" s="2">
        <v>3.47</v>
      </c>
      <c r="D326" s="2">
        <v>7.9977</v>
      </c>
      <c r="E326" s="2" t="s">
        <v>89</v>
      </c>
    </row>
    <row r="327" spans="1:5" ht="20.25" customHeight="1" x14ac:dyDescent="0.15">
      <c r="A327" s="2" t="s">
        <v>1377</v>
      </c>
      <c r="B327" s="2" t="s">
        <v>1378</v>
      </c>
      <c r="C327" s="2">
        <v>3.47</v>
      </c>
      <c r="D327" s="2">
        <v>1.8856999999999999</v>
      </c>
      <c r="E327" s="2" t="s">
        <v>501</v>
      </c>
    </row>
    <row r="328" spans="1:5" ht="20.25" customHeight="1" x14ac:dyDescent="0.15">
      <c r="A328" s="2" t="s">
        <v>42</v>
      </c>
      <c r="B328" s="2" t="s">
        <v>43</v>
      </c>
      <c r="C328" s="2">
        <v>3.46</v>
      </c>
      <c r="D328" s="2">
        <v>2.581</v>
      </c>
      <c r="E328" s="2" t="s">
        <v>44</v>
      </c>
    </row>
    <row r="329" spans="1:5" ht="20.25" customHeight="1" x14ac:dyDescent="0.15">
      <c r="A329" s="2" t="s">
        <v>1689</v>
      </c>
      <c r="B329" s="2" t="s">
        <v>1690</v>
      </c>
      <c r="C329" s="2">
        <v>3.46</v>
      </c>
      <c r="D329" s="2">
        <v>1.8836999999999999</v>
      </c>
      <c r="E329" s="2" t="s">
        <v>1691</v>
      </c>
    </row>
    <row r="330" spans="1:5" ht="20.25" customHeight="1" x14ac:dyDescent="0.15">
      <c r="A330" s="2" t="s">
        <v>5120</v>
      </c>
      <c r="B330" s="2" t="s">
        <v>5121</v>
      </c>
      <c r="C330" s="2">
        <v>3.46</v>
      </c>
      <c r="D330" s="2">
        <v>0.78869999999999996</v>
      </c>
      <c r="E330" s="2" t="s">
        <v>44</v>
      </c>
    </row>
    <row r="331" spans="1:5" ht="20.25" customHeight="1" x14ac:dyDescent="0.15">
      <c r="A331" s="2" t="s">
        <v>7657</v>
      </c>
      <c r="B331" s="2" t="s">
        <v>7658</v>
      </c>
      <c r="C331" s="2">
        <v>3.46</v>
      </c>
      <c r="D331" s="2">
        <v>4.3787000000000003</v>
      </c>
      <c r="E331" s="2" t="s">
        <v>1608</v>
      </c>
    </row>
    <row r="332" spans="1:5" ht="20.25" customHeight="1" x14ac:dyDescent="0.15">
      <c r="A332" s="2" t="s">
        <v>8057</v>
      </c>
      <c r="B332" s="2" t="s">
        <v>8058</v>
      </c>
      <c r="C332" s="2">
        <v>3.46</v>
      </c>
      <c r="D332" s="2">
        <v>7.7546999999999997</v>
      </c>
      <c r="E332" s="2" t="s">
        <v>157</v>
      </c>
    </row>
    <row r="333" spans="1:5" ht="20.25" customHeight="1" x14ac:dyDescent="0.15">
      <c r="A333" s="2" t="s">
        <v>2632</v>
      </c>
      <c r="B333" s="2" t="s">
        <v>2633</v>
      </c>
      <c r="C333" s="2">
        <v>3.45</v>
      </c>
      <c r="D333" s="2">
        <v>3.1375000000000002</v>
      </c>
      <c r="E333" s="2" t="s">
        <v>41</v>
      </c>
    </row>
    <row r="334" spans="1:5" ht="20.25" customHeight="1" x14ac:dyDescent="0.15">
      <c r="A334" s="2" t="s">
        <v>1369</v>
      </c>
      <c r="B334" s="2" t="s">
        <v>1370</v>
      </c>
      <c r="C334" s="2">
        <v>3.4449999999999998</v>
      </c>
      <c r="D334" s="2">
        <v>26.694299999999998</v>
      </c>
      <c r="E334" s="2" t="s">
        <v>501</v>
      </c>
    </row>
    <row r="335" spans="1:5" ht="20.25" customHeight="1" x14ac:dyDescent="0.15">
      <c r="A335" s="2" t="s">
        <v>6845</v>
      </c>
      <c r="B335" s="2" t="s">
        <v>6846</v>
      </c>
      <c r="C335" s="2">
        <v>3.4449999999999998</v>
      </c>
      <c r="D335" s="2">
        <v>0.65200000000000002</v>
      </c>
      <c r="E335" s="2" t="s">
        <v>630</v>
      </c>
    </row>
    <row r="336" spans="1:5" ht="20.25" customHeight="1" x14ac:dyDescent="0.15">
      <c r="A336" s="2" t="s">
        <v>1361</v>
      </c>
      <c r="B336" s="2" t="s">
        <v>1362</v>
      </c>
      <c r="C336" s="2">
        <v>3.44</v>
      </c>
      <c r="D336" s="2">
        <v>16.240300000000001</v>
      </c>
      <c r="E336" s="2" t="s">
        <v>677</v>
      </c>
    </row>
    <row r="337" spans="1:5" ht="20.25" customHeight="1" x14ac:dyDescent="0.15">
      <c r="A337" s="2" t="s">
        <v>1579</v>
      </c>
      <c r="B337" s="2" t="s">
        <v>1580</v>
      </c>
      <c r="C337" s="2">
        <v>3.44</v>
      </c>
      <c r="D337" s="2">
        <v>2.4198</v>
      </c>
      <c r="E337" s="2" t="s">
        <v>68</v>
      </c>
    </row>
    <row r="338" spans="1:5" ht="20.25" customHeight="1" x14ac:dyDescent="0.15">
      <c r="A338" s="2" t="s">
        <v>345</v>
      </c>
      <c r="B338" s="2" t="s">
        <v>346</v>
      </c>
      <c r="C338" s="2">
        <v>3.43</v>
      </c>
      <c r="D338" s="2">
        <v>6.1982999999999997</v>
      </c>
      <c r="E338" s="2" t="s">
        <v>347</v>
      </c>
    </row>
    <row r="339" spans="1:5" ht="20.25" customHeight="1" x14ac:dyDescent="0.15">
      <c r="A339" s="2" t="s">
        <v>363</v>
      </c>
      <c r="B339" s="2" t="s">
        <v>364</v>
      </c>
      <c r="C339" s="2">
        <v>3.43</v>
      </c>
      <c r="D339" s="2">
        <v>0.9325</v>
      </c>
      <c r="E339" s="2" t="s">
        <v>365</v>
      </c>
    </row>
    <row r="340" spans="1:5" ht="20.25" customHeight="1" x14ac:dyDescent="0.15">
      <c r="A340" s="2" t="s">
        <v>424</v>
      </c>
      <c r="B340" s="2" t="s">
        <v>425</v>
      </c>
      <c r="C340" s="2">
        <v>3.42</v>
      </c>
      <c r="D340" s="2">
        <v>1.3101</v>
      </c>
      <c r="E340" s="2" t="s">
        <v>44</v>
      </c>
    </row>
    <row r="341" spans="1:5" ht="20.25" customHeight="1" x14ac:dyDescent="0.15">
      <c r="A341" s="2" t="s">
        <v>2480</v>
      </c>
      <c r="B341" s="2" t="s">
        <v>2481</v>
      </c>
      <c r="C341" s="2">
        <v>3.42</v>
      </c>
      <c r="D341" s="2">
        <v>26.667100000000001</v>
      </c>
      <c r="E341" s="2" t="s">
        <v>201</v>
      </c>
    </row>
    <row r="342" spans="1:5" ht="20.25" customHeight="1" x14ac:dyDescent="0.15">
      <c r="A342" s="2" t="s">
        <v>3507</v>
      </c>
      <c r="B342" s="2" t="s">
        <v>3508</v>
      </c>
      <c r="C342" s="2">
        <v>3.415</v>
      </c>
      <c r="D342" s="2">
        <v>2.5466000000000002</v>
      </c>
      <c r="E342" s="2" t="s">
        <v>3048</v>
      </c>
    </row>
    <row r="343" spans="1:5" ht="20.25" customHeight="1" x14ac:dyDescent="0.15">
      <c r="A343" s="2" t="s">
        <v>4903</v>
      </c>
      <c r="B343" s="2" t="s">
        <v>4904</v>
      </c>
      <c r="C343" s="2">
        <v>3.41</v>
      </c>
      <c r="D343" s="2">
        <v>4.5266999999999999</v>
      </c>
      <c r="E343" s="2" t="s">
        <v>171</v>
      </c>
    </row>
    <row r="344" spans="1:5" ht="20.25" customHeight="1" x14ac:dyDescent="0.15">
      <c r="A344" s="2" t="s">
        <v>5732</v>
      </c>
      <c r="B344" s="2" t="s">
        <v>5733</v>
      </c>
      <c r="C344" s="2">
        <v>3.41</v>
      </c>
      <c r="D344" s="2">
        <v>26.024699999999999</v>
      </c>
      <c r="E344" s="2" t="s">
        <v>827</v>
      </c>
    </row>
    <row r="345" spans="1:5" ht="20.25" customHeight="1" x14ac:dyDescent="0.15">
      <c r="A345" s="2" t="s">
        <v>7485</v>
      </c>
      <c r="B345" s="2" t="s">
        <v>7486</v>
      </c>
      <c r="C345" s="2">
        <v>3.41</v>
      </c>
      <c r="D345" s="2">
        <v>5.7356999999999996</v>
      </c>
      <c r="E345" s="2" t="s">
        <v>1338</v>
      </c>
    </row>
    <row r="346" spans="1:5" ht="20.25" customHeight="1" x14ac:dyDescent="0.15">
      <c r="A346" s="2" t="s">
        <v>3162</v>
      </c>
      <c r="B346" s="2" t="s">
        <v>3163</v>
      </c>
      <c r="C346" s="2">
        <v>3.4049999999999998</v>
      </c>
      <c r="D346" s="2">
        <v>0.76980000000000004</v>
      </c>
      <c r="E346" s="2" t="s">
        <v>143</v>
      </c>
    </row>
    <row r="347" spans="1:5" ht="20.25" customHeight="1" x14ac:dyDescent="0.15">
      <c r="A347" s="2" t="s">
        <v>946</v>
      </c>
      <c r="B347" s="2" t="s">
        <v>947</v>
      </c>
      <c r="C347" s="2">
        <v>3.4</v>
      </c>
      <c r="D347" s="2">
        <v>1.0684</v>
      </c>
      <c r="E347" s="2" t="s">
        <v>514</v>
      </c>
    </row>
    <row r="348" spans="1:5" ht="20.25" customHeight="1" x14ac:dyDescent="0.15">
      <c r="A348" s="2" t="s">
        <v>2061</v>
      </c>
      <c r="B348" s="2" t="s">
        <v>2062</v>
      </c>
      <c r="C348" s="2">
        <v>3.4</v>
      </c>
      <c r="D348" s="2">
        <v>1.1132</v>
      </c>
      <c r="E348" s="2" t="s">
        <v>2063</v>
      </c>
    </row>
    <row r="349" spans="1:5" ht="20.25" customHeight="1" x14ac:dyDescent="0.15">
      <c r="A349" s="2" t="s">
        <v>2464</v>
      </c>
      <c r="B349" s="2" t="s">
        <v>2465</v>
      </c>
      <c r="C349" s="2">
        <v>3.4</v>
      </c>
      <c r="D349" s="2">
        <v>0.50049999999999994</v>
      </c>
      <c r="E349" s="2" t="s">
        <v>459</v>
      </c>
    </row>
    <row r="350" spans="1:5" ht="20.25" customHeight="1" x14ac:dyDescent="0.15">
      <c r="A350" s="2" t="s">
        <v>3356</v>
      </c>
      <c r="B350" s="2" t="s">
        <v>3357</v>
      </c>
      <c r="C350" s="2">
        <v>3.4</v>
      </c>
      <c r="D350" s="2">
        <v>5.4313000000000002</v>
      </c>
      <c r="E350" s="2" t="s">
        <v>359</v>
      </c>
    </row>
    <row r="351" spans="1:5" ht="20.25" customHeight="1" x14ac:dyDescent="0.15">
      <c r="A351" s="2" t="s">
        <v>5403</v>
      </c>
      <c r="B351" s="2" t="s">
        <v>5404</v>
      </c>
      <c r="C351" s="2">
        <v>3.4</v>
      </c>
      <c r="D351" s="2">
        <v>1.8635999999999999</v>
      </c>
      <c r="E351" s="2" t="s">
        <v>1774</v>
      </c>
    </row>
    <row r="352" spans="1:5" ht="20.25" customHeight="1" x14ac:dyDescent="0.15">
      <c r="A352" s="2" t="s">
        <v>5653</v>
      </c>
      <c r="B352" s="2" t="s">
        <v>5654</v>
      </c>
      <c r="C352" s="2">
        <v>3.4</v>
      </c>
      <c r="D352" s="2">
        <v>34.886299999999999</v>
      </c>
      <c r="E352" s="2" t="s">
        <v>68</v>
      </c>
    </row>
    <row r="353" spans="1:5" ht="20.25" customHeight="1" x14ac:dyDescent="0.15">
      <c r="A353" s="2" t="s">
        <v>619</v>
      </c>
      <c r="B353" s="2" t="s">
        <v>620</v>
      </c>
      <c r="C353" s="2">
        <v>3.39</v>
      </c>
      <c r="D353" s="2">
        <v>3.9782000000000002</v>
      </c>
      <c r="E353" s="2" t="s">
        <v>621</v>
      </c>
    </row>
    <row r="354" spans="1:5" ht="20.25" customHeight="1" x14ac:dyDescent="0.15">
      <c r="A354" s="2" t="s">
        <v>4462</v>
      </c>
      <c r="B354" s="2" t="s">
        <v>4463</v>
      </c>
      <c r="C354" s="2">
        <v>3.39</v>
      </c>
      <c r="D354" s="2">
        <v>1.7362</v>
      </c>
      <c r="E354" s="2" t="s">
        <v>713</v>
      </c>
    </row>
    <row r="355" spans="1:5" ht="20.25" customHeight="1" x14ac:dyDescent="0.15">
      <c r="A355" s="2" t="s">
        <v>90</v>
      </c>
      <c r="B355" s="2" t="s">
        <v>91</v>
      </c>
      <c r="C355" s="2">
        <v>3.38</v>
      </c>
      <c r="D355" s="2">
        <v>18.6785</v>
      </c>
      <c r="E355" s="2" t="s">
        <v>92</v>
      </c>
    </row>
    <row r="356" spans="1:5" ht="20.25" customHeight="1" x14ac:dyDescent="0.15">
      <c r="A356" s="2" t="s">
        <v>846</v>
      </c>
      <c r="B356" s="2" t="s">
        <v>847</v>
      </c>
      <c r="C356" s="2">
        <v>3.37</v>
      </c>
      <c r="D356" s="2">
        <v>1.7362</v>
      </c>
      <c r="E356" s="2" t="s">
        <v>747</v>
      </c>
    </row>
    <row r="357" spans="1:5" ht="20.25" customHeight="1" x14ac:dyDescent="0.15">
      <c r="A357" s="2" t="s">
        <v>2228</v>
      </c>
      <c r="B357" s="2" t="s">
        <v>2229</v>
      </c>
      <c r="C357" s="2">
        <v>3.37</v>
      </c>
      <c r="D357" s="2">
        <v>2.6482000000000001</v>
      </c>
      <c r="E357" s="2" t="s">
        <v>403</v>
      </c>
    </row>
    <row r="358" spans="1:5" ht="20.25" customHeight="1" x14ac:dyDescent="0.15">
      <c r="A358" s="2" t="s">
        <v>5152</v>
      </c>
      <c r="B358" s="2" t="s">
        <v>5153</v>
      </c>
      <c r="C358" s="2">
        <v>3.37</v>
      </c>
      <c r="D358" s="2">
        <v>10.604900000000001</v>
      </c>
      <c r="E358" s="2" t="s">
        <v>176</v>
      </c>
    </row>
    <row r="359" spans="1:5" ht="20.25" customHeight="1" x14ac:dyDescent="0.15">
      <c r="A359" s="2" t="s">
        <v>5316</v>
      </c>
      <c r="B359" s="2" t="s">
        <v>5317</v>
      </c>
      <c r="C359" s="2">
        <v>3.37</v>
      </c>
      <c r="D359" s="2">
        <v>0.88480000000000003</v>
      </c>
      <c r="E359" s="2" t="s">
        <v>1403</v>
      </c>
    </row>
    <row r="360" spans="1:5" ht="20.25" customHeight="1" x14ac:dyDescent="0.15">
      <c r="A360" s="2" t="s">
        <v>1336</v>
      </c>
      <c r="B360" s="2" t="s">
        <v>1337</v>
      </c>
      <c r="C360" s="2">
        <v>3.36</v>
      </c>
      <c r="D360" s="2">
        <v>12.549799999999999</v>
      </c>
      <c r="E360" s="2" t="s">
        <v>1338</v>
      </c>
    </row>
    <row r="361" spans="1:5" ht="20.25" customHeight="1" x14ac:dyDescent="0.15">
      <c r="A361" s="2" t="s">
        <v>2538</v>
      </c>
      <c r="B361" s="2" t="s">
        <v>2539</v>
      </c>
      <c r="C361" s="2">
        <v>3.36</v>
      </c>
      <c r="D361" s="2">
        <v>6.2568000000000001</v>
      </c>
      <c r="E361" s="2" t="s">
        <v>41</v>
      </c>
    </row>
    <row r="362" spans="1:5" ht="20.25" customHeight="1" x14ac:dyDescent="0.15">
      <c r="A362" s="2" t="s">
        <v>3252</v>
      </c>
      <c r="B362" s="2" t="s">
        <v>3253</v>
      </c>
      <c r="C362" s="2">
        <v>3.36</v>
      </c>
      <c r="D362" s="2">
        <v>2.1048</v>
      </c>
      <c r="E362" s="2" t="s">
        <v>787</v>
      </c>
    </row>
    <row r="363" spans="1:5" ht="20.25" customHeight="1" x14ac:dyDescent="0.15">
      <c r="A363" s="2" t="s">
        <v>572</v>
      </c>
      <c r="B363" s="2" t="s">
        <v>573</v>
      </c>
      <c r="C363" s="2">
        <v>3.35</v>
      </c>
      <c r="D363" s="2">
        <v>3.3626999999999998</v>
      </c>
      <c r="E363" s="2" t="s">
        <v>574</v>
      </c>
    </row>
    <row r="364" spans="1:5" ht="20.25" customHeight="1" x14ac:dyDescent="0.15">
      <c r="A364" s="2" t="s">
        <v>3288</v>
      </c>
      <c r="B364" s="2" t="s">
        <v>3289</v>
      </c>
      <c r="C364" s="2">
        <v>3.35</v>
      </c>
      <c r="D364" s="2">
        <v>11.1859</v>
      </c>
      <c r="E364" s="2" t="s">
        <v>204</v>
      </c>
    </row>
    <row r="365" spans="1:5" ht="20.25" customHeight="1" x14ac:dyDescent="0.15">
      <c r="A365" s="2" t="s">
        <v>7801</v>
      </c>
      <c r="B365" s="2" t="s">
        <v>7802</v>
      </c>
      <c r="C365" s="2">
        <v>3.35</v>
      </c>
      <c r="D365" s="2">
        <v>1.7281</v>
      </c>
      <c r="E365" s="2" t="s">
        <v>630</v>
      </c>
    </row>
    <row r="366" spans="1:5" ht="20.25" customHeight="1" x14ac:dyDescent="0.15">
      <c r="A366" s="2" t="s">
        <v>8287</v>
      </c>
      <c r="B366" s="2" t="s">
        <v>8288</v>
      </c>
      <c r="C366" s="2">
        <v>3.34</v>
      </c>
      <c r="D366" s="2">
        <v>5.5519999999999996</v>
      </c>
      <c r="E366" s="2" t="s">
        <v>1873</v>
      </c>
    </row>
    <row r="367" spans="1:5" ht="20.25" customHeight="1" x14ac:dyDescent="0.15">
      <c r="A367" s="2" t="s">
        <v>1028</v>
      </c>
      <c r="B367" s="2" t="s">
        <v>1029</v>
      </c>
      <c r="C367" s="2">
        <v>3.33</v>
      </c>
      <c r="D367" s="2">
        <v>0.4803</v>
      </c>
      <c r="E367" s="2" t="s">
        <v>339</v>
      </c>
    </row>
    <row r="368" spans="1:5" ht="20.25" customHeight="1" x14ac:dyDescent="0.15">
      <c r="A368" s="2" t="s">
        <v>1397</v>
      </c>
      <c r="B368" s="2" t="s">
        <v>1398</v>
      </c>
      <c r="C368" s="2">
        <v>3.33</v>
      </c>
      <c r="D368" s="2">
        <v>2.1846999999999999</v>
      </c>
      <c r="E368" s="2" t="s">
        <v>143</v>
      </c>
    </row>
    <row r="369" spans="1:5" ht="20.25" customHeight="1" x14ac:dyDescent="0.15">
      <c r="A369" s="2" t="s">
        <v>6482</v>
      </c>
      <c r="B369" s="2" t="s">
        <v>6483</v>
      </c>
      <c r="C369" s="2">
        <v>3.32</v>
      </c>
      <c r="D369" s="2">
        <v>8.6715999999999998</v>
      </c>
      <c r="E369" s="2" t="s">
        <v>68</v>
      </c>
    </row>
    <row r="370" spans="1:5" ht="20.25" customHeight="1" x14ac:dyDescent="0.15">
      <c r="A370" s="2" t="s">
        <v>4885</v>
      </c>
      <c r="B370" s="2" t="s">
        <v>4886</v>
      </c>
      <c r="C370" s="2">
        <v>3.3149999999999999</v>
      </c>
      <c r="D370" s="2">
        <v>1.4278999999999999</v>
      </c>
      <c r="E370" s="2" t="s">
        <v>44</v>
      </c>
    </row>
    <row r="371" spans="1:5" ht="20.25" customHeight="1" x14ac:dyDescent="0.15">
      <c r="A371" s="2" t="s">
        <v>486</v>
      </c>
      <c r="B371" s="2" t="s">
        <v>487</v>
      </c>
      <c r="C371" s="2">
        <v>3.31</v>
      </c>
      <c r="D371" s="2">
        <v>8.9222999999999999</v>
      </c>
      <c r="E371" s="2" t="s">
        <v>52</v>
      </c>
    </row>
    <row r="372" spans="1:5" ht="20.25" customHeight="1" x14ac:dyDescent="0.15">
      <c r="A372" s="2" t="s">
        <v>2349</v>
      </c>
      <c r="B372" s="2" t="s">
        <v>2350</v>
      </c>
      <c r="C372" s="2">
        <v>3.31</v>
      </c>
      <c r="D372" s="2">
        <v>2.9209999999999998</v>
      </c>
      <c r="E372" s="2" t="s">
        <v>982</v>
      </c>
    </row>
    <row r="373" spans="1:5" ht="20.25" customHeight="1" x14ac:dyDescent="0.15">
      <c r="A373" s="2" t="s">
        <v>5383</v>
      </c>
      <c r="B373" s="2" t="s">
        <v>5384</v>
      </c>
      <c r="C373" s="2">
        <v>3.31</v>
      </c>
      <c r="D373" s="2">
        <v>2.1059999999999999</v>
      </c>
      <c r="E373" s="2" t="s">
        <v>638</v>
      </c>
    </row>
    <row r="374" spans="1:5" ht="20.25" customHeight="1" x14ac:dyDescent="0.15">
      <c r="A374" s="2" t="s">
        <v>765</v>
      </c>
      <c r="B374" s="2" t="s">
        <v>766</v>
      </c>
      <c r="C374" s="2">
        <v>3.3</v>
      </c>
      <c r="D374" s="2">
        <v>0.29270000000000002</v>
      </c>
      <c r="E374" s="2" t="s">
        <v>391</v>
      </c>
    </row>
    <row r="375" spans="1:5" ht="20.25" customHeight="1" x14ac:dyDescent="0.15">
      <c r="A375" s="2" t="s">
        <v>2870</v>
      </c>
      <c r="B375" s="2" t="s">
        <v>2871</v>
      </c>
      <c r="C375" s="2">
        <v>3.3</v>
      </c>
      <c r="D375" s="2">
        <v>4.6177000000000001</v>
      </c>
      <c r="E375" s="2" t="s">
        <v>724</v>
      </c>
    </row>
    <row r="376" spans="1:5" ht="20.25" customHeight="1" x14ac:dyDescent="0.15">
      <c r="A376" s="2" t="s">
        <v>7833</v>
      </c>
      <c r="B376" s="2" t="s">
        <v>7834</v>
      </c>
      <c r="C376" s="2">
        <v>3.3</v>
      </c>
      <c r="D376" s="2">
        <v>1.9335</v>
      </c>
      <c r="E376" s="2" t="s">
        <v>574</v>
      </c>
    </row>
    <row r="377" spans="1:5" ht="20.25" customHeight="1" x14ac:dyDescent="0.15">
      <c r="A377" s="2" t="s">
        <v>1280</v>
      </c>
      <c r="B377" s="2" t="s">
        <v>1281</v>
      </c>
      <c r="C377" s="2">
        <v>3.29</v>
      </c>
      <c r="D377" s="2">
        <v>0.61809999999999998</v>
      </c>
      <c r="E377" s="2" t="s">
        <v>1282</v>
      </c>
    </row>
    <row r="378" spans="1:5" ht="20.25" customHeight="1" x14ac:dyDescent="0.15">
      <c r="A378" s="2" t="s">
        <v>3621</v>
      </c>
      <c r="B378" s="2" t="s">
        <v>3622</v>
      </c>
      <c r="C378" s="2">
        <v>3.29</v>
      </c>
      <c r="D378" s="2">
        <v>2.4438</v>
      </c>
      <c r="E378" s="2" t="s">
        <v>2355</v>
      </c>
    </row>
    <row r="379" spans="1:5" ht="20.25" customHeight="1" x14ac:dyDescent="0.15">
      <c r="A379" s="2" t="s">
        <v>4566</v>
      </c>
      <c r="B379" s="2" t="s">
        <v>4567</v>
      </c>
      <c r="C379" s="2">
        <v>3.29</v>
      </c>
      <c r="D379" s="2">
        <v>2.1198999999999999</v>
      </c>
      <c r="E379" s="2" t="s">
        <v>140</v>
      </c>
    </row>
    <row r="380" spans="1:5" ht="20.25" customHeight="1" x14ac:dyDescent="0.15">
      <c r="A380" s="2" t="s">
        <v>308</v>
      </c>
      <c r="B380" s="2" t="s">
        <v>309</v>
      </c>
      <c r="C380" s="2">
        <v>3.28</v>
      </c>
      <c r="D380" s="2">
        <v>0.42</v>
      </c>
      <c r="E380" s="2" t="s">
        <v>310</v>
      </c>
    </row>
    <row r="381" spans="1:5" ht="20.25" customHeight="1" x14ac:dyDescent="0.15">
      <c r="A381" s="2" t="s">
        <v>1480</v>
      </c>
      <c r="B381" s="2" t="s">
        <v>1481</v>
      </c>
      <c r="C381" s="2">
        <v>3.28</v>
      </c>
      <c r="D381" s="2">
        <v>0.9496</v>
      </c>
      <c r="E381" s="2" t="s">
        <v>1224</v>
      </c>
    </row>
    <row r="382" spans="1:5" ht="20.25" customHeight="1" x14ac:dyDescent="0.15">
      <c r="A382" s="2" t="s">
        <v>186</v>
      </c>
      <c r="B382" s="2" t="s">
        <v>187</v>
      </c>
      <c r="C382" s="2">
        <v>3.27</v>
      </c>
      <c r="D382" s="2">
        <v>1.1903999999999999</v>
      </c>
      <c r="E382" s="2" t="s">
        <v>188</v>
      </c>
    </row>
    <row r="383" spans="1:5" ht="20.25" customHeight="1" x14ac:dyDescent="0.15">
      <c r="A383" s="2" t="s">
        <v>2387</v>
      </c>
      <c r="B383" s="2" t="s">
        <v>2388</v>
      </c>
      <c r="C383" s="2">
        <v>3.27</v>
      </c>
      <c r="D383" s="2">
        <v>1.1552</v>
      </c>
      <c r="E383" s="2" t="s">
        <v>214</v>
      </c>
    </row>
    <row r="384" spans="1:5" ht="20.25" customHeight="1" x14ac:dyDescent="0.15">
      <c r="A384" s="2" t="s">
        <v>3320</v>
      </c>
      <c r="B384" s="2" t="s">
        <v>3321</v>
      </c>
      <c r="C384" s="2">
        <v>3.27</v>
      </c>
      <c r="D384" s="2">
        <v>1.4019999999999999</v>
      </c>
      <c r="E384" s="2" t="s">
        <v>52</v>
      </c>
    </row>
    <row r="385" spans="1:5" ht="20.25" customHeight="1" x14ac:dyDescent="0.15">
      <c r="A385" s="2" t="s">
        <v>3443</v>
      </c>
      <c r="B385" s="2" t="s">
        <v>3444</v>
      </c>
      <c r="C385" s="2">
        <v>3.27</v>
      </c>
      <c r="D385" s="2">
        <v>1.4976</v>
      </c>
      <c r="E385" s="2" t="s">
        <v>3249</v>
      </c>
    </row>
    <row r="386" spans="1:5" ht="20.25" customHeight="1" x14ac:dyDescent="0.15">
      <c r="A386" s="2" t="s">
        <v>1206</v>
      </c>
      <c r="B386" s="2" t="s">
        <v>1207</v>
      </c>
      <c r="C386" s="2">
        <v>3.26</v>
      </c>
      <c r="D386" s="2">
        <v>35.260199999999998</v>
      </c>
      <c r="E386" s="2" t="s">
        <v>633</v>
      </c>
    </row>
    <row r="387" spans="1:5" ht="20.25" customHeight="1" x14ac:dyDescent="0.15">
      <c r="A387" s="2" t="s">
        <v>7631</v>
      </c>
      <c r="B387" s="2" t="s">
        <v>7632</v>
      </c>
      <c r="C387" s="2">
        <v>3.2549999999999999</v>
      </c>
      <c r="D387" s="2">
        <v>16.476700000000001</v>
      </c>
      <c r="E387" s="2" t="s">
        <v>3249</v>
      </c>
    </row>
    <row r="388" spans="1:5" ht="20.25" customHeight="1" x14ac:dyDescent="0.15">
      <c r="A388" s="2" t="s">
        <v>3581</v>
      </c>
      <c r="B388" s="2" t="s">
        <v>3582</v>
      </c>
      <c r="C388" s="2">
        <v>3.2450000000000001</v>
      </c>
      <c r="D388" s="2">
        <v>2.6598999999999999</v>
      </c>
      <c r="E388" s="2" t="s">
        <v>140</v>
      </c>
    </row>
    <row r="389" spans="1:5" ht="20.25" customHeight="1" x14ac:dyDescent="0.15">
      <c r="A389" s="2" t="s">
        <v>4150</v>
      </c>
      <c r="B389" s="2" t="s">
        <v>4151</v>
      </c>
      <c r="C389" s="2">
        <v>3.24</v>
      </c>
      <c r="D389" s="2">
        <v>2.2265999999999999</v>
      </c>
      <c r="E389" s="2" t="s">
        <v>1878</v>
      </c>
    </row>
    <row r="390" spans="1:5" ht="20.25" customHeight="1" x14ac:dyDescent="0.15">
      <c r="A390" s="2" t="s">
        <v>4460</v>
      </c>
      <c r="B390" s="2" t="s">
        <v>4461</v>
      </c>
      <c r="C390" s="2">
        <v>3.24</v>
      </c>
      <c r="D390" s="2">
        <v>3.645</v>
      </c>
      <c r="E390" s="2" t="s">
        <v>406</v>
      </c>
    </row>
    <row r="391" spans="1:5" ht="20.25" customHeight="1" x14ac:dyDescent="0.15">
      <c r="A391" s="2" t="s">
        <v>4919</v>
      </c>
      <c r="B391" s="2" t="s">
        <v>4920</v>
      </c>
      <c r="C391" s="2">
        <v>3.24</v>
      </c>
      <c r="D391" s="2">
        <v>0.62360000000000004</v>
      </c>
      <c r="E391" s="2" t="s">
        <v>1224</v>
      </c>
    </row>
    <row r="392" spans="1:5" ht="20.25" customHeight="1" x14ac:dyDescent="0.15">
      <c r="A392" s="2" t="s">
        <v>5639</v>
      </c>
      <c r="B392" s="2" t="s">
        <v>5640</v>
      </c>
      <c r="C392" s="2">
        <v>3.24</v>
      </c>
      <c r="D392" s="2">
        <v>2.9095</v>
      </c>
      <c r="E392" s="2" t="s">
        <v>52</v>
      </c>
    </row>
    <row r="393" spans="1:5" ht="20.25" customHeight="1" x14ac:dyDescent="0.15">
      <c r="A393" s="2" t="s">
        <v>7095</v>
      </c>
      <c r="B393" s="2" t="s">
        <v>7096</v>
      </c>
      <c r="C393" s="2">
        <v>3.24</v>
      </c>
      <c r="D393" s="2">
        <v>4.5468000000000002</v>
      </c>
      <c r="E393" s="2" t="s">
        <v>406</v>
      </c>
    </row>
    <row r="394" spans="1:5" ht="20.25" customHeight="1" x14ac:dyDescent="0.15">
      <c r="A394" s="2" t="s">
        <v>5352</v>
      </c>
      <c r="B394" s="2" t="s">
        <v>5353</v>
      </c>
      <c r="C394" s="2">
        <v>3.2349999999999999</v>
      </c>
      <c r="D394" s="2">
        <v>2.0554000000000001</v>
      </c>
      <c r="E394" s="2" t="s">
        <v>89</v>
      </c>
    </row>
    <row r="395" spans="1:5" ht="20.25" customHeight="1" x14ac:dyDescent="0.15">
      <c r="A395" s="2" t="s">
        <v>1310</v>
      </c>
      <c r="B395" s="2" t="s">
        <v>1311</v>
      </c>
      <c r="C395" s="2">
        <v>3.23</v>
      </c>
      <c r="D395" s="2">
        <v>0.24679999999999999</v>
      </c>
      <c r="E395" s="2" t="s">
        <v>647</v>
      </c>
    </row>
    <row r="396" spans="1:5" ht="20.25" customHeight="1" x14ac:dyDescent="0.15">
      <c r="A396" s="2" t="s">
        <v>1554</v>
      </c>
      <c r="B396" s="2" t="s">
        <v>1555</v>
      </c>
      <c r="C396" s="2">
        <v>3.23</v>
      </c>
      <c r="D396" s="2">
        <v>2.7084000000000001</v>
      </c>
      <c r="E396" s="2" t="s">
        <v>71</v>
      </c>
    </row>
    <row r="397" spans="1:5" ht="20.25" customHeight="1" x14ac:dyDescent="0.15">
      <c r="A397" s="2" t="s">
        <v>2684</v>
      </c>
      <c r="B397" s="2" t="s">
        <v>2685</v>
      </c>
      <c r="C397" s="2">
        <v>3.23</v>
      </c>
      <c r="D397" s="2">
        <v>3.956</v>
      </c>
      <c r="E397" s="2" t="s">
        <v>1593</v>
      </c>
    </row>
    <row r="398" spans="1:5" ht="20.25" customHeight="1" x14ac:dyDescent="0.15">
      <c r="A398" s="2" t="s">
        <v>3003</v>
      </c>
      <c r="B398" s="2" t="s">
        <v>3004</v>
      </c>
      <c r="C398" s="2">
        <v>3.23</v>
      </c>
      <c r="D398" s="2">
        <v>0.50949999999999995</v>
      </c>
      <c r="E398" s="2" t="s">
        <v>3005</v>
      </c>
    </row>
    <row r="399" spans="1:5" ht="20.25" customHeight="1" x14ac:dyDescent="0.15">
      <c r="A399" s="2" t="s">
        <v>5114</v>
      </c>
      <c r="B399" s="2" t="s">
        <v>5115</v>
      </c>
      <c r="C399" s="2">
        <v>3.23</v>
      </c>
      <c r="D399" s="2">
        <v>20.639900000000001</v>
      </c>
      <c r="E399" s="2" t="s">
        <v>633</v>
      </c>
    </row>
    <row r="400" spans="1:5" ht="20.25" customHeight="1" x14ac:dyDescent="0.15">
      <c r="A400" s="2" t="s">
        <v>183</v>
      </c>
      <c r="B400" s="2" t="s">
        <v>184</v>
      </c>
      <c r="C400" s="2">
        <v>3.22</v>
      </c>
      <c r="D400" s="2">
        <v>6.0852000000000004</v>
      </c>
      <c r="E400" s="2" t="s">
        <v>185</v>
      </c>
    </row>
    <row r="401" spans="1:5" ht="20.25" customHeight="1" x14ac:dyDescent="0.15">
      <c r="A401" s="2" t="s">
        <v>1491</v>
      </c>
      <c r="B401" s="2" t="s">
        <v>1492</v>
      </c>
      <c r="C401" s="2">
        <v>3.22</v>
      </c>
      <c r="D401" s="2">
        <v>1.33</v>
      </c>
      <c r="E401" s="2" t="s">
        <v>207</v>
      </c>
    </row>
    <row r="402" spans="1:5" ht="20.25" customHeight="1" x14ac:dyDescent="0.15">
      <c r="A402" s="2" t="s">
        <v>3533</v>
      </c>
      <c r="B402" s="2" t="s">
        <v>3534</v>
      </c>
      <c r="C402" s="2">
        <v>3.22</v>
      </c>
      <c r="D402" s="2">
        <v>29.731400000000001</v>
      </c>
      <c r="E402" s="2" t="s">
        <v>41</v>
      </c>
    </row>
    <row r="403" spans="1:5" ht="20.25" customHeight="1" x14ac:dyDescent="0.15">
      <c r="A403" s="2" t="s">
        <v>4436</v>
      </c>
      <c r="B403" s="2" t="s">
        <v>4437</v>
      </c>
      <c r="C403" s="2">
        <v>3.2149999999999999</v>
      </c>
      <c r="D403" s="2">
        <v>1.8897999999999999</v>
      </c>
      <c r="E403" s="2" t="s">
        <v>605</v>
      </c>
    </row>
    <row r="404" spans="1:5" ht="20.25" customHeight="1" x14ac:dyDescent="0.15">
      <c r="A404" s="2" t="s">
        <v>3957</v>
      </c>
      <c r="B404" s="2" t="s">
        <v>3958</v>
      </c>
      <c r="C404" s="2">
        <v>3.2050000000000001</v>
      </c>
      <c r="D404" s="2">
        <v>3.4763000000000002</v>
      </c>
      <c r="E404" s="2" t="s">
        <v>630</v>
      </c>
    </row>
    <row r="405" spans="1:5" ht="20.25" customHeight="1" x14ac:dyDescent="0.15">
      <c r="A405" s="2" t="s">
        <v>782</v>
      </c>
      <c r="B405" s="2" t="s">
        <v>783</v>
      </c>
      <c r="C405" s="2">
        <v>3.2</v>
      </c>
      <c r="D405" s="2">
        <v>0.9446</v>
      </c>
      <c r="E405" s="2" t="s">
        <v>784</v>
      </c>
    </row>
    <row r="406" spans="1:5" ht="20.25" customHeight="1" x14ac:dyDescent="0.15">
      <c r="A406" s="2" t="s">
        <v>1410</v>
      </c>
      <c r="B406" s="2" t="s">
        <v>1411</v>
      </c>
      <c r="C406" s="2">
        <v>3.2</v>
      </c>
      <c r="D406" s="2">
        <v>1.1316999999999999</v>
      </c>
      <c r="E406" s="2" t="s">
        <v>140</v>
      </c>
    </row>
    <row r="407" spans="1:5" ht="20.25" customHeight="1" x14ac:dyDescent="0.15">
      <c r="A407" s="2" t="s">
        <v>3088</v>
      </c>
      <c r="B407" s="2" t="s">
        <v>3089</v>
      </c>
      <c r="C407" s="2">
        <v>3.2</v>
      </c>
      <c r="D407" s="2">
        <v>4.4745999999999997</v>
      </c>
      <c r="E407" s="2" t="s">
        <v>1275</v>
      </c>
    </row>
    <row r="408" spans="1:5" ht="20.25" customHeight="1" x14ac:dyDescent="0.15">
      <c r="A408" s="2" t="s">
        <v>543</v>
      </c>
      <c r="B408" s="2" t="s">
        <v>544</v>
      </c>
      <c r="C408" s="2">
        <v>3.19</v>
      </c>
      <c r="D408" s="2">
        <v>4.2519999999999998</v>
      </c>
      <c r="E408" s="2" t="s">
        <v>21</v>
      </c>
    </row>
    <row r="409" spans="1:5" ht="20.25" customHeight="1" x14ac:dyDescent="0.15">
      <c r="A409" s="2" t="s">
        <v>1161</v>
      </c>
      <c r="B409" s="2" t="s">
        <v>1162</v>
      </c>
      <c r="C409" s="2">
        <v>3.19</v>
      </c>
      <c r="D409" s="2">
        <v>1.0973999999999999</v>
      </c>
      <c r="E409" s="2" t="s">
        <v>682</v>
      </c>
    </row>
    <row r="410" spans="1:5" ht="20.25" customHeight="1" x14ac:dyDescent="0.15">
      <c r="A410" s="2" t="s">
        <v>4046</v>
      </c>
      <c r="B410" s="2" t="s">
        <v>4047</v>
      </c>
      <c r="C410" s="2">
        <v>3.19</v>
      </c>
      <c r="D410" s="2">
        <v>1.8552</v>
      </c>
      <c r="E410" s="2" t="s">
        <v>356</v>
      </c>
    </row>
    <row r="411" spans="1:5" ht="20.25" customHeight="1" x14ac:dyDescent="0.15">
      <c r="A411" s="2" t="s">
        <v>2345</v>
      </c>
      <c r="B411" s="2" t="s">
        <v>2346</v>
      </c>
      <c r="C411" s="2">
        <v>3.18</v>
      </c>
      <c r="D411" s="2">
        <v>0.49419999999999997</v>
      </c>
      <c r="E411" s="2" t="s">
        <v>368</v>
      </c>
    </row>
    <row r="412" spans="1:5" ht="20.25" customHeight="1" x14ac:dyDescent="0.15">
      <c r="A412" s="2" t="s">
        <v>2903</v>
      </c>
      <c r="B412" s="2" t="s">
        <v>2904</v>
      </c>
      <c r="C412" s="2">
        <v>3.18</v>
      </c>
      <c r="D412" s="2">
        <v>1.9548000000000001</v>
      </c>
      <c r="E412" s="2" t="s">
        <v>2151</v>
      </c>
    </row>
    <row r="413" spans="1:5" ht="20.25" customHeight="1" x14ac:dyDescent="0.15">
      <c r="A413" s="2" t="s">
        <v>5168</v>
      </c>
      <c r="B413" s="2" t="s">
        <v>5169</v>
      </c>
      <c r="C413" s="2">
        <v>3.1749999999999998</v>
      </c>
      <c r="D413" s="2">
        <v>2.3039999999999998</v>
      </c>
      <c r="E413" s="2" t="s">
        <v>41</v>
      </c>
    </row>
    <row r="414" spans="1:5" ht="20.25" customHeight="1" x14ac:dyDescent="0.15">
      <c r="A414" s="2" t="s">
        <v>2248</v>
      </c>
      <c r="B414" s="2" t="s">
        <v>2249</v>
      </c>
      <c r="C414" s="2">
        <v>3.17</v>
      </c>
      <c r="D414" s="2">
        <v>1.1768000000000001</v>
      </c>
      <c r="E414" s="2" t="s">
        <v>44</v>
      </c>
    </row>
    <row r="415" spans="1:5" ht="20.25" customHeight="1" x14ac:dyDescent="0.15">
      <c r="A415" s="2" t="s">
        <v>2294</v>
      </c>
      <c r="B415" s="2" t="s">
        <v>2295</v>
      </c>
      <c r="C415" s="2">
        <v>3.17</v>
      </c>
      <c r="D415" s="2">
        <v>3.7707000000000002</v>
      </c>
      <c r="E415" s="2" t="s">
        <v>35</v>
      </c>
    </row>
    <row r="416" spans="1:5" ht="20.25" customHeight="1" x14ac:dyDescent="0.15">
      <c r="A416" s="2" t="s">
        <v>4082</v>
      </c>
      <c r="B416" s="2" t="s">
        <v>4083</v>
      </c>
      <c r="C416" s="2">
        <v>3.17</v>
      </c>
      <c r="D416" s="2">
        <v>2.4470999999999998</v>
      </c>
      <c r="E416" s="2" t="s">
        <v>699</v>
      </c>
    </row>
    <row r="417" spans="1:5" ht="20.25" customHeight="1" x14ac:dyDescent="0.15">
      <c r="A417" s="2" t="s">
        <v>2002</v>
      </c>
      <c r="B417" s="2" t="s">
        <v>2003</v>
      </c>
      <c r="C417" s="2">
        <v>3.16</v>
      </c>
      <c r="D417" s="2">
        <v>5.6605999999999996</v>
      </c>
      <c r="E417" s="2" t="s">
        <v>1139</v>
      </c>
    </row>
    <row r="418" spans="1:5" ht="20.25" customHeight="1" x14ac:dyDescent="0.15">
      <c r="A418" s="2" t="s">
        <v>2476</v>
      </c>
      <c r="B418" s="2" t="s">
        <v>2477</v>
      </c>
      <c r="C418" s="2">
        <v>3.16</v>
      </c>
      <c r="D418" s="2">
        <v>1.0244</v>
      </c>
      <c r="E418" s="2" t="s">
        <v>1691</v>
      </c>
    </row>
    <row r="419" spans="1:5" ht="20.25" customHeight="1" x14ac:dyDescent="0.15">
      <c r="A419" s="2" t="s">
        <v>1468</v>
      </c>
      <c r="B419" s="2" t="s">
        <v>1469</v>
      </c>
      <c r="C419" s="2">
        <v>3.15</v>
      </c>
      <c r="D419" s="2">
        <v>1.1457999999999999</v>
      </c>
      <c r="E419" s="2" t="s">
        <v>647</v>
      </c>
    </row>
    <row r="420" spans="1:5" ht="20.25" customHeight="1" x14ac:dyDescent="0.15">
      <c r="A420" s="2" t="s">
        <v>1583</v>
      </c>
      <c r="B420" s="2" t="s">
        <v>1584</v>
      </c>
      <c r="C420" s="2">
        <v>3.15</v>
      </c>
      <c r="D420" s="2">
        <v>1.0042</v>
      </c>
      <c r="E420" s="2" t="s">
        <v>511</v>
      </c>
    </row>
    <row r="421" spans="1:5" ht="20.25" customHeight="1" x14ac:dyDescent="0.15">
      <c r="A421" s="2" t="s">
        <v>1929</v>
      </c>
      <c r="B421" s="2" t="s">
        <v>1930</v>
      </c>
      <c r="C421" s="2">
        <v>3.15</v>
      </c>
      <c r="D421" s="2">
        <v>1.1634</v>
      </c>
      <c r="E421" s="2" t="s">
        <v>176</v>
      </c>
    </row>
    <row r="422" spans="1:5" ht="20.25" customHeight="1" x14ac:dyDescent="0.15">
      <c r="A422" s="2" t="s">
        <v>6354</v>
      </c>
      <c r="B422" s="2" t="s">
        <v>6355</v>
      </c>
      <c r="C422" s="2">
        <v>3.15</v>
      </c>
      <c r="D422" s="2">
        <v>0.97419999999999995</v>
      </c>
      <c r="E422" s="2" t="s">
        <v>784</v>
      </c>
    </row>
    <row r="423" spans="1:5" ht="20.25" customHeight="1" x14ac:dyDescent="0.15">
      <c r="A423" s="2" t="s">
        <v>118</v>
      </c>
      <c r="B423" s="2" t="s">
        <v>119</v>
      </c>
      <c r="C423" s="2">
        <v>3.14</v>
      </c>
      <c r="D423" s="2">
        <v>2.7185000000000001</v>
      </c>
      <c r="E423" s="2" t="s">
        <v>120</v>
      </c>
    </row>
    <row r="424" spans="1:5" ht="20.25" customHeight="1" x14ac:dyDescent="0.15">
      <c r="A424" s="2" t="s">
        <v>1540</v>
      </c>
      <c r="B424" s="2" t="s">
        <v>1541</v>
      </c>
      <c r="C424" s="2">
        <v>3.14</v>
      </c>
      <c r="D424" s="2">
        <v>1.4314</v>
      </c>
      <c r="E424" s="2" t="s">
        <v>713</v>
      </c>
    </row>
    <row r="425" spans="1:5" ht="20.25" customHeight="1" x14ac:dyDescent="0.15">
      <c r="A425" s="2" t="s">
        <v>3427</v>
      </c>
      <c r="B425" s="2" t="s">
        <v>3428</v>
      </c>
      <c r="C425" s="2">
        <v>3.14</v>
      </c>
      <c r="D425" s="2">
        <v>4.6772999999999998</v>
      </c>
      <c r="E425" s="2" t="s">
        <v>1139</v>
      </c>
    </row>
    <row r="426" spans="1:5" ht="20.25" customHeight="1" x14ac:dyDescent="0.15">
      <c r="A426" s="2" t="s">
        <v>6921</v>
      </c>
      <c r="B426" s="2" t="s">
        <v>6922</v>
      </c>
      <c r="C426" s="2">
        <v>3.14</v>
      </c>
      <c r="D426" s="2">
        <v>1.1987000000000001</v>
      </c>
      <c r="E426" s="2" t="s">
        <v>44</v>
      </c>
    </row>
    <row r="427" spans="1:5" ht="20.25" customHeight="1" x14ac:dyDescent="0.15">
      <c r="A427" s="2" t="s">
        <v>7285</v>
      </c>
      <c r="B427" s="2" t="s">
        <v>7286</v>
      </c>
      <c r="C427" s="2">
        <v>3.14</v>
      </c>
      <c r="D427" s="2">
        <v>1.1705000000000001</v>
      </c>
      <c r="E427" s="2" t="s">
        <v>1608</v>
      </c>
    </row>
    <row r="428" spans="1:5" ht="20.25" customHeight="1" x14ac:dyDescent="0.15">
      <c r="A428" s="2" t="s">
        <v>2308</v>
      </c>
      <c r="B428" s="2" t="s">
        <v>2309</v>
      </c>
      <c r="C428" s="2">
        <v>3.125</v>
      </c>
      <c r="D428" s="2">
        <v>15.846399999999999</v>
      </c>
      <c r="E428" s="2" t="s">
        <v>13</v>
      </c>
    </row>
    <row r="429" spans="1:5" ht="20.25" customHeight="1" x14ac:dyDescent="0.15">
      <c r="A429" s="2" t="s">
        <v>976</v>
      </c>
      <c r="B429" s="2" t="s">
        <v>977</v>
      </c>
      <c r="C429" s="2">
        <v>3.12</v>
      </c>
      <c r="D429" s="2">
        <v>1.7064999999999999</v>
      </c>
      <c r="E429" s="2" t="s">
        <v>44</v>
      </c>
    </row>
    <row r="430" spans="1:5" ht="20.25" customHeight="1" x14ac:dyDescent="0.15">
      <c r="A430" s="2" t="s">
        <v>2807</v>
      </c>
      <c r="B430" s="2" t="s">
        <v>2808</v>
      </c>
      <c r="C430" s="2">
        <v>3.12</v>
      </c>
      <c r="D430" s="2">
        <v>1.3904000000000001</v>
      </c>
      <c r="E430" s="2" t="s">
        <v>368</v>
      </c>
    </row>
    <row r="431" spans="1:5" ht="20.25" customHeight="1" x14ac:dyDescent="0.15">
      <c r="A431" s="2" t="s">
        <v>4190</v>
      </c>
      <c r="B431" s="2" t="s">
        <v>4191</v>
      </c>
      <c r="C431" s="2">
        <v>3.1150000000000002</v>
      </c>
      <c r="D431" s="2">
        <v>20.741599999999998</v>
      </c>
      <c r="E431" s="2" t="s">
        <v>35</v>
      </c>
    </row>
    <row r="432" spans="1:5" ht="20.25" customHeight="1" x14ac:dyDescent="0.15">
      <c r="A432" s="2" t="s">
        <v>455</v>
      </c>
      <c r="B432" s="2" t="s">
        <v>456</v>
      </c>
      <c r="C432" s="2">
        <v>3.11</v>
      </c>
      <c r="D432" s="2">
        <v>0.95469999999999999</v>
      </c>
      <c r="E432" s="2" t="s">
        <v>286</v>
      </c>
    </row>
    <row r="433" spans="1:5" ht="20.25" customHeight="1" x14ac:dyDescent="0.15">
      <c r="A433" s="2" t="s">
        <v>1497</v>
      </c>
      <c r="B433" s="2" t="s">
        <v>1498</v>
      </c>
      <c r="C433" s="2">
        <v>3.11</v>
      </c>
      <c r="D433" s="2">
        <v>3.0135000000000001</v>
      </c>
      <c r="E433" s="2" t="s">
        <v>961</v>
      </c>
    </row>
    <row r="434" spans="1:5" ht="20.25" customHeight="1" x14ac:dyDescent="0.15">
      <c r="A434" s="2" t="s">
        <v>2043</v>
      </c>
      <c r="B434" s="2" t="s">
        <v>2044</v>
      </c>
      <c r="C434" s="2">
        <v>3.11</v>
      </c>
      <c r="D434" s="2">
        <v>2.7812000000000001</v>
      </c>
      <c r="E434" s="2" t="s">
        <v>1243</v>
      </c>
    </row>
    <row r="435" spans="1:5" ht="20.25" customHeight="1" x14ac:dyDescent="0.15">
      <c r="A435" s="2" t="s">
        <v>795</v>
      </c>
      <c r="B435" s="2" t="s">
        <v>796</v>
      </c>
      <c r="C435" s="2">
        <v>3.1</v>
      </c>
      <c r="D435" s="2">
        <v>3.6114000000000002</v>
      </c>
      <c r="E435" s="2" t="s">
        <v>231</v>
      </c>
    </row>
    <row r="436" spans="1:5" ht="20.25" customHeight="1" x14ac:dyDescent="0.15">
      <c r="A436" s="2" t="s">
        <v>1945</v>
      </c>
      <c r="B436" s="2" t="s">
        <v>1946</v>
      </c>
      <c r="C436" s="2">
        <v>3.0950000000000002</v>
      </c>
      <c r="D436" s="2">
        <v>2.9447000000000001</v>
      </c>
      <c r="E436" s="2" t="s">
        <v>1011</v>
      </c>
    </row>
    <row r="437" spans="1:5" ht="20.25" customHeight="1" x14ac:dyDescent="0.15">
      <c r="A437" s="2" t="s">
        <v>6422</v>
      </c>
      <c r="B437" s="2" t="s">
        <v>6423</v>
      </c>
      <c r="C437" s="2">
        <v>3.0950000000000002</v>
      </c>
      <c r="D437" s="2">
        <v>1.6880999999999999</v>
      </c>
      <c r="E437" s="2" t="s">
        <v>713</v>
      </c>
    </row>
    <row r="438" spans="1:5" ht="20.25" customHeight="1" x14ac:dyDescent="0.15">
      <c r="A438" s="2" t="s">
        <v>19</v>
      </c>
      <c r="B438" s="2" t="s">
        <v>20</v>
      </c>
      <c r="C438" s="2">
        <v>3.09</v>
      </c>
      <c r="D438" s="2">
        <v>0.76719999999999999</v>
      </c>
      <c r="E438" s="2" t="s">
        <v>21</v>
      </c>
    </row>
    <row r="439" spans="1:5" ht="20.25" customHeight="1" x14ac:dyDescent="0.15">
      <c r="A439" s="2" t="s">
        <v>2488</v>
      </c>
      <c r="B439" s="2" t="s">
        <v>2489</v>
      </c>
      <c r="C439" s="2">
        <v>3.09</v>
      </c>
      <c r="D439" s="2">
        <v>3.7094999999999998</v>
      </c>
      <c r="E439" s="2" t="s">
        <v>13</v>
      </c>
    </row>
    <row r="440" spans="1:5" ht="20.25" customHeight="1" x14ac:dyDescent="0.15">
      <c r="A440" s="2" t="s">
        <v>4905</v>
      </c>
      <c r="B440" s="2" t="s">
        <v>4906</v>
      </c>
      <c r="C440" s="2">
        <v>3.09</v>
      </c>
      <c r="D440" s="2">
        <v>8.1759000000000004</v>
      </c>
      <c r="E440" s="2" t="s">
        <v>44</v>
      </c>
    </row>
    <row r="441" spans="1:5" ht="20.25" customHeight="1" x14ac:dyDescent="0.15">
      <c r="A441" s="2" t="s">
        <v>5852</v>
      </c>
      <c r="B441" s="2" t="s">
        <v>5853</v>
      </c>
      <c r="C441" s="2">
        <v>3.09</v>
      </c>
      <c r="D441" s="2">
        <v>1.5235000000000001</v>
      </c>
      <c r="E441" s="2" t="s">
        <v>2930</v>
      </c>
    </row>
    <row r="442" spans="1:5" ht="20.25" customHeight="1" x14ac:dyDescent="0.15">
      <c r="A442" s="2" t="s">
        <v>7725</v>
      </c>
      <c r="B442" s="2" t="s">
        <v>7726</v>
      </c>
      <c r="C442" s="2">
        <v>3.09</v>
      </c>
      <c r="D442" s="2">
        <v>1.7704</v>
      </c>
      <c r="E442" s="2" t="s">
        <v>371</v>
      </c>
    </row>
    <row r="443" spans="1:5" ht="20.25" customHeight="1" x14ac:dyDescent="0.15">
      <c r="A443" s="2" t="s">
        <v>1727</v>
      </c>
      <c r="B443" s="2" t="s">
        <v>1728</v>
      </c>
      <c r="C443" s="2">
        <v>3.085</v>
      </c>
      <c r="D443" s="2">
        <v>4.7735000000000003</v>
      </c>
      <c r="E443" s="2" t="s">
        <v>41</v>
      </c>
    </row>
    <row r="444" spans="1:5" ht="20.25" customHeight="1" x14ac:dyDescent="0.15">
      <c r="A444" s="2" t="s">
        <v>58</v>
      </c>
      <c r="B444" s="2" t="s">
        <v>59</v>
      </c>
      <c r="C444" s="2">
        <v>3.08</v>
      </c>
      <c r="D444" s="2">
        <v>0.73919999999999997</v>
      </c>
      <c r="E444" s="2" t="s">
        <v>60</v>
      </c>
    </row>
    <row r="445" spans="1:5" ht="20.25" customHeight="1" x14ac:dyDescent="0.15">
      <c r="A445" s="2" t="s">
        <v>836</v>
      </c>
      <c r="B445" s="2" t="s">
        <v>837</v>
      </c>
      <c r="C445" s="2">
        <v>3.08</v>
      </c>
      <c r="D445" s="2">
        <v>8.0596999999999994</v>
      </c>
      <c r="E445" s="2" t="s">
        <v>140</v>
      </c>
    </row>
    <row r="446" spans="1:5" ht="20.25" customHeight="1" x14ac:dyDescent="0.15">
      <c r="A446" s="2" t="s">
        <v>942</v>
      </c>
      <c r="B446" s="2" t="s">
        <v>943</v>
      </c>
      <c r="C446" s="2">
        <v>3.08</v>
      </c>
      <c r="D446" s="2">
        <v>6.8832000000000004</v>
      </c>
      <c r="E446" s="2" t="s">
        <v>214</v>
      </c>
    </row>
    <row r="447" spans="1:5" ht="20.25" customHeight="1" x14ac:dyDescent="0.15">
      <c r="A447" s="2" t="s">
        <v>4470</v>
      </c>
      <c r="B447" s="2" t="s">
        <v>4471</v>
      </c>
      <c r="C447" s="2">
        <v>3.08</v>
      </c>
      <c r="D447" s="2">
        <v>1.0262</v>
      </c>
      <c r="E447" s="2" t="s">
        <v>123</v>
      </c>
    </row>
    <row r="448" spans="1:5" ht="20.25" customHeight="1" x14ac:dyDescent="0.15">
      <c r="A448" s="2" t="s">
        <v>7895</v>
      </c>
      <c r="B448" s="2" t="s">
        <v>7896</v>
      </c>
      <c r="C448" s="2">
        <v>3.08</v>
      </c>
      <c r="D448" s="2">
        <v>6.5296000000000003</v>
      </c>
      <c r="E448" s="2" t="s">
        <v>670</v>
      </c>
    </row>
    <row r="449" spans="1:5" ht="20.25" customHeight="1" x14ac:dyDescent="0.15">
      <c r="A449" s="2" t="s">
        <v>45</v>
      </c>
      <c r="B449" s="2" t="s">
        <v>46</v>
      </c>
      <c r="C449" s="2">
        <v>3.07</v>
      </c>
      <c r="D449" s="2">
        <v>2.2627999999999999</v>
      </c>
      <c r="E449" s="2" t="s">
        <v>35</v>
      </c>
    </row>
    <row r="450" spans="1:5" ht="20.25" customHeight="1" x14ac:dyDescent="0.15">
      <c r="A450" s="2" t="s">
        <v>1024</v>
      </c>
      <c r="B450" s="2" t="s">
        <v>1025</v>
      </c>
      <c r="C450" s="2">
        <v>3.07</v>
      </c>
      <c r="D450" s="2">
        <v>0.43319999999999997</v>
      </c>
      <c r="E450" s="2" t="s">
        <v>265</v>
      </c>
    </row>
    <row r="451" spans="1:5" ht="20.25" customHeight="1" x14ac:dyDescent="0.15">
      <c r="A451" s="2" t="s">
        <v>1137</v>
      </c>
      <c r="B451" s="2" t="s">
        <v>1138</v>
      </c>
      <c r="C451" s="2">
        <v>3.07</v>
      </c>
      <c r="D451" s="2">
        <v>5.8894000000000002</v>
      </c>
      <c r="E451" s="2" t="s">
        <v>1139</v>
      </c>
    </row>
    <row r="452" spans="1:5" ht="20.25" customHeight="1" x14ac:dyDescent="0.15">
      <c r="A452" s="2" t="s">
        <v>4835</v>
      </c>
      <c r="B452" s="2" t="s">
        <v>4836</v>
      </c>
      <c r="C452" s="2">
        <v>3.07</v>
      </c>
      <c r="D452" s="2">
        <v>1.746</v>
      </c>
      <c r="E452" s="2" t="s">
        <v>1243</v>
      </c>
    </row>
    <row r="453" spans="1:5" ht="20.25" customHeight="1" x14ac:dyDescent="0.15">
      <c r="A453" s="2" t="s">
        <v>2045</v>
      </c>
      <c r="B453" s="2" t="s">
        <v>2046</v>
      </c>
      <c r="C453" s="2">
        <v>3.06</v>
      </c>
      <c r="D453" s="2">
        <v>0.66259999999999997</v>
      </c>
      <c r="E453" s="2" t="s">
        <v>1680</v>
      </c>
    </row>
    <row r="454" spans="1:5" ht="20.25" customHeight="1" x14ac:dyDescent="0.15">
      <c r="A454" s="2" t="s">
        <v>3831</v>
      </c>
      <c r="B454" s="2" t="s">
        <v>3832</v>
      </c>
      <c r="C454" s="2">
        <v>3.06</v>
      </c>
      <c r="D454" s="2">
        <v>0.94110000000000005</v>
      </c>
      <c r="E454" s="2" t="s">
        <v>362</v>
      </c>
    </row>
    <row r="455" spans="1:5" ht="20.25" customHeight="1" x14ac:dyDescent="0.15">
      <c r="A455" s="2" t="s">
        <v>4729</v>
      </c>
      <c r="B455" s="2" t="s">
        <v>4730</v>
      </c>
      <c r="C455" s="2">
        <v>3.06</v>
      </c>
      <c r="D455" s="2">
        <v>2.1051000000000002</v>
      </c>
      <c r="E455" s="2" t="s">
        <v>1139</v>
      </c>
    </row>
    <row r="456" spans="1:5" ht="20.25" customHeight="1" x14ac:dyDescent="0.15">
      <c r="A456" s="2" t="s">
        <v>6278</v>
      </c>
      <c r="B456" s="2" t="s">
        <v>6279</v>
      </c>
      <c r="C456" s="2">
        <v>3.06</v>
      </c>
      <c r="D456" s="2">
        <v>3.1829000000000001</v>
      </c>
      <c r="E456" s="2" t="s">
        <v>1420</v>
      </c>
    </row>
    <row r="457" spans="1:5" ht="20.25" customHeight="1" x14ac:dyDescent="0.15">
      <c r="A457" s="2" t="s">
        <v>2012</v>
      </c>
      <c r="B457" s="2" t="s">
        <v>2013</v>
      </c>
      <c r="C457" s="2">
        <v>3.05</v>
      </c>
      <c r="D457" s="2">
        <v>5.5792999999999999</v>
      </c>
      <c r="E457" s="2" t="s">
        <v>396</v>
      </c>
    </row>
    <row r="458" spans="1:5" ht="20.25" customHeight="1" x14ac:dyDescent="0.15">
      <c r="A458" s="2" t="s">
        <v>2083</v>
      </c>
      <c r="B458" s="2" t="s">
        <v>2084</v>
      </c>
      <c r="C458" s="2">
        <v>3.05</v>
      </c>
      <c r="D458" s="2">
        <v>2.8835999999999999</v>
      </c>
      <c r="E458" s="2" t="s">
        <v>506</v>
      </c>
    </row>
    <row r="459" spans="1:5" ht="20.25" customHeight="1" x14ac:dyDescent="0.15">
      <c r="A459" s="2" t="s">
        <v>5623</v>
      </c>
      <c r="B459" s="2" t="s">
        <v>5624</v>
      </c>
      <c r="C459" s="2">
        <v>3.05</v>
      </c>
      <c r="D459" s="2">
        <v>0.99450000000000005</v>
      </c>
      <c r="E459" s="2" t="s">
        <v>3249</v>
      </c>
    </row>
    <row r="460" spans="1:5" ht="20.25" customHeight="1" x14ac:dyDescent="0.15">
      <c r="A460" s="2" t="s">
        <v>1432</v>
      </c>
      <c r="B460" s="2" t="s">
        <v>1433</v>
      </c>
      <c r="C460" s="2">
        <v>3.04</v>
      </c>
      <c r="D460" s="2">
        <v>1.6788000000000001</v>
      </c>
      <c r="E460" s="2" t="s">
        <v>747</v>
      </c>
    </row>
    <row r="461" spans="1:5" ht="20.25" customHeight="1" x14ac:dyDescent="0.15">
      <c r="A461" s="2" t="s">
        <v>1889</v>
      </c>
      <c r="B461" s="2" t="s">
        <v>1890</v>
      </c>
      <c r="C461" s="2">
        <v>3.04</v>
      </c>
      <c r="D461" s="2">
        <v>0.65300000000000002</v>
      </c>
      <c r="E461" s="2" t="s">
        <v>647</v>
      </c>
    </row>
    <row r="462" spans="1:5" ht="20.25" customHeight="1" x14ac:dyDescent="0.15">
      <c r="A462" s="2" t="s">
        <v>3708</v>
      </c>
      <c r="B462" s="2" t="s">
        <v>3709</v>
      </c>
      <c r="C462" s="2">
        <v>3.04</v>
      </c>
      <c r="D462" s="2">
        <v>5.5961999999999996</v>
      </c>
      <c r="E462" s="2" t="s">
        <v>403</v>
      </c>
    </row>
    <row r="463" spans="1:5" ht="20.25" customHeight="1" x14ac:dyDescent="0.15">
      <c r="A463" s="2" t="s">
        <v>547</v>
      </c>
      <c r="B463" s="2" t="s">
        <v>548</v>
      </c>
      <c r="C463" s="2">
        <v>3.03</v>
      </c>
      <c r="D463" s="2">
        <v>2.6398000000000001</v>
      </c>
      <c r="E463" s="2" t="s">
        <v>207</v>
      </c>
    </row>
    <row r="464" spans="1:5" ht="20.25" customHeight="1" x14ac:dyDescent="0.15">
      <c r="A464" s="2" t="s">
        <v>1831</v>
      </c>
      <c r="B464" s="2" t="s">
        <v>1832</v>
      </c>
      <c r="C464" s="2">
        <v>3.03</v>
      </c>
      <c r="D464" s="2">
        <v>0.78510000000000002</v>
      </c>
      <c r="E464" s="2" t="s">
        <v>403</v>
      </c>
    </row>
    <row r="465" spans="1:5" ht="20.25" customHeight="1" x14ac:dyDescent="0.15">
      <c r="A465" s="2" t="s">
        <v>3413</v>
      </c>
      <c r="B465" s="2" t="s">
        <v>3414</v>
      </c>
      <c r="C465" s="2">
        <v>3.03</v>
      </c>
      <c r="D465" s="2">
        <v>1.1878</v>
      </c>
      <c r="E465" s="2" t="s">
        <v>359</v>
      </c>
    </row>
    <row r="466" spans="1:5" ht="20.25" customHeight="1" x14ac:dyDescent="0.15">
      <c r="A466" s="2" t="s">
        <v>3515</v>
      </c>
      <c r="B466" s="2" t="s">
        <v>3516</v>
      </c>
      <c r="C466" s="2">
        <v>3.03</v>
      </c>
      <c r="D466" s="2">
        <v>14.775600000000001</v>
      </c>
      <c r="E466" s="2" t="s">
        <v>1757</v>
      </c>
    </row>
    <row r="467" spans="1:5" ht="20.25" customHeight="1" x14ac:dyDescent="0.15">
      <c r="A467" s="2" t="s">
        <v>4610</v>
      </c>
      <c r="B467" s="2" t="s">
        <v>4611</v>
      </c>
      <c r="C467" s="2">
        <v>3.03</v>
      </c>
      <c r="D467" s="2">
        <v>11.145799999999999</v>
      </c>
      <c r="E467" s="2" t="s">
        <v>1338</v>
      </c>
    </row>
    <row r="468" spans="1:5" ht="20.25" customHeight="1" x14ac:dyDescent="0.15">
      <c r="A468" s="2" t="s">
        <v>5393</v>
      </c>
      <c r="B468" s="2" t="s">
        <v>5394</v>
      </c>
      <c r="C468" s="2">
        <v>3.03</v>
      </c>
      <c r="D468" s="2">
        <v>3.1594000000000002</v>
      </c>
      <c r="E468" s="2" t="s">
        <v>1608</v>
      </c>
    </row>
    <row r="469" spans="1:5" ht="20.25" customHeight="1" x14ac:dyDescent="0.15">
      <c r="A469" s="2" t="s">
        <v>5535</v>
      </c>
      <c r="B469" s="2" t="s">
        <v>5536</v>
      </c>
      <c r="C469" s="2">
        <v>3.03</v>
      </c>
      <c r="D469" s="2">
        <v>1.6838</v>
      </c>
      <c r="E469" s="2" t="s">
        <v>1243</v>
      </c>
    </row>
    <row r="470" spans="1:5" ht="20.25" customHeight="1" x14ac:dyDescent="0.15">
      <c r="A470" s="2" t="s">
        <v>6332</v>
      </c>
      <c r="B470" s="2" t="s">
        <v>6333</v>
      </c>
      <c r="C470" s="2">
        <v>3.0249999999999999</v>
      </c>
      <c r="D470" s="2">
        <v>4.0282999999999998</v>
      </c>
      <c r="E470" s="2" t="s">
        <v>1853</v>
      </c>
    </row>
    <row r="471" spans="1:5" ht="20.25" customHeight="1" x14ac:dyDescent="0.15">
      <c r="A471" s="2" t="s">
        <v>1414</v>
      </c>
      <c r="B471" s="2" t="s">
        <v>1415</v>
      </c>
      <c r="C471" s="2">
        <v>3.02</v>
      </c>
      <c r="D471" s="2">
        <v>1.7437</v>
      </c>
      <c r="E471" s="2" t="s">
        <v>7</v>
      </c>
    </row>
    <row r="472" spans="1:5" ht="20.25" customHeight="1" x14ac:dyDescent="0.15">
      <c r="A472" s="2" t="s">
        <v>4694</v>
      </c>
      <c r="B472" s="2" t="s">
        <v>4695</v>
      </c>
      <c r="C472" s="2">
        <v>3.02</v>
      </c>
      <c r="D472" s="2">
        <v>0.4385</v>
      </c>
      <c r="E472" s="2" t="s">
        <v>310</v>
      </c>
    </row>
    <row r="473" spans="1:5" ht="20.25" customHeight="1" x14ac:dyDescent="0.15">
      <c r="A473" s="2" t="s">
        <v>5647</v>
      </c>
      <c r="B473" s="2" t="s">
        <v>5648</v>
      </c>
      <c r="C473" s="2">
        <v>3.02</v>
      </c>
      <c r="D473" s="2">
        <v>0.99529999999999996</v>
      </c>
      <c r="E473" s="2" t="s">
        <v>1099</v>
      </c>
    </row>
    <row r="474" spans="1:5" ht="20.25" customHeight="1" x14ac:dyDescent="0.15">
      <c r="A474" s="2" t="s">
        <v>7491</v>
      </c>
      <c r="B474" s="2" t="s">
        <v>7492</v>
      </c>
      <c r="C474" s="2">
        <v>3.02</v>
      </c>
      <c r="D474" s="2">
        <v>1.9388000000000001</v>
      </c>
      <c r="E474" s="2" t="s">
        <v>406</v>
      </c>
    </row>
    <row r="475" spans="1:5" ht="20.25" customHeight="1" x14ac:dyDescent="0.15">
      <c r="A475" s="2" t="s">
        <v>8367</v>
      </c>
      <c r="B475" s="2" t="s">
        <v>8368</v>
      </c>
      <c r="C475" s="2">
        <v>3.0150000000000001</v>
      </c>
      <c r="D475" s="2">
        <v>0.71350000000000002</v>
      </c>
      <c r="E475" s="2" t="s">
        <v>1243</v>
      </c>
    </row>
    <row r="476" spans="1:5" ht="20.25" customHeight="1" x14ac:dyDescent="0.15">
      <c r="A476" s="2" t="s">
        <v>11</v>
      </c>
      <c r="B476" s="2" t="s">
        <v>12</v>
      </c>
      <c r="C476" s="2">
        <v>3.01</v>
      </c>
      <c r="D476" s="2">
        <v>1.5585</v>
      </c>
      <c r="E476" s="2" t="s">
        <v>13</v>
      </c>
    </row>
    <row r="477" spans="1:5" ht="20.25" customHeight="1" x14ac:dyDescent="0.15">
      <c r="A477" s="2" t="s">
        <v>673</v>
      </c>
      <c r="B477" s="2" t="s">
        <v>674</v>
      </c>
      <c r="C477" s="2">
        <v>3.01</v>
      </c>
      <c r="D477" s="2">
        <v>2.5779000000000001</v>
      </c>
      <c r="E477" s="2" t="s">
        <v>359</v>
      </c>
    </row>
    <row r="478" spans="1:5" ht="20.25" customHeight="1" x14ac:dyDescent="0.15">
      <c r="A478" s="2" t="s">
        <v>2407</v>
      </c>
      <c r="B478" s="2" t="s">
        <v>2408</v>
      </c>
      <c r="C478" s="2">
        <v>3.01</v>
      </c>
      <c r="D478" s="2">
        <v>5.3644999999999996</v>
      </c>
      <c r="E478" s="2" t="s">
        <v>670</v>
      </c>
    </row>
    <row r="479" spans="1:5" ht="20.25" customHeight="1" x14ac:dyDescent="0.15">
      <c r="A479" s="2" t="s">
        <v>7845</v>
      </c>
      <c r="B479" s="2" t="s">
        <v>7846</v>
      </c>
      <c r="C479" s="2">
        <v>3</v>
      </c>
      <c r="D479" s="2">
        <v>1.486</v>
      </c>
      <c r="E479" s="2" t="s">
        <v>406</v>
      </c>
    </row>
    <row r="480" spans="1:5" ht="20.25" customHeight="1" x14ac:dyDescent="0.15">
      <c r="A480" s="2" t="s">
        <v>4142</v>
      </c>
      <c r="B480" s="2" t="s">
        <v>4143</v>
      </c>
      <c r="C480" s="2">
        <v>2.9950000000000001</v>
      </c>
      <c r="D480" s="2">
        <v>4.5792999999999999</v>
      </c>
      <c r="E480" s="2" t="s">
        <v>630</v>
      </c>
    </row>
    <row r="481" spans="1:5" ht="20.25" customHeight="1" x14ac:dyDescent="0.15">
      <c r="A481" s="2" t="s">
        <v>730</v>
      </c>
      <c r="B481" s="2" t="s">
        <v>731</v>
      </c>
      <c r="C481" s="2">
        <v>2.99</v>
      </c>
      <c r="D481" s="2">
        <v>0.54079999999999995</v>
      </c>
      <c r="E481" s="2" t="s">
        <v>44</v>
      </c>
    </row>
    <row r="482" spans="1:5" ht="20.25" customHeight="1" x14ac:dyDescent="0.15">
      <c r="A482" s="2" t="s">
        <v>1087</v>
      </c>
      <c r="B482" s="2" t="s">
        <v>1088</v>
      </c>
      <c r="C482" s="2">
        <v>2.99</v>
      </c>
      <c r="D482" s="2">
        <v>4.4920999999999998</v>
      </c>
      <c r="E482" s="2" t="s">
        <v>299</v>
      </c>
    </row>
    <row r="483" spans="1:5" ht="20.25" customHeight="1" x14ac:dyDescent="0.15">
      <c r="A483" s="2" t="s">
        <v>2690</v>
      </c>
      <c r="B483" s="2" t="s">
        <v>2691</v>
      </c>
      <c r="C483" s="2">
        <v>2.99</v>
      </c>
      <c r="D483" s="2">
        <v>1.2077</v>
      </c>
      <c r="E483" s="2" t="s">
        <v>1403</v>
      </c>
    </row>
    <row r="484" spans="1:5" ht="20.25" customHeight="1" x14ac:dyDescent="0.15">
      <c r="A484" s="2" t="s">
        <v>3247</v>
      </c>
      <c r="B484" s="2" t="s">
        <v>3248</v>
      </c>
      <c r="C484" s="2">
        <v>2.99</v>
      </c>
      <c r="D484" s="2">
        <v>2.5832999999999999</v>
      </c>
      <c r="E484" s="2" t="s">
        <v>3249</v>
      </c>
    </row>
    <row r="485" spans="1:5" ht="20.25" customHeight="1" x14ac:dyDescent="0.15">
      <c r="A485" s="2" t="s">
        <v>4230</v>
      </c>
      <c r="B485" s="2" t="s">
        <v>4231</v>
      </c>
      <c r="C485" s="2">
        <v>2.99</v>
      </c>
      <c r="D485" s="2">
        <v>4.9166999999999996</v>
      </c>
      <c r="E485" s="2" t="s">
        <v>1338</v>
      </c>
    </row>
    <row r="486" spans="1:5" ht="20.25" customHeight="1" x14ac:dyDescent="0.15">
      <c r="A486" s="2" t="s">
        <v>4751</v>
      </c>
      <c r="B486" s="2" t="s">
        <v>4752</v>
      </c>
      <c r="C486" s="2">
        <v>2.99</v>
      </c>
      <c r="D486" s="2">
        <v>1.5368999999999999</v>
      </c>
      <c r="E486" s="2" t="s">
        <v>374</v>
      </c>
    </row>
    <row r="487" spans="1:5" ht="20.25" customHeight="1" x14ac:dyDescent="0.15">
      <c r="A487" s="2" t="s">
        <v>7051</v>
      </c>
      <c r="B487" s="2" t="s">
        <v>7052</v>
      </c>
      <c r="C487" s="2">
        <v>2.9849999999999999</v>
      </c>
      <c r="D487" s="2">
        <v>2.0381999999999998</v>
      </c>
      <c r="E487" s="2" t="s">
        <v>1997</v>
      </c>
    </row>
    <row r="488" spans="1:5" ht="20.25" customHeight="1" x14ac:dyDescent="0.15">
      <c r="A488" s="2" t="s">
        <v>1423</v>
      </c>
      <c r="B488" s="2" t="s">
        <v>1424</v>
      </c>
      <c r="C488" s="2">
        <v>2.98</v>
      </c>
      <c r="D488" s="2">
        <v>1.6240000000000001</v>
      </c>
      <c r="E488" s="2" t="s">
        <v>1425</v>
      </c>
    </row>
    <row r="489" spans="1:5" ht="20.25" customHeight="1" x14ac:dyDescent="0.15">
      <c r="A489" s="2" t="s">
        <v>2055</v>
      </c>
      <c r="B489" s="2" t="s">
        <v>2056</v>
      </c>
      <c r="C489" s="2">
        <v>2.98</v>
      </c>
      <c r="D489" s="2">
        <v>2.8525999999999998</v>
      </c>
      <c r="E489" s="2" t="s">
        <v>106</v>
      </c>
    </row>
    <row r="490" spans="1:5" ht="20.25" customHeight="1" x14ac:dyDescent="0.15">
      <c r="A490" s="2" t="s">
        <v>3591</v>
      </c>
      <c r="B490" s="2" t="s">
        <v>3592</v>
      </c>
      <c r="C490" s="2">
        <v>2.98</v>
      </c>
      <c r="D490" s="2">
        <v>5.1938000000000004</v>
      </c>
      <c r="E490" s="2" t="s">
        <v>299</v>
      </c>
    </row>
    <row r="491" spans="1:5" ht="20.25" customHeight="1" x14ac:dyDescent="0.15">
      <c r="A491" s="2" t="s">
        <v>4212</v>
      </c>
      <c r="B491" s="2" t="s">
        <v>4213</v>
      </c>
      <c r="C491" s="2">
        <v>2.98</v>
      </c>
      <c r="D491" s="2">
        <v>0.5383</v>
      </c>
      <c r="E491" s="2" t="s">
        <v>1680</v>
      </c>
    </row>
    <row r="492" spans="1:5" ht="20.25" customHeight="1" x14ac:dyDescent="0.15">
      <c r="A492" s="2" t="s">
        <v>5605</v>
      </c>
      <c r="B492" s="2" t="s">
        <v>5606</v>
      </c>
      <c r="C492" s="2">
        <v>2.98</v>
      </c>
      <c r="D492" s="2">
        <v>6.2511999999999999</v>
      </c>
      <c r="E492" s="2" t="s">
        <v>1853</v>
      </c>
    </row>
    <row r="493" spans="1:5" ht="20.25" customHeight="1" x14ac:dyDescent="0.15">
      <c r="A493" s="2" t="s">
        <v>6935</v>
      </c>
      <c r="B493" s="2" t="s">
        <v>6936</v>
      </c>
      <c r="C493" s="2">
        <v>2.98</v>
      </c>
      <c r="D493" s="2">
        <v>0.88600000000000001</v>
      </c>
      <c r="E493" s="2" t="s">
        <v>1774</v>
      </c>
    </row>
    <row r="494" spans="1:5" ht="20.25" customHeight="1" x14ac:dyDescent="0.15">
      <c r="A494" s="2" t="s">
        <v>1035</v>
      </c>
      <c r="B494" s="2" t="s">
        <v>1036</v>
      </c>
      <c r="C494" s="2">
        <v>2.97</v>
      </c>
      <c r="D494" s="2">
        <v>5.0675999999999997</v>
      </c>
      <c r="E494" s="2" t="s">
        <v>185</v>
      </c>
    </row>
    <row r="495" spans="1:5" ht="20.25" customHeight="1" x14ac:dyDescent="0.15">
      <c r="A495" s="2" t="s">
        <v>2955</v>
      </c>
      <c r="B495" s="2" t="s">
        <v>2956</v>
      </c>
      <c r="C495" s="2">
        <v>2.97</v>
      </c>
      <c r="D495" s="2">
        <v>0.99629999999999996</v>
      </c>
      <c r="E495" s="2" t="s">
        <v>201</v>
      </c>
    </row>
    <row r="496" spans="1:5" ht="20.25" customHeight="1" x14ac:dyDescent="0.15">
      <c r="A496" s="2" t="s">
        <v>5940</v>
      </c>
      <c r="B496" s="2" t="s">
        <v>5941</v>
      </c>
      <c r="C496" s="2">
        <v>2.97</v>
      </c>
      <c r="D496" s="2">
        <v>0.9304</v>
      </c>
      <c r="E496" s="2" t="s">
        <v>664</v>
      </c>
    </row>
    <row r="497" spans="1:5" ht="20.25" customHeight="1" x14ac:dyDescent="0.15">
      <c r="A497" s="2" t="s">
        <v>7389</v>
      </c>
      <c r="B497" s="2" t="s">
        <v>7390</v>
      </c>
      <c r="C497" s="2">
        <v>2.97</v>
      </c>
      <c r="D497" s="2">
        <v>2.6690999999999998</v>
      </c>
      <c r="E497" s="2" t="s">
        <v>1275</v>
      </c>
    </row>
    <row r="498" spans="1:5" ht="20.25" customHeight="1" x14ac:dyDescent="0.15">
      <c r="A498" s="2" t="s">
        <v>891</v>
      </c>
      <c r="B498" s="2" t="s">
        <v>892</v>
      </c>
      <c r="C498" s="2">
        <v>2.96</v>
      </c>
      <c r="D498" s="2">
        <v>0.9143</v>
      </c>
      <c r="E498" s="2" t="s">
        <v>418</v>
      </c>
    </row>
    <row r="499" spans="1:5" ht="20.25" customHeight="1" x14ac:dyDescent="0.15">
      <c r="A499" s="2" t="s">
        <v>966</v>
      </c>
      <c r="B499" s="2" t="s">
        <v>967</v>
      </c>
      <c r="C499" s="2">
        <v>2.96</v>
      </c>
      <c r="D499" s="2">
        <v>5.6121999999999996</v>
      </c>
      <c r="E499" s="2" t="s">
        <v>21</v>
      </c>
    </row>
    <row r="500" spans="1:5" ht="20.25" customHeight="1" x14ac:dyDescent="0.15">
      <c r="A500" s="2" t="s">
        <v>1039</v>
      </c>
      <c r="B500" s="2" t="s">
        <v>1040</v>
      </c>
      <c r="C500" s="2">
        <v>2.96</v>
      </c>
      <c r="D500" s="2">
        <v>0.60870000000000002</v>
      </c>
      <c r="E500" s="2" t="s">
        <v>1041</v>
      </c>
    </row>
    <row r="501" spans="1:5" ht="20.25" customHeight="1" x14ac:dyDescent="0.15">
      <c r="A501" s="2" t="s">
        <v>6562</v>
      </c>
      <c r="B501" s="2" t="s">
        <v>6563</v>
      </c>
      <c r="C501" s="2">
        <v>2.96</v>
      </c>
      <c r="D501" s="2">
        <v>1.4787999999999999</v>
      </c>
      <c r="E501" s="2" t="s">
        <v>1403</v>
      </c>
    </row>
    <row r="502" spans="1:5" ht="20.25" customHeight="1" x14ac:dyDescent="0.15">
      <c r="A502" s="2" t="s">
        <v>104</v>
      </c>
      <c r="B502" s="2" t="s">
        <v>105</v>
      </c>
      <c r="C502" s="2">
        <v>2.95</v>
      </c>
      <c r="D502" s="2">
        <v>1.6884999999999999</v>
      </c>
      <c r="E502" s="2" t="s">
        <v>106</v>
      </c>
    </row>
    <row r="503" spans="1:5" ht="20.25" customHeight="1" x14ac:dyDescent="0.15">
      <c r="A503" s="2" t="s">
        <v>1001</v>
      </c>
      <c r="B503" s="2" t="s">
        <v>1002</v>
      </c>
      <c r="C503" s="2">
        <v>2.95</v>
      </c>
      <c r="D503" s="2">
        <v>7.0490000000000004</v>
      </c>
      <c r="E503" s="2" t="s">
        <v>185</v>
      </c>
    </row>
    <row r="504" spans="1:5" ht="20.25" customHeight="1" x14ac:dyDescent="0.15">
      <c r="A504" s="2" t="s">
        <v>2115</v>
      </c>
      <c r="B504" s="2" t="s">
        <v>2116</v>
      </c>
      <c r="C504" s="2">
        <v>2.95</v>
      </c>
      <c r="D504" s="2">
        <v>1.9718</v>
      </c>
      <c r="E504" s="2" t="s">
        <v>21</v>
      </c>
    </row>
    <row r="505" spans="1:5" ht="20.25" customHeight="1" x14ac:dyDescent="0.15">
      <c r="A505" s="2" t="s">
        <v>2282</v>
      </c>
      <c r="B505" s="2" t="s">
        <v>2283</v>
      </c>
      <c r="C505" s="2">
        <v>2.95</v>
      </c>
      <c r="D505" s="2">
        <v>2.4258999999999999</v>
      </c>
      <c r="E505" s="2" t="s">
        <v>265</v>
      </c>
    </row>
    <row r="506" spans="1:5" ht="20.25" customHeight="1" x14ac:dyDescent="0.15">
      <c r="A506" s="2" t="s">
        <v>3270</v>
      </c>
      <c r="B506" s="2" t="s">
        <v>3271</v>
      </c>
      <c r="C506" s="2">
        <v>2.95</v>
      </c>
      <c r="D506" s="2">
        <v>7.1531000000000002</v>
      </c>
      <c r="E506" s="2" t="s">
        <v>1139</v>
      </c>
    </row>
    <row r="507" spans="1:5" ht="20.25" customHeight="1" x14ac:dyDescent="0.15">
      <c r="A507" s="2" t="s">
        <v>3573</v>
      </c>
      <c r="B507" s="2" t="s">
        <v>3574</v>
      </c>
      <c r="C507" s="2">
        <v>2.95</v>
      </c>
      <c r="D507" s="2">
        <v>4.7628000000000004</v>
      </c>
      <c r="E507" s="2" t="s">
        <v>371</v>
      </c>
    </row>
    <row r="508" spans="1:5" ht="20.25" customHeight="1" x14ac:dyDescent="0.15">
      <c r="A508" s="2" t="s">
        <v>2268</v>
      </c>
      <c r="B508" s="2" t="s">
        <v>2269</v>
      </c>
      <c r="C508" s="2">
        <v>2.9449999999999998</v>
      </c>
      <c r="D508" s="2">
        <v>2.0379</v>
      </c>
      <c r="E508" s="2" t="s">
        <v>359</v>
      </c>
    </row>
    <row r="509" spans="1:5" ht="20.25" customHeight="1" x14ac:dyDescent="0.15">
      <c r="A509" s="2" t="s">
        <v>2679</v>
      </c>
      <c r="B509" s="2" t="s">
        <v>2680</v>
      </c>
      <c r="C509" s="2">
        <v>2.94</v>
      </c>
      <c r="D509" s="2">
        <v>15.468</v>
      </c>
      <c r="E509" s="2" t="s">
        <v>2681</v>
      </c>
    </row>
    <row r="510" spans="1:5" ht="20.25" customHeight="1" x14ac:dyDescent="0.15">
      <c r="A510" s="2" t="s">
        <v>4755</v>
      </c>
      <c r="B510" s="2" t="s">
        <v>4756</v>
      </c>
      <c r="C510" s="2">
        <v>2.94</v>
      </c>
      <c r="D510" s="2">
        <v>1.47</v>
      </c>
      <c r="E510" s="2" t="s">
        <v>4127</v>
      </c>
    </row>
    <row r="511" spans="1:5" ht="20.25" customHeight="1" x14ac:dyDescent="0.15">
      <c r="A511" s="2" t="s">
        <v>693</v>
      </c>
      <c r="B511" s="2" t="s">
        <v>694</v>
      </c>
      <c r="C511" s="2">
        <v>2.93</v>
      </c>
      <c r="D511" s="2">
        <v>42.338099999999997</v>
      </c>
      <c r="E511" s="2" t="s">
        <v>371</v>
      </c>
    </row>
    <row r="512" spans="1:5" ht="20.25" customHeight="1" x14ac:dyDescent="0.15">
      <c r="A512" s="2" t="s">
        <v>1095</v>
      </c>
      <c r="B512" s="2" t="s">
        <v>1096</v>
      </c>
      <c r="C512" s="2">
        <v>2.93</v>
      </c>
      <c r="D512" s="2">
        <v>0.98829999999999996</v>
      </c>
      <c r="E512" s="2" t="s">
        <v>396</v>
      </c>
    </row>
    <row r="513" spans="1:5" ht="20.25" customHeight="1" x14ac:dyDescent="0.15">
      <c r="A513" s="2" t="s">
        <v>1622</v>
      </c>
      <c r="B513" s="2" t="s">
        <v>1623</v>
      </c>
      <c r="C513" s="2">
        <v>2.93</v>
      </c>
      <c r="D513" s="2">
        <v>1.7411000000000001</v>
      </c>
      <c r="E513" s="2" t="s">
        <v>750</v>
      </c>
    </row>
    <row r="514" spans="1:5" ht="20.25" customHeight="1" x14ac:dyDescent="0.15">
      <c r="A514" s="2" t="s">
        <v>2389</v>
      </c>
      <c r="B514" s="2" t="s">
        <v>2390</v>
      </c>
      <c r="C514" s="2">
        <v>2.93</v>
      </c>
      <c r="D514" s="2">
        <v>11.8826</v>
      </c>
      <c r="E514" s="2" t="s">
        <v>385</v>
      </c>
    </row>
    <row r="515" spans="1:5" ht="20.25" customHeight="1" x14ac:dyDescent="0.15">
      <c r="A515" s="2" t="s">
        <v>2741</v>
      </c>
      <c r="B515" s="2" t="s">
        <v>2742</v>
      </c>
      <c r="C515" s="2">
        <v>2.93</v>
      </c>
      <c r="D515" s="2">
        <v>1.3133999999999999</v>
      </c>
      <c r="E515" s="2" t="s">
        <v>257</v>
      </c>
    </row>
    <row r="516" spans="1:5" ht="20.25" customHeight="1" x14ac:dyDescent="0.15">
      <c r="A516" s="2" t="s">
        <v>2793</v>
      </c>
      <c r="B516" s="2" t="s">
        <v>2794</v>
      </c>
      <c r="C516" s="2">
        <v>2.9249999999999998</v>
      </c>
      <c r="D516" s="2">
        <v>2.5352999999999999</v>
      </c>
      <c r="E516" s="2" t="s">
        <v>630</v>
      </c>
    </row>
    <row r="517" spans="1:5" ht="20.25" customHeight="1" x14ac:dyDescent="0.15">
      <c r="A517" s="2" t="s">
        <v>6694</v>
      </c>
      <c r="B517" s="2" t="s">
        <v>6695</v>
      </c>
      <c r="C517" s="2">
        <v>2.9249999999999998</v>
      </c>
      <c r="D517" s="2">
        <v>0.73329999999999995</v>
      </c>
      <c r="E517" s="2" t="s">
        <v>374</v>
      </c>
    </row>
    <row r="518" spans="1:5" ht="20.25" customHeight="1" x14ac:dyDescent="0.15">
      <c r="A518" s="2" t="s">
        <v>5693</v>
      </c>
      <c r="B518" s="2" t="s">
        <v>5694</v>
      </c>
      <c r="C518" s="2">
        <v>2.92</v>
      </c>
      <c r="D518" s="2">
        <v>3.1440000000000001</v>
      </c>
      <c r="E518" s="2" t="s">
        <v>371</v>
      </c>
    </row>
    <row r="519" spans="1:5" ht="20.25" customHeight="1" x14ac:dyDescent="0.15">
      <c r="A519" s="2" t="s">
        <v>722</v>
      </c>
      <c r="B519" s="2" t="s">
        <v>723</v>
      </c>
      <c r="C519" s="2">
        <v>2.91</v>
      </c>
      <c r="D519" s="2">
        <v>3.9156</v>
      </c>
      <c r="E519" s="2" t="s">
        <v>724</v>
      </c>
    </row>
    <row r="520" spans="1:5" ht="20.25" customHeight="1" x14ac:dyDescent="0.15">
      <c r="A520" s="2" t="s">
        <v>1959</v>
      </c>
      <c r="B520" s="2" t="s">
        <v>1960</v>
      </c>
      <c r="C520" s="2">
        <v>2.91</v>
      </c>
      <c r="D520" s="2">
        <v>2.2570999999999999</v>
      </c>
      <c r="E520" s="2" t="s">
        <v>741</v>
      </c>
    </row>
    <row r="521" spans="1:5" ht="20.25" customHeight="1" x14ac:dyDescent="0.15">
      <c r="A521" s="2" t="s">
        <v>2668</v>
      </c>
      <c r="B521" s="2" t="s">
        <v>2669</v>
      </c>
      <c r="C521" s="2">
        <v>2.91</v>
      </c>
      <c r="D521" s="2">
        <v>11.1549</v>
      </c>
      <c r="E521" s="2" t="s">
        <v>299</v>
      </c>
    </row>
    <row r="522" spans="1:5" ht="20.25" customHeight="1" x14ac:dyDescent="0.15">
      <c r="A522" s="2" t="s">
        <v>4090</v>
      </c>
      <c r="B522" s="2" t="s">
        <v>4091</v>
      </c>
      <c r="C522" s="2">
        <v>2.91</v>
      </c>
      <c r="D522" s="2">
        <v>1.1831</v>
      </c>
      <c r="E522" s="2" t="s">
        <v>41</v>
      </c>
    </row>
    <row r="523" spans="1:5" ht="20.25" customHeight="1" x14ac:dyDescent="0.15">
      <c r="A523" s="2" t="s">
        <v>7469</v>
      </c>
      <c r="B523" s="2" t="s">
        <v>7470</v>
      </c>
      <c r="C523" s="2">
        <v>2.91</v>
      </c>
      <c r="D523" s="2">
        <v>1.3996999999999999</v>
      </c>
      <c r="E523" s="2" t="s">
        <v>140</v>
      </c>
    </row>
    <row r="524" spans="1:5" ht="20.25" customHeight="1" x14ac:dyDescent="0.15">
      <c r="A524" s="2" t="s">
        <v>5184</v>
      </c>
      <c r="B524" s="2" t="s">
        <v>5185</v>
      </c>
      <c r="C524" s="2">
        <v>2.9049999999999998</v>
      </c>
      <c r="D524" s="2">
        <v>6.8075000000000001</v>
      </c>
      <c r="E524" s="2" t="s">
        <v>1041</v>
      </c>
    </row>
    <row r="525" spans="1:5" ht="20.25" customHeight="1" x14ac:dyDescent="0.15">
      <c r="A525" s="2" t="s">
        <v>438</v>
      </c>
      <c r="B525" s="2" t="s">
        <v>439</v>
      </c>
      <c r="C525" s="2">
        <v>2.9</v>
      </c>
      <c r="D525" s="2">
        <v>5.0700000000000002E-2</v>
      </c>
      <c r="E525" s="2" t="s">
        <v>134</v>
      </c>
    </row>
    <row r="526" spans="1:5" ht="20.25" customHeight="1" x14ac:dyDescent="0.15">
      <c r="A526" s="2" t="s">
        <v>812</v>
      </c>
      <c r="B526" s="2" t="s">
        <v>813</v>
      </c>
      <c r="C526" s="2">
        <v>2.9</v>
      </c>
      <c r="D526" s="2">
        <v>3.0152999999999999</v>
      </c>
      <c r="E526" s="2" t="s">
        <v>741</v>
      </c>
    </row>
    <row r="527" spans="1:5" ht="20.25" customHeight="1" x14ac:dyDescent="0.15">
      <c r="A527" s="2" t="s">
        <v>1704</v>
      </c>
      <c r="B527" s="2" t="s">
        <v>1705</v>
      </c>
      <c r="C527" s="2">
        <v>2.9</v>
      </c>
      <c r="D527" s="2">
        <v>8.1384000000000007</v>
      </c>
      <c r="E527" s="2" t="s">
        <v>596</v>
      </c>
    </row>
    <row r="528" spans="1:5" ht="20.25" customHeight="1" x14ac:dyDescent="0.15">
      <c r="A528" s="2" t="s">
        <v>2401</v>
      </c>
      <c r="B528" s="2" t="s">
        <v>2402</v>
      </c>
      <c r="C528" s="2">
        <v>2.9</v>
      </c>
      <c r="D528" s="2">
        <v>1.8759999999999999</v>
      </c>
      <c r="E528" s="2" t="s">
        <v>140</v>
      </c>
    </row>
    <row r="529" spans="1:5" ht="20.25" customHeight="1" x14ac:dyDescent="0.15">
      <c r="A529" s="2" t="s">
        <v>2743</v>
      </c>
      <c r="B529" s="2" t="s">
        <v>2744</v>
      </c>
      <c r="C529" s="2">
        <v>2.9</v>
      </c>
      <c r="D529" s="2">
        <v>0.58899999999999997</v>
      </c>
      <c r="E529" s="2" t="s">
        <v>140</v>
      </c>
    </row>
    <row r="530" spans="1:5" ht="20.25" customHeight="1" x14ac:dyDescent="0.15">
      <c r="A530" s="2" t="s">
        <v>2763</v>
      </c>
      <c r="B530" s="2" t="s">
        <v>2764</v>
      </c>
      <c r="C530" s="2">
        <v>2.9</v>
      </c>
      <c r="D530" s="2">
        <v>9.7232000000000003</v>
      </c>
      <c r="E530" s="2" t="s">
        <v>245</v>
      </c>
    </row>
    <row r="531" spans="1:5" ht="20.25" customHeight="1" x14ac:dyDescent="0.15">
      <c r="A531" s="2" t="s">
        <v>3340</v>
      </c>
      <c r="B531" s="2" t="s">
        <v>3341</v>
      </c>
      <c r="C531" s="2">
        <v>2.895</v>
      </c>
      <c r="D531" s="2">
        <v>11.603199999999999</v>
      </c>
      <c r="E531" s="2" t="s">
        <v>1853</v>
      </c>
    </row>
    <row r="532" spans="1:5" ht="20.25" customHeight="1" x14ac:dyDescent="0.15">
      <c r="A532" s="2" t="s">
        <v>381</v>
      </c>
      <c r="B532" s="2" t="s">
        <v>382</v>
      </c>
      <c r="C532" s="2">
        <v>2.89</v>
      </c>
      <c r="D532" s="2">
        <v>0.8145</v>
      </c>
      <c r="E532" s="2" t="s">
        <v>89</v>
      </c>
    </row>
    <row r="533" spans="1:5" ht="20.25" customHeight="1" x14ac:dyDescent="0.15">
      <c r="A533" s="2" t="s">
        <v>496</v>
      </c>
      <c r="B533" s="2" t="s">
        <v>497</v>
      </c>
      <c r="C533" s="2">
        <v>2.89</v>
      </c>
      <c r="D533" s="2">
        <v>7.7375999999999996</v>
      </c>
      <c r="E533" s="2" t="s">
        <v>498</v>
      </c>
    </row>
    <row r="534" spans="1:5" ht="20.25" customHeight="1" x14ac:dyDescent="0.15">
      <c r="A534" s="2" t="s">
        <v>1676</v>
      </c>
      <c r="B534" s="2" t="s">
        <v>1677</v>
      </c>
      <c r="C534" s="2">
        <v>2.89</v>
      </c>
      <c r="D534" s="2">
        <v>7.0434999999999999</v>
      </c>
      <c r="E534" s="2" t="s">
        <v>568</v>
      </c>
    </row>
    <row r="535" spans="1:5" ht="20.25" customHeight="1" x14ac:dyDescent="0.15">
      <c r="A535" s="2" t="s">
        <v>970</v>
      </c>
      <c r="B535" s="2" t="s">
        <v>971</v>
      </c>
      <c r="C535" s="2">
        <v>2.88</v>
      </c>
      <c r="D535" s="2">
        <v>0.47170000000000001</v>
      </c>
      <c r="E535" s="2" t="s">
        <v>286</v>
      </c>
    </row>
    <row r="536" spans="1:5" ht="20.25" customHeight="1" x14ac:dyDescent="0.15">
      <c r="A536" s="2" t="s">
        <v>987</v>
      </c>
      <c r="B536" s="2" t="s">
        <v>988</v>
      </c>
      <c r="C536" s="2">
        <v>2.88</v>
      </c>
      <c r="D536" s="2">
        <v>0.61370000000000002</v>
      </c>
      <c r="E536" s="2" t="s">
        <v>13</v>
      </c>
    </row>
    <row r="537" spans="1:5" ht="20.25" customHeight="1" x14ac:dyDescent="0.15">
      <c r="A537" s="2" t="s">
        <v>2139</v>
      </c>
      <c r="B537" s="2" t="s">
        <v>2140</v>
      </c>
      <c r="C537" s="2">
        <v>2.88</v>
      </c>
      <c r="D537" s="2">
        <v>27.264299999999999</v>
      </c>
      <c r="E537" s="2" t="s">
        <v>1420</v>
      </c>
    </row>
    <row r="538" spans="1:5" ht="20.25" customHeight="1" x14ac:dyDescent="0.15">
      <c r="A538" s="2" t="s">
        <v>6114</v>
      </c>
      <c r="B538" s="2" t="s">
        <v>6115</v>
      </c>
      <c r="C538" s="2">
        <v>2.88</v>
      </c>
      <c r="D538" s="2">
        <v>1.5101</v>
      </c>
      <c r="E538" s="2" t="s">
        <v>1139</v>
      </c>
    </row>
    <row r="539" spans="1:5" ht="20.25" customHeight="1" x14ac:dyDescent="0.15">
      <c r="A539" s="2" t="s">
        <v>7635</v>
      </c>
      <c r="B539" s="2" t="s">
        <v>7636</v>
      </c>
      <c r="C539" s="2">
        <v>2.88</v>
      </c>
      <c r="D539" s="2">
        <v>26.847999999999999</v>
      </c>
      <c r="E539" s="2" t="s">
        <v>827</v>
      </c>
    </row>
    <row r="540" spans="1:5" ht="20.25" customHeight="1" x14ac:dyDescent="0.15">
      <c r="A540" s="2" t="s">
        <v>755</v>
      </c>
      <c r="B540" s="2" t="s">
        <v>756</v>
      </c>
      <c r="C540" s="2">
        <v>2.87</v>
      </c>
      <c r="D540" s="2">
        <v>1.0345</v>
      </c>
      <c r="E540" s="2" t="s">
        <v>71</v>
      </c>
    </row>
    <row r="541" spans="1:5" ht="20.25" customHeight="1" x14ac:dyDescent="0.15">
      <c r="A541" s="2" t="s">
        <v>3531</v>
      </c>
      <c r="B541" s="2" t="s">
        <v>3532</v>
      </c>
      <c r="C541" s="2">
        <v>2.87</v>
      </c>
      <c r="D541" s="2">
        <v>2.6141000000000001</v>
      </c>
      <c r="E541" s="2" t="s">
        <v>1436</v>
      </c>
    </row>
    <row r="542" spans="1:5" ht="20.25" customHeight="1" x14ac:dyDescent="0.15">
      <c r="A542" s="2" t="s">
        <v>4380</v>
      </c>
      <c r="B542" s="2" t="s">
        <v>4381</v>
      </c>
      <c r="C542" s="2">
        <v>2.87</v>
      </c>
      <c r="D542" s="2">
        <v>3.7578</v>
      </c>
      <c r="E542" s="2" t="s">
        <v>633</v>
      </c>
    </row>
    <row r="543" spans="1:5" ht="20.25" customHeight="1" x14ac:dyDescent="0.15">
      <c r="A543" s="2" t="s">
        <v>7301</v>
      </c>
      <c r="B543" s="2" t="s">
        <v>7302</v>
      </c>
      <c r="C543" s="2">
        <v>2.87</v>
      </c>
      <c r="D543" s="2">
        <v>7.0003000000000002</v>
      </c>
      <c r="E543" s="2" t="s">
        <v>1173</v>
      </c>
    </row>
    <row r="544" spans="1:5" ht="20.25" customHeight="1" x14ac:dyDescent="0.15">
      <c r="A544" s="2" t="s">
        <v>1552</v>
      </c>
      <c r="B544" s="2" t="s">
        <v>1553</v>
      </c>
      <c r="C544" s="2">
        <v>2.86</v>
      </c>
      <c r="D544" s="2">
        <v>0.82930000000000004</v>
      </c>
      <c r="E544" s="2" t="s">
        <v>207</v>
      </c>
    </row>
    <row r="545" spans="1:5" ht="20.25" customHeight="1" x14ac:dyDescent="0.15">
      <c r="A545" s="2" t="s">
        <v>1915</v>
      </c>
      <c r="B545" s="2" t="s">
        <v>1916</v>
      </c>
      <c r="C545" s="2">
        <v>2.86</v>
      </c>
      <c r="D545" s="2">
        <v>0.41020000000000001</v>
      </c>
      <c r="E545" s="2" t="s">
        <v>44</v>
      </c>
    </row>
    <row r="546" spans="1:5" ht="20.25" customHeight="1" x14ac:dyDescent="0.15">
      <c r="A546" s="2" t="s">
        <v>5597</v>
      </c>
      <c r="B546" s="2" t="s">
        <v>5598</v>
      </c>
      <c r="C546" s="2">
        <v>2.86</v>
      </c>
      <c r="D546" s="2">
        <v>2.8327</v>
      </c>
      <c r="E546" s="2" t="s">
        <v>1608</v>
      </c>
    </row>
    <row r="547" spans="1:5" ht="20.25" customHeight="1" x14ac:dyDescent="0.15">
      <c r="A547" s="2" t="s">
        <v>7169</v>
      </c>
      <c r="B547" s="2" t="s">
        <v>7170</v>
      </c>
      <c r="C547" s="2">
        <v>2.86</v>
      </c>
      <c r="D547" s="2">
        <v>2.9096000000000002</v>
      </c>
      <c r="E547" s="2" t="s">
        <v>690</v>
      </c>
    </row>
    <row r="548" spans="1:5" ht="20.25" customHeight="1" x14ac:dyDescent="0.15">
      <c r="A548" s="2" t="s">
        <v>1334</v>
      </c>
      <c r="B548" s="2" t="s">
        <v>1335</v>
      </c>
      <c r="C548" s="2">
        <v>2.84</v>
      </c>
      <c r="D548" s="2">
        <v>0.78439999999999999</v>
      </c>
      <c r="E548" s="2" t="s">
        <v>137</v>
      </c>
    </row>
    <row r="549" spans="1:5" ht="20.25" customHeight="1" x14ac:dyDescent="0.15">
      <c r="A549" s="2" t="s">
        <v>1823</v>
      </c>
      <c r="B549" s="2" t="s">
        <v>1824</v>
      </c>
      <c r="C549" s="2">
        <v>2.84</v>
      </c>
      <c r="D549" s="2">
        <v>3.5226999999999999</v>
      </c>
      <c r="E549" s="2" t="s">
        <v>265</v>
      </c>
    </row>
    <row r="550" spans="1:5" ht="20.25" customHeight="1" x14ac:dyDescent="0.15">
      <c r="A550" s="2" t="s">
        <v>2983</v>
      </c>
      <c r="B550" s="2" t="s">
        <v>2984</v>
      </c>
      <c r="C550" s="2">
        <v>2.84</v>
      </c>
      <c r="D550" s="2">
        <v>2.9323999999999999</v>
      </c>
      <c r="E550" s="2" t="s">
        <v>391</v>
      </c>
    </row>
    <row r="551" spans="1:5" ht="20.25" customHeight="1" x14ac:dyDescent="0.15">
      <c r="A551" s="2" t="s">
        <v>3809</v>
      </c>
      <c r="B551" s="2" t="s">
        <v>3810</v>
      </c>
      <c r="C551" s="2">
        <v>2.84</v>
      </c>
      <c r="D551" s="2">
        <v>1.6419999999999999</v>
      </c>
      <c r="E551" s="2" t="s">
        <v>690</v>
      </c>
    </row>
    <row r="552" spans="1:5" ht="20.25" customHeight="1" x14ac:dyDescent="0.15">
      <c r="A552" s="2" t="s">
        <v>5156</v>
      </c>
      <c r="B552" s="2" t="s">
        <v>5157</v>
      </c>
      <c r="C552" s="2">
        <v>2.84</v>
      </c>
      <c r="D552" s="2">
        <v>3.6528</v>
      </c>
      <c r="E552" s="2" t="s">
        <v>44</v>
      </c>
    </row>
    <row r="553" spans="1:5" ht="20.25" customHeight="1" x14ac:dyDescent="0.15">
      <c r="A553" s="2" t="s">
        <v>5194</v>
      </c>
      <c r="B553" s="2" t="s">
        <v>5195</v>
      </c>
      <c r="C553" s="2">
        <v>2.84</v>
      </c>
      <c r="D553" s="2">
        <v>1.0194000000000001</v>
      </c>
      <c r="E553" s="2" t="s">
        <v>1338</v>
      </c>
    </row>
    <row r="554" spans="1:5" ht="20.25" customHeight="1" x14ac:dyDescent="0.15">
      <c r="A554" s="2" t="s">
        <v>3871</v>
      </c>
      <c r="B554" s="2" t="s">
        <v>3872</v>
      </c>
      <c r="C554" s="2">
        <v>2.835</v>
      </c>
      <c r="D554" s="2">
        <v>3.1280000000000001</v>
      </c>
      <c r="E554" s="2" t="s">
        <v>149</v>
      </c>
    </row>
    <row r="555" spans="1:5" ht="20.25" customHeight="1" x14ac:dyDescent="0.15">
      <c r="A555" s="2" t="s">
        <v>492</v>
      </c>
      <c r="B555" s="2" t="s">
        <v>493</v>
      </c>
      <c r="C555" s="2">
        <v>2.83</v>
      </c>
      <c r="D555" s="2">
        <v>0.39269999999999999</v>
      </c>
      <c r="E555" s="2" t="s">
        <v>193</v>
      </c>
    </row>
    <row r="556" spans="1:5" ht="20.25" customHeight="1" x14ac:dyDescent="0.15">
      <c r="A556" s="2" t="s">
        <v>650</v>
      </c>
      <c r="B556" s="2" t="s">
        <v>651</v>
      </c>
      <c r="C556" s="2">
        <v>2.83</v>
      </c>
      <c r="D556" s="2">
        <v>13.4384</v>
      </c>
      <c r="E556" s="2" t="s">
        <v>652</v>
      </c>
    </row>
    <row r="557" spans="1:5" ht="20.25" customHeight="1" x14ac:dyDescent="0.15">
      <c r="A557" s="2" t="s">
        <v>3547</v>
      </c>
      <c r="B557" s="2" t="s">
        <v>3548</v>
      </c>
      <c r="C557" s="2">
        <v>2.83</v>
      </c>
      <c r="D557" s="2">
        <v>2.1718999999999999</v>
      </c>
      <c r="E557" s="2" t="s">
        <v>336</v>
      </c>
    </row>
    <row r="558" spans="1:5" ht="20.25" customHeight="1" x14ac:dyDescent="0.15">
      <c r="A558" s="2" t="s">
        <v>3801</v>
      </c>
      <c r="B558" s="2" t="s">
        <v>3802</v>
      </c>
      <c r="C558" s="2">
        <v>2.83</v>
      </c>
      <c r="D558" s="2">
        <v>0.52429999999999999</v>
      </c>
      <c r="E558" s="2" t="s">
        <v>421</v>
      </c>
    </row>
    <row r="559" spans="1:5" ht="20.25" customHeight="1" x14ac:dyDescent="0.15">
      <c r="A559" s="2" t="s">
        <v>3953</v>
      </c>
      <c r="B559" s="2" t="s">
        <v>3954</v>
      </c>
      <c r="C559" s="2">
        <v>2.83</v>
      </c>
      <c r="D559" s="2">
        <v>18.305299999999999</v>
      </c>
      <c r="E559" s="2" t="s">
        <v>647</v>
      </c>
    </row>
    <row r="560" spans="1:5" ht="20.25" customHeight="1" x14ac:dyDescent="0.15">
      <c r="A560" s="2" t="s">
        <v>5786</v>
      </c>
      <c r="B560" s="2" t="s">
        <v>5787</v>
      </c>
      <c r="C560" s="2">
        <v>2.83</v>
      </c>
      <c r="D560" s="2">
        <v>14.369899999999999</v>
      </c>
      <c r="E560" s="2" t="s">
        <v>1034</v>
      </c>
    </row>
    <row r="561" spans="1:5" ht="20.25" customHeight="1" x14ac:dyDescent="0.15">
      <c r="A561" s="2" t="s">
        <v>352</v>
      </c>
      <c r="B561" s="2" t="s">
        <v>353</v>
      </c>
      <c r="C561" s="2">
        <v>2.82</v>
      </c>
      <c r="D561" s="2">
        <v>1.2572000000000001</v>
      </c>
      <c r="E561" s="2" t="s">
        <v>185</v>
      </c>
    </row>
    <row r="562" spans="1:5" ht="20.25" customHeight="1" x14ac:dyDescent="0.15">
      <c r="A562" s="2" t="s">
        <v>1984</v>
      </c>
      <c r="B562" s="2" t="s">
        <v>1985</v>
      </c>
      <c r="C562" s="2">
        <v>2.82</v>
      </c>
      <c r="D562" s="2">
        <v>0.54500000000000004</v>
      </c>
      <c r="E562" s="2" t="s">
        <v>362</v>
      </c>
    </row>
    <row r="563" spans="1:5" ht="20.25" customHeight="1" x14ac:dyDescent="0.15">
      <c r="A563" s="2" t="s">
        <v>4214</v>
      </c>
      <c r="B563" s="2" t="s">
        <v>4215</v>
      </c>
      <c r="C563" s="2">
        <v>2.82</v>
      </c>
      <c r="D563" s="2">
        <v>2.9287000000000001</v>
      </c>
      <c r="E563" s="2" t="s">
        <v>2151</v>
      </c>
    </row>
    <row r="564" spans="1:5" ht="20.25" customHeight="1" x14ac:dyDescent="0.15">
      <c r="A564" s="2" t="s">
        <v>4743</v>
      </c>
      <c r="B564" s="2" t="s">
        <v>4744</v>
      </c>
      <c r="C564" s="2">
        <v>2.82</v>
      </c>
      <c r="D564" s="2">
        <v>2.2284000000000002</v>
      </c>
      <c r="E564" s="2" t="s">
        <v>2063</v>
      </c>
    </row>
    <row r="565" spans="1:5" ht="20.25" customHeight="1" x14ac:dyDescent="0.15">
      <c r="A565" s="2" t="s">
        <v>7115</v>
      </c>
      <c r="B565" s="2" t="s">
        <v>7116</v>
      </c>
      <c r="C565" s="2">
        <v>2.82</v>
      </c>
      <c r="D565" s="2">
        <v>3.3451</v>
      </c>
      <c r="E565" s="2" t="s">
        <v>149</v>
      </c>
    </row>
    <row r="566" spans="1:5" ht="20.25" customHeight="1" x14ac:dyDescent="0.15">
      <c r="A566" s="2" t="s">
        <v>474</v>
      </c>
      <c r="B566" s="2" t="s">
        <v>475</v>
      </c>
      <c r="C566" s="2">
        <v>2.81</v>
      </c>
      <c r="D566" s="2">
        <v>0.28210000000000002</v>
      </c>
      <c r="E566" s="2" t="s">
        <v>476</v>
      </c>
    </row>
    <row r="567" spans="1:5" ht="20.25" customHeight="1" x14ac:dyDescent="0.15">
      <c r="A567" s="2" t="s">
        <v>3593</v>
      </c>
      <c r="B567" s="2" t="s">
        <v>3594</v>
      </c>
      <c r="C567" s="2">
        <v>2.81</v>
      </c>
      <c r="D567" s="2">
        <v>3.2869999999999999</v>
      </c>
      <c r="E567" s="2" t="s">
        <v>299</v>
      </c>
    </row>
    <row r="568" spans="1:5" ht="20.25" customHeight="1" x14ac:dyDescent="0.15">
      <c r="A568" s="2" t="s">
        <v>8333</v>
      </c>
      <c r="B568" s="2" t="s">
        <v>8334</v>
      </c>
      <c r="C568" s="2">
        <v>2.8050000000000002</v>
      </c>
      <c r="D568" s="2">
        <v>0.95130000000000003</v>
      </c>
      <c r="E568" s="2" t="s">
        <v>201</v>
      </c>
    </row>
    <row r="569" spans="1:5" ht="20.25" customHeight="1" x14ac:dyDescent="0.15">
      <c r="A569" s="2" t="s">
        <v>515</v>
      </c>
      <c r="B569" s="2" t="s">
        <v>516</v>
      </c>
      <c r="C569" s="2">
        <v>2.8</v>
      </c>
      <c r="D569" s="2">
        <v>1.4936</v>
      </c>
      <c r="E569" s="2" t="s">
        <v>286</v>
      </c>
    </row>
    <row r="570" spans="1:5" ht="20.25" customHeight="1" x14ac:dyDescent="0.15">
      <c r="A570" s="2" t="s">
        <v>631</v>
      </c>
      <c r="B570" s="2" t="s">
        <v>632</v>
      </c>
      <c r="C570" s="2">
        <v>2.8</v>
      </c>
      <c r="D570" s="2">
        <v>59.499200000000002</v>
      </c>
      <c r="E570" s="2" t="s">
        <v>633</v>
      </c>
    </row>
    <row r="571" spans="1:5" ht="20.25" customHeight="1" x14ac:dyDescent="0.15">
      <c r="A571" s="2" t="s">
        <v>3226</v>
      </c>
      <c r="B571" s="2" t="s">
        <v>3227</v>
      </c>
      <c r="C571" s="2">
        <v>2.8</v>
      </c>
      <c r="D571" s="2">
        <v>10.5122</v>
      </c>
      <c r="E571" s="2" t="s">
        <v>1158</v>
      </c>
    </row>
    <row r="572" spans="1:5" ht="20.25" customHeight="1" x14ac:dyDescent="0.15">
      <c r="A572" s="2" t="s">
        <v>4232</v>
      </c>
      <c r="B572" s="2" t="s">
        <v>4233</v>
      </c>
      <c r="C572" s="2">
        <v>2.8</v>
      </c>
      <c r="D572" s="2">
        <v>18.136399999999998</v>
      </c>
      <c r="E572" s="2" t="s">
        <v>1186</v>
      </c>
    </row>
    <row r="573" spans="1:5" ht="20.25" customHeight="1" x14ac:dyDescent="0.15">
      <c r="A573" s="2" t="s">
        <v>797</v>
      </c>
      <c r="B573" s="2" t="s">
        <v>798</v>
      </c>
      <c r="C573" s="2">
        <v>2.7949999999999999</v>
      </c>
      <c r="D573" s="2">
        <v>4.8373999999999997</v>
      </c>
      <c r="E573" s="2" t="s">
        <v>799</v>
      </c>
    </row>
    <row r="574" spans="1:5" ht="20.25" customHeight="1" x14ac:dyDescent="0.15">
      <c r="A574" s="2" t="s">
        <v>4472</v>
      </c>
      <c r="B574" s="2" t="s">
        <v>4473</v>
      </c>
      <c r="C574" s="2">
        <v>2.79</v>
      </c>
      <c r="D574" s="2">
        <v>0.32300000000000001</v>
      </c>
      <c r="E574" s="2" t="s">
        <v>638</v>
      </c>
    </row>
    <row r="575" spans="1:5" ht="20.25" customHeight="1" x14ac:dyDescent="0.15">
      <c r="A575" s="2" t="s">
        <v>3549</v>
      </c>
      <c r="B575" s="2" t="s">
        <v>3550</v>
      </c>
      <c r="C575" s="2">
        <v>2.7850000000000001</v>
      </c>
      <c r="D575" s="2">
        <v>4.1120000000000001</v>
      </c>
      <c r="E575" s="2" t="s">
        <v>55</v>
      </c>
    </row>
    <row r="576" spans="1:5" ht="20.25" customHeight="1" x14ac:dyDescent="0.15">
      <c r="A576" s="2" t="s">
        <v>357</v>
      </c>
      <c r="B576" s="2" t="s">
        <v>358</v>
      </c>
      <c r="C576" s="2">
        <v>2.78</v>
      </c>
      <c r="D576" s="2">
        <v>0.90229999999999999</v>
      </c>
      <c r="E576" s="2" t="s">
        <v>359</v>
      </c>
    </row>
    <row r="577" spans="1:5" ht="20.25" customHeight="1" x14ac:dyDescent="0.15">
      <c r="A577" s="2" t="s">
        <v>1626</v>
      </c>
      <c r="B577" s="2" t="s">
        <v>1627</v>
      </c>
      <c r="C577" s="2">
        <v>2.78</v>
      </c>
      <c r="D577" s="2">
        <v>2.9655</v>
      </c>
      <c r="E577" s="2" t="s">
        <v>741</v>
      </c>
    </row>
    <row r="578" spans="1:5" ht="20.25" customHeight="1" x14ac:dyDescent="0.15">
      <c r="A578" s="2" t="s">
        <v>2791</v>
      </c>
      <c r="B578" s="2" t="s">
        <v>2792</v>
      </c>
      <c r="C578" s="2">
        <v>2.78</v>
      </c>
      <c r="D578" s="2">
        <v>2.4853000000000001</v>
      </c>
      <c r="E578" s="2" t="s">
        <v>374</v>
      </c>
    </row>
    <row r="579" spans="1:5" ht="20.25" customHeight="1" x14ac:dyDescent="0.15">
      <c r="A579" s="2" t="s">
        <v>2831</v>
      </c>
      <c r="B579" s="2" t="s">
        <v>2832</v>
      </c>
      <c r="C579" s="2">
        <v>2.78</v>
      </c>
      <c r="D579" s="2">
        <v>0.79700000000000004</v>
      </c>
      <c r="E579" s="2" t="s">
        <v>89</v>
      </c>
    </row>
    <row r="580" spans="1:5" ht="20.25" customHeight="1" x14ac:dyDescent="0.15">
      <c r="A580" s="2" t="s">
        <v>2839</v>
      </c>
      <c r="B580" s="2" t="s">
        <v>2840</v>
      </c>
      <c r="C580" s="2">
        <v>2.78</v>
      </c>
      <c r="D580" s="2">
        <v>0.75490000000000002</v>
      </c>
      <c r="E580" s="2" t="s">
        <v>471</v>
      </c>
    </row>
    <row r="581" spans="1:5" ht="20.25" customHeight="1" x14ac:dyDescent="0.15">
      <c r="A581" s="2" t="s">
        <v>2981</v>
      </c>
      <c r="B581" s="2" t="s">
        <v>2982</v>
      </c>
      <c r="C581" s="2">
        <v>2.78</v>
      </c>
      <c r="D581" s="2">
        <v>1.1025</v>
      </c>
      <c r="E581" s="2" t="s">
        <v>89</v>
      </c>
    </row>
    <row r="582" spans="1:5" ht="20.25" customHeight="1" x14ac:dyDescent="0.15">
      <c r="A582" s="2" t="s">
        <v>5346</v>
      </c>
      <c r="B582" s="2" t="s">
        <v>5347</v>
      </c>
      <c r="C582" s="2">
        <v>2.78</v>
      </c>
      <c r="D582" s="2">
        <v>7.6878000000000002</v>
      </c>
      <c r="E582" s="2" t="s">
        <v>371</v>
      </c>
    </row>
    <row r="583" spans="1:5" ht="20.25" customHeight="1" x14ac:dyDescent="0.15">
      <c r="A583" s="2" t="s">
        <v>5601</v>
      </c>
      <c r="B583" s="2" t="s">
        <v>5602</v>
      </c>
      <c r="C583" s="2">
        <v>2.7749999999999999</v>
      </c>
      <c r="D583" s="2">
        <v>8.0365000000000002</v>
      </c>
      <c r="E583" s="2" t="s">
        <v>1403</v>
      </c>
    </row>
    <row r="584" spans="1:5" ht="20.25" customHeight="1" x14ac:dyDescent="0.15">
      <c r="A584" s="2" t="s">
        <v>6132</v>
      </c>
      <c r="B584" s="2" t="s">
        <v>6133</v>
      </c>
      <c r="C584" s="2">
        <v>2.7749999999999999</v>
      </c>
      <c r="D584" s="2">
        <v>4.4187000000000003</v>
      </c>
      <c r="E584" s="2" t="s">
        <v>784</v>
      </c>
    </row>
    <row r="585" spans="1:5" ht="20.25" customHeight="1" x14ac:dyDescent="0.15">
      <c r="A585" s="2" t="s">
        <v>5342</v>
      </c>
      <c r="B585" s="2" t="s">
        <v>5343</v>
      </c>
      <c r="C585" s="2">
        <v>2.77</v>
      </c>
      <c r="D585" s="2">
        <v>2.3100999999999998</v>
      </c>
      <c r="E585" s="2" t="s">
        <v>1145</v>
      </c>
    </row>
    <row r="586" spans="1:5" ht="20.25" customHeight="1" x14ac:dyDescent="0.15">
      <c r="A586" s="2" t="s">
        <v>6835</v>
      </c>
      <c r="B586" s="2" t="s">
        <v>6836</v>
      </c>
      <c r="C586" s="2">
        <v>2.77</v>
      </c>
      <c r="D586" s="2">
        <v>6.2511000000000001</v>
      </c>
      <c r="E586" s="2" t="s">
        <v>385</v>
      </c>
    </row>
    <row r="587" spans="1:5" ht="20.25" customHeight="1" x14ac:dyDescent="0.15">
      <c r="A587" s="2" t="s">
        <v>7283</v>
      </c>
      <c r="B587" s="2" t="s">
        <v>7284</v>
      </c>
      <c r="C587" s="2">
        <v>2.77</v>
      </c>
      <c r="D587" s="2">
        <v>12.857200000000001</v>
      </c>
      <c r="E587" s="2" t="s">
        <v>421</v>
      </c>
    </row>
    <row r="588" spans="1:5" ht="20.25" customHeight="1" x14ac:dyDescent="0.15">
      <c r="A588" s="2" t="s">
        <v>7321</v>
      </c>
      <c r="B588" s="2" t="s">
        <v>7322</v>
      </c>
      <c r="C588" s="2">
        <v>2.77</v>
      </c>
      <c r="D588" s="2">
        <v>6.1719999999999997</v>
      </c>
      <c r="E588" s="2" t="s">
        <v>561</v>
      </c>
    </row>
    <row r="589" spans="1:5" ht="20.25" customHeight="1" x14ac:dyDescent="0.15">
      <c r="A589" s="2" t="s">
        <v>284</v>
      </c>
      <c r="B589" s="2" t="s">
        <v>285</v>
      </c>
      <c r="C589" s="2">
        <v>2.76</v>
      </c>
      <c r="D589" s="2">
        <v>3.8491</v>
      </c>
      <c r="E589" s="2" t="s">
        <v>286</v>
      </c>
    </row>
    <row r="590" spans="1:5" ht="20.25" customHeight="1" x14ac:dyDescent="0.15">
      <c r="A590" s="2" t="s">
        <v>488</v>
      </c>
      <c r="B590" s="2" t="s">
        <v>489</v>
      </c>
      <c r="C590" s="2">
        <v>2.76</v>
      </c>
      <c r="D590" s="2">
        <v>4.5119999999999996</v>
      </c>
      <c r="E590" s="2" t="s">
        <v>185</v>
      </c>
    </row>
    <row r="591" spans="1:5" ht="20.25" customHeight="1" x14ac:dyDescent="0.15">
      <c r="A591" s="2" t="s">
        <v>6380</v>
      </c>
      <c r="B591" s="2" t="s">
        <v>6381</v>
      </c>
      <c r="C591" s="2">
        <v>2.76</v>
      </c>
      <c r="D591" s="2">
        <v>0.75860000000000005</v>
      </c>
      <c r="E591" s="2" t="s">
        <v>1061</v>
      </c>
    </row>
    <row r="592" spans="1:5" ht="20.25" customHeight="1" x14ac:dyDescent="0.15">
      <c r="A592" s="2" t="s">
        <v>1484</v>
      </c>
      <c r="B592" s="2" t="s">
        <v>1485</v>
      </c>
      <c r="C592" s="2">
        <v>2.7549999999999999</v>
      </c>
      <c r="D592" s="2">
        <v>60.4313</v>
      </c>
      <c r="E592" s="2" t="s">
        <v>1486</v>
      </c>
    </row>
    <row r="593" spans="1:5" ht="20.25" customHeight="1" x14ac:dyDescent="0.15">
      <c r="A593" s="2" t="s">
        <v>6859</v>
      </c>
      <c r="B593" s="2" t="s">
        <v>6860</v>
      </c>
      <c r="C593" s="2">
        <v>2.7549999999999999</v>
      </c>
      <c r="D593" s="2">
        <v>8.0399999999999991</v>
      </c>
      <c r="E593" s="2" t="s">
        <v>265</v>
      </c>
    </row>
    <row r="594" spans="1:5" ht="20.25" customHeight="1" x14ac:dyDescent="0.15">
      <c r="A594" s="2" t="s">
        <v>594</v>
      </c>
      <c r="B594" s="2" t="s">
        <v>595</v>
      </c>
      <c r="C594" s="2">
        <v>2.75</v>
      </c>
      <c r="D594" s="2">
        <v>2.9220999999999999</v>
      </c>
      <c r="E594" s="2" t="s">
        <v>596</v>
      </c>
    </row>
    <row r="595" spans="1:5" ht="20.25" customHeight="1" x14ac:dyDescent="0.15">
      <c r="A595" s="2" t="s">
        <v>3527</v>
      </c>
      <c r="B595" s="2" t="s">
        <v>3528</v>
      </c>
      <c r="C595" s="2">
        <v>2.75</v>
      </c>
      <c r="D595" s="2">
        <v>8.0356000000000005</v>
      </c>
      <c r="E595" s="2" t="s">
        <v>690</v>
      </c>
    </row>
    <row r="596" spans="1:5" ht="20.25" customHeight="1" x14ac:dyDescent="0.15">
      <c r="A596" s="2" t="s">
        <v>3696</v>
      </c>
      <c r="B596" s="2" t="s">
        <v>3697</v>
      </c>
      <c r="C596" s="2">
        <v>2.75</v>
      </c>
      <c r="D596" s="2">
        <v>3.5577999999999999</v>
      </c>
      <c r="E596" s="2" t="s">
        <v>1757</v>
      </c>
    </row>
    <row r="597" spans="1:5" ht="20.25" customHeight="1" x14ac:dyDescent="0.15">
      <c r="A597" s="2" t="s">
        <v>5056</v>
      </c>
      <c r="B597" s="2" t="s">
        <v>5057</v>
      </c>
      <c r="C597" s="2">
        <v>2.75</v>
      </c>
      <c r="D597" s="2">
        <v>0.39829999999999999</v>
      </c>
      <c r="E597" s="2" t="s">
        <v>4122</v>
      </c>
    </row>
    <row r="598" spans="1:5" ht="20.25" customHeight="1" x14ac:dyDescent="0.15">
      <c r="A598" s="2" t="s">
        <v>7211</v>
      </c>
      <c r="B598" s="2" t="s">
        <v>7212</v>
      </c>
      <c r="C598" s="2">
        <v>2.75</v>
      </c>
      <c r="D598" s="2">
        <v>3.6200999999999999</v>
      </c>
      <c r="E598" s="2" t="s">
        <v>1608</v>
      </c>
    </row>
    <row r="599" spans="1:5" ht="20.25" customHeight="1" x14ac:dyDescent="0.15">
      <c r="A599" s="2" t="s">
        <v>6438</v>
      </c>
      <c r="B599" s="2" t="s">
        <v>6439</v>
      </c>
      <c r="C599" s="2">
        <v>2.7450000000000001</v>
      </c>
      <c r="D599" s="2">
        <v>1.2568999999999999</v>
      </c>
      <c r="E599" s="2" t="s">
        <v>368</v>
      </c>
    </row>
    <row r="600" spans="1:5" ht="20.25" customHeight="1" x14ac:dyDescent="0.15">
      <c r="A600" s="2" t="s">
        <v>608</v>
      </c>
      <c r="B600" s="2" t="s">
        <v>609</v>
      </c>
      <c r="C600" s="2">
        <v>2.74</v>
      </c>
      <c r="D600" s="2">
        <v>0.46179999999999999</v>
      </c>
      <c r="E600" s="2" t="s">
        <v>21</v>
      </c>
    </row>
    <row r="601" spans="1:5" ht="20.25" customHeight="1" x14ac:dyDescent="0.15">
      <c r="A601" s="2" t="s">
        <v>856</v>
      </c>
      <c r="B601" s="2" t="s">
        <v>857</v>
      </c>
      <c r="C601" s="2">
        <v>2.74</v>
      </c>
      <c r="D601" s="2">
        <v>0.81740000000000002</v>
      </c>
      <c r="E601" s="2" t="s">
        <v>483</v>
      </c>
    </row>
    <row r="602" spans="1:5" ht="20.25" customHeight="1" x14ac:dyDescent="0.15">
      <c r="A602" s="2" t="s">
        <v>4136</v>
      </c>
      <c r="B602" s="2" t="s">
        <v>4137</v>
      </c>
      <c r="C602" s="2">
        <v>2.74</v>
      </c>
      <c r="D602" s="2">
        <v>8.4224999999999994</v>
      </c>
      <c r="E602" s="2" t="s">
        <v>621</v>
      </c>
    </row>
    <row r="603" spans="1:5" ht="20.25" customHeight="1" x14ac:dyDescent="0.15">
      <c r="A603" s="2" t="s">
        <v>7097</v>
      </c>
      <c r="B603" s="2" t="s">
        <v>7098</v>
      </c>
      <c r="C603" s="2">
        <v>2.74</v>
      </c>
      <c r="D603" s="2">
        <v>6.2675000000000001</v>
      </c>
      <c r="E603" s="2" t="s">
        <v>1061</v>
      </c>
    </row>
    <row r="604" spans="1:5" ht="20.25" customHeight="1" x14ac:dyDescent="0.15">
      <c r="A604" s="2" t="s">
        <v>536</v>
      </c>
      <c r="B604" s="2" t="s">
        <v>537</v>
      </c>
      <c r="C604" s="2">
        <v>2.73</v>
      </c>
      <c r="D604" s="2">
        <v>6.4958</v>
      </c>
      <c r="E604" s="2" t="s">
        <v>176</v>
      </c>
    </row>
    <row r="605" spans="1:5" ht="20.25" customHeight="1" x14ac:dyDescent="0.15">
      <c r="A605" s="2" t="s">
        <v>761</v>
      </c>
      <c r="B605" s="2" t="s">
        <v>762</v>
      </c>
      <c r="C605" s="2">
        <v>2.73</v>
      </c>
      <c r="D605" s="2">
        <v>3.2858000000000001</v>
      </c>
      <c r="E605" s="2" t="s">
        <v>193</v>
      </c>
    </row>
    <row r="606" spans="1:5" ht="20.25" customHeight="1" x14ac:dyDescent="0.15">
      <c r="A606" s="2" t="s">
        <v>2252</v>
      </c>
      <c r="B606" s="2" t="s">
        <v>2253</v>
      </c>
      <c r="C606" s="2">
        <v>2.73</v>
      </c>
      <c r="D606" s="2">
        <v>1.7316</v>
      </c>
      <c r="E606" s="2" t="s">
        <v>794</v>
      </c>
    </row>
    <row r="607" spans="1:5" ht="20.25" customHeight="1" x14ac:dyDescent="0.15">
      <c r="A607" s="2" t="s">
        <v>3306</v>
      </c>
      <c r="B607" s="2" t="s">
        <v>3307</v>
      </c>
      <c r="C607" s="2">
        <v>2.73</v>
      </c>
      <c r="D607" s="2">
        <v>14.015700000000001</v>
      </c>
      <c r="E607" s="2" t="s">
        <v>1145</v>
      </c>
    </row>
    <row r="608" spans="1:5" ht="20.25" customHeight="1" x14ac:dyDescent="0.15">
      <c r="A608" s="2" t="s">
        <v>559</v>
      </c>
      <c r="B608" s="2" t="s">
        <v>560</v>
      </c>
      <c r="C608" s="2">
        <v>2.72</v>
      </c>
      <c r="D608" s="2">
        <v>1.7742</v>
      </c>
      <c r="E608" s="2" t="s">
        <v>561</v>
      </c>
    </row>
    <row r="609" spans="1:5" ht="20.25" customHeight="1" x14ac:dyDescent="0.15">
      <c r="A609" s="2" t="s">
        <v>1520</v>
      </c>
      <c r="B609" s="2" t="s">
        <v>1521</v>
      </c>
      <c r="C609" s="2">
        <v>2.72</v>
      </c>
      <c r="D609" s="2">
        <v>0.68</v>
      </c>
      <c r="E609" s="2" t="s">
        <v>605</v>
      </c>
    </row>
    <row r="610" spans="1:5" ht="20.25" customHeight="1" x14ac:dyDescent="0.15">
      <c r="A610" s="2" t="s">
        <v>3026</v>
      </c>
      <c r="B610" s="2" t="s">
        <v>3027</v>
      </c>
      <c r="C610" s="2">
        <v>2.72</v>
      </c>
      <c r="D610" s="2">
        <v>13.272399999999999</v>
      </c>
      <c r="E610" s="2" t="s">
        <v>44</v>
      </c>
    </row>
    <row r="611" spans="1:5" ht="20.25" customHeight="1" x14ac:dyDescent="0.15">
      <c r="A611" s="2" t="s">
        <v>7515</v>
      </c>
      <c r="B611" s="2" t="s">
        <v>7516</v>
      </c>
      <c r="C611" s="2">
        <v>2.72</v>
      </c>
      <c r="D611" s="2">
        <v>3.7378</v>
      </c>
      <c r="E611" s="2" t="s">
        <v>713</v>
      </c>
    </row>
    <row r="612" spans="1:5" ht="20.25" customHeight="1" x14ac:dyDescent="0.15">
      <c r="A612" s="2" t="s">
        <v>4696</v>
      </c>
      <c r="B612" s="2" t="s">
        <v>4697</v>
      </c>
      <c r="C612" s="2">
        <v>2.7149999999999999</v>
      </c>
      <c r="D612" s="2">
        <v>2.19</v>
      </c>
      <c r="E612" s="2" t="s">
        <v>35</v>
      </c>
    </row>
    <row r="613" spans="1:5" ht="20.25" customHeight="1" x14ac:dyDescent="0.15">
      <c r="A613" s="2" t="s">
        <v>1191</v>
      </c>
      <c r="B613" s="2" t="s">
        <v>1192</v>
      </c>
      <c r="C613" s="2">
        <v>2.71</v>
      </c>
      <c r="D613" s="2">
        <v>1.3275999999999999</v>
      </c>
      <c r="E613" s="2" t="s">
        <v>784</v>
      </c>
    </row>
    <row r="614" spans="1:5" ht="20.25" customHeight="1" x14ac:dyDescent="0.15">
      <c r="A614" s="2" t="s">
        <v>2433</v>
      </c>
      <c r="B614" s="2" t="s">
        <v>2434</v>
      </c>
      <c r="C614" s="2">
        <v>2.71</v>
      </c>
      <c r="D614" s="2">
        <v>0.88539999999999996</v>
      </c>
      <c r="E614" s="2" t="s">
        <v>310</v>
      </c>
    </row>
    <row r="615" spans="1:5" ht="20.25" customHeight="1" x14ac:dyDescent="0.15">
      <c r="A615" s="2" t="s">
        <v>5136</v>
      </c>
      <c r="B615" s="2" t="s">
        <v>5137</v>
      </c>
      <c r="C615" s="2">
        <v>2.71</v>
      </c>
      <c r="D615" s="2">
        <v>1.1041000000000001</v>
      </c>
      <c r="E615" s="2" t="s">
        <v>265</v>
      </c>
    </row>
    <row r="616" spans="1:5" ht="20.25" customHeight="1" x14ac:dyDescent="0.15">
      <c r="A616" s="2" t="s">
        <v>5736</v>
      </c>
      <c r="B616" s="2" t="s">
        <v>5737</v>
      </c>
      <c r="C616" s="2">
        <v>2.71</v>
      </c>
      <c r="D616" s="2">
        <v>1.4751000000000001</v>
      </c>
      <c r="E616" s="2" t="s">
        <v>157</v>
      </c>
    </row>
    <row r="617" spans="1:5" ht="20.25" customHeight="1" x14ac:dyDescent="0.15">
      <c r="A617" s="2" t="s">
        <v>3611</v>
      </c>
      <c r="B617" s="2" t="s">
        <v>3612</v>
      </c>
      <c r="C617" s="2">
        <v>2.7</v>
      </c>
      <c r="D617" s="2">
        <v>6.2664999999999997</v>
      </c>
      <c r="E617" s="2" t="s">
        <v>1275</v>
      </c>
    </row>
    <row r="618" spans="1:5" ht="20.25" customHeight="1" x14ac:dyDescent="0.15">
      <c r="A618" s="2" t="s">
        <v>739</v>
      </c>
      <c r="B618" s="2" t="s">
        <v>740</v>
      </c>
      <c r="C618" s="2">
        <v>2.69</v>
      </c>
      <c r="D618" s="2">
        <v>2.4628000000000001</v>
      </c>
      <c r="E618" s="2" t="s">
        <v>741</v>
      </c>
    </row>
    <row r="619" spans="1:5" ht="20.25" customHeight="1" x14ac:dyDescent="0.15">
      <c r="A619" s="2" t="s">
        <v>850</v>
      </c>
      <c r="B619" s="2" t="s">
        <v>851</v>
      </c>
      <c r="C619" s="2">
        <v>2.69</v>
      </c>
      <c r="D619" s="2">
        <v>2.9053</v>
      </c>
      <c r="E619" s="2" t="s">
        <v>747</v>
      </c>
    </row>
    <row r="620" spans="1:5" ht="20.25" customHeight="1" x14ac:dyDescent="0.15">
      <c r="A620" s="2" t="s">
        <v>2164</v>
      </c>
      <c r="B620" s="2" t="s">
        <v>2165</v>
      </c>
      <c r="C620" s="2">
        <v>2.69</v>
      </c>
      <c r="D620" s="2">
        <v>23.006399999999999</v>
      </c>
      <c r="E620" s="2" t="s">
        <v>140</v>
      </c>
    </row>
    <row r="621" spans="1:5" ht="20.25" customHeight="1" x14ac:dyDescent="0.15">
      <c r="A621" s="2" t="s">
        <v>6947</v>
      </c>
      <c r="B621" s="2" t="s">
        <v>6948</v>
      </c>
      <c r="C621" s="2">
        <v>2.69</v>
      </c>
      <c r="D621" s="2">
        <v>2.0023</v>
      </c>
      <c r="E621" s="2" t="s">
        <v>52</v>
      </c>
    </row>
    <row r="622" spans="1:5" ht="20.25" customHeight="1" x14ac:dyDescent="0.15">
      <c r="A622" s="2" t="s">
        <v>728</v>
      </c>
      <c r="B622" s="2" t="s">
        <v>729</v>
      </c>
      <c r="C622" s="2">
        <v>2.68</v>
      </c>
      <c r="D622" s="2">
        <v>5.2530000000000001</v>
      </c>
      <c r="E622" s="2" t="s">
        <v>207</v>
      </c>
    </row>
    <row r="623" spans="1:5" ht="20.25" customHeight="1" x14ac:dyDescent="0.15">
      <c r="A623" s="2" t="s">
        <v>2801</v>
      </c>
      <c r="B623" s="2" t="s">
        <v>2802</v>
      </c>
      <c r="C623" s="2">
        <v>2.68</v>
      </c>
      <c r="D623" s="2">
        <v>4.2135999999999996</v>
      </c>
      <c r="E623" s="2" t="s">
        <v>265</v>
      </c>
    </row>
    <row r="624" spans="1:5" ht="20.25" customHeight="1" x14ac:dyDescent="0.15">
      <c r="A624" s="2" t="s">
        <v>3473</v>
      </c>
      <c r="B624" s="2" t="s">
        <v>3474</v>
      </c>
      <c r="C624" s="2">
        <v>2.68</v>
      </c>
      <c r="D624" s="2">
        <v>86.386700000000005</v>
      </c>
      <c r="E624" s="2" t="s">
        <v>647</v>
      </c>
    </row>
    <row r="625" spans="1:5" ht="20.25" customHeight="1" x14ac:dyDescent="0.15">
      <c r="A625" s="2" t="s">
        <v>5110</v>
      </c>
      <c r="B625" s="2" t="s">
        <v>5111</v>
      </c>
      <c r="C625" s="2">
        <v>2.68</v>
      </c>
      <c r="D625" s="2">
        <v>1.4370000000000001</v>
      </c>
      <c r="E625" s="2" t="s">
        <v>630</v>
      </c>
    </row>
    <row r="626" spans="1:5" ht="20.25" customHeight="1" x14ac:dyDescent="0.15">
      <c r="A626" s="2" t="s">
        <v>5900</v>
      </c>
      <c r="B626" s="2" t="s">
        <v>5901</v>
      </c>
      <c r="C626" s="2">
        <v>2.68</v>
      </c>
      <c r="D626" s="2">
        <v>3.0308000000000002</v>
      </c>
      <c r="E626" s="2" t="s">
        <v>1390</v>
      </c>
    </row>
    <row r="627" spans="1:5" ht="20.25" customHeight="1" x14ac:dyDescent="0.15">
      <c r="A627" s="2" t="s">
        <v>3712</v>
      </c>
      <c r="B627" s="2" t="s">
        <v>3713</v>
      </c>
      <c r="C627" s="2">
        <v>2.6749999999999998</v>
      </c>
      <c r="D627" s="2">
        <v>1.2351000000000001</v>
      </c>
      <c r="E627" s="2" t="s">
        <v>310</v>
      </c>
    </row>
    <row r="628" spans="1:5" ht="20.25" customHeight="1" x14ac:dyDescent="0.15">
      <c r="A628" s="2" t="s">
        <v>597</v>
      </c>
      <c r="B628" s="2" t="s">
        <v>598</v>
      </c>
      <c r="C628" s="2">
        <v>2.67</v>
      </c>
      <c r="D628" s="2">
        <v>3.0670000000000002</v>
      </c>
      <c r="E628" s="2" t="s">
        <v>574</v>
      </c>
    </row>
    <row r="629" spans="1:5" ht="20.25" customHeight="1" x14ac:dyDescent="0.15">
      <c r="A629" s="2" t="s">
        <v>1393</v>
      </c>
      <c r="B629" s="2" t="s">
        <v>1394</v>
      </c>
      <c r="C629" s="2">
        <v>2.67</v>
      </c>
      <c r="D629" s="2">
        <v>1.7949999999999999</v>
      </c>
      <c r="E629" s="2" t="s">
        <v>299</v>
      </c>
    </row>
    <row r="630" spans="1:5" ht="20.25" customHeight="1" x14ac:dyDescent="0.15">
      <c r="A630" s="2" t="s">
        <v>7507</v>
      </c>
      <c r="B630" s="2" t="s">
        <v>7508</v>
      </c>
      <c r="C630" s="2">
        <v>2.67</v>
      </c>
      <c r="D630" s="2">
        <v>5.6380999999999997</v>
      </c>
      <c r="E630" s="2" t="s">
        <v>4939</v>
      </c>
    </row>
    <row r="631" spans="1:5" ht="20.25" customHeight="1" x14ac:dyDescent="0.15">
      <c r="A631" s="2" t="s">
        <v>4168</v>
      </c>
      <c r="B631" s="2" t="s">
        <v>4169</v>
      </c>
      <c r="C631" s="2">
        <v>2.66</v>
      </c>
      <c r="D631" s="2">
        <v>1.1713</v>
      </c>
      <c r="E631" s="2" t="s">
        <v>741</v>
      </c>
    </row>
    <row r="632" spans="1:5" ht="20.25" customHeight="1" x14ac:dyDescent="0.15">
      <c r="A632" s="2" t="s">
        <v>7241</v>
      </c>
      <c r="B632" s="2" t="s">
        <v>7242</v>
      </c>
      <c r="C632" s="2">
        <v>2.66</v>
      </c>
      <c r="D632" s="2">
        <v>3.7843</v>
      </c>
      <c r="E632" s="2" t="s">
        <v>794</v>
      </c>
    </row>
    <row r="633" spans="1:5" ht="20.25" customHeight="1" x14ac:dyDescent="0.15">
      <c r="A633" s="2" t="s">
        <v>360</v>
      </c>
      <c r="B633" s="2" t="s">
        <v>361</v>
      </c>
      <c r="C633" s="2">
        <v>2.65</v>
      </c>
      <c r="D633" s="2">
        <v>1.6740999999999999</v>
      </c>
      <c r="E633" s="2" t="s">
        <v>362</v>
      </c>
    </row>
    <row r="634" spans="1:5" ht="20.25" customHeight="1" x14ac:dyDescent="0.15">
      <c r="A634" s="2" t="s">
        <v>1216</v>
      </c>
      <c r="B634" s="2" t="s">
        <v>1217</v>
      </c>
      <c r="C634" s="2">
        <v>2.65</v>
      </c>
      <c r="D634" s="2">
        <v>5.5164</v>
      </c>
      <c r="E634" s="2" t="s">
        <v>106</v>
      </c>
    </row>
    <row r="635" spans="1:5" ht="20.25" customHeight="1" x14ac:dyDescent="0.15">
      <c r="A635" s="2" t="s">
        <v>2785</v>
      </c>
      <c r="B635" s="2" t="s">
        <v>2786</v>
      </c>
      <c r="C635" s="2">
        <v>2.65</v>
      </c>
      <c r="D635" s="2">
        <v>1.4886999999999999</v>
      </c>
      <c r="E635" s="2" t="s">
        <v>747</v>
      </c>
    </row>
    <row r="636" spans="1:5" ht="20.25" customHeight="1" x14ac:dyDescent="0.15">
      <c r="A636" s="2" t="s">
        <v>2876</v>
      </c>
      <c r="B636" s="2" t="s">
        <v>2877</v>
      </c>
      <c r="C636" s="2">
        <v>2.65</v>
      </c>
      <c r="D636" s="2">
        <v>146.88980000000001</v>
      </c>
      <c r="E636" s="2" t="s">
        <v>65</v>
      </c>
    </row>
    <row r="637" spans="1:5" ht="20.25" customHeight="1" x14ac:dyDescent="0.15">
      <c r="A637" s="2" t="s">
        <v>5407</v>
      </c>
      <c r="B637" s="2" t="s">
        <v>5408</v>
      </c>
      <c r="C637" s="2">
        <v>2.65</v>
      </c>
      <c r="D637" s="2">
        <v>1.0928</v>
      </c>
      <c r="E637" s="2" t="s">
        <v>713</v>
      </c>
    </row>
    <row r="638" spans="1:5" ht="20.25" customHeight="1" x14ac:dyDescent="0.15">
      <c r="A638" s="2" t="s">
        <v>8073</v>
      </c>
      <c r="B638" s="2" t="s">
        <v>8074</v>
      </c>
      <c r="C638" s="2">
        <v>2.65</v>
      </c>
      <c r="D638" s="2">
        <v>136.4778</v>
      </c>
      <c r="E638" s="2" t="s">
        <v>827</v>
      </c>
    </row>
    <row r="639" spans="1:5" ht="20.25" customHeight="1" x14ac:dyDescent="0.15">
      <c r="A639" s="2" t="s">
        <v>668</v>
      </c>
      <c r="B639" s="2" t="s">
        <v>669</v>
      </c>
      <c r="C639" s="2">
        <v>2.645</v>
      </c>
      <c r="D639" s="2">
        <v>7.3281000000000001</v>
      </c>
      <c r="E639" s="2" t="s">
        <v>670</v>
      </c>
    </row>
    <row r="640" spans="1:5" ht="20.25" customHeight="1" x14ac:dyDescent="0.15">
      <c r="A640" s="2" t="s">
        <v>1755</v>
      </c>
      <c r="B640" s="2" t="s">
        <v>1756</v>
      </c>
      <c r="C640" s="2">
        <v>2.64</v>
      </c>
      <c r="D640" s="2">
        <v>4.0214999999999996</v>
      </c>
      <c r="E640" s="2" t="s">
        <v>1757</v>
      </c>
    </row>
    <row r="641" spans="1:5" ht="20.25" customHeight="1" x14ac:dyDescent="0.15">
      <c r="A641" s="2" t="s">
        <v>332</v>
      </c>
      <c r="B641" s="2" t="s">
        <v>333</v>
      </c>
      <c r="C641" s="2">
        <v>2.63</v>
      </c>
      <c r="D641" s="2">
        <v>0.33650000000000002</v>
      </c>
      <c r="E641" s="2" t="s">
        <v>201</v>
      </c>
    </row>
    <row r="642" spans="1:5" ht="20.25" customHeight="1" x14ac:dyDescent="0.15">
      <c r="A642" s="2" t="s">
        <v>776</v>
      </c>
      <c r="B642" s="2" t="s">
        <v>777</v>
      </c>
      <c r="C642" s="2">
        <v>2.63</v>
      </c>
      <c r="D642" s="2">
        <v>0.54700000000000004</v>
      </c>
      <c r="E642" s="2" t="s">
        <v>511</v>
      </c>
    </row>
    <row r="643" spans="1:5" ht="20.25" customHeight="1" x14ac:dyDescent="0.15">
      <c r="A643" s="2" t="s">
        <v>959</v>
      </c>
      <c r="B643" s="2" t="s">
        <v>960</v>
      </c>
      <c r="C643" s="2">
        <v>2.63</v>
      </c>
      <c r="D643" s="2">
        <v>0.23760000000000001</v>
      </c>
      <c r="E643" s="2" t="s">
        <v>961</v>
      </c>
    </row>
    <row r="644" spans="1:5" ht="20.25" customHeight="1" x14ac:dyDescent="0.15">
      <c r="A644" s="2" t="s">
        <v>2751</v>
      </c>
      <c r="B644" s="2" t="s">
        <v>2752</v>
      </c>
      <c r="C644" s="2">
        <v>2.63</v>
      </c>
      <c r="D644" s="2">
        <v>1.7804</v>
      </c>
      <c r="E644" s="2" t="s">
        <v>286</v>
      </c>
    </row>
    <row r="645" spans="1:5" ht="20.25" customHeight="1" x14ac:dyDescent="0.15">
      <c r="A645" s="2" t="s">
        <v>2823</v>
      </c>
      <c r="B645" s="2" t="s">
        <v>2824</v>
      </c>
      <c r="C645" s="2">
        <v>2.63</v>
      </c>
      <c r="D645" s="2">
        <v>0.61339999999999995</v>
      </c>
      <c r="E645" s="2" t="s">
        <v>1608</v>
      </c>
    </row>
    <row r="646" spans="1:5" ht="20.25" customHeight="1" x14ac:dyDescent="0.15">
      <c r="A646" s="2" t="s">
        <v>3577</v>
      </c>
      <c r="B646" s="2" t="s">
        <v>3578</v>
      </c>
      <c r="C646" s="2">
        <v>2.63</v>
      </c>
      <c r="D646" s="2">
        <v>2.3834</v>
      </c>
      <c r="E646" s="2" t="s">
        <v>1145</v>
      </c>
    </row>
    <row r="647" spans="1:5" ht="20.25" customHeight="1" x14ac:dyDescent="0.15">
      <c r="A647" s="2" t="s">
        <v>4580</v>
      </c>
      <c r="B647" s="2" t="s">
        <v>4581</v>
      </c>
      <c r="C647" s="2">
        <v>2.63</v>
      </c>
      <c r="D647" s="2">
        <v>1.7002999999999999</v>
      </c>
      <c r="E647" s="2" t="s">
        <v>86</v>
      </c>
    </row>
    <row r="648" spans="1:5" ht="20.25" customHeight="1" x14ac:dyDescent="0.15">
      <c r="A648" s="2" t="s">
        <v>1298</v>
      </c>
      <c r="B648" s="2" t="s">
        <v>1299</v>
      </c>
      <c r="C648" s="2">
        <v>2.625</v>
      </c>
      <c r="D648" s="2">
        <v>6.9199000000000002</v>
      </c>
      <c r="E648" s="2" t="s">
        <v>103</v>
      </c>
    </row>
    <row r="649" spans="1:5" ht="20.25" customHeight="1" x14ac:dyDescent="0.15">
      <c r="A649" s="2" t="s">
        <v>883</v>
      </c>
      <c r="B649" s="2" t="s">
        <v>884</v>
      </c>
      <c r="C649" s="2">
        <v>2.62</v>
      </c>
      <c r="D649" s="2">
        <v>0.71150000000000002</v>
      </c>
      <c r="E649" s="2" t="s">
        <v>741</v>
      </c>
    </row>
    <row r="650" spans="1:5" ht="20.25" customHeight="1" x14ac:dyDescent="0.15">
      <c r="A650" s="2" t="s">
        <v>2634</v>
      </c>
      <c r="B650" s="2" t="s">
        <v>2635</v>
      </c>
      <c r="C650" s="2">
        <v>2.62</v>
      </c>
      <c r="D650" s="2">
        <v>3.1023999999999998</v>
      </c>
      <c r="E650" s="2" t="s">
        <v>35</v>
      </c>
    </row>
    <row r="651" spans="1:5" ht="20.25" customHeight="1" x14ac:dyDescent="0.15">
      <c r="A651" s="2" t="s">
        <v>3336</v>
      </c>
      <c r="B651" s="2" t="s">
        <v>3337</v>
      </c>
      <c r="C651" s="2">
        <v>2.62</v>
      </c>
      <c r="D651" s="2">
        <v>0.37069999999999997</v>
      </c>
      <c r="E651" s="2" t="s">
        <v>704</v>
      </c>
    </row>
    <row r="652" spans="1:5" ht="20.25" customHeight="1" x14ac:dyDescent="0.15">
      <c r="A652" s="2" t="s">
        <v>5722</v>
      </c>
      <c r="B652" s="2" t="s">
        <v>5723</v>
      </c>
      <c r="C652" s="2">
        <v>2.62</v>
      </c>
      <c r="D652" s="2">
        <v>4.5842000000000001</v>
      </c>
      <c r="E652" s="2" t="s">
        <v>1061</v>
      </c>
    </row>
    <row r="653" spans="1:5" ht="20.25" customHeight="1" x14ac:dyDescent="0.15">
      <c r="A653" s="2" t="s">
        <v>6306</v>
      </c>
      <c r="B653" s="2" t="s">
        <v>6307</v>
      </c>
      <c r="C653" s="2">
        <v>2.6150000000000002</v>
      </c>
      <c r="D653" s="2">
        <v>0.57450000000000001</v>
      </c>
      <c r="E653" s="2" t="s">
        <v>286</v>
      </c>
    </row>
    <row r="654" spans="1:5" ht="20.25" customHeight="1" x14ac:dyDescent="0.15">
      <c r="A654" s="2" t="s">
        <v>141</v>
      </c>
      <c r="B654" s="2" t="s">
        <v>142</v>
      </c>
      <c r="C654" s="2">
        <v>2.61</v>
      </c>
      <c r="D654" s="2">
        <v>0.77229999999999999</v>
      </c>
      <c r="E654" s="2" t="s">
        <v>143</v>
      </c>
    </row>
    <row r="655" spans="1:5" ht="20.25" customHeight="1" x14ac:dyDescent="0.15">
      <c r="A655" s="2" t="s">
        <v>978</v>
      </c>
      <c r="B655" s="2" t="s">
        <v>979</v>
      </c>
      <c r="C655" s="2">
        <v>2.61</v>
      </c>
      <c r="D655" s="2">
        <v>1.1644000000000001</v>
      </c>
      <c r="E655" s="2" t="s">
        <v>68</v>
      </c>
    </row>
    <row r="656" spans="1:5" ht="20.25" customHeight="1" x14ac:dyDescent="0.15">
      <c r="A656" s="2" t="s">
        <v>3193</v>
      </c>
      <c r="B656" s="2" t="s">
        <v>3194</v>
      </c>
      <c r="C656" s="2">
        <v>2.61</v>
      </c>
      <c r="D656" s="2">
        <v>3.0194000000000001</v>
      </c>
      <c r="E656" s="2" t="s">
        <v>171</v>
      </c>
    </row>
    <row r="657" spans="1:5" ht="20.25" customHeight="1" x14ac:dyDescent="0.15">
      <c r="A657" s="2" t="s">
        <v>8219</v>
      </c>
      <c r="B657" s="2" t="s">
        <v>8220</v>
      </c>
      <c r="C657" s="2">
        <v>2.61</v>
      </c>
      <c r="D657" s="2">
        <v>1.1878</v>
      </c>
      <c r="E657" s="2" t="s">
        <v>1608</v>
      </c>
    </row>
    <row r="658" spans="1:5" ht="20.25" customHeight="1" x14ac:dyDescent="0.15">
      <c r="A658" s="2" t="s">
        <v>2004</v>
      </c>
      <c r="B658" s="2" t="s">
        <v>2005</v>
      </c>
      <c r="C658" s="2">
        <v>2.6</v>
      </c>
      <c r="D658" s="2">
        <v>37.722499999999997</v>
      </c>
      <c r="E658" s="2" t="s">
        <v>409</v>
      </c>
    </row>
    <row r="659" spans="1:5" ht="20.25" customHeight="1" x14ac:dyDescent="0.15">
      <c r="A659" s="2" t="s">
        <v>2254</v>
      </c>
      <c r="B659" s="2" t="s">
        <v>2255</v>
      </c>
      <c r="C659" s="2">
        <v>2.6</v>
      </c>
      <c r="D659" s="2">
        <v>2.9801000000000002</v>
      </c>
      <c r="E659" s="2" t="s">
        <v>71</v>
      </c>
    </row>
    <row r="660" spans="1:5" ht="20.25" customHeight="1" x14ac:dyDescent="0.15">
      <c r="A660" s="2" t="s">
        <v>3487</v>
      </c>
      <c r="B660" s="2" t="s">
        <v>3488</v>
      </c>
      <c r="C660" s="2">
        <v>2.6</v>
      </c>
      <c r="D660" s="2">
        <v>0.47320000000000001</v>
      </c>
      <c r="E660" s="2" t="s">
        <v>406</v>
      </c>
    </row>
    <row r="661" spans="1:5" ht="20.25" customHeight="1" x14ac:dyDescent="0.15">
      <c r="A661" s="2" t="s">
        <v>5746</v>
      </c>
      <c r="B661" s="2" t="s">
        <v>5747</v>
      </c>
      <c r="C661" s="2">
        <v>2.6</v>
      </c>
      <c r="D661" s="2">
        <v>3.1829000000000001</v>
      </c>
      <c r="E661" s="2" t="s">
        <v>41</v>
      </c>
    </row>
    <row r="662" spans="1:5" ht="20.25" customHeight="1" x14ac:dyDescent="0.15">
      <c r="A662" s="2" t="s">
        <v>7443</v>
      </c>
      <c r="B662" s="2" t="s">
        <v>7444</v>
      </c>
      <c r="C662" s="2">
        <v>2.6</v>
      </c>
      <c r="D662" s="2">
        <v>1.8387</v>
      </c>
      <c r="E662" s="2" t="s">
        <v>3130</v>
      </c>
    </row>
    <row r="663" spans="1:5" ht="20.25" customHeight="1" x14ac:dyDescent="0.15">
      <c r="A663" s="2" t="s">
        <v>7583</v>
      </c>
      <c r="B663" s="2" t="s">
        <v>7584</v>
      </c>
      <c r="C663" s="2">
        <v>2.6</v>
      </c>
      <c r="D663" s="2">
        <v>2.9990999999999999</v>
      </c>
      <c r="E663" s="2" t="s">
        <v>391</v>
      </c>
    </row>
    <row r="664" spans="1:5" ht="20.25" customHeight="1" x14ac:dyDescent="0.15">
      <c r="A664" s="2" t="s">
        <v>7999</v>
      </c>
      <c r="B664" s="2" t="s">
        <v>8000</v>
      </c>
      <c r="C664" s="2">
        <v>2.6</v>
      </c>
      <c r="D664" s="2">
        <v>0.84960000000000002</v>
      </c>
      <c r="E664" s="2" t="s">
        <v>68</v>
      </c>
    </row>
    <row r="665" spans="1:5" ht="20.25" customHeight="1" x14ac:dyDescent="0.15">
      <c r="A665" s="2" t="s">
        <v>1814</v>
      </c>
      <c r="B665" s="2" t="s">
        <v>1815</v>
      </c>
      <c r="C665" s="2">
        <v>2.59</v>
      </c>
      <c r="D665" s="2">
        <v>1.1607000000000001</v>
      </c>
      <c r="E665" s="2" t="s">
        <v>299</v>
      </c>
    </row>
    <row r="666" spans="1:5" ht="20.25" customHeight="1" x14ac:dyDescent="0.15">
      <c r="A666" s="2" t="s">
        <v>2066</v>
      </c>
      <c r="B666" s="2" t="s">
        <v>2067</v>
      </c>
      <c r="C666" s="2">
        <v>2.59</v>
      </c>
      <c r="D666" s="2">
        <v>3.7088000000000001</v>
      </c>
      <c r="E666" s="2" t="s">
        <v>2068</v>
      </c>
    </row>
    <row r="667" spans="1:5" ht="20.25" customHeight="1" x14ac:dyDescent="0.15">
      <c r="A667" s="2" t="s">
        <v>2884</v>
      </c>
      <c r="B667" s="2" t="s">
        <v>2885</v>
      </c>
      <c r="C667" s="2">
        <v>2.59</v>
      </c>
      <c r="D667" s="2">
        <v>2.9739</v>
      </c>
      <c r="E667" s="2" t="s">
        <v>685</v>
      </c>
    </row>
    <row r="668" spans="1:5" ht="20.25" customHeight="1" x14ac:dyDescent="0.15">
      <c r="A668" s="2" t="s">
        <v>3609</v>
      </c>
      <c r="B668" s="2" t="s">
        <v>3610</v>
      </c>
      <c r="C668" s="2">
        <v>2.59</v>
      </c>
      <c r="D668" s="2">
        <v>0.81330000000000002</v>
      </c>
      <c r="E668" s="2" t="s">
        <v>2068</v>
      </c>
    </row>
    <row r="669" spans="1:5" ht="20.25" customHeight="1" x14ac:dyDescent="0.15">
      <c r="A669" s="2" t="s">
        <v>208</v>
      </c>
      <c r="B669" s="2" t="s">
        <v>209</v>
      </c>
      <c r="C669" s="2">
        <v>2.58</v>
      </c>
      <c r="D669" s="2">
        <v>1.2202999999999999</v>
      </c>
      <c r="E669" s="2" t="s">
        <v>140</v>
      </c>
    </row>
    <row r="670" spans="1:5" ht="20.25" customHeight="1" x14ac:dyDescent="0.15">
      <c r="A670" s="2" t="s">
        <v>2504</v>
      </c>
      <c r="B670" s="2" t="s">
        <v>2505</v>
      </c>
      <c r="C670" s="2">
        <v>2.58</v>
      </c>
      <c r="D670" s="2">
        <v>0.42930000000000001</v>
      </c>
      <c r="E670" s="2" t="s">
        <v>201</v>
      </c>
    </row>
    <row r="671" spans="1:5" ht="20.25" customHeight="1" x14ac:dyDescent="0.15">
      <c r="A671" s="2" t="s">
        <v>5092</v>
      </c>
      <c r="B671" s="2" t="s">
        <v>5093</v>
      </c>
      <c r="C671" s="2">
        <v>2.58</v>
      </c>
      <c r="D671" s="2">
        <v>5.4154999999999998</v>
      </c>
      <c r="E671" s="2" t="s">
        <v>204</v>
      </c>
    </row>
    <row r="672" spans="1:5" ht="20.25" customHeight="1" x14ac:dyDescent="0.15">
      <c r="A672" s="2" t="s">
        <v>6172</v>
      </c>
      <c r="B672" s="2" t="s">
        <v>6173</v>
      </c>
      <c r="C672" s="2">
        <v>2.58</v>
      </c>
      <c r="D672" s="2">
        <v>3.2111000000000001</v>
      </c>
      <c r="E672" s="2" t="s">
        <v>1102</v>
      </c>
    </row>
    <row r="673" spans="1:5" ht="20.25" customHeight="1" x14ac:dyDescent="0.15">
      <c r="A673" s="2" t="s">
        <v>7739</v>
      </c>
      <c r="B673" s="2" t="s">
        <v>7740</v>
      </c>
      <c r="C673" s="2">
        <v>2.58</v>
      </c>
      <c r="D673" s="2">
        <v>2.9588999999999999</v>
      </c>
      <c r="E673" s="2" t="s">
        <v>638</v>
      </c>
    </row>
    <row r="674" spans="1:5" ht="20.25" customHeight="1" x14ac:dyDescent="0.15">
      <c r="A674" s="2" t="s">
        <v>4731</v>
      </c>
      <c r="B674" s="2" t="s">
        <v>4732</v>
      </c>
      <c r="C674" s="2">
        <v>2.5750000000000002</v>
      </c>
      <c r="D674" s="2">
        <v>0.49880000000000002</v>
      </c>
      <c r="E674" s="2" t="s">
        <v>421</v>
      </c>
    </row>
    <row r="675" spans="1:5" ht="20.25" customHeight="1" x14ac:dyDescent="0.15">
      <c r="A675" s="2" t="s">
        <v>774</v>
      </c>
      <c r="B675" s="2" t="s">
        <v>775</v>
      </c>
      <c r="C675" s="2">
        <v>2.57</v>
      </c>
      <c r="D675" s="2">
        <v>0.31119999999999998</v>
      </c>
      <c r="E675" s="2" t="s">
        <v>134</v>
      </c>
    </row>
    <row r="676" spans="1:5" ht="20.25" customHeight="1" x14ac:dyDescent="0.15">
      <c r="A676" s="2" t="s">
        <v>4558</v>
      </c>
      <c r="B676" s="2" t="s">
        <v>4559</v>
      </c>
      <c r="C676" s="2">
        <v>2.57</v>
      </c>
      <c r="D676" s="2">
        <v>3.6013000000000002</v>
      </c>
      <c r="E676" s="2" t="s">
        <v>140</v>
      </c>
    </row>
    <row r="677" spans="1:5" ht="20.25" customHeight="1" x14ac:dyDescent="0.15">
      <c r="A677" s="2" t="s">
        <v>5262</v>
      </c>
      <c r="B677" s="2" t="s">
        <v>5263</v>
      </c>
      <c r="C677" s="2">
        <v>2.57</v>
      </c>
      <c r="D677" s="2">
        <v>1.5589</v>
      </c>
      <c r="E677" s="2" t="s">
        <v>201</v>
      </c>
    </row>
    <row r="678" spans="1:5" ht="20.25" customHeight="1" x14ac:dyDescent="0.15">
      <c r="A678" s="2" t="s">
        <v>5439</v>
      </c>
      <c r="B678" s="2" t="s">
        <v>5440</v>
      </c>
      <c r="C678" s="2">
        <v>2.57</v>
      </c>
      <c r="D678" s="2">
        <v>15.202500000000001</v>
      </c>
      <c r="E678" s="2" t="s">
        <v>2681</v>
      </c>
    </row>
    <row r="679" spans="1:5" ht="20.25" customHeight="1" x14ac:dyDescent="0.15">
      <c r="A679" s="2" t="s">
        <v>7121</v>
      </c>
      <c r="B679" s="2" t="s">
        <v>7122</v>
      </c>
      <c r="C679" s="2">
        <v>2.57</v>
      </c>
      <c r="D679" s="2">
        <v>1.8795999999999999</v>
      </c>
      <c r="E679" s="2" t="s">
        <v>120</v>
      </c>
    </row>
    <row r="680" spans="1:5" ht="20.25" customHeight="1" x14ac:dyDescent="0.15">
      <c r="A680" s="2" t="s">
        <v>634</v>
      </c>
      <c r="B680" s="2" t="s">
        <v>635</v>
      </c>
      <c r="C680" s="2">
        <v>2.56</v>
      </c>
      <c r="D680" s="2">
        <v>1.206</v>
      </c>
      <c r="E680" s="2" t="s">
        <v>21</v>
      </c>
    </row>
    <row r="681" spans="1:5" ht="20.25" customHeight="1" x14ac:dyDescent="0.15">
      <c r="A681" s="2" t="s">
        <v>1536</v>
      </c>
      <c r="B681" s="2" t="s">
        <v>1537</v>
      </c>
      <c r="C681" s="2">
        <v>2.56</v>
      </c>
      <c r="D681" s="2">
        <v>1.7279</v>
      </c>
      <c r="E681" s="2" t="s">
        <v>699</v>
      </c>
    </row>
    <row r="682" spans="1:5" ht="20.25" customHeight="1" x14ac:dyDescent="0.15">
      <c r="A682" s="2" t="s">
        <v>2016</v>
      </c>
      <c r="B682" s="2" t="s">
        <v>2017</v>
      </c>
      <c r="C682" s="2">
        <v>2.56</v>
      </c>
      <c r="D682" s="2">
        <v>1.3409</v>
      </c>
      <c r="E682" s="2" t="s">
        <v>741</v>
      </c>
    </row>
    <row r="683" spans="1:5" ht="20.25" customHeight="1" x14ac:dyDescent="0.15">
      <c r="A683" s="2" t="s">
        <v>3986</v>
      </c>
      <c r="B683" s="2" t="s">
        <v>3987</v>
      </c>
      <c r="C683" s="2">
        <v>2.56</v>
      </c>
      <c r="D683" s="2">
        <v>1.7467999999999999</v>
      </c>
      <c r="E683" s="2" t="s">
        <v>647</v>
      </c>
    </row>
    <row r="684" spans="1:5" ht="20.25" customHeight="1" x14ac:dyDescent="0.15">
      <c r="A684" s="2" t="s">
        <v>5182</v>
      </c>
      <c r="B684" s="2" t="s">
        <v>5183</v>
      </c>
      <c r="C684" s="2">
        <v>2.56</v>
      </c>
      <c r="D684" s="2">
        <v>1.1603000000000001</v>
      </c>
      <c r="E684" s="2" t="s">
        <v>1608</v>
      </c>
    </row>
    <row r="685" spans="1:5" ht="20.25" customHeight="1" x14ac:dyDescent="0.15">
      <c r="A685" s="2" t="s">
        <v>5200</v>
      </c>
      <c r="B685" s="2" t="s">
        <v>5201</v>
      </c>
      <c r="C685" s="2">
        <v>2.56</v>
      </c>
      <c r="D685" s="2">
        <v>3.9962</v>
      </c>
      <c r="E685" s="2" t="s">
        <v>1997</v>
      </c>
    </row>
    <row r="686" spans="1:5" ht="20.25" customHeight="1" x14ac:dyDescent="0.15">
      <c r="A686" s="2" t="s">
        <v>4929</v>
      </c>
      <c r="B686" s="2" t="s">
        <v>4930</v>
      </c>
      <c r="C686" s="2">
        <v>2.5550000000000002</v>
      </c>
      <c r="D686" s="2">
        <v>1.5797000000000001</v>
      </c>
      <c r="E686" s="2" t="s">
        <v>356</v>
      </c>
    </row>
    <row r="687" spans="1:5" ht="20.25" customHeight="1" x14ac:dyDescent="0.15">
      <c r="A687" s="2" t="s">
        <v>1451</v>
      </c>
      <c r="B687" s="2" t="s">
        <v>1452</v>
      </c>
      <c r="C687" s="2">
        <v>2.5499999999999998</v>
      </c>
      <c r="D687" s="2">
        <v>1.9866999999999999</v>
      </c>
      <c r="E687" s="2" t="s">
        <v>630</v>
      </c>
    </row>
    <row r="688" spans="1:5" ht="20.25" customHeight="1" x14ac:dyDescent="0.15">
      <c r="A688" s="2" t="s">
        <v>4723</v>
      </c>
      <c r="B688" s="2" t="s">
        <v>4724</v>
      </c>
      <c r="C688" s="2">
        <v>2.5499999999999998</v>
      </c>
      <c r="D688" s="2">
        <v>2.9832000000000001</v>
      </c>
      <c r="E688" s="2" t="s">
        <v>41</v>
      </c>
    </row>
    <row r="689" spans="1:5" ht="20.25" customHeight="1" x14ac:dyDescent="0.15">
      <c r="A689" s="2" t="s">
        <v>172</v>
      </c>
      <c r="B689" s="2" t="s">
        <v>173</v>
      </c>
      <c r="C689" s="2">
        <v>2.54</v>
      </c>
      <c r="D689" s="2">
        <v>2.0981999999999998</v>
      </c>
      <c r="E689" s="2" t="s">
        <v>21</v>
      </c>
    </row>
    <row r="690" spans="1:5" ht="20.25" customHeight="1" x14ac:dyDescent="0.15">
      <c r="A690" s="2" t="s">
        <v>4512</v>
      </c>
      <c r="B690" s="2" t="s">
        <v>4513</v>
      </c>
      <c r="C690" s="2">
        <v>2.54</v>
      </c>
      <c r="D690" s="2">
        <v>96.303399999999996</v>
      </c>
      <c r="E690" s="2" t="s">
        <v>143</v>
      </c>
    </row>
    <row r="691" spans="1:5" ht="20.25" customHeight="1" x14ac:dyDescent="0.15">
      <c r="A691" s="2" t="s">
        <v>8345</v>
      </c>
      <c r="B691" s="2" t="s">
        <v>8346</v>
      </c>
      <c r="C691" s="2">
        <v>2.54</v>
      </c>
      <c r="D691" s="2">
        <v>0.47810000000000002</v>
      </c>
      <c r="E691" s="2" t="s">
        <v>1158</v>
      </c>
    </row>
    <row r="692" spans="1:5" ht="20.25" customHeight="1" x14ac:dyDescent="0.15">
      <c r="A692" s="2" t="s">
        <v>7547</v>
      </c>
      <c r="B692" s="2" t="s">
        <v>7548</v>
      </c>
      <c r="C692" s="2">
        <v>2.5350000000000001</v>
      </c>
      <c r="D692" s="2">
        <v>1.054</v>
      </c>
      <c r="E692" s="2" t="s">
        <v>2151</v>
      </c>
    </row>
    <row r="693" spans="1:5" ht="20.25" customHeight="1" x14ac:dyDescent="0.15">
      <c r="A693" s="2" t="s">
        <v>2240</v>
      </c>
      <c r="B693" s="2" t="s">
        <v>2241</v>
      </c>
      <c r="C693" s="2">
        <v>2.5299999999999998</v>
      </c>
      <c r="D693" s="2">
        <v>0.98370000000000002</v>
      </c>
      <c r="E693" s="2" t="s">
        <v>1224</v>
      </c>
    </row>
    <row r="694" spans="1:5" ht="20.25" customHeight="1" x14ac:dyDescent="0.15">
      <c r="A694" s="2" t="s">
        <v>3274</v>
      </c>
      <c r="B694" s="2" t="s">
        <v>3275</v>
      </c>
      <c r="C694" s="2">
        <v>2.5299999999999998</v>
      </c>
      <c r="D694" s="2">
        <v>0.87729999999999997</v>
      </c>
      <c r="E694" s="2" t="s">
        <v>365</v>
      </c>
    </row>
    <row r="695" spans="1:5" ht="20.25" customHeight="1" x14ac:dyDescent="0.15">
      <c r="A695" s="2" t="s">
        <v>4761</v>
      </c>
      <c r="B695" s="2" t="s">
        <v>4762</v>
      </c>
      <c r="C695" s="2">
        <v>2.5299999999999998</v>
      </c>
      <c r="D695" s="2">
        <v>4.2507000000000001</v>
      </c>
      <c r="E695" s="2" t="s">
        <v>41</v>
      </c>
    </row>
    <row r="696" spans="1:5" ht="20.25" customHeight="1" x14ac:dyDescent="0.15">
      <c r="A696" s="2" t="s">
        <v>33</v>
      </c>
      <c r="B696" s="2" t="s">
        <v>34</v>
      </c>
      <c r="C696" s="2">
        <v>2.52</v>
      </c>
      <c r="D696" s="2">
        <v>2.4569000000000001</v>
      </c>
      <c r="E696" s="2" t="s">
        <v>35</v>
      </c>
    </row>
    <row r="697" spans="1:5" ht="20.25" customHeight="1" x14ac:dyDescent="0.15">
      <c r="A697" s="2" t="s">
        <v>327</v>
      </c>
      <c r="B697" s="2" t="s">
        <v>328</v>
      </c>
      <c r="C697" s="2">
        <v>2.52</v>
      </c>
      <c r="D697" s="2">
        <v>1.8741000000000001</v>
      </c>
      <c r="E697" s="2" t="s">
        <v>329</v>
      </c>
    </row>
    <row r="698" spans="1:5" ht="20.25" customHeight="1" x14ac:dyDescent="0.15">
      <c r="A698" s="2" t="s">
        <v>3742</v>
      </c>
      <c r="B698" s="2" t="s">
        <v>3743</v>
      </c>
      <c r="C698" s="2">
        <v>2.52</v>
      </c>
      <c r="D698" s="2">
        <v>4.2435999999999998</v>
      </c>
      <c r="E698" s="2" t="s">
        <v>149</v>
      </c>
    </row>
    <row r="699" spans="1:5" ht="20.25" customHeight="1" x14ac:dyDescent="0.15">
      <c r="A699" s="2" t="s">
        <v>6670</v>
      </c>
      <c r="B699" s="2" t="s">
        <v>6671</v>
      </c>
      <c r="C699" s="2">
        <v>2.52</v>
      </c>
      <c r="D699" s="2">
        <v>2.4712000000000001</v>
      </c>
      <c r="E699" s="2" t="s">
        <v>41</v>
      </c>
    </row>
    <row r="700" spans="1:5" ht="20.25" customHeight="1" x14ac:dyDescent="0.15">
      <c r="A700" s="2" t="s">
        <v>6779</v>
      </c>
      <c r="B700" s="2" t="s">
        <v>6780</v>
      </c>
      <c r="C700" s="2">
        <v>2.52</v>
      </c>
      <c r="D700" s="2">
        <v>0.92689999999999995</v>
      </c>
      <c r="E700" s="2" t="s">
        <v>310</v>
      </c>
    </row>
    <row r="701" spans="1:5" ht="20.25" customHeight="1" x14ac:dyDescent="0.15">
      <c r="A701" s="2" t="s">
        <v>8065</v>
      </c>
      <c r="B701" s="2" t="s">
        <v>8066</v>
      </c>
      <c r="C701" s="2">
        <v>2.52</v>
      </c>
      <c r="D701" s="2">
        <v>1.2197</v>
      </c>
      <c r="E701" s="2" t="s">
        <v>3048</v>
      </c>
    </row>
    <row r="702" spans="1:5" ht="20.25" customHeight="1" x14ac:dyDescent="0.15">
      <c r="A702" s="2" t="s">
        <v>3587</v>
      </c>
      <c r="B702" s="2" t="s">
        <v>3588</v>
      </c>
      <c r="C702" s="2">
        <v>2.5150000000000001</v>
      </c>
      <c r="D702" s="2">
        <v>3.5369999999999999</v>
      </c>
      <c r="E702" s="2" t="s">
        <v>44</v>
      </c>
    </row>
    <row r="703" spans="1:5" ht="20.25" customHeight="1" x14ac:dyDescent="0.15">
      <c r="A703" s="2" t="s">
        <v>2548</v>
      </c>
      <c r="B703" s="2" t="s">
        <v>2549</v>
      </c>
      <c r="C703" s="2">
        <v>2.5099999999999998</v>
      </c>
      <c r="D703" s="2">
        <v>2.6959</v>
      </c>
      <c r="E703" s="2" t="s">
        <v>704</v>
      </c>
    </row>
    <row r="704" spans="1:5" ht="20.25" customHeight="1" x14ac:dyDescent="0.15">
      <c r="A704" s="2" t="s">
        <v>3172</v>
      </c>
      <c r="B704" s="2" t="s">
        <v>3173</v>
      </c>
      <c r="C704" s="2">
        <v>2.5099999999999998</v>
      </c>
      <c r="D704" s="2">
        <v>1.0257000000000001</v>
      </c>
      <c r="E704" s="2" t="s">
        <v>44</v>
      </c>
    </row>
    <row r="705" spans="1:5" ht="20.25" customHeight="1" x14ac:dyDescent="0.15">
      <c r="A705" s="2" t="s">
        <v>3843</v>
      </c>
      <c r="B705" s="2" t="s">
        <v>3844</v>
      </c>
      <c r="C705" s="2">
        <v>2.5099999999999998</v>
      </c>
      <c r="D705" s="2">
        <v>2.4186999999999999</v>
      </c>
      <c r="E705" s="2" t="s">
        <v>137</v>
      </c>
    </row>
    <row r="706" spans="1:5" ht="20.25" customHeight="1" x14ac:dyDescent="0.15">
      <c r="A706" s="2" t="s">
        <v>6170</v>
      </c>
      <c r="B706" s="2" t="s">
        <v>6171</v>
      </c>
      <c r="C706" s="2">
        <v>2.5099999999999998</v>
      </c>
      <c r="D706" s="2">
        <v>1.1552</v>
      </c>
      <c r="E706" s="2" t="s">
        <v>1403</v>
      </c>
    </row>
    <row r="707" spans="1:5" ht="20.25" customHeight="1" x14ac:dyDescent="0.15">
      <c r="A707" s="2" t="s">
        <v>7973</v>
      </c>
      <c r="B707" s="2" t="s">
        <v>7974</v>
      </c>
      <c r="C707" s="2">
        <v>2.5099999999999998</v>
      </c>
      <c r="D707" s="2">
        <v>7.9234999999999998</v>
      </c>
      <c r="E707" s="2" t="s">
        <v>1338</v>
      </c>
    </row>
    <row r="708" spans="1:5" ht="20.25" customHeight="1" x14ac:dyDescent="0.15">
      <c r="A708" s="2" t="s">
        <v>422</v>
      </c>
      <c r="B708" s="2" t="s">
        <v>423</v>
      </c>
      <c r="C708" s="2">
        <v>2.5</v>
      </c>
      <c r="D708" s="2">
        <v>0.67449999999999999</v>
      </c>
      <c r="E708" s="2" t="s">
        <v>143</v>
      </c>
    </row>
    <row r="709" spans="1:5" ht="20.25" customHeight="1" x14ac:dyDescent="0.15">
      <c r="A709" s="2" t="s">
        <v>658</v>
      </c>
      <c r="B709" s="2" t="s">
        <v>659</v>
      </c>
      <c r="C709" s="2">
        <v>2.5</v>
      </c>
      <c r="D709" s="2">
        <v>1.0354000000000001</v>
      </c>
      <c r="E709" s="2" t="s">
        <v>176</v>
      </c>
    </row>
    <row r="710" spans="1:5" ht="20.25" customHeight="1" x14ac:dyDescent="0.15">
      <c r="A710" s="2" t="s">
        <v>2250</v>
      </c>
      <c r="B710" s="2" t="s">
        <v>2251</v>
      </c>
      <c r="C710" s="2">
        <v>2.5</v>
      </c>
      <c r="D710" s="2">
        <v>1.6989000000000001</v>
      </c>
      <c r="E710" s="2" t="s">
        <v>220</v>
      </c>
    </row>
    <row r="711" spans="1:5" ht="20.25" customHeight="1" x14ac:dyDescent="0.15">
      <c r="A711" s="2" t="s">
        <v>2803</v>
      </c>
      <c r="B711" s="2" t="s">
        <v>2804</v>
      </c>
      <c r="C711" s="2">
        <v>2.5</v>
      </c>
      <c r="D711" s="2">
        <v>1.1957</v>
      </c>
      <c r="E711" s="2" t="s">
        <v>374</v>
      </c>
    </row>
    <row r="712" spans="1:5" ht="20.25" customHeight="1" x14ac:dyDescent="0.15">
      <c r="A712" s="2" t="s">
        <v>5621</v>
      </c>
      <c r="B712" s="2" t="s">
        <v>5622</v>
      </c>
      <c r="C712" s="2">
        <v>2.5</v>
      </c>
      <c r="D712" s="2">
        <v>10.8489</v>
      </c>
      <c r="E712" s="2" t="s">
        <v>268</v>
      </c>
    </row>
    <row r="713" spans="1:5" ht="20.25" customHeight="1" x14ac:dyDescent="0.15">
      <c r="A713" s="2" t="s">
        <v>6126</v>
      </c>
      <c r="B713" s="2" t="s">
        <v>6127</v>
      </c>
      <c r="C713" s="2">
        <v>2.5</v>
      </c>
      <c r="D713" s="2">
        <v>1.2999000000000001</v>
      </c>
      <c r="E713" s="2" t="s">
        <v>44</v>
      </c>
    </row>
    <row r="714" spans="1:5" ht="20.25" customHeight="1" x14ac:dyDescent="0.15">
      <c r="A714" s="2" t="s">
        <v>7099</v>
      </c>
      <c r="B714" s="2" t="s">
        <v>7100</v>
      </c>
      <c r="C714" s="2">
        <v>2.5</v>
      </c>
      <c r="D714" s="2">
        <v>5.2034000000000002</v>
      </c>
      <c r="E714" s="2" t="s">
        <v>371</v>
      </c>
    </row>
    <row r="715" spans="1:5" ht="20.25" customHeight="1" x14ac:dyDescent="0.15">
      <c r="A715" s="2" t="s">
        <v>8383</v>
      </c>
      <c r="B715" s="2" t="s">
        <v>8384</v>
      </c>
      <c r="C715" s="2">
        <v>2.5</v>
      </c>
      <c r="D715" s="2">
        <v>1.7284999999999999</v>
      </c>
      <c r="E715" s="2" t="s">
        <v>630</v>
      </c>
    </row>
    <row r="716" spans="1:5" ht="20.25" customHeight="1" x14ac:dyDescent="0.15">
      <c r="A716" s="2" t="s">
        <v>1455</v>
      </c>
      <c r="B716" s="2" t="s">
        <v>1456</v>
      </c>
      <c r="C716" s="2">
        <v>2.4900000000000002</v>
      </c>
      <c r="D716" s="2">
        <v>4.2960000000000003</v>
      </c>
      <c r="E716" s="2" t="s">
        <v>201</v>
      </c>
    </row>
    <row r="717" spans="1:5" ht="20.25" customHeight="1" x14ac:dyDescent="0.15">
      <c r="A717" s="2" t="s">
        <v>1571</v>
      </c>
      <c r="B717" s="2" t="s">
        <v>1572</v>
      </c>
      <c r="C717" s="2">
        <v>2.4900000000000002</v>
      </c>
      <c r="D717" s="2">
        <v>15.441000000000001</v>
      </c>
      <c r="E717" s="2" t="s">
        <v>254</v>
      </c>
    </row>
    <row r="718" spans="1:5" ht="20.25" customHeight="1" x14ac:dyDescent="0.15">
      <c r="A718" s="2" t="s">
        <v>1883</v>
      </c>
      <c r="B718" s="2" t="s">
        <v>1884</v>
      </c>
      <c r="C718" s="2">
        <v>2.4900000000000002</v>
      </c>
      <c r="D718" s="2">
        <v>2.4051</v>
      </c>
      <c r="E718" s="2" t="s">
        <v>388</v>
      </c>
    </row>
    <row r="719" spans="1:5" ht="20.25" customHeight="1" x14ac:dyDescent="0.15">
      <c r="A719" s="2" t="s">
        <v>3744</v>
      </c>
      <c r="B719" s="2" t="s">
        <v>3745</v>
      </c>
      <c r="C719" s="2">
        <v>2.4900000000000002</v>
      </c>
      <c r="D719" s="2">
        <v>16.954499999999999</v>
      </c>
      <c r="E719" s="2" t="s">
        <v>1224</v>
      </c>
    </row>
    <row r="720" spans="1:5" ht="20.25" customHeight="1" x14ac:dyDescent="0.15">
      <c r="A720" s="2" t="s">
        <v>5028</v>
      </c>
      <c r="B720" s="2" t="s">
        <v>5029</v>
      </c>
      <c r="C720" s="2">
        <v>2.4900000000000002</v>
      </c>
      <c r="D720" s="2">
        <v>0.78739999999999999</v>
      </c>
      <c r="E720" s="2" t="s">
        <v>310</v>
      </c>
    </row>
    <row r="721" spans="1:5" ht="20.25" customHeight="1" x14ac:dyDescent="0.15">
      <c r="A721" s="2" t="s">
        <v>5683</v>
      </c>
      <c r="B721" s="2" t="s">
        <v>5684</v>
      </c>
      <c r="C721" s="2">
        <v>2.4900000000000002</v>
      </c>
      <c r="D721" s="2">
        <v>3.2538</v>
      </c>
      <c r="E721" s="2" t="s">
        <v>406</v>
      </c>
    </row>
    <row r="722" spans="1:5" ht="20.25" customHeight="1" x14ac:dyDescent="0.15">
      <c r="A722" s="2" t="s">
        <v>1614</v>
      </c>
      <c r="B722" s="2" t="s">
        <v>1615</v>
      </c>
      <c r="C722" s="2">
        <v>2.48</v>
      </c>
      <c r="D722" s="2">
        <v>1.0204</v>
      </c>
      <c r="E722" s="2" t="s">
        <v>286</v>
      </c>
    </row>
    <row r="723" spans="1:5" ht="20.25" customHeight="1" x14ac:dyDescent="0.15">
      <c r="A723" s="2" t="s">
        <v>2383</v>
      </c>
      <c r="B723" s="2" t="s">
        <v>2384</v>
      </c>
      <c r="C723" s="2">
        <v>2.48</v>
      </c>
      <c r="D723" s="2">
        <v>1.1941999999999999</v>
      </c>
      <c r="E723" s="2" t="s">
        <v>207</v>
      </c>
    </row>
    <row r="724" spans="1:5" ht="20.25" customHeight="1" x14ac:dyDescent="0.15">
      <c r="A724" s="2" t="s">
        <v>2602</v>
      </c>
      <c r="B724" s="2" t="s">
        <v>2603</v>
      </c>
      <c r="C724" s="2">
        <v>2.48</v>
      </c>
      <c r="D724" s="2">
        <v>4.1132999999999997</v>
      </c>
      <c r="E724" s="2" t="s">
        <v>140</v>
      </c>
    </row>
    <row r="725" spans="1:5" ht="20.25" customHeight="1" x14ac:dyDescent="0.15">
      <c r="A725" s="2" t="s">
        <v>3921</v>
      </c>
      <c r="B725" s="2" t="s">
        <v>3922</v>
      </c>
      <c r="C725" s="2">
        <v>2.48</v>
      </c>
      <c r="D725" s="2">
        <v>1.5253000000000001</v>
      </c>
      <c r="E725" s="2" t="s">
        <v>501</v>
      </c>
    </row>
    <row r="726" spans="1:5" ht="20.25" customHeight="1" x14ac:dyDescent="0.15">
      <c r="A726" s="2" t="s">
        <v>4582</v>
      </c>
      <c r="B726" s="2" t="s">
        <v>4583</v>
      </c>
      <c r="C726" s="2">
        <v>2.48</v>
      </c>
      <c r="D726" s="2">
        <v>2.9986999999999999</v>
      </c>
      <c r="E726" s="2" t="s">
        <v>176</v>
      </c>
    </row>
    <row r="727" spans="1:5" ht="20.25" customHeight="1" x14ac:dyDescent="0.15">
      <c r="A727" s="2" t="s">
        <v>6853</v>
      </c>
      <c r="B727" s="2" t="s">
        <v>6854</v>
      </c>
      <c r="C727" s="2">
        <v>2.48</v>
      </c>
      <c r="D727" s="2">
        <v>2.7839999999999998</v>
      </c>
      <c r="E727" s="2" t="s">
        <v>120</v>
      </c>
    </row>
    <row r="728" spans="1:5" ht="20.25" customHeight="1" x14ac:dyDescent="0.15">
      <c r="A728" s="2" t="s">
        <v>7415</v>
      </c>
      <c r="B728" s="2" t="s">
        <v>7416</v>
      </c>
      <c r="C728" s="2">
        <v>2.48</v>
      </c>
      <c r="D728" s="2">
        <v>0.75649999999999995</v>
      </c>
      <c r="E728" s="2" t="s">
        <v>1608</v>
      </c>
    </row>
    <row r="729" spans="1:5" ht="20.25" customHeight="1" x14ac:dyDescent="0.15">
      <c r="A729" s="2" t="s">
        <v>7989</v>
      </c>
      <c r="B729" s="2" t="s">
        <v>7990</v>
      </c>
      <c r="C729" s="2">
        <v>2.48</v>
      </c>
      <c r="D729" s="2">
        <v>0.71030000000000004</v>
      </c>
      <c r="E729" s="2" t="s">
        <v>713</v>
      </c>
    </row>
    <row r="730" spans="1:5" ht="20.25" customHeight="1" x14ac:dyDescent="0.15">
      <c r="A730" s="2" t="s">
        <v>962</v>
      </c>
      <c r="B730" s="2" t="s">
        <v>963</v>
      </c>
      <c r="C730" s="2">
        <v>2.4700000000000002</v>
      </c>
      <c r="D730" s="2">
        <v>1.2344999999999999</v>
      </c>
      <c r="E730" s="2" t="s">
        <v>171</v>
      </c>
    </row>
    <row r="731" spans="1:5" ht="20.25" customHeight="1" x14ac:dyDescent="0.15">
      <c r="A731" s="2" t="s">
        <v>1598</v>
      </c>
      <c r="B731" s="2" t="s">
        <v>1599</v>
      </c>
      <c r="C731" s="2">
        <v>2.4700000000000002</v>
      </c>
      <c r="D731" s="2">
        <v>11.8431</v>
      </c>
      <c r="E731" s="2" t="s">
        <v>630</v>
      </c>
    </row>
    <row r="732" spans="1:5" ht="20.25" customHeight="1" x14ac:dyDescent="0.15">
      <c r="A732" s="2" t="s">
        <v>6444</v>
      </c>
      <c r="B732" s="2" t="s">
        <v>6445</v>
      </c>
      <c r="C732" s="2">
        <v>2.4700000000000002</v>
      </c>
      <c r="D732" s="2">
        <v>1.5028999999999999</v>
      </c>
      <c r="E732" s="2" t="s">
        <v>4939</v>
      </c>
    </row>
    <row r="733" spans="1:5" ht="20.25" customHeight="1" x14ac:dyDescent="0.15">
      <c r="A733" s="2" t="s">
        <v>53</v>
      </c>
      <c r="B733" s="2" t="s">
        <v>54</v>
      </c>
      <c r="C733" s="2">
        <v>2.46</v>
      </c>
      <c r="D733" s="2">
        <v>1.8142</v>
      </c>
      <c r="E733" s="2" t="s">
        <v>55</v>
      </c>
    </row>
    <row r="734" spans="1:5" ht="20.25" customHeight="1" x14ac:dyDescent="0.15">
      <c r="A734" s="2" t="s">
        <v>202</v>
      </c>
      <c r="B734" s="2" t="s">
        <v>203</v>
      </c>
      <c r="C734" s="2">
        <v>2.46</v>
      </c>
      <c r="D734" s="2">
        <v>4.6651999999999996</v>
      </c>
      <c r="E734" s="2" t="s">
        <v>204</v>
      </c>
    </row>
    <row r="735" spans="1:5" ht="20.25" customHeight="1" x14ac:dyDescent="0.15">
      <c r="A735" s="2" t="s">
        <v>404</v>
      </c>
      <c r="B735" s="2" t="s">
        <v>405</v>
      </c>
      <c r="C735" s="2">
        <v>2.46</v>
      </c>
      <c r="D735" s="2">
        <v>1.7232000000000001</v>
      </c>
      <c r="E735" s="2" t="s">
        <v>406</v>
      </c>
    </row>
    <row r="736" spans="1:5" ht="20.25" customHeight="1" x14ac:dyDescent="0.15">
      <c r="A736" s="2" t="s">
        <v>2863</v>
      </c>
      <c r="B736" s="2" t="s">
        <v>2864</v>
      </c>
      <c r="C736" s="2">
        <v>2.46</v>
      </c>
      <c r="D736" s="2">
        <v>0.61099999999999999</v>
      </c>
      <c r="E736" s="2" t="s">
        <v>2865</v>
      </c>
    </row>
    <row r="737" spans="1:5" ht="20.25" customHeight="1" x14ac:dyDescent="0.15">
      <c r="A737" s="2" t="s">
        <v>2905</v>
      </c>
      <c r="B737" s="2" t="s">
        <v>2906</v>
      </c>
      <c r="C737" s="2">
        <v>2.46</v>
      </c>
      <c r="D737" s="2">
        <v>1.4628000000000001</v>
      </c>
      <c r="E737" s="2" t="s">
        <v>961</v>
      </c>
    </row>
    <row r="738" spans="1:5" ht="20.25" customHeight="1" x14ac:dyDescent="0.15">
      <c r="A738" s="2" t="s">
        <v>4966</v>
      </c>
      <c r="B738" s="2" t="s">
        <v>4967</v>
      </c>
      <c r="C738" s="2">
        <v>2.46</v>
      </c>
      <c r="D738" s="2">
        <v>132.36420000000001</v>
      </c>
      <c r="E738" s="2" t="s">
        <v>1873</v>
      </c>
    </row>
    <row r="739" spans="1:5" ht="20.25" customHeight="1" x14ac:dyDescent="0.15">
      <c r="A739" s="2" t="s">
        <v>5278</v>
      </c>
      <c r="B739" s="2" t="s">
        <v>5279</v>
      </c>
      <c r="C739" s="2">
        <v>2.46</v>
      </c>
      <c r="D739" s="2">
        <v>1.2319</v>
      </c>
      <c r="E739" s="2" t="s">
        <v>2463</v>
      </c>
    </row>
    <row r="740" spans="1:5" ht="20.25" customHeight="1" x14ac:dyDescent="0.15">
      <c r="A740" s="2" t="s">
        <v>7043</v>
      </c>
      <c r="B740" s="2" t="s">
        <v>7044</v>
      </c>
      <c r="C740" s="2">
        <v>2.46</v>
      </c>
      <c r="D740" s="2">
        <v>1.2563</v>
      </c>
      <c r="E740" s="2" t="s">
        <v>406</v>
      </c>
    </row>
    <row r="741" spans="1:5" ht="20.25" customHeight="1" x14ac:dyDescent="0.15">
      <c r="A741" s="2" t="s">
        <v>7243</v>
      </c>
      <c r="B741" s="2" t="s">
        <v>7244</v>
      </c>
      <c r="C741" s="2">
        <v>2.46</v>
      </c>
      <c r="D741" s="2">
        <v>3.3197000000000001</v>
      </c>
      <c r="E741" s="2" t="s">
        <v>1801</v>
      </c>
    </row>
    <row r="742" spans="1:5" ht="20.25" customHeight="1" x14ac:dyDescent="0.15">
      <c r="A742" s="2" t="s">
        <v>5958</v>
      </c>
      <c r="B742" s="2" t="s">
        <v>5959</v>
      </c>
      <c r="C742" s="2">
        <v>2.4550000000000001</v>
      </c>
      <c r="D742" s="2">
        <v>1.0289999999999999</v>
      </c>
      <c r="E742" s="2" t="s">
        <v>1243</v>
      </c>
    </row>
    <row r="743" spans="1:5" ht="20.25" customHeight="1" x14ac:dyDescent="0.15">
      <c r="A743" s="2" t="s">
        <v>1007</v>
      </c>
      <c r="B743" s="2" t="s">
        <v>1008</v>
      </c>
      <c r="C743" s="2">
        <v>2.4500000000000002</v>
      </c>
      <c r="D743" s="2">
        <v>0.59009999999999996</v>
      </c>
      <c r="E743" s="2" t="s">
        <v>784</v>
      </c>
    </row>
    <row r="744" spans="1:5" ht="20.25" customHeight="1" x14ac:dyDescent="0.15">
      <c r="A744" s="2" t="s">
        <v>3290</v>
      </c>
      <c r="B744" s="2" t="s">
        <v>3291</v>
      </c>
      <c r="C744" s="2">
        <v>2.4500000000000002</v>
      </c>
      <c r="D744" s="2">
        <v>2.3165</v>
      </c>
      <c r="E744" s="2" t="s">
        <v>3048</v>
      </c>
    </row>
    <row r="745" spans="1:5" ht="20.25" customHeight="1" x14ac:dyDescent="0.15">
      <c r="A745" s="2" t="s">
        <v>4374</v>
      </c>
      <c r="B745" s="2" t="s">
        <v>4375</v>
      </c>
      <c r="C745" s="2">
        <v>2.4500000000000002</v>
      </c>
      <c r="D745" s="2">
        <v>1.1612</v>
      </c>
      <c r="E745" s="2" t="s">
        <v>356</v>
      </c>
    </row>
    <row r="746" spans="1:5" ht="20.25" customHeight="1" x14ac:dyDescent="0.15">
      <c r="A746" s="2" t="s">
        <v>3388</v>
      </c>
      <c r="B746" s="2" t="s">
        <v>3389</v>
      </c>
      <c r="C746" s="2">
        <v>2.4449999999999998</v>
      </c>
      <c r="D746" s="2">
        <v>4.5172999999999996</v>
      </c>
      <c r="E746" s="2" t="s">
        <v>3390</v>
      </c>
    </row>
    <row r="747" spans="1:5" ht="20.25" customHeight="1" x14ac:dyDescent="0.15">
      <c r="A747" s="2" t="s">
        <v>4474</v>
      </c>
      <c r="B747" s="2" t="s">
        <v>4475</v>
      </c>
      <c r="C747" s="2">
        <v>2.4449999999999998</v>
      </c>
      <c r="D747" s="2">
        <v>1.7251000000000001</v>
      </c>
      <c r="E747" s="2" t="s">
        <v>794</v>
      </c>
    </row>
    <row r="748" spans="1:5" ht="20.25" customHeight="1" x14ac:dyDescent="0.15">
      <c r="A748" s="2" t="s">
        <v>908</v>
      </c>
      <c r="B748" s="2" t="s">
        <v>909</v>
      </c>
      <c r="C748" s="2">
        <v>2.44</v>
      </c>
      <c r="D748" s="2">
        <v>1.411</v>
      </c>
      <c r="E748" s="2" t="s">
        <v>146</v>
      </c>
    </row>
    <row r="749" spans="1:5" ht="20.25" customHeight="1" x14ac:dyDescent="0.15">
      <c r="A749" s="2" t="s">
        <v>1847</v>
      </c>
      <c r="B749" s="2" t="s">
        <v>1848</v>
      </c>
      <c r="C749" s="2">
        <v>2.44</v>
      </c>
      <c r="D749" s="2">
        <v>60.599200000000003</v>
      </c>
      <c r="E749" s="2" t="s">
        <v>657</v>
      </c>
    </row>
    <row r="750" spans="1:5" ht="20.25" customHeight="1" x14ac:dyDescent="0.15">
      <c r="A750" s="2" t="s">
        <v>4542</v>
      </c>
      <c r="B750" s="2" t="s">
        <v>4543</v>
      </c>
      <c r="C750" s="2">
        <v>2.44</v>
      </c>
      <c r="D750" s="2">
        <v>2.9645999999999999</v>
      </c>
      <c r="E750" s="2" t="s">
        <v>44</v>
      </c>
    </row>
    <row r="751" spans="1:5" ht="20.25" customHeight="1" x14ac:dyDescent="0.15">
      <c r="A751" s="2" t="s">
        <v>4668</v>
      </c>
      <c r="B751" s="2" t="s">
        <v>4669</v>
      </c>
      <c r="C751" s="2">
        <v>2.44</v>
      </c>
      <c r="D751" s="2">
        <v>2.0257000000000001</v>
      </c>
      <c r="E751" s="2" t="s">
        <v>596</v>
      </c>
    </row>
    <row r="752" spans="1:5" ht="20.25" customHeight="1" x14ac:dyDescent="0.15">
      <c r="A752" s="2" t="s">
        <v>6016</v>
      </c>
      <c r="B752" s="2" t="s">
        <v>6017</v>
      </c>
      <c r="C752" s="2">
        <v>2.44</v>
      </c>
      <c r="D752" s="2">
        <v>0.45929999999999999</v>
      </c>
      <c r="E752" s="2" t="s">
        <v>647</v>
      </c>
    </row>
    <row r="753" spans="1:5" ht="20.25" customHeight="1" x14ac:dyDescent="0.15">
      <c r="A753" s="2" t="s">
        <v>7451</v>
      </c>
      <c r="B753" s="2" t="s">
        <v>7452</v>
      </c>
      <c r="C753" s="2">
        <v>2.44</v>
      </c>
      <c r="D753" s="2">
        <v>4.3689999999999998</v>
      </c>
      <c r="E753" s="2" t="s">
        <v>385</v>
      </c>
    </row>
    <row r="754" spans="1:5" ht="20.25" customHeight="1" x14ac:dyDescent="0.15">
      <c r="A754" s="2" t="s">
        <v>472</v>
      </c>
      <c r="B754" s="2" t="s">
        <v>473</v>
      </c>
      <c r="C754" s="2">
        <v>2.4300000000000002</v>
      </c>
      <c r="D754" s="2">
        <v>1.1614</v>
      </c>
      <c r="E754" s="2" t="s">
        <v>95</v>
      </c>
    </row>
    <row r="755" spans="1:5" ht="20.25" customHeight="1" x14ac:dyDescent="0.15">
      <c r="A755" s="2" t="s">
        <v>1721</v>
      </c>
      <c r="B755" s="2" t="s">
        <v>1722</v>
      </c>
      <c r="C755" s="2">
        <v>2.4300000000000002</v>
      </c>
      <c r="D755" s="2">
        <v>10.659599999999999</v>
      </c>
      <c r="E755" s="2" t="s">
        <v>385</v>
      </c>
    </row>
    <row r="756" spans="1:5" ht="20.25" customHeight="1" x14ac:dyDescent="0.15">
      <c r="A756" s="2" t="s">
        <v>2676</v>
      </c>
      <c r="B756" s="2" t="s">
        <v>2677</v>
      </c>
      <c r="C756" s="2">
        <v>2.4300000000000002</v>
      </c>
      <c r="D756" s="2">
        <v>83.127899999999997</v>
      </c>
      <c r="E756" s="2" t="s">
        <v>2678</v>
      </c>
    </row>
    <row r="757" spans="1:5" ht="20.25" customHeight="1" x14ac:dyDescent="0.15">
      <c r="A757" s="2" t="s">
        <v>4821</v>
      </c>
      <c r="B757" s="2" t="s">
        <v>4822</v>
      </c>
      <c r="C757" s="2">
        <v>2.4300000000000002</v>
      </c>
      <c r="D757" s="2">
        <v>2.0236000000000001</v>
      </c>
      <c r="E757" s="2" t="s">
        <v>406</v>
      </c>
    </row>
    <row r="758" spans="1:5" ht="20.25" customHeight="1" x14ac:dyDescent="0.15">
      <c r="A758" s="2" t="s">
        <v>5324</v>
      </c>
      <c r="B758" s="2" t="s">
        <v>5325</v>
      </c>
      <c r="C758" s="2">
        <v>2.4300000000000002</v>
      </c>
      <c r="D758" s="2">
        <v>2.2275</v>
      </c>
      <c r="E758" s="2" t="s">
        <v>123</v>
      </c>
    </row>
    <row r="759" spans="1:5" ht="20.25" customHeight="1" x14ac:dyDescent="0.15">
      <c r="A759" s="2" t="s">
        <v>6508</v>
      </c>
      <c r="B759" s="2" t="s">
        <v>6509</v>
      </c>
      <c r="C759" s="2">
        <v>2.4300000000000002</v>
      </c>
      <c r="D759" s="2">
        <v>2.4969000000000001</v>
      </c>
      <c r="E759" s="2" t="s">
        <v>506</v>
      </c>
    </row>
    <row r="760" spans="1:5" ht="20.25" customHeight="1" x14ac:dyDescent="0.15">
      <c r="A760" s="2" t="s">
        <v>5080</v>
      </c>
      <c r="B760" s="2" t="s">
        <v>5081</v>
      </c>
      <c r="C760" s="2">
        <v>2.4249999999999998</v>
      </c>
      <c r="D760" s="2">
        <v>2.2837999999999998</v>
      </c>
      <c r="E760" s="2" t="s">
        <v>71</v>
      </c>
    </row>
    <row r="761" spans="1:5" ht="20.25" customHeight="1" x14ac:dyDescent="0.15">
      <c r="A761" s="2" t="s">
        <v>147</v>
      </c>
      <c r="B761" s="2" t="s">
        <v>148</v>
      </c>
      <c r="C761" s="2">
        <v>2.42</v>
      </c>
      <c r="D761" s="2">
        <v>2.7713000000000001</v>
      </c>
      <c r="E761" s="2" t="s">
        <v>149</v>
      </c>
    </row>
    <row r="762" spans="1:5" ht="20.25" customHeight="1" x14ac:dyDescent="0.15">
      <c r="A762" s="2" t="s">
        <v>804</v>
      </c>
      <c r="B762" s="2" t="s">
        <v>805</v>
      </c>
      <c r="C762" s="2">
        <v>2.42</v>
      </c>
      <c r="D762" s="2">
        <v>1.6624000000000001</v>
      </c>
      <c r="E762" s="2" t="s">
        <v>747</v>
      </c>
    </row>
    <row r="763" spans="1:5" ht="20.25" customHeight="1" x14ac:dyDescent="0.15">
      <c r="A763" s="2" t="s">
        <v>3730</v>
      </c>
      <c r="B763" s="2" t="s">
        <v>3731</v>
      </c>
      <c r="C763" s="2">
        <v>2.42</v>
      </c>
      <c r="D763" s="2">
        <v>7.8978999999999999</v>
      </c>
      <c r="E763" s="2" t="s">
        <v>630</v>
      </c>
    </row>
    <row r="764" spans="1:5" ht="20.25" customHeight="1" x14ac:dyDescent="0.15">
      <c r="A764" s="2" t="s">
        <v>6406</v>
      </c>
      <c r="B764" s="2" t="s">
        <v>6407</v>
      </c>
      <c r="C764" s="2">
        <v>2.42</v>
      </c>
      <c r="D764" s="2">
        <v>1.7717000000000001</v>
      </c>
      <c r="E764" s="2" t="s">
        <v>1608</v>
      </c>
    </row>
    <row r="765" spans="1:5" ht="20.25" customHeight="1" x14ac:dyDescent="0.15">
      <c r="A765" s="2" t="s">
        <v>6642</v>
      </c>
      <c r="B765" s="2" t="s">
        <v>6643</v>
      </c>
      <c r="C765" s="2">
        <v>2.42</v>
      </c>
      <c r="D765" s="2">
        <v>4.5400999999999998</v>
      </c>
      <c r="E765" s="2" t="s">
        <v>299</v>
      </c>
    </row>
    <row r="766" spans="1:5" ht="20.25" customHeight="1" x14ac:dyDescent="0.15">
      <c r="A766" s="2" t="s">
        <v>7369</v>
      </c>
      <c r="B766" s="2" t="s">
        <v>7370</v>
      </c>
      <c r="C766" s="2">
        <v>2.42</v>
      </c>
      <c r="D766" s="2">
        <v>3.8294000000000001</v>
      </c>
      <c r="E766" s="2" t="s">
        <v>2374</v>
      </c>
    </row>
    <row r="767" spans="1:5" ht="20.25" customHeight="1" x14ac:dyDescent="0.15">
      <c r="A767" s="2" t="s">
        <v>3933</v>
      </c>
      <c r="B767" s="2" t="s">
        <v>3934</v>
      </c>
      <c r="C767" s="2">
        <v>2.415</v>
      </c>
      <c r="D767" s="2">
        <v>2.9891999999999999</v>
      </c>
      <c r="E767" s="2" t="s">
        <v>2724</v>
      </c>
    </row>
    <row r="768" spans="1:5" ht="20.25" customHeight="1" x14ac:dyDescent="0.15">
      <c r="A768" s="2" t="s">
        <v>995</v>
      </c>
      <c r="B768" s="2" t="s">
        <v>996</v>
      </c>
      <c r="C768" s="2">
        <v>2.41</v>
      </c>
      <c r="D768" s="2">
        <v>0.87929999999999997</v>
      </c>
      <c r="E768" s="2" t="s">
        <v>276</v>
      </c>
    </row>
    <row r="769" spans="1:5" ht="20.25" customHeight="1" x14ac:dyDescent="0.15">
      <c r="A769" s="2" t="s">
        <v>2727</v>
      </c>
      <c r="B769" s="2" t="s">
        <v>2728</v>
      </c>
      <c r="C769" s="2">
        <v>2.41</v>
      </c>
      <c r="D769" s="2">
        <v>0.55110000000000003</v>
      </c>
      <c r="E769" s="2" t="s">
        <v>1224</v>
      </c>
    </row>
    <row r="770" spans="1:5" ht="20.25" customHeight="1" x14ac:dyDescent="0.15">
      <c r="A770" s="2" t="s">
        <v>3665</v>
      </c>
      <c r="B770" s="2" t="s">
        <v>3666</v>
      </c>
      <c r="C770" s="2">
        <v>2.41</v>
      </c>
      <c r="D770" s="2">
        <v>1.1195999999999999</v>
      </c>
      <c r="E770" s="2" t="s">
        <v>1403</v>
      </c>
    </row>
    <row r="771" spans="1:5" ht="20.25" customHeight="1" x14ac:dyDescent="0.15">
      <c r="A771" s="2" t="s">
        <v>3827</v>
      </c>
      <c r="B771" s="2" t="s">
        <v>3828</v>
      </c>
      <c r="C771" s="2">
        <v>2.41</v>
      </c>
      <c r="D771" s="2">
        <v>5.0453000000000001</v>
      </c>
      <c r="E771" s="2" t="s">
        <v>1061</v>
      </c>
    </row>
    <row r="772" spans="1:5" ht="20.25" customHeight="1" x14ac:dyDescent="0.15">
      <c r="A772" s="2" t="s">
        <v>4304</v>
      </c>
      <c r="B772" s="2" t="s">
        <v>4305</v>
      </c>
      <c r="C772" s="2">
        <v>2.41</v>
      </c>
      <c r="D772" s="2">
        <v>0.26840000000000003</v>
      </c>
      <c r="E772" s="2" t="s">
        <v>418</v>
      </c>
    </row>
    <row r="773" spans="1:5" ht="20.25" customHeight="1" x14ac:dyDescent="0.15">
      <c r="A773" s="2" t="s">
        <v>5796</v>
      </c>
      <c r="B773" s="2" t="s">
        <v>5797</v>
      </c>
      <c r="C773" s="2">
        <v>2.41</v>
      </c>
      <c r="D773" s="2">
        <v>5.6811999999999996</v>
      </c>
      <c r="E773" s="2" t="s">
        <v>86</v>
      </c>
    </row>
    <row r="774" spans="1:5" ht="20.25" customHeight="1" x14ac:dyDescent="0.15">
      <c r="A774" s="2" t="s">
        <v>3374</v>
      </c>
      <c r="B774" s="2" t="s">
        <v>3375</v>
      </c>
      <c r="C774" s="2">
        <v>2.4049999999999998</v>
      </c>
      <c r="D774" s="2">
        <v>0.33479999999999999</v>
      </c>
      <c r="E774" s="2" t="s">
        <v>1403</v>
      </c>
    </row>
    <row r="775" spans="1:5" ht="20.25" customHeight="1" x14ac:dyDescent="0.15">
      <c r="A775" s="2" t="s">
        <v>7671</v>
      </c>
      <c r="B775" s="2" t="s">
        <v>7672</v>
      </c>
      <c r="C775" s="2">
        <v>2.4049999999999998</v>
      </c>
      <c r="D775" s="2">
        <v>1.2381</v>
      </c>
      <c r="E775" s="2" t="s">
        <v>506</v>
      </c>
    </row>
    <row r="776" spans="1:5" ht="20.25" customHeight="1" x14ac:dyDescent="0.15">
      <c r="A776" s="2" t="s">
        <v>261</v>
      </c>
      <c r="B776" s="2" t="s">
        <v>262</v>
      </c>
      <c r="C776" s="2">
        <v>2.4</v>
      </c>
      <c r="D776" s="2">
        <v>1.5202</v>
      </c>
      <c r="E776" s="2" t="s">
        <v>106</v>
      </c>
    </row>
    <row r="777" spans="1:5" ht="20.25" customHeight="1" x14ac:dyDescent="0.15">
      <c r="A777" s="2" t="s">
        <v>653</v>
      </c>
      <c r="B777" s="2" t="s">
        <v>654</v>
      </c>
      <c r="C777" s="2">
        <v>2.4</v>
      </c>
      <c r="D777" s="2">
        <v>4.9420999999999999</v>
      </c>
      <c r="E777" s="2" t="s">
        <v>198</v>
      </c>
    </row>
    <row r="778" spans="1:5" ht="20.25" customHeight="1" x14ac:dyDescent="0.15">
      <c r="A778" s="2" t="s">
        <v>700</v>
      </c>
      <c r="B778" s="2" t="s">
        <v>701</v>
      </c>
      <c r="C778" s="2">
        <v>2.4</v>
      </c>
      <c r="D778" s="2">
        <v>1.1605000000000001</v>
      </c>
      <c r="E778" s="2" t="s">
        <v>35</v>
      </c>
    </row>
    <row r="779" spans="1:5" ht="20.25" customHeight="1" x14ac:dyDescent="0.15">
      <c r="A779" s="2" t="s">
        <v>2280</v>
      </c>
      <c r="B779" s="2" t="s">
        <v>2281</v>
      </c>
      <c r="C779" s="2">
        <v>2.4</v>
      </c>
      <c r="D779" s="2">
        <v>47.885800000000003</v>
      </c>
      <c r="E779" s="2" t="s">
        <v>1034</v>
      </c>
    </row>
    <row r="780" spans="1:5" ht="20.25" customHeight="1" x14ac:dyDescent="0.15">
      <c r="A780" s="2" t="s">
        <v>2340</v>
      </c>
      <c r="B780" s="2" t="s">
        <v>2341</v>
      </c>
      <c r="C780" s="2">
        <v>2.4</v>
      </c>
      <c r="D780" s="2">
        <v>2.9186000000000001</v>
      </c>
      <c r="E780" s="2" t="s">
        <v>589</v>
      </c>
    </row>
    <row r="781" spans="1:5" ht="20.25" customHeight="1" x14ac:dyDescent="0.15">
      <c r="A781" s="2" t="s">
        <v>5288</v>
      </c>
      <c r="B781" s="2" t="s">
        <v>5289</v>
      </c>
      <c r="C781" s="2">
        <v>2.4</v>
      </c>
      <c r="D781" s="2">
        <v>86.156899999999993</v>
      </c>
      <c r="E781" s="2" t="s">
        <v>260</v>
      </c>
    </row>
    <row r="782" spans="1:5" ht="20.25" customHeight="1" x14ac:dyDescent="0.15">
      <c r="A782" s="2" t="s">
        <v>6154</v>
      </c>
      <c r="B782" s="2" t="s">
        <v>6155</v>
      </c>
      <c r="C782" s="2">
        <v>2.4</v>
      </c>
      <c r="D782" s="2">
        <v>1.5895999999999999</v>
      </c>
      <c r="E782" s="2" t="s">
        <v>1224</v>
      </c>
    </row>
    <row r="783" spans="1:5" ht="20.25" customHeight="1" x14ac:dyDescent="0.15">
      <c r="A783" s="2" t="s">
        <v>8133</v>
      </c>
      <c r="B783" s="2" t="s">
        <v>8134</v>
      </c>
      <c r="C783" s="2">
        <v>2.4</v>
      </c>
      <c r="D783" s="2">
        <v>2.5017999999999998</v>
      </c>
      <c r="E783" s="2" t="s">
        <v>647</v>
      </c>
    </row>
    <row r="784" spans="1:5" ht="20.25" customHeight="1" x14ac:dyDescent="0.15">
      <c r="A784" s="2" t="s">
        <v>3471</v>
      </c>
      <c r="B784" s="2" t="s">
        <v>3472</v>
      </c>
      <c r="C784" s="2">
        <v>2.395</v>
      </c>
      <c r="D784" s="2">
        <v>5.7161</v>
      </c>
      <c r="E784" s="2" t="s">
        <v>176</v>
      </c>
    </row>
    <row r="785" spans="1:5" ht="20.25" customHeight="1" x14ac:dyDescent="0.15">
      <c r="A785" s="2" t="s">
        <v>6188</v>
      </c>
      <c r="B785" s="2" t="s">
        <v>6189</v>
      </c>
      <c r="C785" s="2">
        <v>2.395</v>
      </c>
      <c r="D785" s="2">
        <v>5.9020000000000001</v>
      </c>
      <c r="E785" s="2" t="s">
        <v>391</v>
      </c>
    </row>
    <row r="786" spans="1:5" ht="20.25" customHeight="1" x14ac:dyDescent="0.15">
      <c r="A786" s="2" t="s">
        <v>1169</v>
      </c>
      <c r="B786" s="2" t="s">
        <v>1170</v>
      </c>
      <c r="C786" s="2">
        <v>2.39</v>
      </c>
      <c r="D786" s="2">
        <v>0.91720000000000002</v>
      </c>
      <c r="E786" s="2" t="s">
        <v>633</v>
      </c>
    </row>
    <row r="787" spans="1:5" ht="20.25" customHeight="1" x14ac:dyDescent="0.15">
      <c r="A787" s="2" t="s">
        <v>2576</v>
      </c>
      <c r="B787" s="2" t="s">
        <v>2577</v>
      </c>
      <c r="C787" s="2">
        <v>2.39</v>
      </c>
      <c r="D787" s="2">
        <v>6.0892999999999997</v>
      </c>
      <c r="E787" s="2" t="s">
        <v>1199</v>
      </c>
    </row>
    <row r="788" spans="1:5" ht="20.25" customHeight="1" x14ac:dyDescent="0.15">
      <c r="A788" s="2" t="s">
        <v>6448</v>
      </c>
      <c r="B788" s="2" t="s">
        <v>6449</v>
      </c>
      <c r="C788" s="2">
        <v>2.39</v>
      </c>
      <c r="D788" s="2">
        <v>1.0656000000000001</v>
      </c>
      <c r="E788" s="2" t="s">
        <v>1691</v>
      </c>
    </row>
    <row r="789" spans="1:5" ht="20.25" customHeight="1" x14ac:dyDescent="0.15">
      <c r="A789" s="2" t="s">
        <v>538</v>
      </c>
      <c r="B789" s="2" t="s">
        <v>539</v>
      </c>
      <c r="C789" s="2">
        <v>2.38</v>
      </c>
      <c r="D789" s="2">
        <v>1.1736</v>
      </c>
      <c r="E789" s="2" t="s">
        <v>430</v>
      </c>
    </row>
    <row r="790" spans="1:5" ht="20.25" customHeight="1" x14ac:dyDescent="0.15">
      <c r="A790" s="2" t="s">
        <v>1907</v>
      </c>
      <c r="B790" s="2" t="s">
        <v>1908</v>
      </c>
      <c r="C790" s="2">
        <v>2.38</v>
      </c>
      <c r="D790" s="2">
        <v>13.6762</v>
      </c>
      <c r="E790" s="2" t="s">
        <v>265</v>
      </c>
    </row>
    <row r="791" spans="1:5" ht="20.25" customHeight="1" x14ac:dyDescent="0.15">
      <c r="A791" s="2" t="s">
        <v>2913</v>
      </c>
      <c r="B791" s="2" t="s">
        <v>2914</v>
      </c>
      <c r="C791" s="2">
        <v>2.38</v>
      </c>
      <c r="D791" s="2">
        <v>0.36309999999999998</v>
      </c>
      <c r="E791" s="2" t="s">
        <v>201</v>
      </c>
    </row>
    <row r="792" spans="1:5" ht="20.25" customHeight="1" x14ac:dyDescent="0.15">
      <c r="A792" s="2" t="s">
        <v>4316</v>
      </c>
      <c r="B792" s="2" t="s">
        <v>4317</v>
      </c>
      <c r="C792" s="2">
        <v>2.38</v>
      </c>
      <c r="D792" s="2">
        <v>9.1653000000000002</v>
      </c>
      <c r="E792" s="2" t="s">
        <v>220</v>
      </c>
    </row>
    <row r="793" spans="1:5" ht="20.25" customHeight="1" x14ac:dyDescent="0.15">
      <c r="A793" s="2" t="s">
        <v>6680</v>
      </c>
      <c r="B793" s="2" t="s">
        <v>6681</v>
      </c>
      <c r="C793" s="2">
        <v>2.38</v>
      </c>
      <c r="D793" s="2">
        <v>0.84330000000000005</v>
      </c>
      <c r="E793" s="2" t="s">
        <v>201</v>
      </c>
    </row>
    <row r="794" spans="1:5" ht="20.25" customHeight="1" x14ac:dyDescent="0.15">
      <c r="A794" s="2" t="s">
        <v>7757</v>
      </c>
      <c r="B794" s="2" t="s">
        <v>7758</v>
      </c>
      <c r="C794" s="2">
        <v>2.38</v>
      </c>
      <c r="D794" s="2">
        <v>7.4225000000000003</v>
      </c>
      <c r="E794" s="2" t="s">
        <v>137</v>
      </c>
    </row>
    <row r="795" spans="1:5" ht="20.25" customHeight="1" x14ac:dyDescent="0.15">
      <c r="A795" s="2" t="s">
        <v>306</v>
      </c>
      <c r="B795" s="2" t="s">
        <v>307</v>
      </c>
      <c r="C795" s="2">
        <v>2.37</v>
      </c>
      <c r="D795" s="2">
        <v>1.4724999999999999</v>
      </c>
      <c r="E795" s="2" t="s">
        <v>13</v>
      </c>
    </row>
    <row r="796" spans="1:5" ht="20.25" customHeight="1" x14ac:dyDescent="0.15">
      <c r="A796" s="2" t="s">
        <v>1271</v>
      </c>
      <c r="B796" s="2" t="s">
        <v>1272</v>
      </c>
      <c r="C796" s="2">
        <v>2.37</v>
      </c>
      <c r="D796" s="2">
        <v>1.4671000000000001</v>
      </c>
      <c r="E796" s="2" t="s">
        <v>406</v>
      </c>
    </row>
    <row r="797" spans="1:5" ht="20.25" customHeight="1" x14ac:dyDescent="0.15">
      <c r="A797" s="2" t="s">
        <v>1581</v>
      </c>
      <c r="B797" s="2" t="s">
        <v>1582</v>
      </c>
      <c r="C797" s="2">
        <v>2.37</v>
      </c>
      <c r="D797" s="2">
        <v>0.53769999999999996</v>
      </c>
      <c r="E797" s="2" t="s">
        <v>68</v>
      </c>
    </row>
    <row r="798" spans="1:5" ht="20.25" customHeight="1" x14ac:dyDescent="0.15">
      <c r="A798" s="2" t="s">
        <v>1678</v>
      </c>
      <c r="B798" s="2" t="s">
        <v>1679</v>
      </c>
      <c r="C798" s="2">
        <v>2.37</v>
      </c>
      <c r="D798" s="2">
        <v>1.0388999999999999</v>
      </c>
      <c r="E798" s="2" t="s">
        <v>1680</v>
      </c>
    </row>
    <row r="799" spans="1:5" ht="20.25" customHeight="1" x14ac:dyDescent="0.15">
      <c r="A799" s="2" t="s">
        <v>2890</v>
      </c>
      <c r="B799" s="2" t="s">
        <v>2891</v>
      </c>
      <c r="C799" s="2">
        <v>2.37</v>
      </c>
      <c r="D799" s="2">
        <v>5.3710000000000004</v>
      </c>
      <c r="E799" s="2" t="s">
        <v>727</v>
      </c>
    </row>
    <row r="800" spans="1:5" ht="20.25" customHeight="1" x14ac:dyDescent="0.15">
      <c r="A800" s="2" t="s">
        <v>4530</v>
      </c>
      <c r="B800" s="2" t="s">
        <v>4531</v>
      </c>
      <c r="C800" s="2">
        <v>2.37</v>
      </c>
      <c r="D800" s="2">
        <v>0.45960000000000001</v>
      </c>
      <c r="E800" s="2" t="s">
        <v>89</v>
      </c>
    </row>
    <row r="801" spans="1:5" ht="20.25" customHeight="1" x14ac:dyDescent="0.15">
      <c r="A801" s="2" t="s">
        <v>5282</v>
      </c>
      <c r="B801" s="2" t="s">
        <v>5283</v>
      </c>
      <c r="C801" s="2">
        <v>2.37</v>
      </c>
      <c r="D801" s="2">
        <v>0.46110000000000001</v>
      </c>
      <c r="E801" s="2" t="s">
        <v>201</v>
      </c>
    </row>
    <row r="802" spans="1:5" ht="20.25" customHeight="1" x14ac:dyDescent="0.15">
      <c r="A802" s="2" t="s">
        <v>7229</v>
      </c>
      <c r="B802" s="2" t="s">
        <v>7230</v>
      </c>
      <c r="C802" s="2">
        <v>2.37</v>
      </c>
      <c r="D802" s="2">
        <v>0.31159999999999999</v>
      </c>
      <c r="E802" s="2" t="s">
        <v>713</v>
      </c>
    </row>
    <row r="803" spans="1:5" ht="20.25" customHeight="1" x14ac:dyDescent="0.15">
      <c r="A803" s="2" t="s">
        <v>1355</v>
      </c>
      <c r="B803" s="2" t="s">
        <v>1356</v>
      </c>
      <c r="C803" s="2">
        <v>2.36</v>
      </c>
      <c r="D803" s="2">
        <v>1.3399000000000001</v>
      </c>
      <c r="E803" s="2" t="s">
        <v>596</v>
      </c>
    </row>
    <row r="804" spans="1:5" ht="20.25" customHeight="1" x14ac:dyDescent="0.15">
      <c r="A804" s="2" t="s">
        <v>1789</v>
      </c>
      <c r="B804" s="2" t="s">
        <v>1790</v>
      </c>
      <c r="C804" s="2">
        <v>2.36</v>
      </c>
      <c r="D804" s="2">
        <v>1.9918</v>
      </c>
      <c r="E804" s="2" t="s">
        <v>690</v>
      </c>
    </row>
    <row r="805" spans="1:5" ht="20.25" customHeight="1" x14ac:dyDescent="0.15">
      <c r="A805" s="2" t="s">
        <v>2260</v>
      </c>
      <c r="B805" s="2" t="s">
        <v>2261</v>
      </c>
      <c r="C805" s="2">
        <v>2.36</v>
      </c>
      <c r="D805" s="2">
        <v>19.733000000000001</v>
      </c>
      <c r="E805" s="2" t="s">
        <v>176</v>
      </c>
    </row>
    <row r="806" spans="1:5" ht="20.25" customHeight="1" x14ac:dyDescent="0.15">
      <c r="A806" s="2" t="s">
        <v>2935</v>
      </c>
      <c r="B806" s="2" t="s">
        <v>2936</v>
      </c>
      <c r="C806" s="2">
        <v>2.36</v>
      </c>
      <c r="D806" s="2">
        <v>0.86080000000000001</v>
      </c>
      <c r="E806" s="2" t="s">
        <v>1680</v>
      </c>
    </row>
    <row r="807" spans="1:5" ht="20.25" customHeight="1" x14ac:dyDescent="0.15">
      <c r="A807" s="2" t="s">
        <v>3595</v>
      </c>
      <c r="B807" s="2" t="s">
        <v>3596</v>
      </c>
      <c r="C807" s="2">
        <v>2.36</v>
      </c>
      <c r="D807" s="2">
        <v>8.2582000000000004</v>
      </c>
      <c r="E807" s="2" t="s">
        <v>176</v>
      </c>
    </row>
    <row r="808" spans="1:5" ht="20.25" customHeight="1" x14ac:dyDescent="0.15">
      <c r="A808" s="2" t="s">
        <v>6412</v>
      </c>
      <c r="B808" s="2" t="s">
        <v>6413</v>
      </c>
      <c r="C808" s="2">
        <v>2.36</v>
      </c>
      <c r="D808" s="2">
        <v>1.4226000000000001</v>
      </c>
      <c r="E808" s="2" t="s">
        <v>784</v>
      </c>
    </row>
    <row r="809" spans="1:5" ht="20.25" customHeight="1" x14ac:dyDescent="0.15">
      <c r="A809" s="2" t="s">
        <v>7411</v>
      </c>
      <c r="B809" s="2" t="s">
        <v>7412</v>
      </c>
      <c r="C809" s="2">
        <v>2.36</v>
      </c>
      <c r="D809" s="2">
        <v>2.0552999999999999</v>
      </c>
      <c r="E809" s="2" t="s">
        <v>670</v>
      </c>
    </row>
    <row r="810" spans="1:5" ht="20.25" customHeight="1" x14ac:dyDescent="0.15">
      <c r="A810" s="2" t="s">
        <v>4286</v>
      </c>
      <c r="B810" s="2" t="s">
        <v>4287</v>
      </c>
      <c r="C810" s="2">
        <v>2.355</v>
      </c>
      <c r="D810" s="2">
        <v>5.6128</v>
      </c>
      <c r="E810" s="2" t="s">
        <v>2063</v>
      </c>
    </row>
    <row r="811" spans="1:5" ht="20.25" customHeight="1" x14ac:dyDescent="0.15">
      <c r="A811" s="2" t="s">
        <v>612</v>
      </c>
      <c r="B811" s="2" t="s">
        <v>613</v>
      </c>
      <c r="C811" s="2">
        <v>2.35</v>
      </c>
      <c r="D811" s="2">
        <v>1.9561999999999999</v>
      </c>
      <c r="E811" s="2" t="s">
        <v>614</v>
      </c>
    </row>
    <row r="812" spans="1:5" ht="20.25" customHeight="1" x14ac:dyDescent="0.15">
      <c r="A812" s="2" t="s">
        <v>1395</v>
      </c>
      <c r="B812" s="2" t="s">
        <v>1396</v>
      </c>
      <c r="C812" s="2">
        <v>2.35</v>
      </c>
      <c r="D812" s="2">
        <v>4.5467000000000004</v>
      </c>
      <c r="E812" s="2" t="s">
        <v>265</v>
      </c>
    </row>
    <row r="813" spans="1:5" ht="20.25" customHeight="1" x14ac:dyDescent="0.15">
      <c r="A813" s="2" t="s">
        <v>3941</v>
      </c>
      <c r="B813" s="2" t="s">
        <v>3942</v>
      </c>
      <c r="C813" s="2">
        <v>2.35</v>
      </c>
      <c r="D813" s="2">
        <v>10.4168</v>
      </c>
      <c r="E813" s="2" t="s">
        <v>1243</v>
      </c>
    </row>
    <row r="814" spans="1:5" ht="20.25" customHeight="1" x14ac:dyDescent="0.15">
      <c r="A814" s="2" t="s">
        <v>5970</v>
      </c>
      <c r="B814" s="2" t="s">
        <v>5971</v>
      </c>
      <c r="C814" s="2">
        <v>2.35</v>
      </c>
      <c r="D814" s="2">
        <v>6.0313999999999997</v>
      </c>
      <c r="E814" s="2" t="s">
        <v>260</v>
      </c>
    </row>
    <row r="815" spans="1:5" ht="20.25" customHeight="1" x14ac:dyDescent="0.15">
      <c r="A815" s="2" t="s">
        <v>6236</v>
      </c>
      <c r="B815" s="2" t="s">
        <v>6237</v>
      </c>
      <c r="C815" s="2">
        <v>2.35</v>
      </c>
      <c r="D815" s="2">
        <v>2.0242</v>
      </c>
      <c r="E815" s="2" t="s">
        <v>1139</v>
      </c>
    </row>
    <row r="816" spans="1:5" ht="20.25" customHeight="1" x14ac:dyDescent="0.15">
      <c r="A816" s="2" t="s">
        <v>7821</v>
      </c>
      <c r="B816" s="2" t="s">
        <v>7822</v>
      </c>
      <c r="C816" s="2">
        <v>2.35</v>
      </c>
      <c r="D816" s="2">
        <v>2.5987</v>
      </c>
      <c r="E816" s="2" t="s">
        <v>201</v>
      </c>
    </row>
    <row r="817" spans="1:5" ht="20.25" customHeight="1" x14ac:dyDescent="0.15">
      <c r="A817" s="2" t="s">
        <v>8261</v>
      </c>
      <c r="B817" s="2" t="s">
        <v>8262</v>
      </c>
      <c r="C817" s="2">
        <v>2.35</v>
      </c>
      <c r="D817" s="2">
        <v>14.0783</v>
      </c>
      <c r="E817" s="2" t="s">
        <v>299</v>
      </c>
    </row>
    <row r="818" spans="1:5" ht="20.25" customHeight="1" x14ac:dyDescent="0.15">
      <c r="A818" s="2" t="s">
        <v>757</v>
      </c>
      <c r="B818" s="2" t="s">
        <v>758</v>
      </c>
      <c r="C818" s="2">
        <v>2.34</v>
      </c>
      <c r="D818" s="2">
        <v>137.28120000000001</v>
      </c>
      <c r="E818" s="2" t="s">
        <v>207</v>
      </c>
    </row>
    <row r="819" spans="1:5" ht="20.25" customHeight="1" x14ac:dyDescent="0.15">
      <c r="A819" s="2" t="s">
        <v>1868</v>
      </c>
      <c r="B819" s="2" t="s">
        <v>1869</v>
      </c>
      <c r="C819" s="2">
        <v>2.34</v>
      </c>
      <c r="D819" s="2">
        <v>10.7165</v>
      </c>
      <c r="E819" s="2" t="s">
        <v>1870</v>
      </c>
    </row>
    <row r="820" spans="1:5" ht="20.25" customHeight="1" x14ac:dyDescent="0.15">
      <c r="A820" s="2" t="s">
        <v>4184</v>
      </c>
      <c r="B820" s="2" t="s">
        <v>4185</v>
      </c>
      <c r="C820" s="2">
        <v>2.34</v>
      </c>
      <c r="D820" s="2">
        <v>0.22059999999999999</v>
      </c>
      <c r="E820" s="2" t="s">
        <v>385</v>
      </c>
    </row>
    <row r="821" spans="1:5" ht="20.25" customHeight="1" x14ac:dyDescent="0.15">
      <c r="A821" s="2" t="s">
        <v>4404</v>
      </c>
      <c r="B821" s="2" t="s">
        <v>4405</v>
      </c>
      <c r="C821" s="2">
        <v>2.335</v>
      </c>
      <c r="D821" s="2">
        <v>2.6196000000000002</v>
      </c>
      <c r="E821" s="2" t="s">
        <v>10</v>
      </c>
    </row>
    <row r="822" spans="1:5" ht="20.25" customHeight="1" x14ac:dyDescent="0.15">
      <c r="A822" s="2" t="s">
        <v>5878</v>
      </c>
      <c r="B822" s="2" t="s">
        <v>5879</v>
      </c>
      <c r="C822" s="2">
        <v>2.335</v>
      </c>
      <c r="D822" s="2">
        <v>4.5297999999999998</v>
      </c>
      <c r="E822" s="2" t="s">
        <v>86</v>
      </c>
    </row>
    <row r="823" spans="1:5" ht="20.25" customHeight="1" x14ac:dyDescent="0.15">
      <c r="A823" s="2" t="s">
        <v>636</v>
      </c>
      <c r="B823" s="2" t="s">
        <v>637</v>
      </c>
      <c r="C823" s="2">
        <v>2.33</v>
      </c>
      <c r="D823" s="2">
        <v>1.3769</v>
      </c>
      <c r="E823" s="2" t="s">
        <v>638</v>
      </c>
    </row>
    <row r="824" spans="1:5" ht="20.25" customHeight="1" x14ac:dyDescent="0.15">
      <c r="A824" s="2" t="s">
        <v>904</v>
      </c>
      <c r="B824" s="2" t="s">
        <v>905</v>
      </c>
      <c r="C824" s="2">
        <v>2.33</v>
      </c>
      <c r="D824" s="2">
        <v>0.14760000000000001</v>
      </c>
      <c r="E824" s="2" t="s">
        <v>271</v>
      </c>
    </row>
    <row r="825" spans="1:5" ht="20.25" customHeight="1" x14ac:dyDescent="0.15">
      <c r="A825" s="2" t="s">
        <v>1003</v>
      </c>
      <c r="B825" s="2" t="s">
        <v>1004</v>
      </c>
      <c r="C825" s="2">
        <v>2.33</v>
      </c>
      <c r="D825" s="2">
        <v>10.4741</v>
      </c>
      <c r="E825" s="2" t="s">
        <v>21</v>
      </c>
    </row>
    <row r="826" spans="1:5" ht="20.25" customHeight="1" x14ac:dyDescent="0.15">
      <c r="A826" s="2" t="s">
        <v>1054</v>
      </c>
      <c r="B826" s="2" t="s">
        <v>1055</v>
      </c>
      <c r="C826" s="2">
        <v>2.33</v>
      </c>
      <c r="D826" s="2">
        <v>0.39429999999999998</v>
      </c>
      <c r="E826" s="2" t="s">
        <v>1056</v>
      </c>
    </row>
    <row r="827" spans="1:5" ht="20.25" customHeight="1" x14ac:dyDescent="0.15">
      <c r="A827" s="2" t="s">
        <v>1575</v>
      </c>
      <c r="B827" s="2" t="s">
        <v>1576</v>
      </c>
      <c r="C827" s="2">
        <v>2.33</v>
      </c>
      <c r="D827" s="2">
        <v>5.3047000000000004</v>
      </c>
      <c r="E827" s="2" t="s">
        <v>670</v>
      </c>
    </row>
    <row r="828" spans="1:5" ht="20.25" customHeight="1" x14ac:dyDescent="0.15">
      <c r="A828" s="2" t="s">
        <v>2137</v>
      </c>
      <c r="B828" s="2" t="s">
        <v>2138</v>
      </c>
      <c r="C828" s="2">
        <v>2.33</v>
      </c>
      <c r="D828" s="2">
        <v>1.0213000000000001</v>
      </c>
      <c r="E828" s="2" t="s">
        <v>359</v>
      </c>
    </row>
    <row r="829" spans="1:5" ht="20.25" customHeight="1" x14ac:dyDescent="0.15">
      <c r="A829" s="2" t="s">
        <v>3028</v>
      </c>
      <c r="B829" s="2" t="s">
        <v>3029</v>
      </c>
      <c r="C829" s="2">
        <v>2.33</v>
      </c>
      <c r="D829" s="2">
        <v>12.5913</v>
      </c>
      <c r="E829" s="2" t="s">
        <v>176</v>
      </c>
    </row>
    <row r="830" spans="1:5" ht="20.25" customHeight="1" x14ac:dyDescent="0.15">
      <c r="A830" s="2" t="s">
        <v>3090</v>
      </c>
      <c r="B830" s="2" t="s">
        <v>3091</v>
      </c>
      <c r="C830" s="2">
        <v>2.33</v>
      </c>
      <c r="D830" s="2">
        <v>1.7126999999999999</v>
      </c>
      <c r="E830" s="2" t="s">
        <v>68</v>
      </c>
    </row>
    <row r="831" spans="1:5" ht="20.25" customHeight="1" x14ac:dyDescent="0.15">
      <c r="A831" s="2" t="s">
        <v>6410</v>
      </c>
      <c r="B831" s="2" t="s">
        <v>6411</v>
      </c>
      <c r="C831" s="2">
        <v>2.33</v>
      </c>
      <c r="D831" s="2">
        <v>4.5462999999999996</v>
      </c>
      <c r="E831" s="2" t="s">
        <v>406</v>
      </c>
    </row>
    <row r="832" spans="1:5" ht="20.25" customHeight="1" x14ac:dyDescent="0.15">
      <c r="A832" s="2" t="s">
        <v>4807</v>
      </c>
      <c r="B832" s="2" t="s">
        <v>4808</v>
      </c>
      <c r="C832" s="2">
        <v>2.3250000000000002</v>
      </c>
      <c r="D832" s="2">
        <v>1.8287</v>
      </c>
      <c r="E832" s="2" t="s">
        <v>794</v>
      </c>
    </row>
    <row r="833" spans="1:5" ht="20.25" customHeight="1" x14ac:dyDescent="0.15">
      <c r="A833" s="2" t="s">
        <v>3685</v>
      </c>
      <c r="B833" s="2" t="s">
        <v>3686</v>
      </c>
      <c r="C833" s="2">
        <v>2.3199999999999998</v>
      </c>
      <c r="D833" s="2">
        <v>0.68110000000000004</v>
      </c>
      <c r="E833" s="2" t="s">
        <v>1243</v>
      </c>
    </row>
    <row r="834" spans="1:5" ht="20.25" customHeight="1" x14ac:dyDescent="0.15">
      <c r="A834" s="2" t="s">
        <v>4348</v>
      </c>
      <c r="B834" s="2" t="s">
        <v>4349</v>
      </c>
      <c r="C834" s="2">
        <v>2.3199999999999998</v>
      </c>
      <c r="D834" s="2">
        <v>4.2968999999999999</v>
      </c>
      <c r="E834" s="2" t="s">
        <v>1528</v>
      </c>
    </row>
    <row r="835" spans="1:5" ht="20.25" customHeight="1" x14ac:dyDescent="0.15">
      <c r="A835" s="2" t="s">
        <v>5551</v>
      </c>
      <c r="B835" s="2" t="s">
        <v>5552</v>
      </c>
      <c r="C835" s="2">
        <v>2.3199999999999998</v>
      </c>
      <c r="D835" s="2">
        <v>1.0073000000000001</v>
      </c>
      <c r="E835" s="2" t="s">
        <v>2063</v>
      </c>
    </row>
    <row r="836" spans="1:5" ht="20.25" customHeight="1" x14ac:dyDescent="0.15">
      <c r="A836" s="2" t="s">
        <v>6564</v>
      </c>
      <c r="B836" s="2" t="s">
        <v>6565</v>
      </c>
      <c r="C836" s="2">
        <v>2.3199999999999998</v>
      </c>
      <c r="D836" s="2">
        <v>1.3027</v>
      </c>
      <c r="E836" s="2" t="s">
        <v>86</v>
      </c>
    </row>
    <row r="837" spans="1:5" ht="20.25" customHeight="1" x14ac:dyDescent="0.15">
      <c r="A837" s="2" t="s">
        <v>7939</v>
      </c>
      <c r="B837" s="2" t="s">
        <v>7940</v>
      </c>
      <c r="C837" s="2">
        <v>2.3199999999999998</v>
      </c>
      <c r="D837" s="2">
        <v>1.4527000000000001</v>
      </c>
      <c r="E837" s="2" t="s">
        <v>418</v>
      </c>
    </row>
    <row r="838" spans="1:5" ht="20.25" customHeight="1" x14ac:dyDescent="0.15">
      <c r="A838" s="2" t="s">
        <v>8353</v>
      </c>
      <c r="B838" s="2" t="s">
        <v>8354</v>
      </c>
      <c r="C838" s="2">
        <v>2.3199999999999998</v>
      </c>
      <c r="D838" s="2">
        <v>3.056</v>
      </c>
      <c r="E838" s="2" t="s">
        <v>41</v>
      </c>
    </row>
    <row r="839" spans="1:5" ht="20.25" customHeight="1" x14ac:dyDescent="0.15">
      <c r="A839" s="2" t="s">
        <v>1937</v>
      </c>
      <c r="B839" s="2" t="s">
        <v>1938</v>
      </c>
      <c r="C839" s="2">
        <v>2.31</v>
      </c>
      <c r="D839" s="2">
        <v>2.8321000000000001</v>
      </c>
      <c r="E839" s="2" t="s">
        <v>741</v>
      </c>
    </row>
    <row r="840" spans="1:5" ht="20.25" customHeight="1" x14ac:dyDescent="0.15">
      <c r="A840" s="2" t="s">
        <v>2700</v>
      </c>
      <c r="B840" s="2" t="s">
        <v>2701</v>
      </c>
      <c r="C840" s="2">
        <v>2.31</v>
      </c>
      <c r="D840" s="2">
        <v>3.7387000000000001</v>
      </c>
      <c r="E840" s="2" t="s">
        <v>185</v>
      </c>
    </row>
    <row r="841" spans="1:5" ht="20.25" customHeight="1" x14ac:dyDescent="0.15">
      <c r="A841" s="2" t="s">
        <v>3819</v>
      </c>
      <c r="B841" s="2" t="s">
        <v>3820</v>
      </c>
      <c r="C841" s="2">
        <v>2.31</v>
      </c>
      <c r="D841" s="2">
        <v>6.0487000000000002</v>
      </c>
      <c r="E841" s="2" t="s">
        <v>1173</v>
      </c>
    </row>
    <row r="842" spans="1:5" ht="20.25" customHeight="1" x14ac:dyDescent="0.15">
      <c r="A842" s="2" t="s">
        <v>6837</v>
      </c>
      <c r="B842" s="2" t="s">
        <v>6838</v>
      </c>
      <c r="C842" s="2">
        <v>2.31</v>
      </c>
      <c r="D842" s="2">
        <v>1.3620000000000001</v>
      </c>
      <c r="E842" s="2" t="s">
        <v>713</v>
      </c>
    </row>
    <row r="843" spans="1:5" ht="20.25" customHeight="1" x14ac:dyDescent="0.15">
      <c r="A843" s="2" t="s">
        <v>1404</v>
      </c>
      <c r="B843" s="2" t="s">
        <v>1405</v>
      </c>
      <c r="C843" s="2">
        <v>2.2999999999999998</v>
      </c>
      <c r="D843" s="2">
        <v>2.8702999999999999</v>
      </c>
      <c r="E843" s="2" t="s">
        <v>391</v>
      </c>
    </row>
    <row r="844" spans="1:5" ht="20.25" customHeight="1" x14ac:dyDescent="0.15">
      <c r="A844" s="2" t="s">
        <v>1965</v>
      </c>
      <c r="B844" s="2" t="s">
        <v>1966</v>
      </c>
      <c r="C844" s="2">
        <v>2.2999999999999998</v>
      </c>
      <c r="D844" s="2">
        <v>25.355899999999998</v>
      </c>
      <c r="E844" s="2" t="s">
        <v>310</v>
      </c>
    </row>
    <row r="845" spans="1:5" ht="20.25" customHeight="1" x14ac:dyDescent="0.15">
      <c r="A845" s="2" t="s">
        <v>2030</v>
      </c>
      <c r="B845" s="2" t="s">
        <v>2031</v>
      </c>
      <c r="C845" s="2">
        <v>2.2999999999999998</v>
      </c>
      <c r="D845" s="2">
        <v>3.4527000000000001</v>
      </c>
      <c r="E845" s="2" t="s">
        <v>741</v>
      </c>
    </row>
    <row r="846" spans="1:5" ht="20.25" customHeight="1" x14ac:dyDescent="0.15">
      <c r="A846" s="2" t="s">
        <v>4520</v>
      </c>
      <c r="B846" s="2" t="s">
        <v>4521</v>
      </c>
      <c r="C846" s="2">
        <v>2.2999999999999998</v>
      </c>
      <c r="D846" s="2">
        <v>13.4491</v>
      </c>
      <c r="E846" s="2" t="s">
        <v>638</v>
      </c>
    </row>
    <row r="847" spans="1:5" ht="20.25" customHeight="1" x14ac:dyDescent="0.15">
      <c r="A847" s="2" t="s">
        <v>5782</v>
      </c>
      <c r="B847" s="2" t="s">
        <v>5783</v>
      </c>
      <c r="C847" s="2">
        <v>2.2999999999999998</v>
      </c>
      <c r="D847" s="2">
        <v>9.4100000000000003E-2</v>
      </c>
      <c r="E847" s="2" t="s">
        <v>89</v>
      </c>
    </row>
    <row r="848" spans="1:5" ht="20.25" customHeight="1" x14ac:dyDescent="0.15">
      <c r="A848" s="2" t="s">
        <v>5890</v>
      </c>
      <c r="B848" s="2" t="s">
        <v>5891</v>
      </c>
      <c r="C848" s="2">
        <v>2.2999999999999998</v>
      </c>
      <c r="D848" s="2">
        <v>1.3027</v>
      </c>
      <c r="E848" s="2" t="s">
        <v>44</v>
      </c>
    </row>
    <row r="849" spans="1:5" ht="20.25" customHeight="1" x14ac:dyDescent="0.15">
      <c r="A849" s="2" t="s">
        <v>7153</v>
      </c>
      <c r="B849" s="2" t="s">
        <v>7154</v>
      </c>
      <c r="C849" s="2">
        <v>2.2999999999999998</v>
      </c>
      <c r="D849" s="2">
        <v>1.0944</v>
      </c>
      <c r="E849" s="2" t="s">
        <v>1061</v>
      </c>
    </row>
    <row r="850" spans="1:5" ht="20.25" customHeight="1" x14ac:dyDescent="0.15">
      <c r="A850" s="2" t="s">
        <v>1163</v>
      </c>
      <c r="B850" s="2" t="s">
        <v>1164</v>
      </c>
      <c r="C850" s="2">
        <v>2.29</v>
      </c>
      <c r="D850" s="2">
        <v>0.5857</v>
      </c>
      <c r="E850" s="2" t="s">
        <v>396</v>
      </c>
    </row>
    <row r="851" spans="1:5" ht="20.25" customHeight="1" x14ac:dyDescent="0.15">
      <c r="A851" s="2" t="s">
        <v>4086</v>
      </c>
      <c r="B851" s="2" t="s">
        <v>4087</v>
      </c>
      <c r="C851" s="2">
        <v>2.29</v>
      </c>
      <c r="D851" s="2">
        <v>4.3018000000000001</v>
      </c>
      <c r="E851" s="2" t="s">
        <v>245</v>
      </c>
    </row>
    <row r="852" spans="1:5" ht="20.25" customHeight="1" x14ac:dyDescent="0.15">
      <c r="A852" s="2" t="s">
        <v>4098</v>
      </c>
      <c r="B852" s="2" t="s">
        <v>4099</v>
      </c>
      <c r="C852" s="2">
        <v>2.29</v>
      </c>
      <c r="D852" s="2">
        <v>7.7694000000000001</v>
      </c>
      <c r="E852" s="2" t="s">
        <v>747</v>
      </c>
    </row>
    <row r="853" spans="1:5" ht="20.25" customHeight="1" x14ac:dyDescent="0.15">
      <c r="A853" s="2" t="s">
        <v>5008</v>
      </c>
      <c r="B853" s="2" t="s">
        <v>5009</v>
      </c>
      <c r="C853" s="2">
        <v>2.29</v>
      </c>
      <c r="D853" s="2">
        <v>0.95589999999999997</v>
      </c>
      <c r="E853" s="2" t="s">
        <v>1056</v>
      </c>
    </row>
    <row r="854" spans="1:5" ht="20.25" customHeight="1" x14ac:dyDescent="0.15">
      <c r="A854" s="2" t="s">
        <v>5054</v>
      </c>
      <c r="B854" s="2" t="s">
        <v>5055</v>
      </c>
      <c r="C854" s="2">
        <v>2.29</v>
      </c>
      <c r="D854" s="2">
        <v>14.3736</v>
      </c>
      <c r="E854" s="2" t="s">
        <v>421</v>
      </c>
    </row>
    <row r="855" spans="1:5" ht="20.25" customHeight="1" x14ac:dyDescent="0.15">
      <c r="A855" s="2" t="s">
        <v>6122</v>
      </c>
      <c r="B855" s="2" t="s">
        <v>6123</v>
      </c>
      <c r="C855" s="2">
        <v>2.29</v>
      </c>
      <c r="D855" s="2">
        <v>0.71919999999999995</v>
      </c>
      <c r="E855" s="2" t="s">
        <v>391</v>
      </c>
    </row>
    <row r="856" spans="1:5" ht="20.25" customHeight="1" x14ac:dyDescent="0.15">
      <c r="A856" s="2" t="s">
        <v>873</v>
      </c>
      <c r="B856" s="2" t="s">
        <v>874</v>
      </c>
      <c r="C856" s="2">
        <v>2.2799999999999998</v>
      </c>
      <c r="D856" s="2">
        <v>0.68779999999999997</v>
      </c>
      <c r="E856" s="2" t="s">
        <v>571</v>
      </c>
    </row>
    <row r="857" spans="1:5" ht="20.25" customHeight="1" x14ac:dyDescent="0.15">
      <c r="A857" s="2" t="s">
        <v>1710</v>
      </c>
      <c r="B857" s="2" t="s">
        <v>1711</v>
      </c>
      <c r="C857" s="2">
        <v>2.2799999999999998</v>
      </c>
      <c r="D857" s="2">
        <v>1.0257000000000001</v>
      </c>
      <c r="E857" s="2" t="s">
        <v>1712</v>
      </c>
    </row>
    <row r="858" spans="1:5" ht="20.25" customHeight="1" x14ac:dyDescent="0.15">
      <c r="A858" s="2" t="s">
        <v>2468</v>
      </c>
      <c r="B858" s="2" t="s">
        <v>2469</v>
      </c>
      <c r="C858" s="2">
        <v>2.2799999999999998</v>
      </c>
      <c r="D858" s="2">
        <v>0.998</v>
      </c>
      <c r="E858" s="2" t="s">
        <v>2068</v>
      </c>
    </row>
    <row r="859" spans="1:5" ht="20.25" customHeight="1" x14ac:dyDescent="0.15">
      <c r="A859" s="2" t="s">
        <v>2624</v>
      </c>
      <c r="B859" s="2" t="s">
        <v>2625</v>
      </c>
      <c r="C859" s="2">
        <v>2.2799999999999998</v>
      </c>
      <c r="D859" s="2">
        <v>2.9180000000000001</v>
      </c>
      <c r="E859" s="2" t="s">
        <v>245</v>
      </c>
    </row>
    <row r="860" spans="1:5" ht="20.25" customHeight="1" x14ac:dyDescent="0.15">
      <c r="A860" s="2" t="s">
        <v>3467</v>
      </c>
      <c r="B860" s="2" t="s">
        <v>3468</v>
      </c>
      <c r="C860" s="2">
        <v>2.2799999999999998</v>
      </c>
      <c r="D860" s="2">
        <v>2.4868999999999999</v>
      </c>
      <c r="E860" s="2" t="s">
        <v>1436</v>
      </c>
    </row>
    <row r="861" spans="1:5" ht="20.25" customHeight="1" x14ac:dyDescent="0.15">
      <c r="A861" s="2" t="s">
        <v>5651</v>
      </c>
      <c r="B861" s="2" t="s">
        <v>5652</v>
      </c>
      <c r="C861" s="2">
        <v>2.2799999999999998</v>
      </c>
      <c r="D861" s="2">
        <v>0.60140000000000005</v>
      </c>
      <c r="E861" s="2" t="s">
        <v>1608</v>
      </c>
    </row>
    <row r="862" spans="1:5" ht="20.25" customHeight="1" x14ac:dyDescent="0.15">
      <c r="A862" s="2" t="s">
        <v>6734</v>
      </c>
      <c r="B862" s="2" t="s">
        <v>6735</v>
      </c>
      <c r="C862" s="2">
        <v>2.2799999999999998</v>
      </c>
      <c r="D862" s="2">
        <v>7.2691999999999997</v>
      </c>
      <c r="E862" s="2" t="s">
        <v>371</v>
      </c>
    </row>
    <row r="863" spans="1:5" ht="20.25" customHeight="1" x14ac:dyDescent="0.15">
      <c r="A863" s="2" t="s">
        <v>6959</v>
      </c>
      <c r="B863" s="2" t="s">
        <v>6960</v>
      </c>
      <c r="C863" s="2">
        <v>2.2799999999999998</v>
      </c>
      <c r="D863" s="2">
        <v>4.0603999999999996</v>
      </c>
      <c r="E863" s="2" t="s">
        <v>374</v>
      </c>
    </row>
    <row r="864" spans="1:5" ht="20.25" customHeight="1" x14ac:dyDescent="0.15">
      <c r="A864" s="2" t="s">
        <v>1990</v>
      </c>
      <c r="B864" s="2" t="s">
        <v>1991</v>
      </c>
      <c r="C864" s="2">
        <v>2.27</v>
      </c>
      <c r="D864" s="2">
        <v>2.4020000000000001</v>
      </c>
      <c r="E864" s="2" t="s">
        <v>365</v>
      </c>
    </row>
    <row r="865" spans="1:5" ht="20.25" customHeight="1" x14ac:dyDescent="0.15">
      <c r="A865" s="2" t="s">
        <v>2320</v>
      </c>
      <c r="B865" s="2" t="s">
        <v>2321</v>
      </c>
      <c r="C865" s="2">
        <v>2.27</v>
      </c>
      <c r="D865" s="2">
        <v>1.4171</v>
      </c>
      <c r="E865" s="2" t="s">
        <v>2151</v>
      </c>
    </row>
    <row r="866" spans="1:5" ht="20.25" customHeight="1" x14ac:dyDescent="0.15">
      <c r="A866" s="2" t="s">
        <v>6492</v>
      </c>
      <c r="B866" s="2" t="s">
        <v>6493</v>
      </c>
      <c r="C866" s="2">
        <v>2.27</v>
      </c>
      <c r="D866" s="2">
        <v>2.0394000000000001</v>
      </c>
      <c r="E866" s="2" t="s">
        <v>391</v>
      </c>
    </row>
    <row r="867" spans="1:5" ht="20.25" customHeight="1" x14ac:dyDescent="0.15">
      <c r="A867" s="2" t="s">
        <v>6855</v>
      </c>
      <c r="B867" s="2" t="s">
        <v>6856</v>
      </c>
      <c r="C867" s="2">
        <v>2.27</v>
      </c>
      <c r="D867" s="2">
        <v>5.4897</v>
      </c>
      <c r="E867" s="2" t="s">
        <v>787</v>
      </c>
    </row>
    <row r="868" spans="1:5" ht="20.25" customHeight="1" x14ac:dyDescent="0.15">
      <c r="A868" s="2" t="s">
        <v>8347</v>
      </c>
      <c r="B868" s="2" t="s">
        <v>8348</v>
      </c>
      <c r="C868" s="2">
        <v>2.27</v>
      </c>
      <c r="D868" s="2">
        <v>1.0716000000000001</v>
      </c>
      <c r="E868" s="2" t="s">
        <v>368</v>
      </c>
    </row>
    <row r="869" spans="1:5" ht="20.25" customHeight="1" x14ac:dyDescent="0.15">
      <c r="A869" s="2" t="s">
        <v>5986</v>
      </c>
      <c r="B869" s="2" t="s">
        <v>5987</v>
      </c>
      <c r="C869" s="2">
        <v>2.2650000000000001</v>
      </c>
      <c r="D869" s="2">
        <v>0.78500000000000003</v>
      </c>
      <c r="E869" s="2" t="s">
        <v>713</v>
      </c>
    </row>
    <row r="870" spans="1:5" ht="20.25" customHeight="1" x14ac:dyDescent="0.15">
      <c r="A870" s="2" t="s">
        <v>1858</v>
      </c>
      <c r="B870" s="2" t="s">
        <v>1859</v>
      </c>
      <c r="C870" s="2">
        <v>2.2599999999999998</v>
      </c>
      <c r="D870" s="2">
        <v>2.3757999999999999</v>
      </c>
      <c r="E870" s="2" t="s">
        <v>106</v>
      </c>
    </row>
    <row r="871" spans="1:5" ht="20.25" customHeight="1" x14ac:dyDescent="0.15">
      <c r="A871" s="2" t="s">
        <v>3833</v>
      </c>
      <c r="B871" s="2" t="s">
        <v>3834</v>
      </c>
      <c r="C871" s="2">
        <v>2.2599999999999998</v>
      </c>
      <c r="D871" s="2">
        <v>0.48099999999999998</v>
      </c>
      <c r="E871" s="2" t="s">
        <v>143</v>
      </c>
    </row>
    <row r="872" spans="1:5" ht="20.25" customHeight="1" x14ac:dyDescent="0.15">
      <c r="A872" s="2" t="s">
        <v>5090</v>
      </c>
      <c r="B872" s="2" t="s">
        <v>5091</v>
      </c>
      <c r="C872" s="2">
        <v>2.2599999999999998</v>
      </c>
      <c r="D872" s="2">
        <v>6.6806000000000001</v>
      </c>
      <c r="E872" s="2" t="s">
        <v>1243</v>
      </c>
    </row>
    <row r="873" spans="1:5" ht="20.25" customHeight="1" x14ac:dyDescent="0.15">
      <c r="A873" s="2" t="s">
        <v>7307</v>
      </c>
      <c r="B873" s="2" t="s">
        <v>7308</v>
      </c>
      <c r="C873" s="2">
        <v>2.2599999999999998</v>
      </c>
      <c r="D873" s="2">
        <v>2.0562</v>
      </c>
      <c r="E873" s="2" t="s">
        <v>630</v>
      </c>
    </row>
    <row r="874" spans="1:5" ht="20.25" customHeight="1" x14ac:dyDescent="0.15">
      <c r="A874" s="2" t="s">
        <v>494</v>
      </c>
      <c r="B874" s="2" t="s">
        <v>495</v>
      </c>
      <c r="C874" s="2">
        <v>2.25</v>
      </c>
      <c r="D874" s="2">
        <v>0.2757</v>
      </c>
      <c r="E874" s="2" t="s">
        <v>140</v>
      </c>
    </row>
    <row r="875" spans="1:5" ht="20.25" customHeight="1" x14ac:dyDescent="0.15">
      <c r="A875" s="2" t="s">
        <v>1042</v>
      </c>
      <c r="B875" s="2" t="s">
        <v>1043</v>
      </c>
      <c r="C875" s="2">
        <v>2.25</v>
      </c>
      <c r="D875" s="2">
        <v>0.58379999999999999</v>
      </c>
      <c r="E875" s="2" t="s">
        <v>276</v>
      </c>
    </row>
    <row r="876" spans="1:5" ht="20.25" customHeight="1" x14ac:dyDescent="0.15">
      <c r="A876" s="2" t="s">
        <v>2704</v>
      </c>
      <c r="B876" s="2" t="s">
        <v>2705</v>
      </c>
      <c r="C876" s="2">
        <v>2.25</v>
      </c>
      <c r="D876" s="2">
        <v>1.0789</v>
      </c>
      <c r="E876" s="2" t="s">
        <v>201</v>
      </c>
    </row>
    <row r="877" spans="1:5" ht="20.25" customHeight="1" x14ac:dyDescent="0.15">
      <c r="A877" s="2" t="s">
        <v>3943</v>
      </c>
      <c r="B877" s="2" t="s">
        <v>3944</v>
      </c>
      <c r="C877" s="2">
        <v>2.25</v>
      </c>
      <c r="D877" s="2">
        <v>11.638</v>
      </c>
      <c r="E877" s="2" t="s">
        <v>86</v>
      </c>
    </row>
    <row r="878" spans="1:5" ht="20.25" customHeight="1" x14ac:dyDescent="0.15">
      <c r="A878" s="2" t="s">
        <v>4478</v>
      </c>
      <c r="B878" s="2" t="s">
        <v>4479</v>
      </c>
      <c r="C878" s="2">
        <v>2.25</v>
      </c>
      <c r="D878" s="2">
        <v>1.7958000000000001</v>
      </c>
      <c r="E878" s="2" t="s">
        <v>3048</v>
      </c>
    </row>
    <row r="879" spans="1:5" ht="20.25" customHeight="1" x14ac:dyDescent="0.15">
      <c r="A879" s="2" t="s">
        <v>465</v>
      </c>
      <c r="B879" s="2" t="s">
        <v>466</v>
      </c>
      <c r="C879" s="2">
        <v>2.2400000000000002</v>
      </c>
      <c r="D879" s="2">
        <v>2.0459000000000001</v>
      </c>
      <c r="E879" s="2" t="s">
        <v>391</v>
      </c>
    </row>
    <row r="880" spans="1:5" ht="20.25" customHeight="1" x14ac:dyDescent="0.15">
      <c r="A880" s="2" t="s">
        <v>695</v>
      </c>
      <c r="B880" s="2" t="s">
        <v>696</v>
      </c>
      <c r="C880" s="2">
        <v>2.2400000000000002</v>
      </c>
      <c r="D880" s="2">
        <v>3.9134000000000002</v>
      </c>
      <c r="E880" s="2" t="s">
        <v>131</v>
      </c>
    </row>
    <row r="881" spans="1:5" ht="20.25" customHeight="1" x14ac:dyDescent="0.15">
      <c r="A881" s="2" t="s">
        <v>2182</v>
      </c>
      <c r="B881" s="2" t="s">
        <v>2183</v>
      </c>
      <c r="C881" s="2">
        <v>2.2400000000000002</v>
      </c>
      <c r="D881" s="2">
        <v>0.55189999999999995</v>
      </c>
      <c r="E881" s="2" t="s">
        <v>143</v>
      </c>
    </row>
    <row r="882" spans="1:5" ht="20.25" customHeight="1" x14ac:dyDescent="0.15">
      <c r="A882" s="2" t="s">
        <v>3100</v>
      </c>
      <c r="B882" s="2" t="s">
        <v>3101</v>
      </c>
      <c r="C882" s="2">
        <v>2.2400000000000002</v>
      </c>
      <c r="D882" s="2">
        <v>36.105800000000002</v>
      </c>
      <c r="E882" s="2" t="s">
        <v>3102</v>
      </c>
    </row>
    <row r="883" spans="1:5" ht="20.25" customHeight="1" x14ac:dyDescent="0.15">
      <c r="A883" s="2" t="s">
        <v>3330</v>
      </c>
      <c r="B883" s="2" t="s">
        <v>3331</v>
      </c>
      <c r="C883" s="2">
        <v>2.2400000000000002</v>
      </c>
      <c r="D883" s="2">
        <v>0.97699999999999998</v>
      </c>
      <c r="E883" s="2" t="s">
        <v>476</v>
      </c>
    </row>
    <row r="884" spans="1:5" ht="20.25" customHeight="1" x14ac:dyDescent="0.15">
      <c r="A884" s="2" t="s">
        <v>1616</v>
      </c>
      <c r="B884" s="2" t="s">
        <v>1617</v>
      </c>
      <c r="C884" s="2">
        <v>2.23</v>
      </c>
      <c r="D884" s="2">
        <v>247.458</v>
      </c>
      <c r="E884" s="2" t="s">
        <v>38</v>
      </c>
    </row>
    <row r="885" spans="1:5" ht="20.25" customHeight="1" x14ac:dyDescent="0.15">
      <c r="A885" s="2" t="s">
        <v>1717</v>
      </c>
      <c r="B885" s="2" t="s">
        <v>1718</v>
      </c>
      <c r="C885" s="2">
        <v>2.23</v>
      </c>
      <c r="D885" s="2">
        <v>1.2495000000000001</v>
      </c>
      <c r="E885" s="2" t="s">
        <v>1403</v>
      </c>
    </row>
    <row r="886" spans="1:5" ht="20.25" customHeight="1" x14ac:dyDescent="0.15">
      <c r="A886" s="2" t="s">
        <v>1885</v>
      </c>
      <c r="B886" s="2" t="s">
        <v>1886</v>
      </c>
      <c r="C886" s="2">
        <v>2.23</v>
      </c>
      <c r="D886" s="2">
        <v>1.6926000000000001</v>
      </c>
      <c r="E886" s="2" t="s">
        <v>35</v>
      </c>
    </row>
    <row r="887" spans="1:5" ht="20.25" customHeight="1" x14ac:dyDescent="0.15">
      <c r="A887" s="2" t="s">
        <v>2272</v>
      </c>
      <c r="B887" s="2" t="s">
        <v>2273</v>
      </c>
      <c r="C887" s="2">
        <v>2.23</v>
      </c>
      <c r="D887" s="2">
        <v>2.0019999999999998</v>
      </c>
      <c r="E887" s="2" t="s">
        <v>667</v>
      </c>
    </row>
    <row r="888" spans="1:5" ht="20.25" customHeight="1" x14ac:dyDescent="0.15">
      <c r="A888" s="2" t="s">
        <v>3236</v>
      </c>
      <c r="B888" s="2" t="s">
        <v>3237</v>
      </c>
      <c r="C888" s="2">
        <v>2.23</v>
      </c>
      <c r="D888" s="2">
        <v>0.80549999999999999</v>
      </c>
      <c r="E888" s="2" t="s">
        <v>1774</v>
      </c>
    </row>
    <row r="889" spans="1:5" ht="20.25" customHeight="1" x14ac:dyDescent="0.15">
      <c r="A889" s="2" t="s">
        <v>3258</v>
      </c>
      <c r="B889" s="2" t="s">
        <v>3259</v>
      </c>
      <c r="C889" s="2">
        <v>2.23</v>
      </c>
      <c r="D889" s="2">
        <v>0.58509999999999995</v>
      </c>
      <c r="E889" s="2" t="s">
        <v>667</v>
      </c>
    </row>
    <row r="890" spans="1:5" ht="20.25" customHeight="1" x14ac:dyDescent="0.15">
      <c r="A890" s="2" t="s">
        <v>3463</v>
      </c>
      <c r="B890" s="2" t="s">
        <v>3464</v>
      </c>
      <c r="C890" s="2">
        <v>2.23</v>
      </c>
      <c r="D890" s="2">
        <v>0.8639</v>
      </c>
      <c r="E890" s="2" t="s">
        <v>3048</v>
      </c>
    </row>
    <row r="891" spans="1:5" ht="20.25" customHeight="1" x14ac:dyDescent="0.15">
      <c r="A891" s="2" t="s">
        <v>3959</v>
      </c>
      <c r="B891" s="2" t="s">
        <v>3960</v>
      </c>
      <c r="C891" s="2">
        <v>2.23</v>
      </c>
      <c r="D891" s="2">
        <v>1.5247999999999999</v>
      </c>
      <c r="E891" s="2" t="s">
        <v>2344</v>
      </c>
    </row>
    <row r="892" spans="1:5" ht="20.25" customHeight="1" x14ac:dyDescent="0.15">
      <c r="A892" s="2" t="s">
        <v>4825</v>
      </c>
      <c r="B892" s="2" t="s">
        <v>4826</v>
      </c>
      <c r="C892" s="2">
        <v>2.23</v>
      </c>
      <c r="D892" s="2">
        <v>1.0205</v>
      </c>
      <c r="E892" s="2" t="s">
        <v>3693</v>
      </c>
    </row>
    <row r="893" spans="1:5" ht="20.25" customHeight="1" x14ac:dyDescent="0.15">
      <c r="A893" s="2" t="s">
        <v>6002</v>
      </c>
      <c r="B893" s="2" t="s">
        <v>6003</v>
      </c>
      <c r="C893" s="2">
        <v>2.23</v>
      </c>
      <c r="D893" s="2">
        <v>0.70760000000000001</v>
      </c>
      <c r="E893" s="2" t="s">
        <v>784</v>
      </c>
    </row>
    <row r="894" spans="1:5" ht="20.25" customHeight="1" x14ac:dyDescent="0.15">
      <c r="A894" s="2" t="s">
        <v>6342</v>
      </c>
      <c r="B894" s="2" t="s">
        <v>6343</v>
      </c>
      <c r="C894" s="2">
        <v>2.23</v>
      </c>
      <c r="D894" s="2">
        <v>5.1375999999999999</v>
      </c>
      <c r="E894" s="2" t="s">
        <v>827</v>
      </c>
    </row>
    <row r="895" spans="1:5" ht="20.25" customHeight="1" x14ac:dyDescent="0.15">
      <c r="A895" s="2" t="s">
        <v>6847</v>
      </c>
      <c r="B895" s="2" t="s">
        <v>6848</v>
      </c>
      <c r="C895" s="2">
        <v>2.23</v>
      </c>
      <c r="D895" s="2">
        <v>0.71499999999999997</v>
      </c>
      <c r="E895" s="2" t="s">
        <v>391</v>
      </c>
    </row>
    <row r="896" spans="1:5" ht="20.25" customHeight="1" x14ac:dyDescent="0.15">
      <c r="A896" s="2" t="s">
        <v>7163</v>
      </c>
      <c r="B896" s="2" t="s">
        <v>7164</v>
      </c>
      <c r="C896" s="2">
        <v>2.23</v>
      </c>
      <c r="D896" s="2">
        <v>215.1831</v>
      </c>
      <c r="E896" s="2" t="s">
        <v>260</v>
      </c>
    </row>
    <row r="897" spans="1:5" ht="20.25" customHeight="1" x14ac:dyDescent="0.15">
      <c r="A897" s="2" t="s">
        <v>8401</v>
      </c>
      <c r="B897" s="2" t="s">
        <v>8402</v>
      </c>
      <c r="C897" s="2">
        <v>2.23</v>
      </c>
      <c r="D897" s="2">
        <v>1.6157999999999999</v>
      </c>
      <c r="E897" s="2" t="s">
        <v>1853</v>
      </c>
    </row>
    <row r="898" spans="1:5" ht="20.25" customHeight="1" x14ac:dyDescent="0.15">
      <c r="A898" s="2" t="s">
        <v>1609</v>
      </c>
      <c r="B898" s="2" t="s">
        <v>1610</v>
      </c>
      <c r="C898" s="2">
        <v>2.2200000000000002</v>
      </c>
      <c r="D898" s="2">
        <v>0.9012</v>
      </c>
      <c r="E898" s="2" t="s">
        <v>35</v>
      </c>
    </row>
    <row r="899" spans="1:5" ht="20.25" customHeight="1" x14ac:dyDescent="0.15">
      <c r="A899" s="2" t="s">
        <v>2474</v>
      </c>
      <c r="B899" s="2" t="s">
        <v>2475</v>
      </c>
      <c r="C899" s="2">
        <v>2.2200000000000002</v>
      </c>
      <c r="D899" s="2">
        <v>3.2566000000000002</v>
      </c>
      <c r="E899" s="2" t="s">
        <v>7</v>
      </c>
    </row>
    <row r="900" spans="1:5" ht="20.25" customHeight="1" x14ac:dyDescent="0.15">
      <c r="A900" s="2" t="s">
        <v>3174</v>
      </c>
      <c r="B900" s="2" t="s">
        <v>3175</v>
      </c>
      <c r="C900" s="2">
        <v>2.2200000000000002</v>
      </c>
      <c r="D900" s="2">
        <v>1.9060999999999999</v>
      </c>
      <c r="E900" s="2" t="s">
        <v>299</v>
      </c>
    </row>
    <row r="901" spans="1:5" ht="20.25" customHeight="1" x14ac:dyDescent="0.15">
      <c r="A901" s="2" t="s">
        <v>3965</v>
      </c>
      <c r="B901" s="2" t="s">
        <v>3966</v>
      </c>
      <c r="C901" s="2">
        <v>2.2200000000000002</v>
      </c>
      <c r="D901" s="2">
        <v>2.7793999999999999</v>
      </c>
      <c r="E901" s="2" t="s">
        <v>664</v>
      </c>
    </row>
    <row r="902" spans="1:5" ht="20.25" customHeight="1" x14ac:dyDescent="0.15">
      <c r="A902" s="2" t="s">
        <v>5667</v>
      </c>
      <c r="B902" s="2" t="s">
        <v>5668</v>
      </c>
      <c r="C902" s="2">
        <v>2.2200000000000002</v>
      </c>
      <c r="D902" s="2">
        <v>3.2201</v>
      </c>
      <c r="E902" s="2" t="s">
        <v>68</v>
      </c>
    </row>
    <row r="903" spans="1:5" ht="20.25" customHeight="1" x14ac:dyDescent="0.15">
      <c r="A903" s="2" t="s">
        <v>5710</v>
      </c>
      <c r="B903" s="2" t="s">
        <v>5711</v>
      </c>
      <c r="C903" s="2">
        <v>2.2200000000000002</v>
      </c>
      <c r="D903" s="2">
        <v>0.1633</v>
      </c>
      <c r="E903" s="2" t="s">
        <v>143</v>
      </c>
    </row>
    <row r="904" spans="1:5" ht="20.25" customHeight="1" x14ac:dyDescent="0.15">
      <c r="A904" s="2" t="s">
        <v>5964</v>
      </c>
      <c r="B904" s="2" t="s">
        <v>5965</v>
      </c>
      <c r="C904" s="2">
        <v>2.2200000000000002</v>
      </c>
      <c r="D904" s="2">
        <v>0.48139999999999999</v>
      </c>
      <c r="E904" s="2" t="s">
        <v>146</v>
      </c>
    </row>
    <row r="905" spans="1:5" ht="20.25" customHeight="1" x14ac:dyDescent="0.15">
      <c r="A905" s="2" t="s">
        <v>6867</v>
      </c>
      <c r="B905" s="2" t="s">
        <v>6868</v>
      </c>
      <c r="C905" s="2">
        <v>2.2200000000000002</v>
      </c>
      <c r="D905" s="2">
        <v>0.79730000000000001</v>
      </c>
      <c r="E905" s="2" t="s">
        <v>123</v>
      </c>
    </row>
    <row r="906" spans="1:5" ht="20.25" customHeight="1" x14ac:dyDescent="0.15">
      <c r="A906" s="2" t="s">
        <v>7201</v>
      </c>
      <c r="B906" s="2" t="s">
        <v>7202</v>
      </c>
      <c r="C906" s="2">
        <v>2.2149999999999999</v>
      </c>
      <c r="D906" s="2">
        <v>0.56040000000000001</v>
      </c>
      <c r="E906" s="2" t="s">
        <v>2681</v>
      </c>
    </row>
    <row r="907" spans="1:5" ht="20.25" customHeight="1" x14ac:dyDescent="0.15">
      <c r="A907" s="2" t="s">
        <v>1231</v>
      </c>
      <c r="B907" s="2" t="s">
        <v>1232</v>
      </c>
      <c r="C907" s="2">
        <v>2.21</v>
      </c>
      <c r="D907" s="2">
        <v>4.3925999999999998</v>
      </c>
      <c r="E907" s="2" t="s">
        <v>647</v>
      </c>
    </row>
    <row r="908" spans="1:5" ht="20.25" customHeight="1" x14ac:dyDescent="0.15">
      <c r="A908" s="2" t="s">
        <v>1685</v>
      </c>
      <c r="B908" s="2" t="s">
        <v>1686</v>
      </c>
      <c r="C908" s="2">
        <v>2.21</v>
      </c>
      <c r="D908" s="2">
        <v>0.49619999999999997</v>
      </c>
      <c r="E908" s="2" t="s">
        <v>396</v>
      </c>
    </row>
    <row r="909" spans="1:5" ht="20.25" customHeight="1" x14ac:dyDescent="0.15">
      <c r="A909" s="2" t="s">
        <v>3152</v>
      </c>
      <c r="B909" s="2" t="s">
        <v>3153</v>
      </c>
      <c r="C909" s="2">
        <v>2.21</v>
      </c>
      <c r="D909" s="2">
        <v>2.3622000000000001</v>
      </c>
      <c r="E909" s="2" t="s">
        <v>787</v>
      </c>
    </row>
    <row r="910" spans="1:5" ht="20.25" customHeight="1" x14ac:dyDescent="0.15">
      <c r="A910" s="2" t="s">
        <v>5772</v>
      </c>
      <c r="B910" s="2" t="s">
        <v>5773</v>
      </c>
      <c r="C910" s="2">
        <v>2.21</v>
      </c>
      <c r="D910" s="2">
        <v>2.5518999999999998</v>
      </c>
      <c r="E910" s="2" t="s">
        <v>406</v>
      </c>
    </row>
    <row r="911" spans="1:5" ht="20.25" customHeight="1" x14ac:dyDescent="0.15">
      <c r="A911" s="2" t="s">
        <v>7027</v>
      </c>
      <c r="B911" s="2" t="s">
        <v>7028</v>
      </c>
      <c r="C911" s="2">
        <v>2.21</v>
      </c>
      <c r="D911" s="2">
        <v>0.6532</v>
      </c>
      <c r="E911" s="2" t="s">
        <v>4127</v>
      </c>
    </row>
    <row r="912" spans="1:5" ht="20.25" customHeight="1" x14ac:dyDescent="0.15">
      <c r="A912" s="2" t="s">
        <v>7205</v>
      </c>
      <c r="B912" s="2" t="s">
        <v>7206</v>
      </c>
      <c r="C912" s="2">
        <v>2.21</v>
      </c>
      <c r="D912" s="2">
        <v>2.0404</v>
      </c>
      <c r="E912" s="2" t="s">
        <v>310</v>
      </c>
    </row>
    <row r="913" spans="1:5" ht="20.25" customHeight="1" x14ac:dyDescent="0.15">
      <c r="A913" s="2" t="s">
        <v>8211</v>
      </c>
      <c r="B913" s="2" t="s">
        <v>8212</v>
      </c>
      <c r="C913" s="2">
        <v>2.21</v>
      </c>
      <c r="D913" s="2">
        <v>3.1709999999999998</v>
      </c>
      <c r="E913" s="2" t="s">
        <v>157</v>
      </c>
    </row>
    <row r="914" spans="1:5" ht="20.25" customHeight="1" x14ac:dyDescent="0.15">
      <c r="A914" s="2" t="s">
        <v>1935</v>
      </c>
      <c r="B914" s="2" t="s">
        <v>1936</v>
      </c>
      <c r="C914" s="2">
        <v>2.2000000000000002</v>
      </c>
      <c r="D914" s="2">
        <v>9.3988999999999994</v>
      </c>
      <c r="E914" s="2" t="s">
        <v>157</v>
      </c>
    </row>
    <row r="915" spans="1:5" ht="20.25" customHeight="1" x14ac:dyDescent="0.15">
      <c r="A915" s="2" t="s">
        <v>2421</v>
      </c>
      <c r="B915" s="2" t="s">
        <v>2422</v>
      </c>
      <c r="C915" s="2">
        <v>2.2000000000000002</v>
      </c>
      <c r="D915" s="2">
        <v>3.4571999999999998</v>
      </c>
      <c r="E915" s="2" t="s">
        <v>371</v>
      </c>
    </row>
    <row r="916" spans="1:5" ht="20.25" customHeight="1" x14ac:dyDescent="0.15">
      <c r="A916" s="2" t="s">
        <v>2590</v>
      </c>
      <c r="B916" s="2" t="s">
        <v>2591</v>
      </c>
      <c r="C916" s="2">
        <v>2.2000000000000002</v>
      </c>
      <c r="D916" s="2">
        <v>3.2566999999999999</v>
      </c>
      <c r="E916" s="2" t="s">
        <v>1011</v>
      </c>
    </row>
    <row r="917" spans="1:5" ht="20.25" customHeight="1" x14ac:dyDescent="0.15">
      <c r="A917" s="2" t="s">
        <v>4040</v>
      </c>
      <c r="B917" s="2" t="s">
        <v>4041</v>
      </c>
      <c r="C917" s="2">
        <v>2.2000000000000002</v>
      </c>
      <c r="D917" s="2">
        <v>12.3673</v>
      </c>
      <c r="E917" s="2" t="s">
        <v>157</v>
      </c>
    </row>
    <row r="918" spans="1:5" ht="20.25" customHeight="1" x14ac:dyDescent="0.15">
      <c r="A918" s="2" t="s">
        <v>6640</v>
      </c>
      <c r="B918" s="2" t="s">
        <v>6641</v>
      </c>
      <c r="C918" s="2">
        <v>2.1949999999999998</v>
      </c>
      <c r="D918" s="2">
        <v>3.0428999999999999</v>
      </c>
      <c r="E918" s="2" t="s">
        <v>185</v>
      </c>
    </row>
    <row r="919" spans="1:5" ht="20.25" customHeight="1" x14ac:dyDescent="0.15">
      <c r="A919" s="2" t="s">
        <v>1167</v>
      </c>
      <c r="B919" s="2" t="s">
        <v>1168</v>
      </c>
      <c r="C919" s="2">
        <v>2.19</v>
      </c>
      <c r="D919" s="2">
        <v>0.57950000000000002</v>
      </c>
      <c r="E919" s="2" t="s">
        <v>741</v>
      </c>
    </row>
    <row r="920" spans="1:5" ht="20.25" customHeight="1" x14ac:dyDescent="0.15">
      <c r="A920" s="2" t="s">
        <v>1723</v>
      </c>
      <c r="B920" s="2" t="s">
        <v>1724</v>
      </c>
      <c r="C920" s="2">
        <v>2.19</v>
      </c>
      <c r="D920" s="2">
        <v>0.63200000000000001</v>
      </c>
      <c r="E920" s="2" t="s">
        <v>201</v>
      </c>
    </row>
    <row r="921" spans="1:5" ht="20.25" customHeight="1" x14ac:dyDescent="0.15">
      <c r="A921" s="2" t="s">
        <v>1758</v>
      </c>
      <c r="B921" s="2" t="s">
        <v>1759</v>
      </c>
      <c r="C921" s="2">
        <v>2.19</v>
      </c>
      <c r="D921" s="2">
        <v>3.7561</v>
      </c>
      <c r="E921" s="2" t="s">
        <v>137</v>
      </c>
    </row>
    <row r="922" spans="1:5" ht="20.25" customHeight="1" x14ac:dyDescent="0.15">
      <c r="A922" s="2" t="s">
        <v>3765</v>
      </c>
      <c r="B922" s="2" t="s">
        <v>3766</v>
      </c>
      <c r="C922" s="2">
        <v>2.19</v>
      </c>
      <c r="D922" s="2">
        <v>51.316400000000002</v>
      </c>
      <c r="E922" s="2" t="s">
        <v>143</v>
      </c>
    </row>
    <row r="923" spans="1:5" ht="20.25" customHeight="1" x14ac:dyDescent="0.15">
      <c r="A923" s="2" t="s">
        <v>1662</v>
      </c>
      <c r="B923" s="2" t="s">
        <v>1663</v>
      </c>
      <c r="C923" s="2">
        <v>2.1800000000000002</v>
      </c>
      <c r="D923" s="2">
        <v>1.2821</v>
      </c>
      <c r="E923" s="2" t="s">
        <v>682</v>
      </c>
    </row>
    <row r="924" spans="1:5" ht="20.25" customHeight="1" x14ac:dyDescent="0.15">
      <c r="A924" s="2" t="s">
        <v>2813</v>
      </c>
      <c r="B924" s="2" t="s">
        <v>2814</v>
      </c>
      <c r="C924" s="2">
        <v>2.1800000000000002</v>
      </c>
      <c r="D924" s="2">
        <v>2.9434</v>
      </c>
      <c r="E924" s="2" t="s">
        <v>185</v>
      </c>
    </row>
    <row r="925" spans="1:5" ht="20.25" customHeight="1" x14ac:dyDescent="0.15">
      <c r="A925" s="2" t="s">
        <v>3619</v>
      </c>
      <c r="B925" s="2" t="s">
        <v>3620</v>
      </c>
      <c r="C925" s="2">
        <v>2.1800000000000002</v>
      </c>
      <c r="D925" s="2">
        <v>8.2065000000000001</v>
      </c>
      <c r="E925" s="2" t="s">
        <v>41</v>
      </c>
    </row>
    <row r="926" spans="1:5" ht="20.25" customHeight="1" x14ac:dyDescent="0.15">
      <c r="A926" s="2" t="s">
        <v>4492</v>
      </c>
      <c r="B926" s="2" t="s">
        <v>4493</v>
      </c>
      <c r="C926" s="2">
        <v>2.1800000000000002</v>
      </c>
      <c r="D926" s="2">
        <v>4.6540999999999997</v>
      </c>
      <c r="E926" s="2" t="s">
        <v>403</v>
      </c>
    </row>
    <row r="927" spans="1:5" ht="20.25" customHeight="1" x14ac:dyDescent="0.15">
      <c r="A927" s="2" t="s">
        <v>96</v>
      </c>
      <c r="B927" s="2" t="s">
        <v>97</v>
      </c>
      <c r="C927" s="2">
        <v>2.17</v>
      </c>
      <c r="D927" s="2">
        <v>1.7736000000000001</v>
      </c>
      <c r="E927" s="2" t="s">
        <v>18</v>
      </c>
    </row>
    <row r="928" spans="1:5" ht="20.25" customHeight="1" x14ac:dyDescent="0.15">
      <c r="A928" s="2" t="s">
        <v>132</v>
      </c>
      <c r="B928" s="2" t="s">
        <v>133</v>
      </c>
      <c r="C928" s="2">
        <v>2.17</v>
      </c>
      <c r="D928" s="2">
        <v>0.7369</v>
      </c>
      <c r="E928" s="2" t="s">
        <v>134</v>
      </c>
    </row>
    <row r="929" spans="1:5" ht="20.25" customHeight="1" x14ac:dyDescent="0.15">
      <c r="A929" s="2" t="s">
        <v>1220</v>
      </c>
      <c r="B929" s="2" t="s">
        <v>1221</v>
      </c>
      <c r="C929" s="2">
        <v>2.17</v>
      </c>
      <c r="D929" s="2">
        <v>276.21339999999998</v>
      </c>
      <c r="E929" s="2" t="s">
        <v>647</v>
      </c>
    </row>
    <row r="930" spans="1:5" ht="20.25" customHeight="1" x14ac:dyDescent="0.15">
      <c r="A930" s="2" t="s">
        <v>1511</v>
      </c>
      <c r="B930" s="2" t="s">
        <v>1512</v>
      </c>
      <c r="C930" s="2">
        <v>2.17</v>
      </c>
      <c r="D930" s="2">
        <v>15.3497</v>
      </c>
      <c r="E930" s="2" t="s">
        <v>198</v>
      </c>
    </row>
    <row r="931" spans="1:5" ht="20.25" customHeight="1" x14ac:dyDescent="0.15">
      <c r="A931" s="2" t="s">
        <v>2614</v>
      </c>
      <c r="B931" s="2" t="s">
        <v>2615</v>
      </c>
      <c r="C931" s="2">
        <v>2.17</v>
      </c>
      <c r="D931" s="2">
        <v>4.202</v>
      </c>
      <c r="E931" s="2" t="s">
        <v>204</v>
      </c>
    </row>
    <row r="932" spans="1:5" ht="20.25" customHeight="1" x14ac:dyDescent="0.15">
      <c r="A932" s="2" t="s">
        <v>4408</v>
      </c>
      <c r="B932" s="2" t="s">
        <v>4409</v>
      </c>
      <c r="C932" s="2">
        <v>2.17</v>
      </c>
      <c r="D932" s="2">
        <v>2.1093000000000002</v>
      </c>
      <c r="E932" s="2" t="s">
        <v>657</v>
      </c>
    </row>
    <row r="933" spans="1:5" ht="20.25" customHeight="1" x14ac:dyDescent="0.15">
      <c r="A933" s="2" t="s">
        <v>7015</v>
      </c>
      <c r="B933" s="2" t="s">
        <v>7016</v>
      </c>
      <c r="C933" s="2">
        <v>2.17</v>
      </c>
      <c r="D933" s="2">
        <v>14.1227</v>
      </c>
      <c r="E933" s="2" t="s">
        <v>1061</v>
      </c>
    </row>
    <row r="934" spans="1:5" ht="20.25" customHeight="1" x14ac:dyDescent="0.15">
      <c r="A934" s="2" t="s">
        <v>1879</v>
      </c>
      <c r="B934" s="2" t="s">
        <v>1880</v>
      </c>
      <c r="C934" s="2">
        <v>2.16</v>
      </c>
      <c r="D934" s="2">
        <v>1.0673999999999999</v>
      </c>
      <c r="E934" s="2" t="s">
        <v>35</v>
      </c>
    </row>
    <row r="935" spans="1:5" ht="20.25" customHeight="1" x14ac:dyDescent="0.15">
      <c r="A935" s="2" t="s">
        <v>2706</v>
      </c>
      <c r="B935" s="2" t="s">
        <v>2707</v>
      </c>
      <c r="C935" s="2">
        <v>2.16</v>
      </c>
      <c r="D935" s="2">
        <v>0.48870000000000002</v>
      </c>
      <c r="E935" s="2" t="s">
        <v>1436</v>
      </c>
    </row>
    <row r="936" spans="1:5" ht="20.25" customHeight="1" x14ac:dyDescent="0.15">
      <c r="A936" s="2" t="s">
        <v>2769</v>
      </c>
      <c r="B936" s="2" t="s">
        <v>2770</v>
      </c>
      <c r="C936" s="2">
        <v>2.16</v>
      </c>
      <c r="D936" s="2">
        <v>0.55310000000000004</v>
      </c>
      <c r="E936" s="2" t="s">
        <v>140</v>
      </c>
    </row>
    <row r="937" spans="1:5" ht="20.25" customHeight="1" x14ac:dyDescent="0.15">
      <c r="A937" s="2" t="s">
        <v>4871</v>
      </c>
      <c r="B937" s="2" t="s">
        <v>4872</v>
      </c>
      <c r="C937" s="2">
        <v>2.16</v>
      </c>
      <c r="D937" s="2">
        <v>168.64429999999999</v>
      </c>
      <c r="E937" s="2" t="s">
        <v>403</v>
      </c>
    </row>
    <row r="938" spans="1:5" ht="20.25" customHeight="1" x14ac:dyDescent="0.15">
      <c r="A938" s="2" t="s">
        <v>5862</v>
      </c>
      <c r="B938" s="2" t="s">
        <v>5863</v>
      </c>
      <c r="C938" s="2">
        <v>2.16</v>
      </c>
      <c r="D938" s="2">
        <v>37.512300000000003</v>
      </c>
      <c r="E938" s="2" t="s">
        <v>55</v>
      </c>
    </row>
    <row r="939" spans="1:5" ht="20.25" customHeight="1" x14ac:dyDescent="0.15">
      <c r="A939" s="2" t="s">
        <v>6144</v>
      </c>
      <c r="B939" s="2" t="s">
        <v>6145</v>
      </c>
      <c r="C939" s="2">
        <v>2.16</v>
      </c>
      <c r="D939" s="2">
        <v>1.8328</v>
      </c>
      <c r="E939" s="2" t="s">
        <v>368</v>
      </c>
    </row>
    <row r="940" spans="1:5" ht="20.25" customHeight="1" x14ac:dyDescent="0.15">
      <c r="A940" s="2" t="s">
        <v>6939</v>
      </c>
      <c r="B940" s="2" t="s">
        <v>6940</v>
      </c>
      <c r="C940" s="2">
        <v>2.16</v>
      </c>
      <c r="D940" s="2">
        <v>8.1219999999999999</v>
      </c>
      <c r="E940" s="2" t="s">
        <v>41</v>
      </c>
    </row>
    <row r="941" spans="1:5" ht="20.25" customHeight="1" x14ac:dyDescent="0.15">
      <c r="A941" s="2" t="s">
        <v>7349</v>
      </c>
      <c r="B941" s="2" t="s">
        <v>7350</v>
      </c>
      <c r="C941" s="2">
        <v>2.16</v>
      </c>
      <c r="D941" s="2">
        <v>6.5069999999999997</v>
      </c>
      <c r="E941" s="2" t="s">
        <v>1139</v>
      </c>
    </row>
    <row r="942" spans="1:5" ht="20.25" customHeight="1" x14ac:dyDescent="0.15">
      <c r="A942" s="2" t="s">
        <v>523</v>
      </c>
      <c r="B942" s="2" t="s">
        <v>524</v>
      </c>
      <c r="C942" s="2">
        <v>2.15</v>
      </c>
      <c r="D942" s="2">
        <v>3.9706000000000001</v>
      </c>
      <c r="E942" s="2" t="s">
        <v>21</v>
      </c>
    </row>
    <row r="943" spans="1:5" ht="20.25" customHeight="1" x14ac:dyDescent="0.15">
      <c r="A943" s="2" t="s">
        <v>3799</v>
      </c>
      <c r="B943" s="2" t="s">
        <v>3800</v>
      </c>
      <c r="C943" s="2">
        <v>2.15</v>
      </c>
      <c r="D943" s="2">
        <v>1.3173999999999999</v>
      </c>
      <c r="E943" s="2" t="s">
        <v>271</v>
      </c>
    </row>
    <row r="944" spans="1:5" ht="20.25" customHeight="1" x14ac:dyDescent="0.15">
      <c r="A944" s="2" t="s">
        <v>4012</v>
      </c>
      <c r="B944" s="2" t="s">
        <v>4013</v>
      </c>
      <c r="C944" s="2">
        <v>2.15</v>
      </c>
      <c r="D944" s="2">
        <v>2.3605</v>
      </c>
      <c r="E944" s="2" t="s">
        <v>741</v>
      </c>
    </row>
    <row r="945" spans="1:5" ht="20.25" customHeight="1" x14ac:dyDescent="0.15">
      <c r="A945" s="2" t="s">
        <v>5848</v>
      </c>
      <c r="B945" s="2" t="s">
        <v>5849</v>
      </c>
      <c r="C945" s="2">
        <v>2.15</v>
      </c>
      <c r="D945" s="2">
        <v>170.21530000000001</v>
      </c>
      <c r="E945" s="2" t="s">
        <v>310</v>
      </c>
    </row>
    <row r="946" spans="1:5" ht="20.25" customHeight="1" x14ac:dyDescent="0.15">
      <c r="A946" s="2" t="s">
        <v>5980</v>
      </c>
      <c r="B946" s="2" t="s">
        <v>5981</v>
      </c>
      <c r="C946" s="2">
        <v>2.15</v>
      </c>
      <c r="D946" s="2">
        <v>4.9119999999999999</v>
      </c>
      <c r="E946" s="2" t="s">
        <v>365</v>
      </c>
    </row>
    <row r="947" spans="1:5" ht="20.25" customHeight="1" x14ac:dyDescent="0.15">
      <c r="A947" s="2" t="s">
        <v>6282</v>
      </c>
      <c r="B947" s="2" t="s">
        <v>6283</v>
      </c>
      <c r="C947" s="2">
        <v>2.15</v>
      </c>
      <c r="D947" s="2">
        <v>1.5342</v>
      </c>
      <c r="E947" s="2" t="s">
        <v>1390</v>
      </c>
    </row>
    <row r="948" spans="1:5" ht="20.25" customHeight="1" x14ac:dyDescent="0.15">
      <c r="A948" s="2" t="s">
        <v>6364</v>
      </c>
      <c r="B948" s="2" t="s">
        <v>6365</v>
      </c>
      <c r="C948" s="2">
        <v>2.15</v>
      </c>
      <c r="D948" s="2">
        <v>0.54910000000000003</v>
      </c>
      <c r="E948" s="2" t="s">
        <v>741</v>
      </c>
    </row>
    <row r="949" spans="1:5" ht="20.25" customHeight="1" x14ac:dyDescent="0.15">
      <c r="A949" s="2" t="s">
        <v>4438</v>
      </c>
      <c r="B949" s="2" t="s">
        <v>4439</v>
      </c>
      <c r="C949" s="2">
        <v>2.145</v>
      </c>
      <c r="D949" s="2">
        <v>53.554499999999997</v>
      </c>
      <c r="E949" s="2" t="s">
        <v>677</v>
      </c>
    </row>
    <row r="950" spans="1:5" ht="20.25" customHeight="1" x14ac:dyDescent="0.15">
      <c r="A950" s="2" t="s">
        <v>1009</v>
      </c>
      <c r="B950" s="2" t="s">
        <v>1010</v>
      </c>
      <c r="C950" s="2">
        <v>2.14</v>
      </c>
      <c r="D950" s="2">
        <v>4.5926</v>
      </c>
      <c r="E950" s="2" t="s">
        <v>1011</v>
      </c>
    </row>
    <row r="951" spans="1:5" ht="20.25" customHeight="1" x14ac:dyDescent="0.15">
      <c r="A951" s="2" t="s">
        <v>3118</v>
      </c>
      <c r="B951" s="2" t="s">
        <v>3119</v>
      </c>
      <c r="C951" s="2">
        <v>2.14</v>
      </c>
      <c r="D951" s="2">
        <v>5.149</v>
      </c>
      <c r="E951" s="2" t="s">
        <v>44</v>
      </c>
    </row>
    <row r="952" spans="1:5" ht="20.25" customHeight="1" x14ac:dyDescent="0.15">
      <c r="A952" s="2" t="s">
        <v>3180</v>
      </c>
      <c r="B952" s="2" t="s">
        <v>3181</v>
      </c>
      <c r="C952" s="2">
        <v>2.14</v>
      </c>
      <c r="D952" s="2">
        <v>0.93940000000000001</v>
      </c>
      <c r="E952" s="2" t="s">
        <v>1034</v>
      </c>
    </row>
    <row r="953" spans="1:5" ht="20.25" customHeight="1" x14ac:dyDescent="0.15">
      <c r="A953" s="2" t="s">
        <v>3726</v>
      </c>
      <c r="B953" s="2" t="s">
        <v>3727</v>
      </c>
      <c r="C953" s="2">
        <v>2.14</v>
      </c>
      <c r="D953" s="2">
        <v>1.0205</v>
      </c>
      <c r="E953" s="2" t="s">
        <v>396</v>
      </c>
    </row>
    <row r="954" spans="1:5" ht="20.25" customHeight="1" x14ac:dyDescent="0.15">
      <c r="A954" s="2" t="s">
        <v>5367</v>
      </c>
      <c r="B954" s="2" t="s">
        <v>5368</v>
      </c>
      <c r="C954" s="2">
        <v>2.14</v>
      </c>
      <c r="D954" s="2">
        <v>1.0488999999999999</v>
      </c>
      <c r="E954" s="2" t="s">
        <v>699</v>
      </c>
    </row>
    <row r="955" spans="1:5" ht="20.25" customHeight="1" x14ac:dyDescent="0.15">
      <c r="A955" s="2" t="s">
        <v>6414</v>
      </c>
      <c r="B955" s="2" t="s">
        <v>6415</v>
      </c>
      <c r="C955" s="2">
        <v>2.14</v>
      </c>
      <c r="D955" s="2">
        <v>0.7722</v>
      </c>
      <c r="E955" s="2" t="s">
        <v>310</v>
      </c>
    </row>
    <row r="956" spans="1:5" ht="20.25" customHeight="1" x14ac:dyDescent="0.15">
      <c r="A956" s="2" t="s">
        <v>63</v>
      </c>
      <c r="B956" s="2" t="s">
        <v>64</v>
      </c>
      <c r="C956" s="2">
        <v>2.13</v>
      </c>
      <c r="D956" s="2">
        <v>40.875</v>
      </c>
      <c r="E956" s="2" t="s">
        <v>65</v>
      </c>
    </row>
    <row r="957" spans="1:5" ht="20.25" customHeight="1" x14ac:dyDescent="0.15">
      <c r="A957" s="2" t="s">
        <v>902</v>
      </c>
      <c r="B957" s="2" t="s">
        <v>903</v>
      </c>
      <c r="C957" s="2">
        <v>2.13</v>
      </c>
      <c r="D957" s="2">
        <v>0.63800000000000001</v>
      </c>
      <c r="E957" s="2" t="s">
        <v>286</v>
      </c>
    </row>
    <row r="958" spans="1:5" ht="20.25" customHeight="1" x14ac:dyDescent="0.15">
      <c r="A958" s="2" t="s">
        <v>1384</v>
      </c>
      <c r="B958" s="2" t="s">
        <v>1385</v>
      </c>
      <c r="C958" s="2">
        <v>2.13</v>
      </c>
      <c r="D958" s="2">
        <v>19.1187</v>
      </c>
      <c r="E958" s="2" t="s">
        <v>140</v>
      </c>
    </row>
    <row r="959" spans="1:5" ht="20.25" customHeight="1" x14ac:dyDescent="0.15">
      <c r="A959" s="2" t="s">
        <v>1524</v>
      </c>
      <c r="B959" s="2" t="s">
        <v>1525</v>
      </c>
      <c r="C959" s="2">
        <v>2.13</v>
      </c>
      <c r="D959" s="2">
        <v>14.3766</v>
      </c>
      <c r="E959" s="2" t="s">
        <v>529</v>
      </c>
    </row>
    <row r="960" spans="1:5" ht="20.25" customHeight="1" x14ac:dyDescent="0.15">
      <c r="A960" s="2" t="s">
        <v>1573</v>
      </c>
      <c r="B960" s="2" t="s">
        <v>1574</v>
      </c>
      <c r="C960" s="2">
        <v>2.13</v>
      </c>
      <c r="D960" s="2">
        <v>0.22639999999999999</v>
      </c>
      <c r="E960" s="2" t="s">
        <v>391</v>
      </c>
    </row>
    <row r="961" spans="1:5" ht="20.25" customHeight="1" x14ac:dyDescent="0.15">
      <c r="A961" s="2" t="s">
        <v>1802</v>
      </c>
      <c r="B961" s="2" t="s">
        <v>1803</v>
      </c>
      <c r="C961" s="2">
        <v>2.13</v>
      </c>
      <c r="D961" s="2">
        <v>0.37</v>
      </c>
      <c r="E961" s="2" t="s">
        <v>961</v>
      </c>
    </row>
    <row r="962" spans="1:5" ht="20.25" customHeight="1" x14ac:dyDescent="0.15">
      <c r="A962" s="2" t="s">
        <v>1911</v>
      </c>
      <c r="B962" s="2" t="s">
        <v>1912</v>
      </c>
      <c r="C962" s="2">
        <v>2.13</v>
      </c>
      <c r="D962" s="2">
        <v>1.2579</v>
      </c>
      <c r="E962" s="2" t="s">
        <v>501</v>
      </c>
    </row>
    <row r="963" spans="1:5" ht="20.25" customHeight="1" x14ac:dyDescent="0.15">
      <c r="A963" s="2" t="s">
        <v>2322</v>
      </c>
      <c r="B963" s="2" t="s">
        <v>2323</v>
      </c>
      <c r="C963" s="2">
        <v>2.13</v>
      </c>
      <c r="D963" s="2">
        <v>2.3313999999999999</v>
      </c>
      <c r="E963" s="2" t="s">
        <v>55</v>
      </c>
    </row>
    <row r="964" spans="1:5" ht="20.25" customHeight="1" x14ac:dyDescent="0.15">
      <c r="A964" s="2" t="s">
        <v>4616</v>
      </c>
      <c r="B964" s="2" t="s">
        <v>4617</v>
      </c>
      <c r="C964" s="2">
        <v>2.13</v>
      </c>
      <c r="D964" s="2">
        <v>0.19869999999999999</v>
      </c>
      <c r="E964" s="2" t="s">
        <v>368</v>
      </c>
    </row>
    <row r="965" spans="1:5" ht="20.25" customHeight="1" x14ac:dyDescent="0.15">
      <c r="A965" s="2" t="s">
        <v>1214</v>
      </c>
      <c r="B965" s="2" t="s">
        <v>1215</v>
      </c>
      <c r="C965" s="2">
        <v>2.12</v>
      </c>
      <c r="D965" s="2">
        <v>0.37469999999999998</v>
      </c>
      <c r="E965" s="2" t="s">
        <v>44</v>
      </c>
    </row>
    <row r="966" spans="1:5" ht="20.25" customHeight="1" x14ac:dyDescent="0.15">
      <c r="A966" s="2" t="s">
        <v>1594</v>
      </c>
      <c r="B966" s="2" t="s">
        <v>1595</v>
      </c>
      <c r="C966" s="2">
        <v>2.12</v>
      </c>
      <c r="D966" s="2">
        <v>3.2652000000000001</v>
      </c>
      <c r="E966" s="2" t="s">
        <v>41</v>
      </c>
    </row>
    <row r="967" spans="1:5" ht="20.25" customHeight="1" x14ac:dyDescent="0.15">
      <c r="A967" s="2" t="s">
        <v>1611</v>
      </c>
      <c r="B967" s="2" t="s">
        <v>1612</v>
      </c>
      <c r="C967" s="2">
        <v>2.12</v>
      </c>
      <c r="D967" s="2">
        <v>9.8899000000000008</v>
      </c>
      <c r="E967" s="2" t="s">
        <v>1613</v>
      </c>
    </row>
    <row r="968" spans="1:5" ht="20.25" customHeight="1" x14ac:dyDescent="0.15">
      <c r="A968" s="2" t="s">
        <v>2506</v>
      </c>
      <c r="B968" s="2" t="s">
        <v>2507</v>
      </c>
      <c r="C968" s="2">
        <v>2.12</v>
      </c>
      <c r="D968" s="2">
        <v>0.77190000000000003</v>
      </c>
      <c r="E968" s="2" t="s">
        <v>286</v>
      </c>
    </row>
    <row r="969" spans="1:5" ht="20.25" customHeight="1" x14ac:dyDescent="0.15">
      <c r="A969" s="2" t="s">
        <v>2608</v>
      </c>
      <c r="B969" s="2" t="s">
        <v>2609</v>
      </c>
      <c r="C969" s="2">
        <v>2.12</v>
      </c>
      <c r="D969" s="2">
        <v>0.75290000000000001</v>
      </c>
      <c r="E969" s="2" t="s">
        <v>418</v>
      </c>
    </row>
    <row r="970" spans="1:5" ht="20.25" customHeight="1" x14ac:dyDescent="0.15">
      <c r="A970" s="2" t="s">
        <v>3001</v>
      </c>
      <c r="B970" s="2" t="s">
        <v>3002</v>
      </c>
      <c r="C970" s="2">
        <v>2.12</v>
      </c>
      <c r="D970" s="2">
        <v>9.5289999999999999</v>
      </c>
      <c r="E970" s="2" t="s">
        <v>41</v>
      </c>
    </row>
    <row r="971" spans="1:5" ht="20.25" customHeight="1" x14ac:dyDescent="0.15">
      <c r="A971" s="2" t="s">
        <v>4982</v>
      </c>
      <c r="B971" s="2" t="s">
        <v>4983</v>
      </c>
      <c r="C971" s="2">
        <v>2.12</v>
      </c>
      <c r="D971" s="2">
        <v>35.039200000000001</v>
      </c>
      <c r="E971" s="2" t="s">
        <v>374</v>
      </c>
    </row>
    <row r="972" spans="1:5" ht="20.25" customHeight="1" x14ac:dyDescent="0.15">
      <c r="A972" s="2" t="s">
        <v>5381</v>
      </c>
      <c r="B972" s="2" t="s">
        <v>5382</v>
      </c>
      <c r="C972" s="2">
        <v>2.12</v>
      </c>
      <c r="D972" s="2">
        <v>1.6358999999999999</v>
      </c>
      <c r="E972" s="2" t="s">
        <v>647</v>
      </c>
    </row>
    <row r="973" spans="1:5" ht="20.25" customHeight="1" x14ac:dyDescent="0.15">
      <c r="A973" s="2" t="s">
        <v>1324</v>
      </c>
      <c r="B973" s="2" t="s">
        <v>1325</v>
      </c>
      <c r="C973" s="2">
        <v>2.11</v>
      </c>
      <c r="D973" s="2">
        <v>4.5975999999999999</v>
      </c>
      <c r="E973" s="2" t="s">
        <v>371</v>
      </c>
    </row>
    <row r="974" spans="1:5" ht="20.25" customHeight="1" x14ac:dyDescent="0.15">
      <c r="A974" s="2" t="s">
        <v>1891</v>
      </c>
      <c r="B974" s="2" t="s">
        <v>1892</v>
      </c>
      <c r="C974" s="2">
        <v>2.11</v>
      </c>
      <c r="D974" s="2">
        <v>1.6025</v>
      </c>
      <c r="E974" s="2" t="s">
        <v>747</v>
      </c>
    </row>
    <row r="975" spans="1:5" ht="20.25" customHeight="1" x14ac:dyDescent="0.15">
      <c r="A975" s="2" t="s">
        <v>5375</v>
      </c>
      <c r="B975" s="2" t="s">
        <v>5376</v>
      </c>
      <c r="C975" s="2">
        <v>2.11</v>
      </c>
      <c r="D975" s="2">
        <v>3.2183000000000002</v>
      </c>
      <c r="E975" s="2" t="s">
        <v>406</v>
      </c>
    </row>
    <row r="976" spans="1:5" ht="20.25" customHeight="1" x14ac:dyDescent="0.15">
      <c r="A976" s="2" t="s">
        <v>6660</v>
      </c>
      <c r="B976" s="2" t="s">
        <v>6661</v>
      </c>
      <c r="C976" s="2">
        <v>2.11</v>
      </c>
      <c r="D976" s="2">
        <v>1.1194</v>
      </c>
      <c r="E976" s="2" t="s">
        <v>71</v>
      </c>
    </row>
    <row r="977" spans="1:5" ht="20.25" customHeight="1" x14ac:dyDescent="0.15">
      <c r="A977" s="2" t="s">
        <v>6722</v>
      </c>
      <c r="B977" s="2" t="s">
        <v>6723</v>
      </c>
      <c r="C977" s="2">
        <v>2.11</v>
      </c>
      <c r="D977" s="2">
        <v>1.2051000000000001</v>
      </c>
      <c r="E977" s="2" t="s">
        <v>630</v>
      </c>
    </row>
    <row r="978" spans="1:5" ht="20.25" customHeight="1" x14ac:dyDescent="0.15">
      <c r="A978" s="2" t="s">
        <v>1212</v>
      </c>
      <c r="B978" s="2" t="s">
        <v>1213</v>
      </c>
      <c r="C978" s="2">
        <v>2.1</v>
      </c>
      <c r="D978" s="2">
        <v>3.9315000000000002</v>
      </c>
      <c r="E978" s="2" t="s">
        <v>21</v>
      </c>
    </row>
    <row r="979" spans="1:5" ht="20.25" customHeight="1" x14ac:dyDescent="0.15">
      <c r="A979" s="2" t="s">
        <v>4518</v>
      </c>
      <c r="B979" s="2" t="s">
        <v>4519</v>
      </c>
      <c r="C979" s="2">
        <v>2.1</v>
      </c>
      <c r="D979" s="2">
        <v>1.0685</v>
      </c>
      <c r="E979" s="2" t="s">
        <v>265</v>
      </c>
    </row>
    <row r="980" spans="1:5" ht="20.25" customHeight="1" x14ac:dyDescent="0.15">
      <c r="A980" s="2" t="s">
        <v>5078</v>
      </c>
      <c r="B980" s="2" t="s">
        <v>5079</v>
      </c>
      <c r="C980" s="2">
        <v>2.1</v>
      </c>
      <c r="D980" s="2">
        <v>1.0069999999999999</v>
      </c>
      <c r="E980" s="2" t="s">
        <v>44</v>
      </c>
    </row>
    <row r="981" spans="1:5" ht="20.25" customHeight="1" x14ac:dyDescent="0.15">
      <c r="A981" s="2" t="s">
        <v>6362</v>
      </c>
      <c r="B981" s="2" t="s">
        <v>6363</v>
      </c>
      <c r="C981" s="2">
        <v>2.1</v>
      </c>
      <c r="D981" s="2">
        <v>0.36020000000000002</v>
      </c>
      <c r="E981" s="2" t="s">
        <v>784</v>
      </c>
    </row>
    <row r="982" spans="1:5" ht="20.25" customHeight="1" x14ac:dyDescent="0.15">
      <c r="A982" s="2" t="s">
        <v>8309</v>
      </c>
      <c r="B982" s="2" t="s">
        <v>8310</v>
      </c>
      <c r="C982" s="2">
        <v>2.1</v>
      </c>
      <c r="D982" s="2">
        <v>7.3659999999999997</v>
      </c>
      <c r="E982" s="2" t="s">
        <v>1853</v>
      </c>
    </row>
    <row r="983" spans="1:5" ht="20.25" customHeight="1" x14ac:dyDescent="0.15">
      <c r="A983" s="2" t="s">
        <v>36</v>
      </c>
      <c r="B983" s="2" t="s">
        <v>37</v>
      </c>
      <c r="C983" s="2">
        <v>2.09</v>
      </c>
      <c r="D983" s="2">
        <v>0.59209999999999996</v>
      </c>
      <c r="E983" s="2" t="s">
        <v>38</v>
      </c>
    </row>
    <row r="984" spans="1:5" ht="20.25" customHeight="1" x14ac:dyDescent="0.15">
      <c r="A984" s="2" t="s">
        <v>889</v>
      </c>
      <c r="B984" s="2" t="s">
        <v>890</v>
      </c>
      <c r="C984" s="2">
        <v>2.09</v>
      </c>
      <c r="D984" s="2">
        <v>4.1241000000000003</v>
      </c>
      <c r="E984" s="2" t="s">
        <v>265</v>
      </c>
    </row>
    <row r="985" spans="1:5" ht="20.25" customHeight="1" x14ac:dyDescent="0.15">
      <c r="A985" s="2" t="s">
        <v>1694</v>
      </c>
      <c r="B985" s="2" t="s">
        <v>1695</v>
      </c>
      <c r="C985" s="2">
        <v>2.09</v>
      </c>
      <c r="D985" s="2">
        <v>1.7269000000000001</v>
      </c>
      <c r="E985" s="2" t="s">
        <v>741</v>
      </c>
    </row>
    <row r="986" spans="1:5" ht="20.25" customHeight="1" x14ac:dyDescent="0.15">
      <c r="A986" s="2" t="s">
        <v>4733</v>
      </c>
      <c r="B986" s="2" t="s">
        <v>4734</v>
      </c>
      <c r="C986" s="2">
        <v>2.09</v>
      </c>
      <c r="D986" s="2">
        <v>0.70430000000000004</v>
      </c>
      <c r="E986" s="2" t="s">
        <v>638</v>
      </c>
    </row>
    <row r="987" spans="1:5" ht="20.25" customHeight="1" x14ac:dyDescent="0.15">
      <c r="A987" s="2" t="s">
        <v>5411</v>
      </c>
      <c r="B987" s="2" t="s">
        <v>5412</v>
      </c>
      <c r="C987" s="2">
        <v>2.09</v>
      </c>
      <c r="D987" s="2">
        <v>3.08</v>
      </c>
      <c r="E987" s="2" t="s">
        <v>961</v>
      </c>
    </row>
    <row r="988" spans="1:5" ht="20.25" customHeight="1" x14ac:dyDescent="0.15">
      <c r="A988" s="2" t="s">
        <v>6038</v>
      </c>
      <c r="B988" s="2" t="s">
        <v>6039</v>
      </c>
      <c r="C988" s="2">
        <v>2.09</v>
      </c>
      <c r="D988" s="2">
        <v>3.0446</v>
      </c>
      <c r="E988" s="2" t="s">
        <v>596</v>
      </c>
    </row>
    <row r="989" spans="1:5" ht="20.25" customHeight="1" x14ac:dyDescent="0.15">
      <c r="A989" s="2" t="s">
        <v>7063</v>
      </c>
      <c r="B989" s="2" t="s">
        <v>7064</v>
      </c>
      <c r="C989" s="2">
        <v>2.09</v>
      </c>
      <c r="D989" s="2">
        <v>1.0664</v>
      </c>
      <c r="E989" s="2" t="s">
        <v>143</v>
      </c>
    </row>
    <row r="990" spans="1:5" ht="20.25" customHeight="1" x14ac:dyDescent="0.15">
      <c r="A990" s="2" t="s">
        <v>7621</v>
      </c>
      <c r="B990" s="2" t="s">
        <v>7622</v>
      </c>
      <c r="C990" s="2">
        <v>2.09</v>
      </c>
      <c r="D990" s="2">
        <v>3.7703000000000002</v>
      </c>
      <c r="E990" s="2" t="s">
        <v>1420</v>
      </c>
    </row>
    <row r="991" spans="1:5" ht="20.25" customHeight="1" x14ac:dyDescent="0.15">
      <c r="A991" s="2" t="s">
        <v>7765</v>
      </c>
      <c r="B991" s="2" t="s">
        <v>7766</v>
      </c>
      <c r="C991" s="2">
        <v>2.09</v>
      </c>
      <c r="D991" s="2">
        <v>0.49780000000000002</v>
      </c>
      <c r="E991" s="2" t="s">
        <v>257</v>
      </c>
    </row>
    <row r="992" spans="1:5" ht="20.25" customHeight="1" x14ac:dyDescent="0.15">
      <c r="A992" s="2" t="s">
        <v>2999</v>
      </c>
      <c r="B992" s="2" t="s">
        <v>3000</v>
      </c>
      <c r="C992" s="2">
        <v>2.085</v>
      </c>
      <c r="D992" s="2">
        <v>116.3836</v>
      </c>
      <c r="E992" s="2" t="s">
        <v>371</v>
      </c>
    </row>
    <row r="993" spans="1:5" ht="20.25" customHeight="1" x14ac:dyDescent="0.15">
      <c r="A993" s="2" t="s">
        <v>2232</v>
      </c>
      <c r="B993" s="2" t="s">
        <v>2233</v>
      </c>
      <c r="C993" s="2">
        <v>2.08</v>
      </c>
      <c r="D993" s="2">
        <v>1.8920999999999999</v>
      </c>
      <c r="E993" s="2" t="s">
        <v>667</v>
      </c>
    </row>
    <row r="994" spans="1:5" ht="20.25" customHeight="1" x14ac:dyDescent="0.15">
      <c r="A994" s="2" t="s">
        <v>2238</v>
      </c>
      <c r="B994" s="2" t="s">
        <v>2239</v>
      </c>
      <c r="C994" s="2">
        <v>2.08</v>
      </c>
      <c r="D994" s="2">
        <v>0.6885</v>
      </c>
      <c r="E994" s="2" t="s">
        <v>614</v>
      </c>
    </row>
    <row r="995" spans="1:5" ht="20.25" customHeight="1" x14ac:dyDescent="0.15">
      <c r="A995" s="2" t="s">
        <v>3447</v>
      </c>
      <c r="B995" s="2" t="s">
        <v>3448</v>
      </c>
      <c r="C995" s="2">
        <v>2.08</v>
      </c>
      <c r="D995" s="2">
        <v>5.0003000000000002</v>
      </c>
      <c r="E995" s="2" t="s">
        <v>140</v>
      </c>
    </row>
    <row r="996" spans="1:5" ht="20.25" customHeight="1" x14ac:dyDescent="0.15">
      <c r="A996" s="2" t="s">
        <v>4050</v>
      </c>
      <c r="B996" s="2" t="s">
        <v>4051</v>
      </c>
      <c r="C996" s="2">
        <v>2.08</v>
      </c>
      <c r="D996" s="2">
        <v>0.91249999999999998</v>
      </c>
      <c r="E996" s="2" t="s">
        <v>1243</v>
      </c>
    </row>
    <row r="997" spans="1:5" ht="20.25" customHeight="1" x14ac:dyDescent="0.15">
      <c r="A997" s="2" t="s">
        <v>6076</v>
      </c>
      <c r="B997" s="2" t="s">
        <v>6077</v>
      </c>
      <c r="C997" s="2">
        <v>2.08</v>
      </c>
      <c r="D997" s="2">
        <v>1.7887999999999999</v>
      </c>
      <c r="E997" s="2" t="s">
        <v>406</v>
      </c>
    </row>
    <row r="998" spans="1:5" ht="20.25" customHeight="1" x14ac:dyDescent="0.15">
      <c r="A998" s="2" t="s">
        <v>5641</v>
      </c>
      <c r="B998" s="2" t="s">
        <v>5642</v>
      </c>
      <c r="C998" s="2">
        <v>2.0750000000000002</v>
      </c>
      <c r="D998" s="2">
        <v>29.478899999999999</v>
      </c>
      <c r="E998" s="2" t="s">
        <v>68</v>
      </c>
    </row>
    <row r="999" spans="1:5" ht="20.25" customHeight="1" x14ac:dyDescent="0.15">
      <c r="A999" s="2" t="s">
        <v>848</v>
      </c>
      <c r="B999" s="2" t="s">
        <v>849</v>
      </c>
      <c r="C999" s="2">
        <v>2.0699999999999998</v>
      </c>
      <c r="D999" s="2">
        <v>4.3773</v>
      </c>
      <c r="E999" s="2" t="s">
        <v>529</v>
      </c>
    </row>
    <row r="1000" spans="1:5" ht="20.25" customHeight="1" x14ac:dyDescent="0.15">
      <c r="A1000" s="2" t="s">
        <v>1749</v>
      </c>
      <c r="B1000" s="2" t="s">
        <v>1750</v>
      </c>
      <c r="C1000" s="2">
        <v>2.0699999999999998</v>
      </c>
      <c r="D1000" s="2">
        <v>4.6085000000000003</v>
      </c>
      <c r="E1000" s="2" t="s">
        <v>41</v>
      </c>
    </row>
    <row r="1001" spans="1:5" ht="20.25" customHeight="1" x14ac:dyDescent="0.15">
      <c r="A1001" s="2" t="s">
        <v>3096</v>
      </c>
      <c r="B1001" s="2" t="s">
        <v>3097</v>
      </c>
      <c r="C1001" s="2">
        <v>2.0699999999999998</v>
      </c>
      <c r="D1001" s="2">
        <v>1.5313000000000001</v>
      </c>
      <c r="E1001" s="2" t="s">
        <v>149</v>
      </c>
    </row>
    <row r="1002" spans="1:5" ht="20.25" customHeight="1" x14ac:dyDescent="0.15">
      <c r="A1002" s="2" t="s">
        <v>5298</v>
      </c>
      <c r="B1002" s="2" t="s">
        <v>5299</v>
      </c>
      <c r="C1002" s="2">
        <v>2.0699999999999998</v>
      </c>
      <c r="D1002" s="2">
        <v>38.177799999999998</v>
      </c>
      <c r="E1002" s="2" t="s">
        <v>220</v>
      </c>
    </row>
    <row r="1003" spans="1:5" ht="20.25" customHeight="1" x14ac:dyDescent="0.15">
      <c r="A1003" s="2" t="s">
        <v>6212</v>
      </c>
      <c r="B1003" s="2" t="s">
        <v>6213</v>
      </c>
      <c r="C1003" s="2">
        <v>2.0699999999999998</v>
      </c>
      <c r="D1003" s="2">
        <v>0.3034</v>
      </c>
      <c r="E1003" s="2" t="s">
        <v>201</v>
      </c>
    </row>
    <row r="1004" spans="1:5" ht="20.25" customHeight="1" x14ac:dyDescent="0.15">
      <c r="A1004" s="2" t="s">
        <v>6352</v>
      </c>
      <c r="B1004" s="2" t="s">
        <v>6353</v>
      </c>
      <c r="C1004" s="2">
        <v>2.0699999999999998</v>
      </c>
      <c r="D1004" s="2">
        <v>7.2538999999999998</v>
      </c>
      <c r="E1004" s="2" t="s">
        <v>220</v>
      </c>
    </row>
    <row r="1005" spans="1:5" ht="20.25" customHeight="1" x14ac:dyDescent="0.15">
      <c r="A1005" s="2" t="s">
        <v>7619</v>
      </c>
      <c r="B1005" s="2" t="s">
        <v>7620</v>
      </c>
      <c r="C1005" s="2">
        <v>2.0699999999999998</v>
      </c>
      <c r="D1005" s="2">
        <v>0.88560000000000005</v>
      </c>
      <c r="E1005" s="2" t="s">
        <v>55</v>
      </c>
    </row>
    <row r="1006" spans="1:5" ht="20.25" customHeight="1" x14ac:dyDescent="0.15">
      <c r="A1006" s="2" t="s">
        <v>1014</v>
      </c>
      <c r="B1006" s="2" t="s">
        <v>1015</v>
      </c>
      <c r="C1006" s="2">
        <v>2.06</v>
      </c>
      <c r="D1006" s="2">
        <v>0.91539999999999999</v>
      </c>
      <c r="E1006" s="2" t="s">
        <v>149</v>
      </c>
    </row>
    <row r="1007" spans="1:5" ht="20.25" customHeight="1" x14ac:dyDescent="0.15">
      <c r="A1007" s="2" t="s">
        <v>1133</v>
      </c>
      <c r="B1007" s="2" t="s">
        <v>1134</v>
      </c>
      <c r="C1007" s="2">
        <v>2.06</v>
      </c>
      <c r="D1007" s="2">
        <v>0.55879999999999996</v>
      </c>
      <c r="E1007" s="2" t="s">
        <v>362</v>
      </c>
    </row>
    <row r="1008" spans="1:5" ht="20.25" customHeight="1" x14ac:dyDescent="0.15">
      <c r="A1008" s="2" t="s">
        <v>1783</v>
      </c>
      <c r="B1008" s="2" t="s">
        <v>1784</v>
      </c>
      <c r="C1008" s="2">
        <v>2.06</v>
      </c>
      <c r="D1008" s="2">
        <v>1.3093999999999999</v>
      </c>
      <c r="E1008" s="2" t="s">
        <v>176</v>
      </c>
    </row>
    <row r="1009" spans="1:5" ht="20.25" customHeight="1" x14ac:dyDescent="0.15">
      <c r="A1009" s="2" t="s">
        <v>2234</v>
      </c>
      <c r="B1009" s="2" t="s">
        <v>2235</v>
      </c>
      <c r="C1009" s="2">
        <v>2.06</v>
      </c>
      <c r="D1009" s="2">
        <v>1.2807999999999999</v>
      </c>
      <c r="E1009" s="2" t="s">
        <v>193</v>
      </c>
    </row>
    <row r="1010" spans="1:5" ht="20.25" customHeight="1" x14ac:dyDescent="0.15">
      <c r="A1010" s="2" t="s">
        <v>2498</v>
      </c>
      <c r="B1010" s="2" t="s">
        <v>2499</v>
      </c>
      <c r="C1010" s="2">
        <v>2.06</v>
      </c>
      <c r="D1010" s="2">
        <v>17.773099999999999</v>
      </c>
      <c r="E1010" s="2" t="s">
        <v>916</v>
      </c>
    </row>
    <row r="1011" spans="1:5" ht="20.25" customHeight="1" x14ac:dyDescent="0.15">
      <c r="A1011" s="2" t="s">
        <v>3728</v>
      </c>
      <c r="B1011" s="2" t="s">
        <v>3729</v>
      </c>
      <c r="C1011" s="2">
        <v>2.06</v>
      </c>
      <c r="D1011" s="2">
        <v>2.6150000000000002</v>
      </c>
      <c r="E1011" s="2" t="s">
        <v>171</v>
      </c>
    </row>
    <row r="1012" spans="1:5" ht="20.25" customHeight="1" x14ac:dyDescent="0.15">
      <c r="A1012" s="2" t="s">
        <v>5350</v>
      </c>
      <c r="B1012" s="2" t="s">
        <v>5351</v>
      </c>
      <c r="C1012" s="2">
        <v>2.06</v>
      </c>
      <c r="D1012" s="2">
        <v>11.9575</v>
      </c>
      <c r="E1012" s="2" t="s">
        <v>391</v>
      </c>
    </row>
    <row r="1013" spans="1:5" ht="20.25" customHeight="1" x14ac:dyDescent="0.15">
      <c r="A1013" s="2" t="s">
        <v>5427</v>
      </c>
      <c r="B1013" s="2" t="s">
        <v>5428</v>
      </c>
      <c r="C1013" s="2">
        <v>2.06</v>
      </c>
      <c r="D1013" s="2">
        <v>0.45939999999999998</v>
      </c>
      <c r="E1013" s="2" t="s">
        <v>38</v>
      </c>
    </row>
    <row r="1014" spans="1:5" ht="20.25" customHeight="1" x14ac:dyDescent="0.15">
      <c r="A1014" s="2" t="s">
        <v>5922</v>
      </c>
      <c r="B1014" s="2" t="s">
        <v>5923</v>
      </c>
      <c r="C1014" s="2">
        <v>2.06</v>
      </c>
      <c r="D1014" s="2">
        <v>4.0922999999999998</v>
      </c>
      <c r="E1014" s="2" t="s">
        <v>596</v>
      </c>
    </row>
    <row r="1015" spans="1:5" ht="20.25" customHeight="1" x14ac:dyDescent="0.15">
      <c r="A1015" s="2" t="s">
        <v>6024</v>
      </c>
      <c r="B1015" s="2" t="s">
        <v>6025</v>
      </c>
      <c r="C1015" s="2">
        <v>2.06</v>
      </c>
      <c r="D1015" s="2">
        <v>0.96299999999999997</v>
      </c>
      <c r="E1015" s="2" t="s">
        <v>356</v>
      </c>
    </row>
    <row r="1016" spans="1:5" ht="20.25" customHeight="1" x14ac:dyDescent="0.15">
      <c r="A1016" s="2" t="s">
        <v>8081</v>
      </c>
      <c r="B1016" s="2" t="s">
        <v>8082</v>
      </c>
      <c r="C1016" s="2">
        <v>2.06</v>
      </c>
      <c r="D1016" s="2">
        <v>0.74960000000000004</v>
      </c>
      <c r="E1016" s="2" t="s">
        <v>630</v>
      </c>
    </row>
    <row r="1017" spans="1:5" ht="20.25" customHeight="1" x14ac:dyDescent="0.15">
      <c r="A1017" s="2" t="s">
        <v>6791</v>
      </c>
      <c r="B1017" s="2" t="s">
        <v>6792</v>
      </c>
      <c r="C1017" s="2">
        <v>2.0550000000000002</v>
      </c>
      <c r="D1017" s="2">
        <v>1.2799</v>
      </c>
      <c r="E1017" s="2" t="s">
        <v>35</v>
      </c>
    </row>
    <row r="1018" spans="1:5" ht="20.25" customHeight="1" x14ac:dyDescent="0.15">
      <c r="A1018" s="2" t="s">
        <v>545</v>
      </c>
      <c r="B1018" s="2" t="s">
        <v>546</v>
      </c>
      <c r="C1018" s="2">
        <v>2.0499999999999998</v>
      </c>
      <c r="D1018" s="2">
        <v>1.7235</v>
      </c>
      <c r="E1018" s="2" t="s">
        <v>140</v>
      </c>
    </row>
    <row r="1019" spans="1:5" ht="20.25" customHeight="1" x14ac:dyDescent="0.15">
      <c r="A1019" s="2" t="s">
        <v>989</v>
      </c>
      <c r="B1019" s="2" t="s">
        <v>990</v>
      </c>
      <c r="C1019" s="2">
        <v>2.0499999999999998</v>
      </c>
      <c r="D1019" s="2">
        <v>16.8504</v>
      </c>
      <c r="E1019" s="2" t="s">
        <v>409</v>
      </c>
    </row>
    <row r="1020" spans="1:5" ht="20.25" customHeight="1" x14ac:dyDescent="0.15">
      <c r="A1020" s="2" t="s">
        <v>1107</v>
      </c>
      <c r="B1020" s="2" t="s">
        <v>1108</v>
      </c>
      <c r="C1020" s="2">
        <v>2.0499999999999998</v>
      </c>
      <c r="D1020" s="2">
        <v>4.008</v>
      </c>
      <c r="E1020" s="2" t="s">
        <v>938</v>
      </c>
    </row>
    <row r="1021" spans="1:5" ht="20.25" customHeight="1" x14ac:dyDescent="0.15">
      <c r="A1021" s="2" t="s">
        <v>1159</v>
      </c>
      <c r="B1021" s="2" t="s">
        <v>1160</v>
      </c>
      <c r="C1021" s="2">
        <v>2.0499999999999998</v>
      </c>
      <c r="D1021" s="2">
        <v>2.9127000000000001</v>
      </c>
      <c r="E1021" s="2" t="s">
        <v>685</v>
      </c>
    </row>
    <row r="1022" spans="1:5" ht="20.25" customHeight="1" x14ac:dyDescent="0.15">
      <c r="A1022" s="2" t="s">
        <v>1184</v>
      </c>
      <c r="B1022" s="2" t="s">
        <v>1185</v>
      </c>
      <c r="C1022" s="2">
        <v>2.0499999999999998</v>
      </c>
      <c r="D1022" s="2">
        <v>10.9861</v>
      </c>
      <c r="E1022" s="2" t="s">
        <v>1186</v>
      </c>
    </row>
    <row r="1023" spans="1:5" ht="20.25" customHeight="1" x14ac:dyDescent="0.15">
      <c r="A1023" s="2" t="s">
        <v>1302</v>
      </c>
      <c r="B1023" s="2" t="s">
        <v>1303</v>
      </c>
      <c r="C1023" s="2">
        <v>2.0499999999999998</v>
      </c>
      <c r="D1023" s="2">
        <v>1.6254999999999999</v>
      </c>
      <c r="E1023" s="2" t="s">
        <v>476</v>
      </c>
    </row>
    <row r="1024" spans="1:5" ht="20.25" customHeight="1" x14ac:dyDescent="0.15">
      <c r="A1024" s="2" t="s">
        <v>1434</v>
      </c>
      <c r="B1024" s="2" t="s">
        <v>1435</v>
      </c>
      <c r="C1024" s="2">
        <v>2.0499999999999998</v>
      </c>
      <c r="D1024" s="2">
        <v>0.93959999999999999</v>
      </c>
      <c r="E1024" s="2" t="s">
        <v>1436</v>
      </c>
    </row>
    <row r="1025" spans="1:5" ht="20.25" customHeight="1" x14ac:dyDescent="0.15">
      <c r="A1025" s="2" t="s">
        <v>1531</v>
      </c>
      <c r="B1025" s="2" t="s">
        <v>1532</v>
      </c>
      <c r="C1025" s="2">
        <v>2.0499999999999998</v>
      </c>
      <c r="D1025" s="2">
        <v>6.8234000000000004</v>
      </c>
      <c r="E1025" s="2" t="s">
        <v>1533</v>
      </c>
    </row>
    <row r="1026" spans="1:5" ht="20.25" customHeight="1" x14ac:dyDescent="0.15">
      <c r="A1026" s="2" t="s">
        <v>2236</v>
      </c>
      <c r="B1026" s="2" t="s">
        <v>2237</v>
      </c>
      <c r="C1026" s="2">
        <v>2.0499999999999998</v>
      </c>
      <c r="D1026" s="2">
        <v>5.5537999999999998</v>
      </c>
      <c r="E1026" s="2" t="s">
        <v>231</v>
      </c>
    </row>
    <row r="1027" spans="1:5" ht="20.25" customHeight="1" x14ac:dyDescent="0.15">
      <c r="A1027" s="2" t="s">
        <v>4125</v>
      </c>
      <c r="B1027" s="2" t="s">
        <v>4126</v>
      </c>
      <c r="C1027" s="2">
        <v>2.0499999999999998</v>
      </c>
      <c r="D1027" s="2">
        <v>0.52980000000000005</v>
      </c>
      <c r="E1027" s="2" t="s">
        <v>4127</v>
      </c>
    </row>
    <row r="1028" spans="1:5" ht="20.25" customHeight="1" x14ac:dyDescent="0.15">
      <c r="A1028" s="2" t="s">
        <v>5064</v>
      </c>
      <c r="B1028" s="2" t="s">
        <v>5065</v>
      </c>
      <c r="C1028" s="2">
        <v>2.0499999999999998</v>
      </c>
      <c r="D1028" s="2">
        <v>1.5658000000000001</v>
      </c>
      <c r="E1028" s="2" t="s">
        <v>391</v>
      </c>
    </row>
    <row r="1029" spans="1:5" ht="20.25" customHeight="1" x14ac:dyDescent="0.15">
      <c r="A1029" s="2" t="s">
        <v>5076</v>
      </c>
      <c r="B1029" s="2" t="s">
        <v>5077</v>
      </c>
      <c r="C1029" s="2">
        <v>2.0499999999999998</v>
      </c>
      <c r="D1029" s="2">
        <v>0.97270000000000001</v>
      </c>
      <c r="E1029" s="2" t="s">
        <v>713</v>
      </c>
    </row>
    <row r="1030" spans="1:5" ht="20.25" customHeight="1" x14ac:dyDescent="0.15">
      <c r="A1030" s="2" t="s">
        <v>5228</v>
      </c>
      <c r="B1030" s="2" t="s">
        <v>5229</v>
      </c>
      <c r="C1030" s="2">
        <v>2.0499999999999998</v>
      </c>
      <c r="D1030" s="2">
        <v>12.645099999999999</v>
      </c>
      <c r="E1030" s="2" t="s">
        <v>336</v>
      </c>
    </row>
    <row r="1031" spans="1:5" ht="20.25" customHeight="1" x14ac:dyDescent="0.15">
      <c r="A1031" s="2" t="s">
        <v>6426</v>
      </c>
      <c r="B1031" s="2" t="s">
        <v>6427</v>
      </c>
      <c r="C1031" s="2">
        <v>2.0499999999999998</v>
      </c>
      <c r="D1031" s="2">
        <v>2.4096000000000002</v>
      </c>
      <c r="E1031" s="2" t="s">
        <v>961</v>
      </c>
    </row>
    <row r="1032" spans="1:5" ht="20.25" customHeight="1" x14ac:dyDescent="0.15">
      <c r="A1032" s="2" t="s">
        <v>6925</v>
      </c>
      <c r="B1032" s="2" t="s">
        <v>6926</v>
      </c>
      <c r="C1032" s="2">
        <v>2.0499999999999998</v>
      </c>
      <c r="D1032" s="2">
        <v>3.5668000000000002</v>
      </c>
      <c r="E1032" s="2" t="s">
        <v>818</v>
      </c>
    </row>
    <row r="1033" spans="1:5" ht="20.25" customHeight="1" x14ac:dyDescent="0.15">
      <c r="A1033" s="2" t="s">
        <v>4154</v>
      </c>
      <c r="B1033" s="2" t="s">
        <v>4155</v>
      </c>
      <c r="C1033" s="2">
        <v>2.0449999999999999</v>
      </c>
      <c r="D1033" s="2">
        <v>1.7793000000000001</v>
      </c>
      <c r="E1033" s="2" t="s">
        <v>120</v>
      </c>
    </row>
    <row r="1034" spans="1:5" ht="20.25" customHeight="1" x14ac:dyDescent="0.15">
      <c r="A1034" s="2" t="s">
        <v>6056</v>
      </c>
      <c r="B1034" s="2" t="s">
        <v>6057</v>
      </c>
      <c r="C1034" s="2">
        <v>2.0449999999999999</v>
      </c>
      <c r="D1034" s="2">
        <v>0.79330000000000001</v>
      </c>
      <c r="E1034" s="2" t="s">
        <v>1680</v>
      </c>
    </row>
    <row r="1035" spans="1:5" ht="20.25" customHeight="1" x14ac:dyDescent="0.15">
      <c r="A1035" s="2" t="s">
        <v>1503</v>
      </c>
      <c r="B1035" s="2" t="s">
        <v>1504</v>
      </c>
      <c r="C1035" s="2">
        <v>2.04</v>
      </c>
      <c r="D1035" s="2">
        <v>1.4407000000000001</v>
      </c>
      <c r="E1035" s="2" t="s">
        <v>1224</v>
      </c>
    </row>
    <row r="1036" spans="1:5" ht="20.25" customHeight="1" x14ac:dyDescent="0.15">
      <c r="A1036" s="2" t="s">
        <v>1516</v>
      </c>
      <c r="B1036" s="2" t="s">
        <v>1517</v>
      </c>
      <c r="C1036" s="2">
        <v>2.04</v>
      </c>
      <c r="D1036" s="2">
        <v>7.4955999999999996</v>
      </c>
      <c r="E1036" s="2" t="s">
        <v>633</v>
      </c>
    </row>
    <row r="1037" spans="1:5" ht="20.25" customHeight="1" x14ac:dyDescent="0.15">
      <c r="A1037" s="2" t="s">
        <v>1715</v>
      </c>
      <c r="B1037" s="2" t="s">
        <v>1716</v>
      </c>
      <c r="C1037" s="2">
        <v>2.04</v>
      </c>
      <c r="D1037" s="2">
        <v>0.27110000000000001</v>
      </c>
      <c r="E1037" s="2" t="s">
        <v>784</v>
      </c>
    </row>
    <row r="1038" spans="1:5" ht="20.25" customHeight="1" x14ac:dyDescent="0.15">
      <c r="A1038" s="2" t="s">
        <v>2039</v>
      </c>
      <c r="B1038" s="2" t="s">
        <v>2040</v>
      </c>
      <c r="C1038" s="2">
        <v>2.04</v>
      </c>
      <c r="D1038" s="2">
        <v>1.3963000000000001</v>
      </c>
      <c r="E1038" s="2" t="s">
        <v>21</v>
      </c>
    </row>
    <row r="1039" spans="1:5" ht="20.25" customHeight="1" x14ac:dyDescent="0.15">
      <c r="A1039" s="2" t="s">
        <v>3441</v>
      </c>
      <c r="B1039" s="2" t="s">
        <v>3442</v>
      </c>
      <c r="C1039" s="2">
        <v>2.04</v>
      </c>
      <c r="D1039" s="2">
        <v>0.26500000000000001</v>
      </c>
      <c r="E1039" s="2" t="s">
        <v>44</v>
      </c>
    </row>
    <row r="1040" spans="1:5" ht="20.25" customHeight="1" x14ac:dyDescent="0.15">
      <c r="A1040" s="2" t="s">
        <v>3475</v>
      </c>
      <c r="B1040" s="2" t="s">
        <v>3476</v>
      </c>
      <c r="C1040" s="2">
        <v>2.04</v>
      </c>
      <c r="D1040" s="2">
        <v>1.3851</v>
      </c>
      <c r="E1040" s="2" t="s">
        <v>143</v>
      </c>
    </row>
    <row r="1041" spans="1:5" ht="20.25" customHeight="1" x14ac:dyDescent="0.15">
      <c r="A1041" s="2" t="s">
        <v>4895</v>
      </c>
      <c r="B1041" s="2" t="s">
        <v>4896</v>
      </c>
      <c r="C1041" s="2">
        <v>2.04</v>
      </c>
      <c r="D1041" s="2">
        <v>0.99409999999999998</v>
      </c>
      <c r="E1041" s="2" t="s">
        <v>123</v>
      </c>
    </row>
    <row r="1042" spans="1:5" ht="20.25" customHeight="1" x14ac:dyDescent="0.15">
      <c r="A1042" s="2" t="s">
        <v>5704</v>
      </c>
      <c r="B1042" s="2" t="s">
        <v>5705</v>
      </c>
      <c r="C1042" s="2">
        <v>2.04</v>
      </c>
      <c r="D1042" s="2">
        <v>2.0282</v>
      </c>
      <c r="E1042" s="2" t="s">
        <v>157</v>
      </c>
    </row>
    <row r="1043" spans="1:5" ht="20.25" customHeight="1" x14ac:dyDescent="0.15">
      <c r="A1043" s="2" t="s">
        <v>5948</v>
      </c>
      <c r="B1043" s="2" t="s">
        <v>5949</v>
      </c>
      <c r="C1043" s="2">
        <v>2.04</v>
      </c>
      <c r="D1043" s="2">
        <v>0.57679999999999998</v>
      </c>
      <c r="E1043" s="2" t="s">
        <v>257</v>
      </c>
    </row>
    <row r="1044" spans="1:5" ht="20.25" customHeight="1" x14ac:dyDescent="0.15">
      <c r="A1044" s="2" t="s">
        <v>5982</v>
      </c>
      <c r="B1044" s="2" t="s">
        <v>5983</v>
      </c>
      <c r="C1044" s="2">
        <v>2.04</v>
      </c>
      <c r="D1044" s="2">
        <v>1.0589999999999999</v>
      </c>
      <c r="E1044" s="2" t="s">
        <v>89</v>
      </c>
    </row>
    <row r="1045" spans="1:5" ht="20.25" customHeight="1" x14ac:dyDescent="0.15">
      <c r="A1045" s="2" t="s">
        <v>4244</v>
      </c>
      <c r="B1045" s="2" t="s">
        <v>4245</v>
      </c>
      <c r="C1045" s="2">
        <v>2.0350000000000001</v>
      </c>
      <c r="D1045" s="2">
        <v>1.5861000000000001</v>
      </c>
      <c r="E1045" s="2" t="s">
        <v>4246</v>
      </c>
    </row>
    <row r="1046" spans="1:5" ht="20.25" customHeight="1" x14ac:dyDescent="0.15">
      <c r="A1046" s="2" t="s">
        <v>6058</v>
      </c>
      <c r="B1046" s="2" t="s">
        <v>6059</v>
      </c>
      <c r="C1046" s="2">
        <v>2.0350000000000001</v>
      </c>
      <c r="D1046" s="2">
        <v>0.64</v>
      </c>
      <c r="E1046" s="2" t="s">
        <v>647</v>
      </c>
    </row>
    <row r="1047" spans="1:5" ht="20.25" customHeight="1" x14ac:dyDescent="0.15">
      <c r="A1047" s="2" t="s">
        <v>6881</v>
      </c>
      <c r="B1047" s="2" t="s">
        <v>6882</v>
      </c>
      <c r="C1047" s="2">
        <v>2.0350000000000001</v>
      </c>
      <c r="D1047" s="2">
        <v>2.9293999999999998</v>
      </c>
      <c r="E1047" s="2" t="s">
        <v>574</v>
      </c>
    </row>
    <row r="1048" spans="1:5" ht="20.25" customHeight="1" x14ac:dyDescent="0.15">
      <c r="A1048" s="2" t="s">
        <v>179</v>
      </c>
      <c r="B1048" s="2" t="s">
        <v>180</v>
      </c>
      <c r="C1048" s="2">
        <v>2.0299999999999998</v>
      </c>
      <c r="D1048" s="2">
        <v>0.41170000000000001</v>
      </c>
      <c r="E1048" s="2" t="s">
        <v>49</v>
      </c>
    </row>
    <row r="1049" spans="1:5" ht="20.25" customHeight="1" x14ac:dyDescent="0.15">
      <c r="A1049" s="2" t="s">
        <v>3142</v>
      </c>
      <c r="B1049" s="2" t="s">
        <v>3143</v>
      </c>
      <c r="C1049" s="2">
        <v>2.0299999999999998</v>
      </c>
      <c r="D1049" s="2">
        <v>0.98170000000000002</v>
      </c>
      <c r="E1049" s="2" t="s">
        <v>931</v>
      </c>
    </row>
    <row r="1050" spans="1:5" ht="20.25" customHeight="1" x14ac:dyDescent="0.15">
      <c r="A1050" s="2" t="s">
        <v>3240</v>
      </c>
      <c r="B1050" s="2" t="s">
        <v>3241</v>
      </c>
      <c r="C1050" s="2">
        <v>2.0299999999999998</v>
      </c>
      <c r="D1050" s="2">
        <v>2.9544000000000001</v>
      </c>
      <c r="E1050" s="2" t="s">
        <v>207</v>
      </c>
    </row>
    <row r="1051" spans="1:5" ht="20.25" customHeight="1" x14ac:dyDescent="0.15">
      <c r="A1051" s="2" t="s">
        <v>3310</v>
      </c>
      <c r="B1051" s="2" t="s">
        <v>3311</v>
      </c>
      <c r="C1051" s="2">
        <v>2.0299999999999998</v>
      </c>
      <c r="D1051" s="2">
        <v>0.77410000000000001</v>
      </c>
      <c r="E1051" s="2" t="s">
        <v>1199</v>
      </c>
    </row>
    <row r="1052" spans="1:5" ht="20.25" customHeight="1" x14ac:dyDescent="0.15">
      <c r="A1052" s="2" t="s">
        <v>3700</v>
      </c>
      <c r="B1052" s="2" t="s">
        <v>3701</v>
      </c>
      <c r="C1052" s="2">
        <v>2.0299999999999998</v>
      </c>
      <c r="D1052" s="2">
        <v>1.5334000000000001</v>
      </c>
      <c r="E1052" s="2" t="s">
        <v>1034</v>
      </c>
    </row>
    <row r="1053" spans="1:5" ht="20.25" customHeight="1" x14ac:dyDescent="0.15">
      <c r="A1053" s="2" t="s">
        <v>4560</v>
      </c>
      <c r="B1053" s="2" t="s">
        <v>4561</v>
      </c>
      <c r="C1053" s="2">
        <v>2.0299999999999998</v>
      </c>
      <c r="D1053" s="2">
        <v>0.79610000000000003</v>
      </c>
      <c r="E1053" s="2" t="s">
        <v>1853</v>
      </c>
    </row>
    <row r="1054" spans="1:5" ht="20.25" customHeight="1" x14ac:dyDescent="0.15">
      <c r="A1054" s="2" t="s">
        <v>5224</v>
      </c>
      <c r="B1054" s="2" t="s">
        <v>5225</v>
      </c>
      <c r="C1054" s="2">
        <v>2.0299999999999998</v>
      </c>
      <c r="D1054" s="2">
        <v>1.62</v>
      </c>
      <c r="E1054" s="2" t="s">
        <v>123</v>
      </c>
    </row>
    <row r="1055" spans="1:5" ht="20.25" customHeight="1" x14ac:dyDescent="0.15">
      <c r="A1055" s="2" t="s">
        <v>6392</v>
      </c>
      <c r="B1055" s="2" t="s">
        <v>6393</v>
      </c>
      <c r="C1055" s="2">
        <v>2.0299999999999998</v>
      </c>
      <c r="D1055" s="2">
        <v>4.9663000000000004</v>
      </c>
      <c r="E1055" s="2" t="s">
        <v>690</v>
      </c>
    </row>
    <row r="1056" spans="1:5" ht="20.25" customHeight="1" x14ac:dyDescent="0.15">
      <c r="A1056" s="2" t="s">
        <v>6777</v>
      </c>
      <c r="B1056" s="2" t="s">
        <v>6778</v>
      </c>
      <c r="C1056" s="2">
        <v>2.0299999999999998</v>
      </c>
      <c r="D1056" s="2">
        <v>0.86560000000000004</v>
      </c>
      <c r="E1056" s="2" t="s">
        <v>713</v>
      </c>
    </row>
    <row r="1057" spans="1:5" ht="20.25" customHeight="1" x14ac:dyDescent="0.15">
      <c r="A1057" s="2" t="s">
        <v>7723</v>
      </c>
      <c r="B1057" s="2" t="s">
        <v>7724</v>
      </c>
      <c r="C1057" s="2">
        <v>2.0299999999999998</v>
      </c>
      <c r="D1057" s="2">
        <v>8.2730999999999995</v>
      </c>
      <c r="E1057" s="2" t="s">
        <v>647</v>
      </c>
    </row>
    <row r="1058" spans="1:5" ht="20.25" customHeight="1" x14ac:dyDescent="0.15">
      <c r="A1058" s="2" t="s">
        <v>540</v>
      </c>
      <c r="B1058" s="2" t="s">
        <v>541</v>
      </c>
      <c r="C1058" s="2">
        <v>2.02</v>
      </c>
      <c r="D1058" s="2">
        <v>334.81569999999999</v>
      </c>
      <c r="E1058" s="2" t="s">
        <v>542</v>
      </c>
    </row>
    <row r="1059" spans="1:5" ht="20.25" customHeight="1" x14ac:dyDescent="0.15">
      <c r="A1059" s="2" t="s">
        <v>2660</v>
      </c>
      <c r="B1059" s="2" t="s">
        <v>2661</v>
      </c>
      <c r="C1059" s="2">
        <v>2.02</v>
      </c>
      <c r="D1059" s="2">
        <v>0.73019999999999996</v>
      </c>
      <c r="E1059" s="2" t="s">
        <v>286</v>
      </c>
    </row>
    <row r="1060" spans="1:5" ht="20.25" customHeight="1" x14ac:dyDescent="0.15">
      <c r="A1060" s="2" t="s">
        <v>4787</v>
      </c>
      <c r="B1060" s="2" t="s">
        <v>4788</v>
      </c>
      <c r="C1060" s="2">
        <v>2.02</v>
      </c>
      <c r="D1060" s="2">
        <v>11.058</v>
      </c>
      <c r="E1060" s="2" t="s">
        <v>344</v>
      </c>
    </row>
    <row r="1061" spans="1:5" ht="20.25" customHeight="1" x14ac:dyDescent="0.15">
      <c r="A1061" s="2" t="s">
        <v>832</v>
      </c>
      <c r="B1061" s="2" t="s">
        <v>833</v>
      </c>
      <c r="C1061" s="2">
        <v>2.0099999999999998</v>
      </c>
      <c r="D1061" s="2">
        <v>7.5686</v>
      </c>
      <c r="E1061" s="2" t="s">
        <v>265</v>
      </c>
    </row>
    <row r="1062" spans="1:5" ht="20.25" customHeight="1" x14ac:dyDescent="0.15">
      <c r="A1062" s="2" t="s">
        <v>1259</v>
      </c>
      <c r="B1062" s="2" t="s">
        <v>1260</v>
      </c>
      <c r="C1062" s="2">
        <v>2.0099999999999998</v>
      </c>
      <c r="D1062" s="2">
        <v>1.6814</v>
      </c>
      <c r="E1062" s="2" t="s">
        <v>476</v>
      </c>
    </row>
    <row r="1063" spans="1:5" ht="20.25" customHeight="1" x14ac:dyDescent="0.15">
      <c r="A1063" s="2" t="s">
        <v>4426</v>
      </c>
      <c r="B1063" s="2" t="s">
        <v>4427</v>
      </c>
      <c r="C1063" s="2">
        <v>2.0099999999999998</v>
      </c>
      <c r="D1063" s="2">
        <v>3.3439000000000001</v>
      </c>
      <c r="E1063" s="2" t="s">
        <v>365</v>
      </c>
    </row>
    <row r="1064" spans="1:5" ht="20.25" customHeight="1" x14ac:dyDescent="0.15">
      <c r="A1064" s="2" t="s">
        <v>4664</v>
      </c>
      <c r="B1064" s="2" t="s">
        <v>4665</v>
      </c>
      <c r="C1064" s="2">
        <v>2.0099999999999998</v>
      </c>
      <c r="D1064" s="2">
        <v>4.2035999999999998</v>
      </c>
      <c r="E1064" s="2" t="s">
        <v>406</v>
      </c>
    </row>
    <row r="1065" spans="1:5" ht="20.25" customHeight="1" x14ac:dyDescent="0.15">
      <c r="A1065" s="2" t="s">
        <v>5774</v>
      </c>
      <c r="B1065" s="2" t="s">
        <v>5775</v>
      </c>
      <c r="C1065" s="2">
        <v>2.0099999999999998</v>
      </c>
      <c r="D1065" s="2">
        <v>2.8189000000000002</v>
      </c>
      <c r="E1065" s="2" t="s">
        <v>1145</v>
      </c>
    </row>
    <row r="1066" spans="1:5" ht="20.25" customHeight="1" x14ac:dyDescent="0.15">
      <c r="A1066" s="2" t="s">
        <v>6222</v>
      </c>
      <c r="B1066" s="2" t="s">
        <v>6223</v>
      </c>
      <c r="C1066" s="2">
        <v>2.0099999999999998</v>
      </c>
      <c r="D1066" s="2">
        <v>0.8377</v>
      </c>
      <c r="E1066" s="2" t="s">
        <v>794</v>
      </c>
    </row>
    <row r="1067" spans="1:5" ht="20.25" customHeight="1" x14ac:dyDescent="0.15">
      <c r="A1067" s="2" t="s">
        <v>6290</v>
      </c>
      <c r="B1067" s="2" t="s">
        <v>6291</v>
      </c>
      <c r="C1067" s="2">
        <v>2.0099999999999998</v>
      </c>
      <c r="D1067" s="2">
        <v>0.60560000000000003</v>
      </c>
      <c r="E1067" s="2" t="s">
        <v>140</v>
      </c>
    </row>
    <row r="1068" spans="1:5" ht="20.25" customHeight="1" x14ac:dyDescent="0.15">
      <c r="A1068" s="2" t="s">
        <v>6626</v>
      </c>
      <c r="B1068" s="2" t="s">
        <v>6627</v>
      </c>
      <c r="C1068" s="2">
        <v>2.0099999999999998</v>
      </c>
      <c r="D1068" s="2">
        <v>2.9142000000000001</v>
      </c>
      <c r="E1068" s="2" t="s">
        <v>638</v>
      </c>
    </row>
    <row r="1069" spans="1:5" ht="20.25" customHeight="1" x14ac:dyDescent="0.15">
      <c r="A1069" s="2" t="s">
        <v>7955</v>
      </c>
      <c r="B1069" s="2" t="s">
        <v>7956</v>
      </c>
      <c r="C1069" s="2">
        <v>2.0099999999999998</v>
      </c>
      <c r="D1069" s="2">
        <v>8.2745999999999995</v>
      </c>
      <c r="E1069" s="2" t="s">
        <v>13</v>
      </c>
    </row>
    <row r="1070" spans="1:5" ht="20.25" customHeight="1" x14ac:dyDescent="0.15">
      <c r="A1070" s="2" t="s">
        <v>1660</v>
      </c>
      <c r="B1070" s="2" t="s">
        <v>1661</v>
      </c>
      <c r="C1070" s="2">
        <v>2.0049999999999999</v>
      </c>
      <c r="D1070" s="2">
        <v>0.1782</v>
      </c>
      <c r="E1070" s="2" t="s">
        <v>1056</v>
      </c>
    </row>
    <row r="1071" spans="1:5" ht="20.25" customHeight="1" x14ac:dyDescent="0.15">
      <c r="A1071" s="2" t="s">
        <v>4002</v>
      </c>
      <c r="B1071" s="2" t="s">
        <v>4003</v>
      </c>
      <c r="C1071" s="2">
        <v>2.0049999999999999</v>
      </c>
      <c r="D1071" s="2">
        <v>2.6204000000000001</v>
      </c>
      <c r="E1071" s="2" t="s">
        <v>385</v>
      </c>
    </row>
    <row r="1072" spans="1:5" ht="20.25" customHeight="1" x14ac:dyDescent="0.15">
      <c r="A1072" s="2" t="s">
        <v>6765</v>
      </c>
      <c r="B1072" s="2" t="s">
        <v>6766</v>
      </c>
      <c r="C1072" s="2">
        <v>2.0049999999999999</v>
      </c>
      <c r="D1072" s="2">
        <v>6.2276999999999996</v>
      </c>
      <c r="E1072" s="2" t="s">
        <v>52</v>
      </c>
    </row>
    <row r="1073" spans="1:5" ht="20.25" customHeight="1" x14ac:dyDescent="0.15">
      <c r="A1073" s="2" t="s">
        <v>291</v>
      </c>
      <c r="B1073" s="2" t="s">
        <v>292</v>
      </c>
      <c r="C1073" s="2">
        <v>2</v>
      </c>
      <c r="D1073" s="2">
        <v>2.1656</v>
      </c>
      <c r="E1073" s="2" t="s">
        <v>137</v>
      </c>
    </row>
    <row r="1074" spans="1:5" ht="20.25" customHeight="1" x14ac:dyDescent="0.15">
      <c r="A1074" s="2" t="s">
        <v>2882</v>
      </c>
      <c r="B1074" s="2" t="s">
        <v>2883</v>
      </c>
      <c r="C1074" s="2">
        <v>2</v>
      </c>
      <c r="D1074" s="2">
        <v>0.82420000000000004</v>
      </c>
      <c r="E1074" s="2" t="s">
        <v>1061</v>
      </c>
    </row>
    <row r="1075" spans="1:5" ht="20.25" customHeight="1" x14ac:dyDescent="0.15">
      <c r="A1075" s="2" t="s">
        <v>3216</v>
      </c>
      <c r="B1075" s="2" t="s">
        <v>3217</v>
      </c>
      <c r="C1075" s="2">
        <v>2</v>
      </c>
      <c r="D1075" s="2">
        <v>2.5049000000000001</v>
      </c>
      <c r="E1075" s="2" t="s">
        <v>667</v>
      </c>
    </row>
    <row r="1076" spans="1:5" ht="20.25" customHeight="1" x14ac:dyDescent="0.15">
      <c r="A1076" s="2" t="s">
        <v>3384</v>
      </c>
      <c r="B1076" s="2" t="s">
        <v>3385</v>
      </c>
      <c r="C1076" s="2">
        <v>2</v>
      </c>
      <c r="D1076" s="2">
        <v>38.4861</v>
      </c>
      <c r="E1076" s="2" t="s">
        <v>71</v>
      </c>
    </row>
    <row r="1077" spans="1:5" ht="20.25" customHeight="1" x14ac:dyDescent="0.15">
      <c r="A1077" s="2" t="s">
        <v>3679</v>
      </c>
      <c r="B1077" s="2" t="s">
        <v>3680</v>
      </c>
      <c r="C1077" s="2">
        <v>2</v>
      </c>
      <c r="D1077" s="2">
        <v>11.6111</v>
      </c>
      <c r="E1077" s="2" t="s">
        <v>406</v>
      </c>
    </row>
    <row r="1078" spans="1:5" ht="20.25" customHeight="1" x14ac:dyDescent="0.15">
      <c r="A1078" s="2" t="s">
        <v>6895</v>
      </c>
      <c r="B1078" s="2" t="s">
        <v>6896</v>
      </c>
      <c r="C1078" s="2">
        <v>2</v>
      </c>
      <c r="D1078" s="2">
        <v>0.15029999999999999</v>
      </c>
      <c r="E1078" s="2" t="s">
        <v>391</v>
      </c>
    </row>
    <row r="1079" spans="1:5" ht="20.25" customHeight="1" x14ac:dyDescent="0.15">
      <c r="A1079" s="2" t="s">
        <v>354</v>
      </c>
      <c r="B1079" s="2" t="s">
        <v>355</v>
      </c>
      <c r="C1079" s="2">
        <v>1.99</v>
      </c>
      <c r="D1079" s="2">
        <v>17.505199999999999</v>
      </c>
      <c r="E1079" s="2" t="s">
        <v>356</v>
      </c>
    </row>
    <row r="1080" spans="1:5" ht="20.25" customHeight="1" x14ac:dyDescent="0.15">
      <c r="A1080" s="2" t="s">
        <v>410</v>
      </c>
      <c r="B1080" s="2" t="s">
        <v>411</v>
      </c>
      <c r="C1080" s="2">
        <v>1.99</v>
      </c>
      <c r="D1080" s="2">
        <v>0.63400000000000001</v>
      </c>
      <c r="E1080" s="2" t="s">
        <v>86</v>
      </c>
    </row>
    <row r="1081" spans="1:5" ht="20.25" customHeight="1" x14ac:dyDescent="0.15">
      <c r="A1081" s="2" t="s">
        <v>842</v>
      </c>
      <c r="B1081" s="2" t="s">
        <v>843</v>
      </c>
      <c r="C1081" s="2">
        <v>1.99</v>
      </c>
      <c r="D1081" s="2">
        <v>0.70740000000000003</v>
      </c>
      <c r="E1081" s="2" t="s">
        <v>171</v>
      </c>
    </row>
    <row r="1082" spans="1:5" ht="20.25" customHeight="1" x14ac:dyDescent="0.15">
      <c r="A1082" s="2" t="s">
        <v>1702</v>
      </c>
      <c r="B1082" s="2" t="s">
        <v>1703</v>
      </c>
      <c r="C1082" s="2">
        <v>1.99</v>
      </c>
      <c r="D1082" s="2">
        <v>1.232</v>
      </c>
      <c r="E1082" s="2" t="s">
        <v>103</v>
      </c>
    </row>
    <row r="1083" spans="1:5" ht="20.25" customHeight="1" x14ac:dyDescent="0.15">
      <c r="A1083" s="2" t="s">
        <v>1992</v>
      </c>
      <c r="B1083" s="2" t="s">
        <v>1993</v>
      </c>
      <c r="C1083" s="2">
        <v>1.99</v>
      </c>
      <c r="D1083" s="2">
        <v>0.80569999999999997</v>
      </c>
      <c r="E1083" s="2" t="s">
        <v>1994</v>
      </c>
    </row>
    <row r="1084" spans="1:5" ht="20.25" customHeight="1" x14ac:dyDescent="0.15">
      <c r="A1084" s="2" t="s">
        <v>3166</v>
      </c>
      <c r="B1084" s="2" t="s">
        <v>3167</v>
      </c>
      <c r="C1084" s="2">
        <v>1.99</v>
      </c>
      <c r="D1084" s="2">
        <v>1.2704</v>
      </c>
      <c r="E1084" s="2" t="s">
        <v>667</v>
      </c>
    </row>
    <row r="1085" spans="1:5" ht="20.25" customHeight="1" x14ac:dyDescent="0.15">
      <c r="A1085" s="2" t="s">
        <v>5102</v>
      </c>
      <c r="B1085" s="2" t="s">
        <v>5103</v>
      </c>
      <c r="C1085" s="2">
        <v>1.99</v>
      </c>
      <c r="D1085" s="2">
        <v>2.9651999999999998</v>
      </c>
      <c r="E1085" s="2" t="s">
        <v>3190</v>
      </c>
    </row>
    <row r="1086" spans="1:5" ht="20.25" customHeight="1" x14ac:dyDescent="0.15">
      <c r="A1086" s="2" t="s">
        <v>5934</v>
      </c>
      <c r="B1086" s="2" t="s">
        <v>5935</v>
      </c>
      <c r="C1086" s="2">
        <v>1.99</v>
      </c>
      <c r="D1086" s="2">
        <v>11.3813</v>
      </c>
      <c r="E1086" s="2" t="s">
        <v>157</v>
      </c>
    </row>
    <row r="1087" spans="1:5" ht="20.25" customHeight="1" x14ac:dyDescent="0.15">
      <c r="A1087" s="2" t="s">
        <v>6943</v>
      </c>
      <c r="B1087" s="2" t="s">
        <v>6944</v>
      </c>
      <c r="C1087" s="2">
        <v>1.99</v>
      </c>
      <c r="D1087" s="2">
        <v>1.1200000000000001</v>
      </c>
      <c r="E1087" s="2" t="s">
        <v>506</v>
      </c>
    </row>
    <row r="1088" spans="1:5" ht="20.25" customHeight="1" x14ac:dyDescent="0.15">
      <c r="A1088" s="2" t="s">
        <v>1741</v>
      </c>
      <c r="B1088" s="2" t="s">
        <v>1742</v>
      </c>
      <c r="C1088" s="2">
        <v>1.98</v>
      </c>
      <c r="D1088" s="2">
        <v>132.9502</v>
      </c>
      <c r="E1088" s="2" t="s">
        <v>74</v>
      </c>
    </row>
    <row r="1089" spans="1:5" ht="20.25" customHeight="1" x14ac:dyDescent="0.15">
      <c r="A1089" s="2" t="s">
        <v>2081</v>
      </c>
      <c r="B1089" s="2" t="s">
        <v>2082</v>
      </c>
      <c r="C1089" s="2">
        <v>1.98</v>
      </c>
      <c r="D1089" s="2">
        <v>0.48139999999999999</v>
      </c>
      <c r="E1089" s="2" t="s">
        <v>171</v>
      </c>
    </row>
    <row r="1090" spans="1:5" ht="20.25" customHeight="1" x14ac:dyDescent="0.15">
      <c r="A1090" s="2" t="s">
        <v>2457</v>
      </c>
      <c r="B1090" s="2" t="s">
        <v>2458</v>
      </c>
      <c r="C1090" s="2">
        <v>1.98</v>
      </c>
      <c r="D1090" s="2">
        <v>2.8799000000000001</v>
      </c>
      <c r="E1090" s="2" t="s">
        <v>146</v>
      </c>
    </row>
    <row r="1091" spans="1:5" ht="20.25" customHeight="1" x14ac:dyDescent="0.15">
      <c r="A1091" s="2" t="s">
        <v>3344</v>
      </c>
      <c r="B1091" s="2" t="s">
        <v>3345</v>
      </c>
      <c r="C1091" s="2">
        <v>1.98</v>
      </c>
      <c r="D1091" s="2">
        <v>3.2503000000000002</v>
      </c>
      <c r="E1091" s="2" t="s">
        <v>149</v>
      </c>
    </row>
    <row r="1092" spans="1:5" ht="20.25" customHeight="1" x14ac:dyDescent="0.15">
      <c r="A1092" s="2" t="s">
        <v>3714</v>
      </c>
      <c r="B1092" s="2" t="s">
        <v>3715</v>
      </c>
      <c r="C1092" s="2">
        <v>1.98</v>
      </c>
      <c r="D1092" s="2">
        <v>3.7692999999999999</v>
      </c>
      <c r="E1092" s="2" t="s">
        <v>1878</v>
      </c>
    </row>
    <row r="1093" spans="1:5" ht="20.25" customHeight="1" x14ac:dyDescent="0.15">
      <c r="A1093" s="2" t="s">
        <v>4735</v>
      </c>
      <c r="B1093" s="2" t="s">
        <v>4736</v>
      </c>
      <c r="C1093" s="2">
        <v>1.98</v>
      </c>
      <c r="D1093" s="2">
        <v>1.764</v>
      </c>
      <c r="E1093" s="2" t="s">
        <v>13</v>
      </c>
    </row>
    <row r="1094" spans="1:5" ht="20.25" customHeight="1" x14ac:dyDescent="0.15">
      <c r="A1094" s="2" t="s">
        <v>6831</v>
      </c>
      <c r="B1094" s="2" t="s">
        <v>6832</v>
      </c>
      <c r="C1094" s="2">
        <v>1.98</v>
      </c>
      <c r="D1094" s="2">
        <v>29.824400000000001</v>
      </c>
      <c r="E1094" s="2" t="s">
        <v>2724</v>
      </c>
    </row>
    <row r="1095" spans="1:5" ht="20.25" customHeight="1" x14ac:dyDescent="0.15">
      <c r="A1095" s="2" t="s">
        <v>6977</v>
      </c>
      <c r="B1095" s="2" t="s">
        <v>6978</v>
      </c>
      <c r="C1095" s="2">
        <v>1.98</v>
      </c>
      <c r="D1095" s="2">
        <v>1.5775999999999999</v>
      </c>
      <c r="E1095" s="2" t="s">
        <v>406</v>
      </c>
    </row>
    <row r="1096" spans="1:5" ht="20.25" customHeight="1" x14ac:dyDescent="0.15">
      <c r="A1096" s="2" t="s">
        <v>7181</v>
      </c>
      <c r="B1096" s="2" t="s">
        <v>7182</v>
      </c>
      <c r="C1096" s="2">
        <v>1.98</v>
      </c>
      <c r="D1096" s="2">
        <v>1.8109</v>
      </c>
      <c r="E1096" s="2" t="s">
        <v>1139</v>
      </c>
    </row>
    <row r="1097" spans="1:5" ht="20.25" customHeight="1" x14ac:dyDescent="0.15">
      <c r="A1097" s="2" t="s">
        <v>7669</v>
      </c>
      <c r="B1097" s="2" t="s">
        <v>7670</v>
      </c>
      <c r="C1097" s="2">
        <v>1.98</v>
      </c>
      <c r="D1097" s="2">
        <v>0.96419999999999995</v>
      </c>
      <c r="E1097" s="2" t="s">
        <v>1712</v>
      </c>
    </row>
    <row r="1098" spans="1:5" ht="20.25" customHeight="1" x14ac:dyDescent="0.15">
      <c r="A1098" s="2" t="s">
        <v>7855</v>
      </c>
      <c r="B1098" s="2" t="s">
        <v>7856</v>
      </c>
      <c r="C1098" s="2">
        <v>1.98</v>
      </c>
      <c r="D1098" s="2">
        <v>9.3882999999999992</v>
      </c>
      <c r="E1098" s="2" t="s">
        <v>1099</v>
      </c>
    </row>
    <row r="1099" spans="1:5" ht="20.25" customHeight="1" x14ac:dyDescent="0.15">
      <c r="A1099" s="2" t="s">
        <v>4773</v>
      </c>
      <c r="B1099" s="2" t="s">
        <v>4774</v>
      </c>
      <c r="C1099" s="2">
        <v>1.9750000000000001</v>
      </c>
      <c r="D1099" s="2">
        <v>1.3391</v>
      </c>
      <c r="E1099" s="2" t="s">
        <v>201</v>
      </c>
    </row>
    <row r="1100" spans="1:5" ht="20.25" customHeight="1" x14ac:dyDescent="0.15">
      <c r="A1100" s="2" t="s">
        <v>6270</v>
      </c>
      <c r="B1100" s="2" t="s">
        <v>6271</v>
      </c>
      <c r="C1100" s="2">
        <v>1.9750000000000001</v>
      </c>
      <c r="D1100" s="2">
        <v>0.56100000000000005</v>
      </c>
      <c r="E1100" s="2" t="s">
        <v>92</v>
      </c>
    </row>
    <row r="1101" spans="1:5" ht="20.25" customHeight="1" x14ac:dyDescent="0.15">
      <c r="A1101" s="2" t="s">
        <v>6284</v>
      </c>
      <c r="B1101" s="2" t="s">
        <v>6285</v>
      </c>
      <c r="C1101" s="2">
        <v>1.9750000000000001</v>
      </c>
      <c r="D1101" s="2">
        <v>0.69069999999999998</v>
      </c>
      <c r="E1101" s="2" t="s">
        <v>365</v>
      </c>
    </row>
    <row r="1102" spans="1:5" ht="20.25" customHeight="1" x14ac:dyDescent="0.15">
      <c r="A1102" s="2" t="s">
        <v>181</v>
      </c>
      <c r="B1102" s="2" t="s">
        <v>182</v>
      </c>
      <c r="C1102" s="2">
        <v>1.97</v>
      </c>
      <c r="D1102" s="2">
        <v>0.28439999999999999</v>
      </c>
      <c r="E1102" s="2" t="s">
        <v>149</v>
      </c>
    </row>
    <row r="1103" spans="1:5" ht="20.25" customHeight="1" x14ac:dyDescent="0.15">
      <c r="A1103" s="2" t="s">
        <v>481</v>
      </c>
      <c r="B1103" s="2" t="s">
        <v>482</v>
      </c>
      <c r="C1103" s="2">
        <v>1.97</v>
      </c>
      <c r="D1103" s="2">
        <v>1.0294000000000001</v>
      </c>
      <c r="E1103" s="2" t="s">
        <v>483</v>
      </c>
    </row>
    <row r="1104" spans="1:5" ht="20.25" customHeight="1" x14ac:dyDescent="0.15">
      <c r="A1104" s="2" t="s">
        <v>2022</v>
      </c>
      <c r="B1104" s="2" t="s">
        <v>2023</v>
      </c>
      <c r="C1104" s="2">
        <v>1.97</v>
      </c>
      <c r="D1104" s="2">
        <v>0.51019999999999999</v>
      </c>
      <c r="E1104" s="2" t="s">
        <v>483</v>
      </c>
    </row>
    <row r="1105" spans="1:5" ht="20.25" customHeight="1" x14ac:dyDescent="0.15">
      <c r="A1105" s="2" t="s">
        <v>2524</v>
      </c>
      <c r="B1105" s="2" t="s">
        <v>2525</v>
      </c>
      <c r="C1105" s="2">
        <v>1.97</v>
      </c>
      <c r="D1105" s="2">
        <v>1.4992000000000001</v>
      </c>
      <c r="E1105" s="2" t="s">
        <v>368</v>
      </c>
    </row>
    <row r="1106" spans="1:5" ht="20.25" customHeight="1" x14ac:dyDescent="0.15">
      <c r="A1106" s="2" t="s">
        <v>3495</v>
      </c>
      <c r="B1106" s="2" t="s">
        <v>3496</v>
      </c>
      <c r="C1106" s="2">
        <v>1.97</v>
      </c>
      <c r="D1106" s="2">
        <v>1.0144</v>
      </c>
      <c r="E1106" s="2" t="s">
        <v>123</v>
      </c>
    </row>
    <row r="1107" spans="1:5" ht="20.25" customHeight="1" x14ac:dyDescent="0.15">
      <c r="A1107" s="2" t="s">
        <v>4076</v>
      </c>
      <c r="B1107" s="2" t="s">
        <v>4077</v>
      </c>
      <c r="C1107" s="2">
        <v>1.97</v>
      </c>
      <c r="D1107" s="2">
        <v>2.8734999999999999</v>
      </c>
      <c r="E1107" s="2" t="s">
        <v>633</v>
      </c>
    </row>
    <row r="1108" spans="1:5" ht="20.25" customHeight="1" x14ac:dyDescent="0.15">
      <c r="A1108" s="2" t="s">
        <v>4506</v>
      </c>
      <c r="B1108" s="2" t="s">
        <v>4507</v>
      </c>
      <c r="C1108" s="2">
        <v>1.97</v>
      </c>
      <c r="D1108" s="2">
        <v>5.5429000000000004</v>
      </c>
      <c r="E1108" s="2" t="s">
        <v>747</v>
      </c>
    </row>
    <row r="1109" spans="1:5" ht="20.25" customHeight="1" x14ac:dyDescent="0.15">
      <c r="A1109" s="2" t="s">
        <v>6192</v>
      </c>
      <c r="B1109" s="2" t="s">
        <v>6193</v>
      </c>
      <c r="C1109" s="2">
        <v>1.97</v>
      </c>
      <c r="D1109" s="2">
        <v>0.83979999999999999</v>
      </c>
      <c r="E1109" s="2" t="s">
        <v>140</v>
      </c>
    </row>
    <row r="1110" spans="1:5" ht="20.25" customHeight="1" x14ac:dyDescent="0.15">
      <c r="A1110" s="2" t="s">
        <v>8063</v>
      </c>
      <c r="B1110" s="2" t="s">
        <v>8064</v>
      </c>
      <c r="C1110" s="2">
        <v>1.97</v>
      </c>
      <c r="D1110" s="2">
        <v>655.62400000000002</v>
      </c>
      <c r="E1110" s="2" t="s">
        <v>529</v>
      </c>
    </row>
    <row r="1111" spans="1:5" ht="20.25" customHeight="1" x14ac:dyDescent="0.15">
      <c r="A1111" s="2" t="s">
        <v>4288</v>
      </c>
      <c r="B1111" s="2" t="s">
        <v>4289</v>
      </c>
      <c r="C1111" s="2">
        <v>1.9650000000000001</v>
      </c>
      <c r="D1111" s="2">
        <v>0.90349999999999997</v>
      </c>
      <c r="E1111" s="2" t="s">
        <v>140</v>
      </c>
    </row>
    <row r="1112" spans="1:5" ht="20.25" customHeight="1" x14ac:dyDescent="0.15">
      <c r="A1112" s="2" t="s">
        <v>4942</v>
      </c>
      <c r="B1112" s="2" t="s">
        <v>4943</v>
      </c>
      <c r="C1112" s="2">
        <v>1.9650000000000001</v>
      </c>
      <c r="D1112" s="2">
        <v>1.3358000000000001</v>
      </c>
      <c r="E1112" s="2" t="s">
        <v>35</v>
      </c>
    </row>
    <row r="1113" spans="1:5" ht="20.25" customHeight="1" x14ac:dyDescent="0.15">
      <c r="A1113" s="2" t="s">
        <v>742</v>
      </c>
      <c r="B1113" s="2" t="s">
        <v>743</v>
      </c>
      <c r="C1113" s="2">
        <v>1.96</v>
      </c>
      <c r="D1113" s="2">
        <v>1.9682999999999999</v>
      </c>
      <c r="E1113" s="2" t="s">
        <v>744</v>
      </c>
    </row>
    <row r="1114" spans="1:5" ht="20.25" customHeight="1" x14ac:dyDescent="0.15">
      <c r="A1114" s="2" t="s">
        <v>1658</v>
      </c>
      <c r="B1114" s="2" t="s">
        <v>1659</v>
      </c>
      <c r="C1114" s="2">
        <v>1.96</v>
      </c>
      <c r="D1114" s="2">
        <v>0.76890000000000003</v>
      </c>
      <c r="E1114" s="2" t="s">
        <v>647</v>
      </c>
    </row>
    <row r="1115" spans="1:5" ht="20.25" customHeight="1" x14ac:dyDescent="0.15">
      <c r="A1115" s="2" t="s">
        <v>2226</v>
      </c>
      <c r="B1115" s="2" t="s">
        <v>2227</v>
      </c>
      <c r="C1115" s="2">
        <v>1.96</v>
      </c>
      <c r="D1115" s="2">
        <v>0.53339999999999999</v>
      </c>
      <c r="E1115" s="2" t="s">
        <v>140</v>
      </c>
    </row>
    <row r="1116" spans="1:5" ht="20.25" customHeight="1" x14ac:dyDescent="0.15">
      <c r="A1116" s="2" t="s">
        <v>4678</v>
      </c>
      <c r="B1116" s="2" t="s">
        <v>4679</v>
      </c>
      <c r="C1116" s="2">
        <v>1.96</v>
      </c>
      <c r="D1116" s="2">
        <v>2.3395999999999999</v>
      </c>
      <c r="E1116" s="2" t="s">
        <v>391</v>
      </c>
    </row>
    <row r="1117" spans="1:5" ht="20.25" customHeight="1" x14ac:dyDescent="0.15">
      <c r="A1117" s="2" t="s">
        <v>6668</v>
      </c>
      <c r="B1117" s="2" t="s">
        <v>6669</v>
      </c>
      <c r="C1117" s="2">
        <v>1.96</v>
      </c>
      <c r="D1117" s="2">
        <v>1.7234</v>
      </c>
      <c r="E1117" s="2" t="s">
        <v>1403</v>
      </c>
    </row>
    <row r="1118" spans="1:5" ht="20.25" customHeight="1" x14ac:dyDescent="0.15">
      <c r="A1118" s="2" t="s">
        <v>6724</v>
      </c>
      <c r="B1118" s="2" t="s">
        <v>6725</v>
      </c>
      <c r="C1118" s="2">
        <v>1.96</v>
      </c>
      <c r="D1118" s="2">
        <v>4.6797000000000004</v>
      </c>
      <c r="E1118" s="2" t="s">
        <v>827</v>
      </c>
    </row>
    <row r="1119" spans="1:5" ht="20.25" customHeight="1" x14ac:dyDescent="0.15">
      <c r="A1119" s="2" t="s">
        <v>7881</v>
      </c>
      <c r="B1119" s="2" t="s">
        <v>7882</v>
      </c>
      <c r="C1119" s="2">
        <v>1.96</v>
      </c>
      <c r="D1119" s="2">
        <v>2.9041999999999999</v>
      </c>
      <c r="E1119" s="2" t="s">
        <v>1878</v>
      </c>
    </row>
    <row r="1120" spans="1:5" ht="20.25" customHeight="1" x14ac:dyDescent="0.15">
      <c r="A1120" s="2" t="s">
        <v>1239</v>
      </c>
      <c r="B1120" s="2" t="s">
        <v>1240</v>
      </c>
      <c r="C1120" s="2">
        <v>1.9550000000000001</v>
      </c>
      <c r="D1120" s="2">
        <v>1.179</v>
      </c>
      <c r="E1120" s="2" t="s">
        <v>574</v>
      </c>
    </row>
    <row r="1121" spans="1:5" ht="20.25" customHeight="1" x14ac:dyDescent="0.15">
      <c r="A1121" s="2" t="s">
        <v>790</v>
      </c>
      <c r="B1121" s="2" t="s">
        <v>791</v>
      </c>
      <c r="C1121" s="2">
        <v>1.95</v>
      </c>
      <c r="D1121" s="2">
        <v>8.3859999999999992</v>
      </c>
      <c r="E1121" s="2" t="s">
        <v>185</v>
      </c>
    </row>
    <row r="1122" spans="1:5" ht="20.25" customHeight="1" x14ac:dyDescent="0.15">
      <c r="A1122" s="2" t="s">
        <v>877</v>
      </c>
      <c r="B1122" s="2" t="s">
        <v>878</v>
      </c>
      <c r="C1122" s="2">
        <v>1.95</v>
      </c>
      <c r="D1122" s="2">
        <v>14.1432</v>
      </c>
      <c r="E1122" s="2" t="s">
        <v>347</v>
      </c>
    </row>
    <row r="1123" spans="1:5" ht="20.25" customHeight="1" x14ac:dyDescent="0.15">
      <c r="A1123" s="2" t="s">
        <v>1864</v>
      </c>
      <c r="B1123" s="2" t="s">
        <v>1865</v>
      </c>
      <c r="C1123" s="2">
        <v>1.95</v>
      </c>
      <c r="D1123" s="2">
        <v>1.819</v>
      </c>
      <c r="E1123" s="2" t="s">
        <v>596</v>
      </c>
    </row>
    <row r="1124" spans="1:5" ht="20.25" customHeight="1" x14ac:dyDescent="0.15">
      <c r="A1124" s="2" t="s">
        <v>5150</v>
      </c>
      <c r="B1124" s="2" t="s">
        <v>5151</v>
      </c>
      <c r="C1124" s="2">
        <v>1.95</v>
      </c>
      <c r="D1124" s="2">
        <v>3.3172999999999999</v>
      </c>
      <c r="E1124" s="2" t="s">
        <v>2463</v>
      </c>
    </row>
    <row r="1125" spans="1:5" ht="20.25" customHeight="1" x14ac:dyDescent="0.15">
      <c r="A1125" s="2" t="s">
        <v>5360</v>
      </c>
      <c r="B1125" s="2" t="s">
        <v>5361</v>
      </c>
      <c r="C1125" s="2">
        <v>1.95</v>
      </c>
      <c r="D1125" s="2">
        <v>0.4884</v>
      </c>
      <c r="E1125" s="2" t="s">
        <v>339</v>
      </c>
    </row>
    <row r="1126" spans="1:5" ht="20.25" customHeight="1" x14ac:dyDescent="0.15">
      <c r="A1126" s="2" t="s">
        <v>7687</v>
      </c>
      <c r="B1126" s="2" t="s">
        <v>7688</v>
      </c>
      <c r="C1126" s="2">
        <v>1.95</v>
      </c>
      <c r="D1126" s="2">
        <v>4.4234</v>
      </c>
      <c r="E1126" s="2" t="s">
        <v>3971</v>
      </c>
    </row>
    <row r="1127" spans="1:5" ht="20.25" customHeight="1" x14ac:dyDescent="0.15">
      <c r="A1127" s="2" t="s">
        <v>8061</v>
      </c>
      <c r="B1127" s="2" t="s">
        <v>8062</v>
      </c>
      <c r="C1127" s="2">
        <v>1.95</v>
      </c>
      <c r="D1127" s="2">
        <v>1.0186999999999999</v>
      </c>
      <c r="E1127" s="2" t="s">
        <v>1338</v>
      </c>
    </row>
    <row r="1128" spans="1:5" ht="20.25" customHeight="1" x14ac:dyDescent="0.15">
      <c r="A1128" s="2" t="s">
        <v>6082</v>
      </c>
      <c r="B1128" s="2" t="s">
        <v>6083</v>
      </c>
      <c r="C1128" s="2">
        <v>1.9450000000000001</v>
      </c>
      <c r="D1128" s="2">
        <v>8.5528999999999993</v>
      </c>
      <c r="E1128" s="2" t="s">
        <v>1712</v>
      </c>
    </row>
    <row r="1129" spans="1:5" ht="20.25" customHeight="1" x14ac:dyDescent="0.15">
      <c r="A1129" s="2" t="s">
        <v>1204</v>
      </c>
      <c r="B1129" s="2" t="s">
        <v>1205</v>
      </c>
      <c r="C1129" s="2">
        <v>1.94</v>
      </c>
      <c r="D1129" s="2">
        <v>4.5632000000000001</v>
      </c>
      <c r="E1129" s="2" t="s">
        <v>204</v>
      </c>
    </row>
    <row r="1130" spans="1:5" ht="20.25" customHeight="1" x14ac:dyDescent="0.15">
      <c r="A1130" s="2" t="s">
        <v>1357</v>
      </c>
      <c r="B1130" s="2" t="s">
        <v>1358</v>
      </c>
      <c r="C1130" s="2">
        <v>1.94</v>
      </c>
      <c r="D1130" s="2">
        <v>3.3803000000000001</v>
      </c>
      <c r="E1130" s="2" t="s">
        <v>437</v>
      </c>
    </row>
    <row r="1131" spans="1:5" ht="20.25" customHeight="1" x14ac:dyDescent="0.15">
      <c r="A1131" s="2" t="s">
        <v>1476</v>
      </c>
      <c r="B1131" s="2" t="s">
        <v>1477</v>
      </c>
      <c r="C1131" s="2">
        <v>1.94</v>
      </c>
      <c r="D1131" s="2">
        <v>0.13669999999999999</v>
      </c>
      <c r="E1131" s="2" t="s">
        <v>86</v>
      </c>
    </row>
    <row r="1132" spans="1:5" ht="20.25" customHeight="1" x14ac:dyDescent="0.15">
      <c r="A1132" s="2" t="s">
        <v>2558</v>
      </c>
      <c r="B1132" s="2" t="s">
        <v>2559</v>
      </c>
      <c r="C1132" s="2">
        <v>1.94</v>
      </c>
      <c r="D1132" s="2">
        <v>2.9784999999999999</v>
      </c>
      <c r="E1132" s="2" t="s">
        <v>1486</v>
      </c>
    </row>
    <row r="1133" spans="1:5" ht="20.25" customHeight="1" x14ac:dyDescent="0.15">
      <c r="A1133" s="2" t="s">
        <v>2979</v>
      </c>
      <c r="B1133" s="2" t="s">
        <v>2980</v>
      </c>
      <c r="C1133" s="2">
        <v>1.94</v>
      </c>
      <c r="D1133" s="2">
        <v>0.2697</v>
      </c>
      <c r="E1133" s="2" t="s">
        <v>421</v>
      </c>
    </row>
    <row r="1134" spans="1:5" ht="20.25" customHeight="1" x14ac:dyDescent="0.15">
      <c r="A1134" s="2" t="s">
        <v>3154</v>
      </c>
      <c r="B1134" s="2" t="s">
        <v>3155</v>
      </c>
      <c r="C1134" s="2">
        <v>1.94</v>
      </c>
      <c r="D1134" s="2">
        <v>10.216900000000001</v>
      </c>
      <c r="E1134" s="2" t="s">
        <v>633</v>
      </c>
    </row>
    <row r="1135" spans="1:5" ht="20.25" customHeight="1" x14ac:dyDescent="0.15">
      <c r="A1135" s="2" t="s">
        <v>3583</v>
      </c>
      <c r="B1135" s="2" t="s">
        <v>3584</v>
      </c>
      <c r="C1135" s="2">
        <v>1.94</v>
      </c>
      <c r="D1135" s="2">
        <v>1.1952</v>
      </c>
      <c r="E1135" s="2" t="s">
        <v>1757</v>
      </c>
    </row>
    <row r="1136" spans="1:5" ht="20.25" customHeight="1" x14ac:dyDescent="0.15">
      <c r="A1136" s="2" t="s">
        <v>4018</v>
      </c>
      <c r="B1136" s="2" t="s">
        <v>4019</v>
      </c>
      <c r="C1136" s="2">
        <v>1.94</v>
      </c>
      <c r="D1136" s="2">
        <v>0.39689999999999998</v>
      </c>
      <c r="E1136" s="2" t="s">
        <v>571</v>
      </c>
    </row>
    <row r="1137" spans="1:5" ht="20.25" customHeight="1" x14ac:dyDescent="0.15">
      <c r="A1137" s="2" t="s">
        <v>4863</v>
      </c>
      <c r="B1137" s="2" t="s">
        <v>4864</v>
      </c>
      <c r="C1137" s="2">
        <v>1.94</v>
      </c>
      <c r="D1137" s="2">
        <v>0.80979999999999996</v>
      </c>
      <c r="E1137" s="2" t="s">
        <v>3130</v>
      </c>
    </row>
    <row r="1138" spans="1:5" ht="20.25" customHeight="1" x14ac:dyDescent="0.15">
      <c r="A1138" s="2" t="s">
        <v>5768</v>
      </c>
      <c r="B1138" s="2" t="s">
        <v>5769</v>
      </c>
      <c r="C1138" s="2">
        <v>1.94</v>
      </c>
      <c r="D1138" s="2">
        <v>2.8397000000000001</v>
      </c>
      <c r="E1138" s="2" t="s">
        <v>35</v>
      </c>
    </row>
    <row r="1139" spans="1:5" ht="20.25" customHeight="1" x14ac:dyDescent="0.15">
      <c r="A1139" s="2" t="s">
        <v>6767</v>
      </c>
      <c r="B1139" s="2" t="s">
        <v>6768</v>
      </c>
      <c r="C1139" s="2">
        <v>1.9350000000000001</v>
      </c>
      <c r="D1139" s="2">
        <v>0.36969999999999997</v>
      </c>
      <c r="E1139" s="2" t="s">
        <v>630</v>
      </c>
    </row>
    <row r="1140" spans="1:5" ht="20.25" customHeight="1" x14ac:dyDescent="0.15">
      <c r="A1140" s="2" t="s">
        <v>7137</v>
      </c>
      <c r="B1140" s="2" t="s">
        <v>7138</v>
      </c>
      <c r="C1140" s="2">
        <v>1.9350000000000001</v>
      </c>
      <c r="D1140" s="2">
        <v>0.88959999999999995</v>
      </c>
      <c r="E1140" s="2" t="s">
        <v>1061</v>
      </c>
    </row>
    <row r="1141" spans="1:5" ht="20.25" customHeight="1" x14ac:dyDescent="0.15">
      <c r="A1141" s="2" t="s">
        <v>2143</v>
      </c>
      <c r="B1141" s="2" t="s">
        <v>2144</v>
      </c>
      <c r="C1141" s="2">
        <v>1.93</v>
      </c>
      <c r="D1141" s="2">
        <v>3.9937</v>
      </c>
      <c r="E1141" s="2" t="s">
        <v>747</v>
      </c>
    </row>
    <row r="1142" spans="1:5" ht="20.25" customHeight="1" x14ac:dyDescent="0.15">
      <c r="A1142" s="2" t="s">
        <v>2149</v>
      </c>
      <c r="B1142" s="2" t="s">
        <v>2150</v>
      </c>
      <c r="C1142" s="2">
        <v>1.93</v>
      </c>
      <c r="D1142" s="2">
        <v>0.99529999999999996</v>
      </c>
      <c r="E1142" s="2" t="s">
        <v>2151</v>
      </c>
    </row>
    <row r="1143" spans="1:5" ht="20.25" customHeight="1" x14ac:dyDescent="0.15">
      <c r="A1143" s="2" t="s">
        <v>3883</v>
      </c>
      <c r="B1143" s="2" t="s">
        <v>3884</v>
      </c>
      <c r="C1143" s="2">
        <v>1.93</v>
      </c>
      <c r="D1143" s="2">
        <v>0.87480000000000002</v>
      </c>
      <c r="E1143" s="2" t="s">
        <v>713</v>
      </c>
    </row>
    <row r="1144" spans="1:5" ht="20.25" customHeight="1" x14ac:dyDescent="0.15">
      <c r="A1144" s="2" t="s">
        <v>4146</v>
      </c>
      <c r="B1144" s="2" t="s">
        <v>4147</v>
      </c>
      <c r="C1144" s="2">
        <v>1.93</v>
      </c>
      <c r="D1144" s="2">
        <v>1.9858</v>
      </c>
      <c r="E1144" s="2" t="s">
        <v>1608</v>
      </c>
    </row>
    <row r="1145" spans="1:5" ht="20.25" customHeight="1" x14ac:dyDescent="0.15">
      <c r="A1145" s="2" t="s">
        <v>4220</v>
      </c>
      <c r="B1145" s="2" t="s">
        <v>4221</v>
      </c>
      <c r="C1145" s="2">
        <v>1.93</v>
      </c>
      <c r="D1145" s="2">
        <v>13.092700000000001</v>
      </c>
      <c r="E1145" s="2" t="s">
        <v>1691</v>
      </c>
    </row>
    <row r="1146" spans="1:5" ht="20.25" customHeight="1" x14ac:dyDescent="0.15">
      <c r="A1146" s="2" t="s">
        <v>4704</v>
      </c>
      <c r="B1146" s="2" t="s">
        <v>4705</v>
      </c>
      <c r="C1146" s="2">
        <v>1.93</v>
      </c>
      <c r="D1146" s="2">
        <v>7.5155000000000003</v>
      </c>
      <c r="E1146" s="2" t="s">
        <v>1593</v>
      </c>
    </row>
    <row r="1147" spans="1:5" ht="20.25" customHeight="1" x14ac:dyDescent="0.15">
      <c r="A1147" s="2" t="s">
        <v>4721</v>
      </c>
      <c r="B1147" s="2" t="s">
        <v>4722</v>
      </c>
      <c r="C1147" s="2">
        <v>1.93</v>
      </c>
      <c r="D1147" s="2">
        <v>1.9378</v>
      </c>
      <c r="E1147" s="2" t="s">
        <v>35</v>
      </c>
    </row>
    <row r="1148" spans="1:5" ht="20.25" customHeight="1" x14ac:dyDescent="0.15">
      <c r="A1148" s="2" t="s">
        <v>5336</v>
      </c>
      <c r="B1148" s="2" t="s">
        <v>5337</v>
      </c>
      <c r="C1148" s="2">
        <v>1.93</v>
      </c>
      <c r="D1148" s="2">
        <v>4.891</v>
      </c>
      <c r="E1148" s="2" t="s">
        <v>257</v>
      </c>
    </row>
    <row r="1149" spans="1:5" ht="20.25" customHeight="1" x14ac:dyDescent="0.15">
      <c r="A1149" s="2" t="s">
        <v>6490</v>
      </c>
      <c r="B1149" s="2" t="s">
        <v>6491</v>
      </c>
      <c r="C1149" s="2">
        <v>1.93</v>
      </c>
      <c r="D1149" s="2">
        <v>0.68689999999999996</v>
      </c>
      <c r="E1149" s="2" t="s">
        <v>1691</v>
      </c>
    </row>
    <row r="1150" spans="1:5" ht="20.25" customHeight="1" x14ac:dyDescent="0.15">
      <c r="A1150" s="2" t="s">
        <v>2530</v>
      </c>
      <c r="B1150" s="2" t="s">
        <v>2531</v>
      </c>
      <c r="C1150" s="2">
        <v>1.925</v>
      </c>
      <c r="D1150" s="2">
        <v>5.0949999999999998</v>
      </c>
      <c r="E1150" s="2" t="s">
        <v>44</v>
      </c>
    </row>
    <row r="1151" spans="1:5" ht="20.25" customHeight="1" x14ac:dyDescent="0.15">
      <c r="A1151" s="2" t="s">
        <v>6819</v>
      </c>
      <c r="B1151" s="2" t="s">
        <v>6820</v>
      </c>
      <c r="C1151" s="2">
        <v>1.925</v>
      </c>
      <c r="D1151" s="2">
        <v>0.5292</v>
      </c>
      <c r="E1151" s="2" t="s">
        <v>403</v>
      </c>
    </row>
    <row r="1152" spans="1:5" ht="20.25" customHeight="1" x14ac:dyDescent="0.15">
      <c r="A1152" s="2" t="s">
        <v>6873</v>
      </c>
      <c r="B1152" s="2" t="s">
        <v>6874</v>
      </c>
      <c r="C1152" s="2">
        <v>1.925</v>
      </c>
      <c r="D1152" s="2">
        <v>1.0952999999999999</v>
      </c>
      <c r="E1152" s="2" t="s">
        <v>1056</v>
      </c>
    </row>
    <row r="1153" spans="1:5" ht="20.25" customHeight="1" x14ac:dyDescent="0.15">
      <c r="A1153" s="2" t="s">
        <v>1067</v>
      </c>
      <c r="B1153" s="2" t="s">
        <v>1068</v>
      </c>
      <c r="C1153" s="2">
        <v>1.92</v>
      </c>
      <c r="D1153" s="2">
        <v>4.0833000000000004</v>
      </c>
      <c r="E1153" s="2" t="s">
        <v>140</v>
      </c>
    </row>
    <row r="1154" spans="1:5" ht="20.25" customHeight="1" x14ac:dyDescent="0.15">
      <c r="A1154" s="2" t="s">
        <v>2911</v>
      </c>
      <c r="B1154" s="2" t="s">
        <v>2912</v>
      </c>
      <c r="C1154" s="2">
        <v>1.92</v>
      </c>
      <c r="D1154" s="2">
        <v>3.2759</v>
      </c>
      <c r="E1154" s="2" t="s">
        <v>744</v>
      </c>
    </row>
    <row r="1155" spans="1:5" ht="20.25" customHeight="1" x14ac:dyDescent="0.15">
      <c r="A1155" s="2" t="s">
        <v>3254</v>
      </c>
      <c r="B1155" s="2" t="s">
        <v>3255</v>
      </c>
      <c r="C1155" s="2">
        <v>1.92</v>
      </c>
      <c r="D1155" s="2">
        <v>1.4567000000000001</v>
      </c>
      <c r="E1155" s="2" t="s">
        <v>207</v>
      </c>
    </row>
    <row r="1156" spans="1:5" ht="20.25" customHeight="1" x14ac:dyDescent="0.15">
      <c r="A1156" s="2" t="s">
        <v>3324</v>
      </c>
      <c r="B1156" s="2" t="s">
        <v>3325</v>
      </c>
      <c r="C1156" s="2">
        <v>1.92</v>
      </c>
      <c r="D1156" s="2">
        <v>0.94130000000000003</v>
      </c>
      <c r="E1156" s="2" t="s">
        <v>1420</v>
      </c>
    </row>
    <row r="1157" spans="1:5" ht="20.25" customHeight="1" x14ac:dyDescent="0.15">
      <c r="A1157" s="2" t="s">
        <v>3777</v>
      </c>
      <c r="B1157" s="2" t="s">
        <v>3778</v>
      </c>
      <c r="C1157" s="2">
        <v>1.92</v>
      </c>
      <c r="D1157" s="2">
        <v>4.1384999999999996</v>
      </c>
      <c r="E1157" s="2" t="s">
        <v>157</v>
      </c>
    </row>
    <row r="1158" spans="1:5" ht="20.25" customHeight="1" x14ac:dyDescent="0.15">
      <c r="A1158" s="2" t="s">
        <v>4968</v>
      </c>
      <c r="B1158" s="2" t="s">
        <v>4969</v>
      </c>
      <c r="C1158" s="2">
        <v>1.92</v>
      </c>
      <c r="D1158" s="2">
        <v>1.2173</v>
      </c>
      <c r="E1158" s="2" t="s">
        <v>35</v>
      </c>
    </row>
    <row r="1159" spans="1:5" ht="20.25" customHeight="1" x14ac:dyDescent="0.15">
      <c r="A1159" s="2" t="s">
        <v>5397</v>
      </c>
      <c r="B1159" s="2" t="s">
        <v>5398</v>
      </c>
      <c r="C1159" s="2">
        <v>1.92</v>
      </c>
      <c r="D1159" s="2">
        <v>72.052300000000002</v>
      </c>
      <c r="E1159" s="2" t="s">
        <v>201</v>
      </c>
    </row>
    <row r="1160" spans="1:5" ht="20.25" customHeight="1" x14ac:dyDescent="0.15">
      <c r="A1160" s="2" t="s">
        <v>5509</v>
      </c>
      <c r="B1160" s="2" t="s">
        <v>5510</v>
      </c>
      <c r="C1160" s="2">
        <v>1.92</v>
      </c>
      <c r="D1160" s="2">
        <v>6.5152000000000001</v>
      </c>
      <c r="E1160" s="2" t="s">
        <v>2724</v>
      </c>
    </row>
    <row r="1161" spans="1:5" ht="20.25" customHeight="1" x14ac:dyDescent="0.15">
      <c r="A1161" s="2" t="s">
        <v>6630</v>
      </c>
      <c r="B1161" s="2" t="s">
        <v>6631</v>
      </c>
      <c r="C1161" s="2">
        <v>1.92</v>
      </c>
      <c r="D1161" s="2">
        <v>1.5619000000000001</v>
      </c>
      <c r="E1161" s="2" t="s">
        <v>2151</v>
      </c>
    </row>
    <row r="1162" spans="1:5" ht="20.25" customHeight="1" x14ac:dyDescent="0.15">
      <c r="A1162" s="2" t="s">
        <v>6676</v>
      </c>
      <c r="B1162" s="2" t="s">
        <v>6677</v>
      </c>
      <c r="C1162" s="2">
        <v>1.92</v>
      </c>
      <c r="D1162" s="2">
        <v>689.21709999999996</v>
      </c>
      <c r="E1162" s="2" t="s">
        <v>621</v>
      </c>
    </row>
    <row r="1163" spans="1:5" ht="20.25" customHeight="1" x14ac:dyDescent="0.15">
      <c r="A1163" s="2" t="s">
        <v>1499</v>
      </c>
      <c r="B1163" s="2" t="s">
        <v>1500</v>
      </c>
      <c r="C1163" s="2">
        <v>1.915</v>
      </c>
      <c r="D1163" s="2">
        <v>3.4855999999999998</v>
      </c>
      <c r="E1163" s="2" t="s">
        <v>724</v>
      </c>
    </row>
    <row r="1164" spans="1:5" ht="20.25" customHeight="1" x14ac:dyDescent="0.15">
      <c r="A1164" s="2" t="s">
        <v>330</v>
      </c>
      <c r="B1164" s="2" t="s">
        <v>331</v>
      </c>
      <c r="C1164" s="2">
        <v>1.91</v>
      </c>
      <c r="D1164" s="2">
        <v>0.68049999999999999</v>
      </c>
      <c r="E1164" s="2" t="s">
        <v>276</v>
      </c>
    </row>
    <row r="1165" spans="1:5" ht="20.25" customHeight="1" x14ac:dyDescent="0.15">
      <c r="A1165" s="2" t="s">
        <v>737</v>
      </c>
      <c r="B1165" s="2" t="s">
        <v>738</v>
      </c>
      <c r="C1165" s="2">
        <v>1.91</v>
      </c>
      <c r="D1165" s="2">
        <v>0.29649999999999999</v>
      </c>
      <c r="E1165" s="2" t="s">
        <v>89</v>
      </c>
    </row>
    <row r="1166" spans="1:5" ht="20.25" customHeight="1" x14ac:dyDescent="0.15">
      <c r="A1166" s="2" t="s">
        <v>1044</v>
      </c>
      <c r="B1166" s="2" t="s">
        <v>1045</v>
      </c>
      <c r="C1166" s="2">
        <v>1.91</v>
      </c>
      <c r="D1166" s="2">
        <v>3.4761000000000002</v>
      </c>
      <c r="E1166" s="2" t="s">
        <v>1011</v>
      </c>
    </row>
    <row r="1167" spans="1:5" ht="20.25" customHeight="1" x14ac:dyDescent="0.15">
      <c r="A1167" s="2" t="s">
        <v>1388</v>
      </c>
      <c r="B1167" s="2" t="s">
        <v>1389</v>
      </c>
      <c r="C1167" s="2">
        <v>1.91</v>
      </c>
      <c r="D1167" s="2">
        <v>0.98609999999999998</v>
      </c>
      <c r="E1167" s="2" t="s">
        <v>1390</v>
      </c>
    </row>
    <row r="1168" spans="1:5" ht="20.25" customHeight="1" x14ac:dyDescent="0.15">
      <c r="A1168" s="2" t="s">
        <v>2018</v>
      </c>
      <c r="B1168" s="2" t="s">
        <v>2019</v>
      </c>
      <c r="C1168" s="2">
        <v>1.91</v>
      </c>
      <c r="D1168" s="2">
        <v>1.6289</v>
      </c>
      <c r="E1168" s="2" t="s">
        <v>664</v>
      </c>
    </row>
    <row r="1169" spans="1:5" ht="20.25" customHeight="1" x14ac:dyDescent="0.15">
      <c r="A1169" s="2" t="s">
        <v>2328</v>
      </c>
      <c r="B1169" s="2" t="s">
        <v>2329</v>
      </c>
      <c r="C1169" s="2">
        <v>1.91</v>
      </c>
      <c r="D1169" s="2">
        <v>9.7174999999999994</v>
      </c>
      <c r="E1169" s="2" t="s">
        <v>1853</v>
      </c>
    </row>
    <row r="1170" spans="1:5" ht="20.25" customHeight="1" x14ac:dyDescent="0.15">
      <c r="A1170" s="2" t="s">
        <v>2554</v>
      </c>
      <c r="B1170" s="2" t="s">
        <v>2555</v>
      </c>
      <c r="C1170" s="2">
        <v>1.91</v>
      </c>
      <c r="D1170" s="2">
        <v>318.1035</v>
      </c>
      <c r="E1170" s="2" t="s">
        <v>409</v>
      </c>
    </row>
    <row r="1171" spans="1:5" ht="20.25" customHeight="1" x14ac:dyDescent="0.15">
      <c r="A1171" s="2" t="s">
        <v>3407</v>
      </c>
      <c r="B1171" s="2" t="s">
        <v>3408</v>
      </c>
      <c r="C1171" s="2">
        <v>1.91</v>
      </c>
      <c r="D1171" s="2">
        <v>4.6540999999999997</v>
      </c>
      <c r="E1171" s="2" t="s">
        <v>44</v>
      </c>
    </row>
    <row r="1172" spans="1:5" ht="20.25" customHeight="1" x14ac:dyDescent="0.15">
      <c r="A1172" s="2" t="s">
        <v>8417</v>
      </c>
      <c r="B1172" s="2" t="s">
        <v>8418</v>
      </c>
      <c r="C1172" s="2">
        <v>1.91</v>
      </c>
      <c r="D1172" s="2">
        <v>6.6158000000000001</v>
      </c>
      <c r="E1172" s="2" t="s">
        <v>1145</v>
      </c>
    </row>
    <row r="1173" spans="1:5" ht="20.25" customHeight="1" x14ac:dyDescent="0.15">
      <c r="A1173" s="2" t="s">
        <v>412</v>
      </c>
      <c r="B1173" s="2" t="s">
        <v>413</v>
      </c>
      <c r="C1173" s="2">
        <v>1.9</v>
      </c>
      <c r="D1173" s="2">
        <v>0.96970000000000001</v>
      </c>
      <c r="E1173" s="2" t="s">
        <v>92</v>
      </c>
    </row>
    <row r="1174" spans="1:5" ht="20.25" customHeight="1" x14ac:dyDescent="0.15">
      <c r="A1174" s="2" t="s">
        <v>453</v>
      </c>
      <c r="B1174" s="2" t="s">
        <v>454</v>
      </c>
      <c r="C1174" s="2">
        <v>1.9</v>
      </c>
      <c r="D1174" s="2">
        <v>1.0656000000000001</v>
      </c>
      <c r="E1174" s="2" t="s">
        <v>152</v>
      </c>
    </row>
    <row r="1175" spans="1:5" ht="20.25" customHeight="1" x14ac:dyDescent="0.15">
      <c r="A1175" s="2" t="s">
        <v>2077</v>
      </c>
      <c r="B1175" s="2" t="s">
        <v>2078</v>
      </c>
      <c r="C1175" s="2">
        <v>1.9</v>
      </c>
      <c r="D1175" s="2">
        <v>1.3204</v>
      </c>
      <c r="E1175" s="2" t="s">
        <v>185</v>
      </c>
    </row>
    <row r="1176" spans="1:5" ht="20.25" customHeight="1" x14ac:dyDescent="0.15">
      <c r="A1176" s="2" t="s">
        <v>2588</v>
      </c>
      <c r="B1176" s="2" t="s">
        <v>2589</v>
      </c>
      <c r="C1176" s="2">
        <v>1.9</v>
      </c>
      <c r="D1176" s="2">
        <v>1.3779999999999999</v>
      </c>
      <c r="E1176" s="2" t="s">
        <v>1425</v>
      </c>
    </row>
    <row r="1177" spans="1:5" ht="20.25" customHeight="1" x14ac:dyDescent="0.15">
      <c r="A1177" s="2" t="s">
        <v>3961</v>
      </c>
      <c r="B1177" s="2" t="s">
        <v>3962</v>
      </c>
      <c r="C1177" s="2">
        <v>1.9</v>
      </c>
      <c r="D1177" s="2">
        <v>4.4381000000000004</v>
      </c>
      <c r="E1177" s="2" t="s">
        <v>1061</v>
      </c>
    </row>
    <row r="1178" spans="1:5" ht="20.25" customHeight="1" x14ac:dyDescent="0.15">
      <c r="A1178" s="2" t="s">
        <v>5148</v>
      </c>
      <c r="B1178" s="2" t="s">
        <v>5149</v>
      </c>
      <c r="C1178" s="2">
        <v>1.9</v>
      </c>
      <c r="D1178" s="2">
        <v>0.69620000000000004</v>
      </c>
      <c r="E1178" s="2" t="s">
        <v>1224</v>
      </c>
    </row>
    <row r="1179" spans="1:5" ht="20.25" customHeight="1" x14ac:dyDescent="0.15">
      <c r="A1179" s="2" t="s">
        <v>5910</v>
      </c>
      <c r="B1179" s="2" t="s">
        <v>5911</v>
      </c>
      <c r="C1179" s="2">
        <v>1.9</v>
      </c>
      <c r="D1179" s="2">
        <v>0.1515</v>
      </c>
      <c r="E1179" s="2" t="s">
        <v>89</v>
      </c>
    </row>
    <row r="1180" spans="1:5" ht="20.25" customHeight="1" x14ac:dyDescent="0.15">
      <c r="A1180" s="2" t="s">
        <v>7225</v>
      </c>
      <c r="B1180" s="2" t="s">
        <v>7226</v>
      </c>
      <c r="C1180" s="2">
        <v>1.9</v>
      </c>
      <c r="D1180" s="2">
        <v>0.53639999999999999</v>
      </c>
      <c r="E1180" s="2" t="s">
        <v>483</v>
      </c>
    </row>
    <row r="1181" spans="1:5" ht="20.25" customHeight="1" x14ac:dyDescent="0.15">
      <c r="A1181" s="2" t="s">
        <v>7653</v>
      </c>
      <c r="B1181" s="2" t="s">
        <v>7654</v>
      </c>
      <c r="C1181" s="2">
        <v>1.9</v>
      </c>
      <c r="D1181" s="2">
        <v>6.32</v>
      </c>
      <c r="E1181" s="2" t="s">
        <v>1139</v>
      </c>
    </row>
    <row r="1182" spans="1:5" ht="20.25" customHeight="1" x14ac:dyDescent="0.15">
      <c r="A1182" s="2" t="s">
        <v>7849</v>
      </c>
      <c r="B1182" s="2" t="s">
        <v>7850</v>
      </c>
      <c r="C1182" s="2">
        <v>1.895</v>
      </c>
      <c r="D1182" s="2">
        <v>3.0146999999999999</v>
      </c>
      <c r="E1182" s="2" t="s">
        <v>3249</v>
      </c>
    </row>
    <row r="1183" spans="1:5" ht="20.25" customHeight="1" x14ac:dyDescent="0.15">
      <c r="A1183" s="2" t="s">
        <v>919</v>
      </c>
      <c r="B1183" s="2" t="s">
        <v>920</v>
      </c>
      <c r="C1183" s="2">
        <v>1.89</v>
      </c>
      <c r="D1183" s="2">
        <v>1.5701000000000001</v>
      </c>
      <c r="E1183" s="2" t="s">
        <v>21</v>
      </c>
    </row>
    <row r="1184" spans="1:5" ht="20.25" customHeight="1" x14ac:dyDescent="0.15">
      <c r="A1184" s="2" t="s">
        <v>2133</v>
      </c>
      <c r="B1184" s="2" t="s">
        <v>2134</v>
      </c>
      <c r="C1184" s="2">
        <v>1.89</v>
      </c>
      <c r="D1184" s="2">
        <v>2.3102999999999998</v>
      </c>
      <c r="E1184" s="2" t="s">
        <v>621</v>
      </c>
    </row>
    <row r="1185" spans="1:5" ht="20.25" customHeight="1" x14ac:dyDescent="0.15">
      <c r="A1185" s="2" t="s">
        <v>2987</v>
      </c>
      <c r="B1185" s="2" t="s">
        <v>2988</v>
      </c>
      <c r="C1185" s="2">
        <v>1.89</v>
      </c>
      <c r="D1185" s="2">
        <v>20.342300000000002</v>
      </c>
      <c r="E1185" s="2" t="s">
        <v>52</v>
      </c>
    </row>
    <row r="1186" spans="1:5" ht="20.25" customHeight="1" x14ac:dyDescent="0.15">
      <c r="A1186" s="2" t="s">
        <v>4656</v>
      </c>
      <c r="B1186" s="2" t="s">
        <v>4657</v>
      </c>
      <c r="C1186" s="2">
        <v>1.89</v>
      </c>
      <c r="D1186" s="2">
        <v>3.5552000000000001</v>
      </c>
      <c r="E1186" s="2" t="s">
        <v>498</v>
      </c>
    </row>
    <row r="1187" spans="1:5" ht="20.25" customHeight="1" x14ac:dyDescent="0.15">
      <c r="A1187" s="2" t="s">
        <v>6246</v>
      </c>
      <c r="B1187" s="2" t="s">
        <v>6247</v>
      </c>
      <c r="C1187" s="2">
        <v>1.885</v>
      </c>
      <c r="D1187" s="2">
        <v>2.0221</v>
      </c>
      <c r="E1187" s="2" t="s">
        <v>664</v>
      </c>
    </row>
    <row r="1188" spans="1:5" ht="20.25" customHeight="1" x14ac:dyDescent="0.15">
      <c r="A1188" s="2" t="s">
        <v>1666</v>
      </c>
      <c r="B1188" s="2" t="s">
        <v>1667</v>
      </c>
      <c r="C1188" s="2">
        <v>1.88</v>
      </c>
      <c r="D1188" s="2">
        <v>0.49630000000000002</v>
      </c>
      <c r="E1188" s="2" t="s">
        <v>941</v>
      </c>
    </row>
    <row r="1189" spans="1:5" ht="20.25" customHeight="1" x14ac:dyDescent="0.15">
      <c r="A1189" s="2" t="s">
        <v>2010</v>
      </c>
      <c r="B1189" s="2" t="s">
        <v>2011</v>
      </c>
      <c r="C1189" s="2">
        <v>1.88</v>
      </c>
      <c r="D1189" s="2">
        <v>0.72609999999999997</v>
      </c>
      <c r="E1189" s="2" t="s">
        <v>1515</v>
      </c>
    </row>
    <row r="1190" spans="1:5" ht="20.25" customHeight="1" x14ac:dyDescent="0.15">
      <c r="A1190" s="2" t="s">
        <v>3212</v>
      </c>
      <c r="B1190" s="2" t="s">
        <v>3213</v>
      </c>
      <c r="C1190" s="2">
        <v>1.88</v>
      </c>
      <c r="D1190" s="2">
        <v>1.7765</v>
      </c>
      <c r="E1190" s="2" t="s">
        <v>1757</v>
      </c>
    </row>
    <row r="1191" spans="1:5" ht="20.25" customHeight="1" x14ac:dyDescent="0.15">
      <c r="A1191" s="2" t="s">
        <v>4222</v>
      </c>
      <c r="B1191" s="2" t="s">
        <v>4223</v>
      </c>
      <c r="C1191" s="2">
        <v>1.88</v>
      </c>
      <c r="D1191" s="2">
        <v>15.1892</v>
      </c>
      <c r="E1191" s="2" t="s">
        <v>1390</v>
      </c>
    </row>
    <row r="1192" spans="1:5" ht="20.25" customHeight="1" x14ac:dyDescent="0.15">
      <c r="A1192" s="2" t="s">
        <v>4781</v>
      </c>
      <c r="B1192" s="2" t="s">
        <v>4782</v>
      </c>
      <c r="C1192" s="2">
        <v>1.88</v>
      </c>
      <c r="D1192" s="2">
        <v>2.2970999999999999</v>
      </c>
      <c r="E1192" s="2" t="s">
        <v>207</v>
      </c>
    </row>
    <row r="1193" spans="1:5" ht="20.25" customHeight="1" x14ac:dyDescent="0.15">
      <c r="A1193" s="2" t="s">
        <v>4970</v>
      </c>
      <c r="B1193" s="2" t="s">
        <v>4971</v>
      </c>
      <c r="C1193" s="2">
        <v>1.88</v>
      </c>
      <c r="D1193" s="2">
        <v>0.36070000000000002</v>
      </c>
      <c r="E1193" s="2" t="s">
        <v>299</v>
      </c>
    </row>
    <row r="1194" spans="1:5" ht="20.25" customHeight="1" x14ac:dyDescent="0.15">
      <c r="A1194" s="2" t="s">
        <v>5770</v>
      </c>
      <c r="B1194" s="2" t="s">
        <v>5771</v>
      </c>
      <c r="C1194" s="2">
        <v>1.88</v>
      </c>
      <c r="D1194" s="2">
        <v>9.2667999999999999</v>
      </c>
      <c r="E1194" s="2" t="s">
        <v>1757</v>
      </c>
    </row>
    <row r="1195" spans="1:5" ht="20.25" customHeight="1" x14ac:dyDescent="0.15">
      <c r="A1195" s="2" t="s">
        <v>6108</v>
      </c>
      <c r="B1195" s="2" t="s">
        <v>6109</v>
      </c>
      <c r="C1195" s="2">
        <v>1.88</v>
      </c>
      <c r="D1195" s="2">
        <v>3.9754</v>
      </c>
      <c r="E1195" s="2" t="s">
        <v>421</v>
      </c>
    </row>
    <row r="1196" spans="1:5" ht="20.25" customHeight="1" x14ac:dyDescent="0.15">
      <c r="A1196" s="2" t="s">
        <v>6750</v>
      </c>
      <c r="B1196" s="2" t="s">
        <v>6751</v>
      </c>
      <c r="C1196" s="2">
        <v>1.88</v>
      </c>
      <c r="D1196" s="2">
        <v>1.2274</v>
      </c>
      <c r="E1196" s="2" t="s">
        <v>638</v>
      </c>
    </row>
    <row r="1197" spans="1:5" ht="20.25" customHeight="1" x14ac:dyDescent="0.15">
      <c r="A1197" s="2" t="s">
        <v>318</v>
      </c>
      <c r="B1197" s="2" t="s">
        <v>319</v>
      </c>
      <c r="C1197" s="2">
        <v>1.87</v>
      </c>
      <c r="D1197" s="2">
        <v>4.2419000000000002</v>
      </c>
      <c r="E1197" s="2" t="s">
        <v>35</v>
      </c>
    </row>
    <row r="1198" spans="1:5" ht="20.25" customHeight="1" x14ac:dyDescent="0.15">
      <c r="A1198" s="2" t="s">
        <v>469</v>
      </c>
      <c r="B1198" s="2" t="s">
        <v>470</v>
      </c>
      <c r="C1198" s="2">
        <v>1.87</v>
      </c>
      <c r="D1198" s="2">
        <v>1.1101000000000001</v>
      </c>
      <c r="E1198" s="2" t="s">
        <v>471</v>
      </c>
    </row>
    <row r="1199" spans="1:5" ht="20.25" customHeight="1" x14ac:dyDescent="0.15">
      <c r="A1199" s="2" t="s">
        <v>662</v>
      </c>
      <c r="B1199" s="2" t="s">
        <v>663</v>
      </c>
      <c r="C1199" s="2">
        <v>1.87</v>
      </c>
      <c r="D1199" s="2">
        <v>0.50829999999999997</v>
      </c>
      <c r="E1199" s="2" t="s">
        <v>664</v>
      </c>
    </row>
    <row r="1200" spans="1:5" ht="20.25" customHeight="1" x14ac:dyDescent="0.15">
      <c r="A1200" s="2" t="s">
        <v>716</v>
      </c>
      <c r="B1200" s="2" t="s">
        <v>717</v>
      </c>
      <c r="C1200" s="2">
        <v>1.87</v>
      </c>
      <c r="D1200" s="2">
        <v>0.8488</v>
      </c>
      <c r="E1200" s="2" t="s">
        <v>68</v>
      </c>
    </row>
    <row r="1201" spans="1:5" ht="20.25" customHeight="1" x14ac:dyDescent="0.15">
      <c r="A1201" s="2" t="s">
        <v>934</v>
      </c>
      <c r="B1201" s="2" t="s">
        <v>935</v>
      </c>
      <c r="C1201" s="2">
        <v>1.87</v>
      </c>
      <c r="D1201" s="2">
        <v>0.1129</v>
      </c>
      <c r="E1201" s="2" t="s">
        <v>385</v>
      </c>
    </row>
    <row r="1202" spans="1:5" ht="20.25" customHeight="1" x14ac:dyDescent="0.15">
      <c r="A1202" s="2" t="s">
        <v>985</v>
      </c>
      <c r="B1202" s="2" t="s">
        <v>986</v>
      </c>
      <c r="C1202" s="2">
        <v>1.87</v>
      </c>
      <c r="D1202" s="2">
        <v>0.2233</v>
      </c>
      <c r="E1202" s="2" t="s">
        <v>38</v>
      </c>
    </row>
    <row r="1203" spans="1:5" ht="20.25" customHeight="1" x14ac:dyDescent="0.15">
      <c r="A1203" s="2" t="s">
        <v>1292</v>
      </c>
      <c r="B1203" s="2" t="s">
        <v>1293</v>
      </c>
      <c r="C1203" s="2">
        <v>1.87</v>
      </c>
      <c r="D1203" s="2">
        <v>1.7712000000000001</v>
      </c>
      <c r="E1203" s="2" t="s">
        <v>511</v>
      </c>
    </row>
    <row r="1204" spans="1:5" ht="20.25" customHeight="1" x14ac:dyDescent="0.15">
      <c r="A1204" s="2" t="s">
        <v>1953</v>
      </c>
      <c r="B1204" s="2" t="s">
        <v>1954</v>
      </c>
      <c r="C1204" s="2">
        <v>1.87</v>
      </c>
      <c r="D1204" s="2">
        <v>9.1899999999999996E-2</v>
      </c>
      <c r="E1204" s="2" t="s">
        <v>1102</v>
      </c>
    </row>
    <row r="1205" spans="1:5" ht="20.25" customHeight="1" x14ac:dyDescent="0.15">
      <c r="A1205" s="2" t="s">
        <v>2731</v>
      </c>
      <c r="B1205" s="2" t="s">
        <v>2732</v>
      </c>
      <c r="C1205" s="2">
        <v>1.87</v>
      </c>
      <c r="D1205" s="2">
        <v>1.7406999999999999</v>
      </c>
      <c r="E1205" s="2" t="s">
        <v>605</v>
      </c>
    </row>
    <row r="1206" spans="1:5" ht="20.25" customHeight="1" x14ac:dyDescent="0.15">
      <c r="A1206" s="2" t="s">
        <v>4937</v>
      </c>
      <c r="B1206" s="2" t="s">
        <v>4938</v>
      </c>
      <c r="C1206" s="2">
        <v>1.87</v>
      </c>
      <c r="D1206" s="2">
        <v>19.519300000000001</v>
      </c>
      <c r="E1206" s="2" t="s">
        <v>4939</v>
      </c>
    </row>
    <row r="1207" spans="1:5" ht="20.25" customHeight="1" x14ac:dyDescent="0.15">
      <c r="A1207" s="2" t="s">
        <v>5020</v>
      </c>
      <c r="B1207" s="2" t="s">
        <v>5021</v>
      </c>
      <c r="C1207" s="2">
        <v>1.87</v>
      </c>
      <c r="D1207" s="2">
        <v>7.2850000000000001</v>
      </c>
      <c r="E1207" s="2" t="s">
        <v>713</v>
      </c>
    </row>
    <row r="1208" spans="1:5" ht="20.25" customHeight="1" x14ac:dyDescent="0.15">
      <c r="A1208" s="2" t="s">
        <v>7319</v>
      </c>
      <c r="B1208" s="2" t="s">
        <v>7320</v>
      </c>
      <c r="C1208" s="2">
        <v>1.87</v>
      </c>
      <c r="D1208" s="2">
        <v>21.809200000000001</v>
      </c>
      <c r="E1208" s="2" t="s">
        <v>2151</v>
      </c>
    </row>
    <row r="1209" spans="1:5" ht="20.25" customHeight="1" x14ac:dyDescent="0.15">
      <c r="A1209" s="2" t="s">
        <v>7785</v>
      </c>
      <c r="B1209" s="2" t="s">
        <v>7786</v>
      </c>
      <c r="C1209" s="2">
        <v>1.87</v>
      </c>
      <c r="D1209" s="2">
        <v>14.4472</v>
      </c>
      <c r="E1209" s="2" t="s">
        <v>385</v>
      </c>
    </row>
    <row r="1210" spans="1:5" ht="20.25" customHeight="1" x14ac:dyDescent="0.15">
      <c r="A1210" s="2" t="s">
        <v>678</v>
      </c>
      <c r="B1210" s="2" t="s">
        <v>679</v>
      </c>
      <c r="C1210" s="2">
        <v>1.86</v>
      </c>
      <c r="D1210" s="2">
        <v>2.9901</v>
      </c>
      <c r="E1210" s="2" t="s">
        <v>240</v>
      </c>
    </row>
    <row r="1211" spans="1:5" ht="20.25" customHeight="1" x14ac:dyDescent="0.15">
      <c r="A1211" s="2" t="s">
        <v>2779</v>
      </c>
      <c r="B1211" s="2" t="s">
        <v>2780</v>
      </c>
      <c r="C1211" s="2">
        <v>1.86</v>
      </c>
      <c r="D1211" s="2">
        <v>34.082099999999997</v>
      </c>
      <c r="E1211" s="2" t="s">
        <v>188</v>
      </c>
    </row>
    <row r="1212" spans="1:5" ht="20.25" customHeight="1" x14ac:dyDescent="0.15">
      <c r="A1212" s="2" t="s">
        <v>3262</v>
      </c>
      <c r="B1212" s="2" t="s">
        <v>3263</v>
      </c>
      <c r="C1212" s="2">
        <v>1.86</v>
      </c>
      <c r="D1212" s="2">
        <v>0.31659999999999999</v>
      </c>
      <c r="E1212" s="2" t="s">
        <v>339</v>
      </c>
    </row>
    <row r="1213" spans="1:5" ht="20.25" customHeight="1" x14ac:dyDescent="0.15">
      <c r="A1213" s="2" t="s">
        <v>3571</v>
      </c>
      <c r="B1213" s="2" t="s">
        <v>3572</v>
      </c>
      <c r="C1213" s="2">
        <v>1.86</v>
      </c>
      <c r="D1213" s="2">
        <v>1.3596999999999999</v>
      </c>
      <c r="E1213" s="2" t="s">
        <v>281</v>
      </c>
    </row>
    <row r="1214" spans="1:5" ht="20.25" customHeight="1" x14ac:dyDescent="0.15">
      <c r="A1214" s="2" t="s">
        <v>3673</v>
      </c>
      <c r="B1214" s="2" t="s">
        <v>3674</v>
      </c>
      <c r="C1214" s="2">
        <v>1.86</v>
      </c>
      <c r="D1214" s="2">
        <v>0.79579999999999995</v>
      </c>
      <c r="E1214" s="2" t="s">
        <v>1224</v>
      </c>
    </row>
    <row r="1215" spans="1:5" ht="20.25" customHeight="1" x14ac:dyDescent="0.15">
      <c r="A1215" s="2" t="s">
        <v>3813</v>
      </c>
      <c r="B1215" s="2" t="s">
        <v>3814</v>
      </c>
      <c r="C1215" s="2">
        <v>1.86</v>
      </c>
      <c r="D1215" s="2">
        <v>1.0680000000000001</v>
      </c>
      <c r="E1215" s="2" t="s">
        <v>471</v>
      </c>
    </row>
    <row r="1216" spans="1:5" ht="20.25" customHeight="1" x14ac:dyDescent="0.15">
      <c r="A1216" s="2" t="s">
        <v>4132</v>
      </c>
      <c r="B1216" s="2" t="s">
        <v>4133</v>
      </c>
      <c r="C1216" s="2">
        <v>1.86</v>
      </c>
      <c r="D1216" s="2">
        <v>4.6805000000000003</v>
      </c>
      <c r="E1216" s="2" t="s">
        <v>3130</v>
      </c>
    </row>
    <row r="1217" spans="1:5" ht="20.25" customHeight="1" x14ac:dyDescent="0.15">
      <c r="A1217" s="2" t="s">
        <v>4484</v>
      </c>
      <c r="B1217" s="2" t="s">
        <v>4485</v>
      </c>
      <c r="C1217" s="2">
        <v>1.86</v>
      </c>
      <c r="D1217" s="2">
        <v>1.2802</v>
      </c>
      <c r="E1217" s="2" t="s">
        <v>589</v>
      </c>
    </row>
    <row r="1218" spans="1:5" ht="20.25" customHeight="1" x14ac:dyDescent="0.15">
      <c r="A1218" s="2" t="s">
        <v>5006</v>
      </c>
      <c r="B1218" s="2" t="s">
        <v>5007</v>
      </c>
      <c r="C1218" s="2">
        <v>1.86</v>
      </c>
      <c r="D1218" s="2">
        <v>1.1344000000000001</v>
      </c>
      <c r="E1218" s="2" t="s">
        <v>1820</v>
      </c>
    </row>
    <row r="1219" spans="1:5" ht="20.25" customHeight="1" x14ac:dyDescent="0.15">
      <c r="A1219" s="2" t="s">
        <v>5290</v>
      </c>
      <c r="B1219" s="2" t="s">
        <v>5291</v>
      </c>
      <c r="C1219" s="2">
        <v>1.86</v>
      </c>
      <c r="D1219" s="2">
        <v>0.84340000000000004</v>
      </c>
      <c r="E1219" s="2" t="s">
        <v>344</v>
      </c>
    </row>
    <row r="1220" spans="1:5" ht="20.25" customHeight="1" x14ac:dyDescent="0.15">
      <c r="A1220" s="2" t="s">
        <v>7953</v>
      </c>
      <c r="B1220" s="2" t="s">
        <v>7954</v>
      </c>
      <c r="C1220" s="2">
        <v>1.86</v>
      </c>
      <c r="D1220" s="2">
        <v>0.58930000000000005</v>
      </c>
      <c r="E1220" s="2" t="s">
        <v>630</v>
      </c>
    </row>
    <row r="1221" spans="1:5" ht="20.25" customHeight="1" x14ac:dyDescent="0.15">
      <c r="A1221" s="2" t="s">
        <v>6967</v>
      </c>
      <c r="B1221" s="2" t="s">
        <v>6968</v>
      </c>
      <c r="C1221" s="2">
        <v>1.855</v>
      </c>
      <c r="D1221" s="2">
        <v>28.221399999999999</v>
      </c>
      <c r="E1221" s="2" t="s">
        <v>245</v>
      </c>
    </row>
    <row r="1222" spans="1:5" ht="20.25" customHeight="1" x14ac:dyDescent="0.15">
      <c r="A1222" s="2" t="s">
        <v>1638</v>
      </c>
      <c r="B1222" s="2" t="s">
        <v>1639</v>
      </c>
      <c r="C1222" s="2">
        <v>1.85</v>
      </c>
      <c r="D1222" s="2">
        <v>1.8751</v>
      </c>
      <c r="E1222" s="2" t="s">
        <v>35</v>
      </c>
    </row>
    <row r="1223" spans="1:5" ht="20.25" customHeight="1" x14ac:dyDescent="0.15">
      <c r="A1223" s="2" t="s">
        <v>5356</v>
      </c>
      <c r="B1223" s="2" t="s">
        <v>5357</v>
      </c>
      <c r="C1223" s="2">
        <v>1.85</v>
      </c>
      <c r="D1223" s="2">
        <v>3.2589000000000001</v>
      </c>
      <c r="E1223" s="2" t="s">
        <v>299</v>
      </c>
    </row>
    <row r="1224" spans="1:5" ht="20.25" customHeight="1" x14ac:dyDescent="0.15">
      <c r="A1224" s="2" t="s">
        <v>6226</v>
      </c>
      <c r="B1224" s="2" t="s">
        <v>6227</v>
      </c>
      <c r="C1224" s="2">
        <v>1.85</v>
      </c>
      <c r="D1224" s="2">
        <v>2.6187</v>
      </c>
      <c r="E1224" s="2" t="s">
        <v>1263</v>
      </c>
    </row>
    <row r="1225" spans="1:5" ht="20.25" customHeight="1" x14ac:dyDescent="0.15">
      <c r="A1225" s="2" t="s">
        <v>6404</v>
      </c>
      <c r="B1225" s="2" t="s">
        <v>6405</v>
      </c>
      <c r="C1225" s="2">
        <v>1.85</v>
      </c>
      <c r="D1225" s="2">
        <v>0.45450000000000002</v>
      </c>
      <c r="E1225" s="2" t="s">
        <v>483</v>
      </c>
    </row>
    <row r="1226" spans="1:5" ht="20.25" customHeight="1" x14ac:dyDescent="0.15">
      <c r="A1226" s="2" t="s">
        <v>6516</v>
      </c>
      <c r="B1226" s="2" t="s">
        <v>6517</v>
      </c>
      <c r="C1226" s="2">
        <v>1.85</v>
      </c>
      <c r="D1226" s="2">
        <v>1.2038</v>
      </c>
      <c r="E1226" s="2" t="s">
        <v>529</v>
      </c>
    </row>
    <row r="1227" spans="1:5" ht="20.25" customHeight="1" x14ac:dyDescent="0.15">
      <c r="A1227" s="2" t="s">
        <v>6987</v>
      </c>
      <c r="B1227" s="2" t="s">
        <v>6988</v>
      </c>
      <c r="C1227" s="2">
        <v>1.85</v>
      </c>
      <c r="D1227" s="2">
        <v>2.9474999999999998</v>
      </c>
      <c r="E1227" s="2" t="s">
        <v>385</v>
      </c>
    </row>
    <row r="1228" spans="1:5" ht="20.25" customHeight="1" x14ac:dyDescent="0.15">
      <c r="A1228" s="2" t="s">
        <v>7333</v>
      </c>
      <c r="B1228" s="2" t="s">
        <v>7334</v>
      </c>
      <c r="C1228" s="2">
        <v>1.85</v>
      </c>
      <c r="D1228" s="2">
        <v>3.4342999999999999</v>
      </c>
      <c r="E1228" s="2" t="s">
        <v>647</v>
      </c>
    </row>
    <row r="1229" spans="1:5" ht="20.25" customHeight="1" x14ac:dyDescent="0.15">
      <c r="A1229" s="2" t="s">
        <v>135</v>
      </c>
      <c r="B1229" s="2" t="s">
        <v>136</v>
      </c>
      <c r="C1229" s="2">
        <v>1.84</v>
      </c>
      <c r="D1229" s="2">
        <v>7.2251000000000003</v>
      </c>
      <c r="E1229" s="2" t="s">
        <v>137</v>
      </c>
    </row>
    <row r="1230" spans="1:5" ht="20.25" customHeight="1" x14ac:dyDescent="0.15">
      <c r="A1230" s="2" t="s">
        <v>199</v>
      </c>
      <c r="B1230" s="2" t="s">
        <v>200</v>
      </c>
      <c r="C1230" s="2">
        <v>1.84</v>
      </c>
      <c r="D1230" s="2">
        <v>0.47299999999999998</v>
      </c>
      <c r="E1230" s="2" t="s">
        <v>201</v>
      </c>
    </row>
    <row r="1231" spans="1:5" ht="20.25" customHeight="1" x14ac:dyDescent="0.15">
      <c r="A1231" s="2" t="s">
        <v>457</v>
      </c>
      <c r="B1231" s="2" t="s">
        <v>458</v>
      </c>
      <c r="C1231" s="2">
        <v>1.84</v>
      </c>
      <c r="D1231" s="2">
        <v>2.7126000000000001</v>
      </c>
      <c r="E1231" s="2" t="s">
        <v>459</v>
      </c>
    </row>
    <row r="1232" spans="1:5" ht="20.25" customHeight="1" x14ac:dyDescent="0.15">
      <c r="A1232" s="2" t="s">
        <v>1386</v>
      </c>
      <c r="B1232" s="2" t="s">
        <v>1387</v>
      </c>
      <c r="C1232" s="2">
        <v>1.84</v>
      </c>
      <c r="D1232" s="2">
        <v>3.0347</v>
      </c>
      <c r="E1232" s="2" t="s">
        <v>371</v>
      </c>
    </row>
    <row r="1233" spans="1:5" ht="20.25" customHeight="1" x14ac:dyDescent="0.15">
      <c r="A1233" s="2" t="s">
        <v>1472</v>
      </c>
      <c r="B1233" s="2" t="s">
        <v>1473</v>
      </c>
      <c r="C1233" s="2">
        <v>1.84</v>
      </c>
      <c r="D1233" s="2">
        <v>8.1694999999999993</v>
      </c>
      <c r="E1233" s="2" t="s">
        <v>614</v>
      </c>
    </row>
    <row r="1234" spans="1:5" ht="20.25" customHeight="1" x14ac:dyDescent="0.15">
      <c r="A1234" s="2" t="s">
        <v>1542</v>
      </c>
      <c r="B1234" s="2" t="s">
        <v>1543</v>
      </c>
      <c r="C1234" s="2">
        <v>1.84</v>
      </c>
      <c r="D1234" s="2">
        <v>4.9555999999999996</v>
      </c>
      <c r="E1234" s="2" t="s">
        <v>1420</v>
      </c>
    </row>
    <row r="1235" spans="1:5" ht="20.25" customHeight="1" x14ac:dyDescent="0.15">
      <c r="A1235" s="2" t="s">
        <v>1963</v>
      </c>
      <c r="B1235" s="2" t="s">
        <v>1964</v>
      </c>
      <c r="C1235" s="2">
        <v>1.84</v>
      </c>
      <c r="D1235" s="2">
        <v>0.16750000000000001</v>
      </c>
      <c r="E1235" s="2" t="s">
        <v>1381</v>
      </c>
    </row>
    <row r="1236" spans="1:5" ht="20.25" customHeight="1" x14ac:dyDescent="0.15">
      <c r="A1236" s="2" t="s">
        <v>2445</v>
      </c>
      <c r="B1236" s="2" t="s">
        <v>2446</v>
      </c>
      <c r="C1236" s="2">
        <v>1.84</v>
      </c>
      <c r="D1236" s="2">
        <v>2.3025000000000002</v>
      </c>
      <c r="E1236" s="2" t="s">
        <v>1425</v>
      </c>
    </row>
    <row r="1237" spans="1:5" ht="20.25" customHeight="1" x14ac:dyDescent="0.15">
      <c r="A1237" s="2" t="s">
        <v>2642</v>
      </c>
      <c r="B1237" s="2" t="s">
        <v>2643</v>
      </c>
      <c r="C1237" s="2">
        <v>1.84</v>
      </c>
      <c r="D1237" s="2">
        <v>4.7560000000000002</v>
      </c>
      <c r="E1237" s="2" t="s">
        <v>1691</v>
      </c>
    </row>
    <row r="1238" spans="1:5" ht="20.25" customHeight="1" x14ac:dyDescent="0.15">
      <c r="A1238" s="2" t="s">
        <v>3491</v>
      </c>
      <c r="B1238" s="2" t="s">
        <v>3492</v>
      </c>
      <c r="C1238" s="2">
        <v>1.84</v>
      </c>
      <c r="D1238" s="2">
        <v>8.7345000000000006</v>
      </c>
      <c r="E1238" s="2" t="s">
        <v>310</v>
      </c>
    </row>
    <row r="1239" spans="1:5" ht="20.25" customHeight="1" x14ac:dyDescent="0.15">
      <c r="A1239" s="2" t="s">
        <v>4176</v>
      </c>
      <c r="B1239" s="2" t="s">
        <v>4177</v>
      </c>
      <c r="C1239" s="2">
        <v>1.84</v>
      </c>
      <c r="D1239" s="2">
        <v>1.1073999999999999</v>
      </c>
      <c r="E1239" s="2" t="s">
        <v>123</v>
      </c>
    </row>
    <row r="1240" spans="1:5" ht="20.25" customHeight="1" x14ac:dyDescent="0.15">
      <c r="A1240" s="2" t="s">
        <v>4950</v>
      </c>
      <c r="B1240" s="2" t="s">
        <v>4951</v>
      </c>
      <c r="C1240" s="2">
        <v>1.84</v>
      </c>
      <c r="D1240" s="2">
        <v>18.838000000000001</v>
      </c>
      <c r="E1240" s="2" t="s">
        <v>157</v>
      </c>
    </row>
    <row r="1241" spans="1:5" ht="20.25" customHeight="1" x14ac:dyDescent="0.15">
      <c r="A1241" s="2" t="s">
        <v>6258</v>
      </c>
      <c r="B1241" s="2" t="s">
        <v>6259</v>
      </c>
      <c r="C1241" s="2">
        <v>1.84</v>
      </c>
      <c r="D1241" s="2">
        <v>18.769300000000001</v>
      </c>
      <c r="E1241" s="2" t="s">
        <v>571</v>
      </c>
    </row>
    <row r="1242" spans="1:5" ht="20.25" customHeight="1" x14ac:dyDescent="0.15">
      <c r="A1242" s="2" t="s">
        <v>7897</v>
      </c>
      <c r="B1242" s="2" t="s">
        <v>7898</v>
      </c>
      <c r="C1242" s="2">
        <v>1.84</v>
      </c>
      <c r="D1242" s="2">
        <v>6.1093999999999999</v>
      </c>
      <c r="E1242" s="2" t="s">
        <v>374</v>
      </c>
    </row>
    <row r="1243" spans="1:5" ht="20.25" customHeight="1" x14ac:dyDescent="0.15">
      <c r="A1243" s="2" t="s">
        <v>7981</v>
      </c>
      <c r="B1243" s="2" t="s">
        <v>7982</v>
      </c>
      <c r="C1243" s="2">
        <v>1.835</v>
      </c>
      <c r="D1243" s="2">
        <v>0.62670000000000003</v>
      </c>
      <c r="E1243" s="2" t="s">
        <v>1820</v>
      </c>
    </row>
    <row r="1244" spans="1:5" ht="20.25" customHeight="1" x14ac:dyDescent="0.15">
      <c r="A1244" s="2" t="s">
        <v>1793</v>
      </c>
      <c r="B1244" s="2" t="s">
        <v>1794</v>
      </c>
      <c r="C1244" s="2">
        <v>1.83</v>
      </c>
      <c r="D1244" s="2">
        <v>105.0146</v>
      </c>
      <c r="E1244" s="2" t="s">
        <v>633</v>
      </c>
    </row>
    <row r="1245" spans="1:5" ht="20.25" customHeight="1" x14ac:dyDescent="0.15">
      <c r="A1245" s="2" t="s">
        <v>3148</v>
      </c>
      <c r="B1245" s="2" t="s">
        <v>3149</v>
      </c>
      <c r="C1245" s="2">
        <v>1.83</v>
      </c>
      <c r="D1245" s="2">
        <v>0.43919999999999998</v>
      </c>
      <c r="E1245" s="2" t="s">
        <v>143</v>
      </c>
    </row>
    <row r="1246" spans="1:5" ht="20.25" customHeight="1" x14ac:dyDescent="0.15">
      <c r="A1246" s="2" t="s">
        <v>3195</v>
      </c>
      <c r="B1246" s="2" t="s">
        <v>3196</v>
      </c>
      <c r="C1246" s="2">
        <v>1.83</v>
      </c>
      <c r="D1246" s="2">
        <v>1.1121000000000001</v>
      </c>
      <c r="E1246" s="2" t="s">
        <v>2063</v>
      </c>
    </row>
    <row r="1247" spans="1:5" ht="20.25" customHeight="1" x14ac:dyDescent="0.15">
      <c r="A1247" s="2" t="s">
        <v>4218</v>
      </c>
      <c r="B1247" s="2" t="s">
        <v>4219</v>
      </c>
      <c r="C1247" s="2">
        <v>1.83</v>
      </c>
      <c r="D1247" s="2">
        <v>2.569</v>
      </c>
      <c r="E1247" s="2" t="s">
        <v>220</v>
      </c>
    </row>
    <row r="1248" spans="1:5" ht="20.25" customHeight="1" x14ac:dyDescent="0.15">
      <c r="A1248" s="2" t="s">
        <v>5511</v>
      </c>
      <c r="B1248" s="2" t="s">
        <v>5512</v>
      </c>
      <c r="C1248" s="2">
        <v>1.83</v>
      </c>
      <c r="D1248" s="2">
        <v>0.72430000000000005</v>
      </c>
      <c r="E1248" s="2" t="s">
        <v>89</v>
      </c>
    </row>
    <row r="1249" spans="1:5" ht="20.25" customHeight="1" x14ac:dyDescent="0.15">
      <c r="A1249" s="2" t="s">
        <v>6664</v>
      </c>
      <c r="B1249" s="2" t="s">
        <v>6665</v>
      </c>
      <c r="C1249" s="2">
        <v>1.83</v>
      </c>
      <c r="D1249" s="2">
        <v>0.55410000000000004</v>
      </c>
      <c r="E1249" s="2" t="s">
        <v>713</v>
      </c>
    </row>
    <row r="1250" spans="1:5" ht="20.25" customHeight="1" x14ac:dyDescent="0.15">
      <c r="A1250" s="2" t="s">
        <v>6758</v>
      </c>
      <c r="B1250" s="2" t="s">
        <v>6759</v>
      </c>
      <c r="C1250" s="2">
        <v>1.83</v>
      </c>
      <c r="D1250" s="2">
        <v>1.5387999999999999</v>
      </c>
      <c r="E1250" s="2" t="s">
        <v>374</v>
      </c>
    </row>
    <row r="1251" spans="1:5" ht="20.25" customHeight="1" x14ac:dyDescent="0.15">
      <c r="A1251" s="2" t="s">
        <v>6941</v>
      </c>
      <c r="B1251" s="2" t="s">
        <v>6942</v>
      </c>
      <c r="C1251" s="2">
        <v>1.83</v>
      </c>
      <c r="D1251" s="2">
        <v>2.9954000000000001</v>
      </c>
      <c r="E1251" s="2" t="s">
        <v>201</v>
      </c>
    </row>
    <row r="1252" spans="1:5" ht="20.25" customHeight="1" x14ac:dyDescent="0.15">
      <c r="A1252" s="2" t="s">
        <v>972</v>
      </c>
      <c r="B1252" s="2" t="s">
        <v>973</v>
      </c>
      <c r="C1252" s="2">
        <v>1.82</v>
      </c>
      <c r="D1252" s="2">
        <v>0.40620000000000001</v>
      </c>
      <c r="E1252" s="2" t="s">
        <v>787</v>
      </c>
    </row>
    <row r="1253" spans="1:5" ht="20.25" customHeight="1" x14ac:dyDescent="0.15">
      <c r="A1253" s="2" t="s">
        <v>1026</v>
      </c>
      <c r="B1253" s="2" t="s">
        <v>1027</v>
      </c>
      <c r="C1253" s="2">
        <v>1.82</v>
      </c>
      <c r="D1253" s="2">
        <v>0.75370000000000004</v>
      </c>
      <c r="E1253" s="2" t="s">
        <v>938</v>
      </c>
    </row>
    <row r="1254" spans="1:5" ht="20.25" customHeight="1" x14ac:dyDescent="0.15">
      <c r="A1254" s="2" t="s">
        <v>1566</v>
      </c>
      <c r="B1254" s="2" t="s">
        <v>1567</v>
      </c>
      <c r="C1254" s="2">
        <v>1.82</v>
      </c>
      <c r="D1254" s="2">
        <v>1.6936</v>
      </c>
      <c r="E1254" s="2" t="s">
        <v>437</v>
      </c>
    </row>
    <row r="1255" spans="1:5" ht="20.25" customHeight="1" x14ac:dyDescent="0.15">
      <c r="A1255" s="2" t="s">
        <v>1713</v>
      </c>
      <c r="B1255" s="2" t="s">
        <v>1714</v>
      </c>
      <c r="C1255" s="2">
        <v>1.82</v>
      </c>
      <c r="D1255" s="2">
        <v>2.0560999999999998</v>
      </c>
      <c r="E1255" s="2" t="s">
        <v>561</v>
      </c>
    </row>
    <row r="1256" spans="1:5" ht="20.25" customHeight="1" x14ac:dyDescent="0.15">
      <c r="A1256" s="2" t="s">
        <v>2656</v>
      </c>
      <c r="B1256" s="2" t="s">
        <v>2657</v>
      </c>
      <c r="C1256" s="2">
        <v>1.82</v>
      </c>
      <c r="D1256" s="2">
        <v>2.2970999999999999</v>
      </c>
      <c r="E1256" s="2" t="s">
        <v>71</v>
      </c>
    </row>
    <row r="1257" spans="1:5" ht="20.25" customHeight="1" x14ac:dyDescent="0.15">
      <c r="A1257" s="2" t="s">
        <v>3218</v>
      </c>
      <c r="B1257" s="2" t="s">
        <v>3219</v>
      </c>
      <c r="C1257" s="2">
        <v>1.82</v>
      </c>
      <c r="D1257" s="2">
        <v>2.0928</v>
      </c>
      <c r="E1257" s="2" t="s">
        <v>10</v>
      </c>
    </row>
    <row r="1258" spans="1:5" ht="20.25" customHeight="1" x14ac:dyDescent="0.15">
      <c r="A1258" s="2" t="s">
        <v>3748</v>
      </c>
      <c r="B1258" s="2" t="s">
        <v>3749</v>
      </c>
      <c r="C1258" s="2">
        <v>1.82</v>
      </c>
      <c r="D1258" s="2">
        <v>3.847</v>
      </c>
      <c r="E1258" s="2" t="s">
        <v>713</v>
      </c>
    </row>
    <row r="1259" spans="1:5" ht="20.25" customHeight="1" x14ac:dyDescent="0.15">
      <c r="A1259" s="2" t="s">
        <v>4692</v>
      </c>
      <c r="B1259" s="2" t="s">
        <v>4693</v>
      </c>
      <c r="C1259" s="2">
        <v>1.82</v>
      </c>
      <c r="D1259" s="2">
        <v>1.1811</v>
      </c>
      <c r="E1259" s="2" t="s">
        <v>630</v>
      </c>
    </row>
    <row r="1260" spans="1:5" ht="20.25" customHeight="1" x14ac:dyDescent="0.15">
      <c r="A1260" s="2" t="s">
        <v>5216</v>
      </c>
      <c r="B1260" s="2" t="s">
        <v>5217</v>
      </c>
      <c r="C1260" s="2">
        <v>1.82</v>
      </c>
      <c r="D1260" s="2">
        <v>1.4813000000000001</v>
      </c>
      <c r="E1260" s="2" t="s">
        <v>1139</v>
      </c>
    </row>
    <row r="1261" spans="1:5" ht="20.25" customHeight="1" x14ac:dyDescent="0.15">
      <c r="A1261" s="2" t="s">
        <v>5533</v>
      </c>
      <c r="B1261" s="2" t="s">
        <v>5534</v>
      </c>
      <c r="C1261" s="2">
        <v>1.82</v>
      </c>
      <c r="D1261" s="2">
        <v>8.2369000000000003</v>
      </c>
      <c r="E1261" s="2" t="s">
        <v>511</v>
      </c>
    </row>
    <row r="1262" spans="1:5" ht="20.25" customHeight="1" x14ac:dyDescent="0.15">
      <c r="A1262" s="2" t="s">
        <v>7025</v>
      </c>
      <c r="B1262" s="2" t="s">
        <v>7026</v>
      </c>
      <c r="C1262" s="2">
        <v>1.82</v>
      </c>
      <c r="D1262" s="2">
        <v>8.4023000000000003</v>
      </c>
      <c r="E1262" s="2" t="s">
        <v>371</v>
      </c>
    </row>
    <row r="1263" spans="1:5" ht="20.25" customHeight="1" x14ac:dyDescent="0.15">
      <c r="A1263" s="2" t="s">
        <v>7559</v>
      </c>
      <c r="B1263" s="2" t="s">
        <v>7560</v>
      </c>
      <c r="C1263" s="2">
        <v>1.8149999999999999</v>
      </c>
      <c r="D1263" s="2">
        <v>2.5863999999999998</v>
      </c>
      <c r="E1263" s="2" t="s">
        <v>310</v>
      </c>
    </row>
    <row r="1264" spans="1:5" ht="20.25" customHeight="1" x14ac:dyDescent="0.15">
      <c r="A1264" s="2" t="s">
        <v>114</v>
      </c>
      <c r="B1264" s="2" t="s">
        <v>115</v>
      </c>
      <c r="C1264" s="2">
        <v>1.81</v>
      </c>
      <c r="D1264" s="2">
        <v>1.0638000000000001</v>
      </c>
      <c r="E1264" s="2" t="s">
        <v>21</v>
      </c>
    </row>
    <row r="1265" spans="1:5" ht="20.25" customHeight="1" x14ac:dyDescent="0.15">
      <c r="A1265" s="2" t="s">
        <v>1441</v>
      </c>
      <c r="B1265" s="2" t="s">
        <v>1442</v>
      </c>
      <c r="C1265" s="2">
        <v>1.81</v>
      </c>
      <c r="D1265" s="2">
        <v>5.2003000000000004</v>
      </c>
      <c r="E1265" s="2" t="s">
        <v>231</v>
      </c>
    </row>
    <row r="1266" spans="1:5" ht="20.25" customHeight="1" x14ac:dyDescent="0.15">
      <c r="A1266" s="2" t="s">
        <v>1602</v>
      </c>
      <c r="B1266" s="2" t="s">
        <v>1603</v>
      </c>
      <c r="C1266" s="2">
        <v>1.81</v>
      </c>
      <c r="D1266" s="2">
        <v>13032.0016</v>
      </c>
      <c r="E1266" s="2" t="s">
        <v>89</v>
      </c>
    </row>
    <row r="1267" spans="1:5" ht="20.25" customHeight="1" x14ac:dyDescent="0.15">
      <c r="A1267" s="2" t="s">
        <v>2218</v>
      </c>
      <c r="B1267" s="2" t="s">
        <v>2219</v>
      </c>
      <c r="C1267" s="2">
        <v>1.81</v>
      </c>
      <c r="D1267" s="2">
        <v>0.78200000000000003</v>
      </c>
      <c r="E1267" s="2" t="s">
        <v>41</v>
      </c>
    </row>
    <row r="1268" spans="1:5" ht="20.25" customHeight="1" x14ac:dyDescent="0.15">
      <c r="A1268" s="2" t="s">
        <v>3423</v>
      </c>
      <c r="B1268" s="2" t="s">
        <v>3424</v>
      </c>
      <c r="C1268" s="2">
        <v>1.81</v>
      </c>
      <c r="D1268" s="2">
        <v>2.8681999999999999</v>
      </c>
      <c r="E1268" s="2" t="s">
        <v>371</v>
      </c>
    </row>
    <row r="1269" spans="1:5" ht="20.25" customHeight="1" x14ac:dyDescent="0.15">
      <c r="A1269" s="2" t="s">
        <v>5417</v>
      </c>
      <c r="B1269" s="2" t="s">
        <v>5418</v>
      </c>
      <c r="C1269" s="2">
        <v>1.81</v>
      </c>
      <c r="D1269" s="2">
        <v>38.069400000000002</v>
      </c>
      <c r="E1269" s="2" t="s">
        <v>385</v>
      </c>
    </row>
    <row r="1270" spans="1:5" ht="20.25" customHeight="1" x14ac:dyDescent="0.15">
      <c r="A1270" s="2" t="s">
        <v>5846</v>
      </c>
      <c r="B1270" s="2" t="s">
        <v>5847</v>
      </c>
      <c r="C1270" s="2">
        <v>1.81</v>
      </c>
      <c r="D1270" s="2">
        <v>5.4577</v>
      </c>
      <c r="E1270" s="2" t="s">
        <v>204</v>
      </c>
    </row>
    <row r="1271" spans="1:5" ht="20.25" customHeight="1" x14ac:dyDescent="0.15">
      <c r="A1271" s="2" t="s">
        <v>6590</v>
      </c>
      <c r="B1271" s="2" t="s">
        <v>6591</v>
      </c>
      <c r="C1271" s="2">
        <v>1.81</v>
      </c>
      <c r="D1271" s="2">
        <v>1.3924000000000001</v>
      </c>
      <c r="E1271" s="2" t="s">
        <v>1608</v>
      </c>
    </row>
    <row r="1272" spans="1:5" ht="20.25" customHeight="1" x14ac:dyDescent="0.15">
      <c r="A1272" s="2" t="s">
        <v>7269</v>
      </c>
      <c r="B1272" s="2" t="s">
        <v>7270</v>
      </c>
      <c r="C1272" s="2">
        <v>1.81</v>
      </c>
      <c r="D1272" s="2">
        <v>1.21</v>
      </c>
      <c r="E1272" s="2" t="s">
        <v>368</v>
      </c>
    </row>
    <row r="1273" spans="1:5" ht="20.25" customHeight="1" x14ac:dyDescent="0.15">
      <c r="A1273" s="2" t="s">
        <v>788</v>
      </c>
      <c r="B1273" s="2" t="s">
        <v>789</v>
      </c>
      <c r="C1273" s="2">
        <v>1.8</v>
      </c>
      <c r="D1273" s="2">
        <v>12.994</v>
      </c>
      <c r="E1273" s="2" t="s">
        <v>657</v>
      </c>
    </row>
    <row r="1274" spans="1:5" ht="20.25" customHeight="1" x14ac:dyDescent="0.15">
      <c r="A1274" s="2" t="s">
        <v>840</v>
      </c>
      <c r="B1274" s="2" t="s">
        <v>841</v>
      </c>
      <c r="C1274" s="2">
        <v>1.8</v>
      </c>
      <c r="D1274" s="2">
        <v>1.8361000000000001</v>
      </c>
      <c r="E1274" s="2" t="s">
        <v>265</v>
      </c>
    </row>
    <row r="1275" spans="1:5" ht="20.25" customHeight="1" x14ac:dyDescent="0.15">
      <c r="A1275" s="2" t="s">
        <v>1777</v>
      </c>
      <c r="B1275" s="2" t="s">
        <v>1778</v>
      </c>
      <c r="C1275" s="2">
        <v>1.8</v>
      </c>
      <c r="D1275" s="2">
        <v>4.2531999999999996</v>
      </c>
      <c r="E1275" s="2" t="s">
        <v>437</v>
      </c>
    </row>
    <row r="1276" spans="1:5" ht="20.25" customHeight="1" x14ac:dyDescent="0.15">
      <c r="A1276" s="2" t="s">
        <v>2664</v>
      </c>
      <c r="B1276" s="2" t="s">
        <v>2665</v>
      </c>
      <c r="C1276" s="2">
        <v>1.8</v>
      </c>
      <c r="D1276" s="2">
        <v>1.2698</v>
      </c>
      <c r="E1276" s="2" t="s">
        <v>2068</v>
      </c>
    </row>
    <row r="1277" spans="1:5" ht="20.25" customHeight="1" x14ac:dyDescent="0.15">
      <c r="A1277" s="2" t="s">
        <v>2985</v>
      </c>
      <c r="B1277" s="2" t="s">
        <v>2986</v>
      </c>
      <c r="C1277" s="2">
        <v>1.8</v>
      </c>
      <c r="D1277" s="2">
        <v>2.8273999999999999</v>
      </c>
      <c r="E1277" s="2" t="s">
        <v>359</v>
      </c>
    </row>
    <row r="1278" spans="1:5" ht="20.25" customHeight="1" x14ac:dyDescent="0.15">
      <c r="A1278" s="2" t="s">
        <v>3734</v>
      </c>
      <c r="B1278" s="2" t="s">
        <v>3735</v>
      </c>
      <c r="C1278" s="2">
        <v>1.8</v>
      </c>
      <c r="D1278" s="2">
        <v>1.6388</v>
      </c>
      <c r="E1278" s="2" t="s">
        <v>371</v>
      </c>
    </row>
    <row r="1279" spans="1:5" ht="20.25" customHeight="1" x14ac:dyDescent="0.15">
      <c r="A1279" s="2" t="s">
        <v>3947</v>
      </c>
      <c r="B1279" s="2" t="s">
        <v>3948</v>
      </c>
      <c r="C1279" s="2">
        <v>1.8</v>
      </c>
      <c r="D1279" s="2">
        <v>0.58960000000000001</v>
      </c>
      <c r="E1279" s="2" t="s">
        <v>406</v>
      </c>
    </row>
    <row r="1280" spans="1:5" ht="20.25" customHeight="1" x14ac:dyDescent="0.15">
      <c r="A1280" s="2" t="s">
        <v>5477</v>
      </c>
      <c r="B1280" s="2" t="s">
        <v>5478</v>
      </c>
      <c r="C1280" s="2">
        <v>1.8</v>
      </c>
      <c r="D1280" s="2">
        <v>6.6966999999999999</v>
      </c>
      <c r="E1280" s="2" t="s">
        <v>152</v>
      </c>
    </row>
    <row r="1281" spans="1:5" ht="20.25" customHeight="1" x14ac:dyDescent="0.15">
      <c r="A1281" s="2" t="s">
        <v>277</v>
      </c>
      <c r="B1281" s="2" t="s">
        <v>278</v>
      </c>
      <c r="C1281" s="2">
        <v>1.79</v>
      </c>
      <c r="D1281" s="2">
        <v>1.9741</v>
      </c>
      <c r="E1281" s="2" t="s">
        <v>35</v>
      </c>
    </row>
    <row r="1282" spans="1:5" ht="20.25" customHeight="1" x14ac:dyDescent="0.15">
      <c r="A1282" s="2" t="s">
        <v>1698</v>
      </c>
      <c r="B1282" s="2" t="s">
        <v>1699</v>
      </c>
      <c r="C1282" s="2">
        <v>1.79</v>
      </c>
      <c r="D1282" s="2">
        <v>0.1022</v>
      </c>
      <c r="E1282" s="2" t="s">
        <v>339</v>
      </c>
    </row>
    <row r="1283" spans="1:5" ht="20.25" customHeight="1" x14ac:dyDescent="0.15">
      <c r="A1283" s="2" t="s">
        <v>1986</v>
      </c>
      <c r="B1283" s="2" t="s">
        <v>1987</v>
      </c>
      <c r="C1283" s="2">
        <v>1.79</v>
      </c>
      <c r="D1283" s="2">
        <v>0.73729999999999996</v>
      </c>
      <c r="E1283" s="2" t="s">
        <v>35</v>
      </c>
    </row>
    <row r="1284" spans="1:5" ht="20.25" customHeight="1" x14ac:dyDescent="0.15">
      <c r="A1284" s="2" t="s">
        <v>2594</v>
      </c>
      <c r="B1284" s="2" t="s">
        <v>2595</v>
      </c>
      <c r="C1284" s="2">
        <v>1.79</v>
      </c>
      <c r="D1284" s="2">
        <v>0.1138</v>
      </c>
      <c r="E1284" s="2" t="s">
        <v>359</v>
      </c>
    </row>
    <row r="1285" spans="1:5" ht="20.25" customHeight="1" x14ac:dyDescent="0.15">
      <c r="A1285" s="2" t="s">
        <v>3683</v>
      </c>
      <c r="B1285" s="2" t="s">
        <v>3684</v>
      </c>
      <c r="C1285" s="2">
        <v>1.79</v>
      </c>
      <c r="D1285" s="2">
        <v>0.31969999999999998</v>
      </c>
      <c r="E1285" s="2" t="s">
        <v>713</v>
      </c>
    </row>
    <row r="1286" spans="1:5" ht="20.25" customHeight="1" x14ac:dyDescent="0.15">
      <c r="A1286" s="2" t="s">
        <v>3718</v>
      </c>
      <c r="B1286" s="2" t="s">
        <v>3719</v>
      </c>
      <c r="C1286" s="2">
        <v>1.79</v>
      </c>
      <c r="D1286" s="2">
        <v>4.2159000000000004</v>
      </c>
      <c r="E1286" s="2" t="s">
        <v>220</v>
      </c>
    </row>
    <row r="1287" spans="1:5" ht="20.25" customHeight="1" x14ac:dyDescent="0.15">
      <c r="A1287" s="2" t="s">
        <v>5162</v>
      </c>
      <c r="B1287" s="2" t="s">
        <v>5163</v>
      </c>
      <c r="C1287" s="2">
        <v>1.79</v>
      </c>
      <c r="D1287" s="2">
        <v>37.689599999999999</v>
      </c>
      <c r="E1287" s="2" t="s">
        <v>459</v>
      </c>
    </row>
    <row r="1288" spans="1:5" ht="20.25" customHeight="1" x14ac:dyDescent="0.15">
      <c r="A1288" s="2" t="s">
        <v>5567</v>
      </c>
      <c r="B1288" s="2" t="s">
        <v>5568</v>
      </c>
      <c r="C1288" s="2">
        <v>1.7849999999999999</v>
      </c>
      <c r="D1288" s="2">
        <v>5.5922000000000001</v>
      </c>
      <c r="E1288" s="2" t="s">
        <v>630</v>
      </c>
    </row>
    <row r="1289" spans="1:5" ht="20.25" customHeight="1" x14ac:dyDescent="0.15">
      <c r="A1289" s="2" t="s">
        <v>342</v>
      </c>
      <c r="B1289" s="2" t="s">
        <v>343</v>
      </c>
      <c r="C1289" s="2">
        <v>1.78</v>
      </c>
      <c r="D1289" s="2">
        <v>2.5785</v>
      </c>
      <c r="E1289" s="2" t="s">
        <v>344</v>
      </c>
    </row>
    <row r="1290" spans="1:5" ht="20.25" customHeight="1" x14ac:dyDescent="0.15">
      <c r="A1290" s="2" t="s">
        <v>2362</v>
      </c>
      <c r="B1290" s="2" t="s">
        <v>2363</v>
      </c>
      <c r="C1290" s="2">
        <v>1.78</v>
      </c>
      <c r="D1290" s="2">
        <v>1.3433999999999999</v>
      </c>
      <c r="E1290" s="2" t="s">
        <v>322</v>
      </c>
    </row>
    <row r="1291" spans="1:5" ht="20.25" customHeight="1" x14ac:dyDescent="0.15">
      <c r="A1291" s="2" t="s">
        <v>2379</v>
      </c>
      <c r="B1291" s="2" t="s">
        <v>2380</v>
      </c>
      <c r="C1291" s="2">
        <v>1.78</v>
      </c>
      <c r="D1291" s="2">
        <v>0.43540000000000001</v>
      </c>
      <c r="E1291" s="2" t="s">
        <v>276</v>
      </c>
    </row>
    <row r="1292" spans="1:5" ht="20.25" customHeight="1" x14ac:dyDescent="0.15">
      <c r="A1292" s="2" t="s">
        <v>3861</v>
      </c>
      <c r="B1292" s="2" t="s">
        <v>3862</v>
      </c>
      <c r="C1292" s="2">
        <v>1.78</v>
      </c>
      <c r="D1292" s="2">
        <v>0.15820000000000001</v>
      </c>
      <c r="E1292" s="2" t="s">
        <v>1102</v>
      </c>
    </row>
    <row r="1293" spans="1:5" ht="20.25" customHeight="1" x14ac:dyDescent="0.15">
      <c r="A1293" s="2" t="s">
        <v>4010</v>
      </c>
      <c r="B1293" s="2" t="s">
        <v>4011</v>
      </c>
      <c r="C1293" s="2">
        <v>1.78</v>
      </c>
      <c r="D1293" s="2">
        <v>2.903</v>
      </c>
      <c r="E1293" s="2" t="s">
        <v>1224</v>
      </c>
    </row>
    <row r="1294" spans="1:5" ht="20.25" customHeight="1" x14ac:dyDescent="0.15">
      <c r="A1294" s="2" t="s">
        <v>4200</v>
      </c>
      <c r="B1294" s="2" t="s">
        <v>4201</v>
      </c>
      <c r="C1294" s="2">
        <v>1.78</v>
      </c>
      <c r="D1294" s="2">
        <v>0.70989999999999998</v>
      </c>
      <c r="E1294" s="2" t="s">
        <v>368</v>
      </c>
    </row>
    <row r="1295" spans="1:5" ht="20.25" customHeight="1" x14ac:dyDescent="0.15">
      <c r="A1295" s="2" t="s">
        <v>7457</v>
      </c>
      <c r="B1295" s="2" t="s">
        <v>7458</v>
      </c>
      <c r="C1295" s="2">
        <v>1.78</v>
      </c>
      <c r="D1295" s="2">
        <v>1.2202999999999999</v>
      </c>
      <c r="E1295" s="2" t="s">
        <v>1608</v>
      </c>
    </row>
    <row r="1296" spans="1:5" ht="20.25" customHeight="1" x14ac:dyDescent="0.15">
      <c r="A1296" s="2" t="s">
        <v>7749</v>
      </c>
      <c r="B1296" s="2" t="s">
        <v>7750</v>
      </c>
      <c r="C1296" s="2">
        <v>1.7749999999999999</v>
      </c>
      <c r="D1296" s="2">
        <v>1.1594</v>
      </c>
      <c r="E1296" s="2" t="s">
        <v>1099</v>
      </c>
    </row>
    <row r="1297" spans="1:5" ht="20.25" customHeight="1" x14ac:dyDescent="0.15">
      <c r="A1297" s="2" t="s">
        <v>1283</v>
      </c>
      <c r="B1297" s="2" t="s">
        <v>1284</v>
      </c>
      <c r="C1297" s="2">
        <v>1.77</v>
      </c>
      <c r="D1297" s="2">
        <v>3.9371</v>
      </c>
      <c r="E1297" s="2" t="s">
        <v>1285</v>
      </c>
    </row>
    <row r="1298" spans="1:5" ht="20.25" customHeight="1" x14ac:dyDescent="0.15">
      <c r="A1298" s="2" t="s">
        <v>1837</v>
      </c>
      <c r="B1298" s="2" t="s">
        <v>1838</v>
      </c>
      <c r="C1298" s="2">
        <v>1.77</v>
      </c>
      <c r="D1298" s="2">
        <v>1.5467</v>
      </c>
      <c r="E1298" s="2" t="s">
        <v>123</v>
      </c>
    </row>
    <row r="1299" spans="1:5" ht="20.25" customHeight="1" x14ac:dyDescent="0.15">
      <c r="A1299" s="2" t="s">
        <v>2928</v>
      </c>
      <c r="B1299" s="2" t="s">
        <v>2929</v>
      </c>
      <c r="C1299" s="2">
        <v>1.77</v>
      </c>
      <c r="D1299" s="2">
        <v>2.4512999999999998</v>
      </c>
      <c r="E1299" s="2" t="s">
        <v>2930</v>
      </c>
    </row>
    <row r="1300" spans="1:5" ht="20.25" customHeight="1" x14ac:dyDescent="0.15">
      <c r="A1300" s="2" t="s">
        <v>4654</v>
      </c>
      <c r="B1300" s="2" t="s">
        <v>4655</v>
      </c>
      <c r="C1300" s="2">
        <v>1.77</v>
      </c>
      <c r="D1300" s="2">
        <v>0.15409999999999999</v>
      </c>
      <c r="E1300" s="2" t="s">
        <v>1102</v>
      </c>
    </row>
    <row r="1301" spans="1:5" ht="20.25" customHeight="1" x14ac:dyDescent="0.15">
      <c r="A1301" s="2" t="s">
        <v>5234</v>
      </c>
      <c r="B1301" s="2" t="s">
        <v>5235</v>
      </c>
      <c r="C1301" s="2">
        <v>1.77</v>
      </c>
      <c r="D1301" s="2">
        <v>5.4238999999999997</v>
      </c>
      <c r="E1301" s="2" t="s">
        <v>421</v>
      </c>
    </row>
    <row r="1302" spans="1:5" ht="20.25" customHeight="1" x14ac:dyDescent="0.15">
      <c r="A1302" s="2" t="s">
        <v>5675</v>
      </c>
      <c r="B1302" s="2" t="s">
        <v>5676</v>
      </c>
      <c r="C1302" s="2">
        <v>1.77</v>
      </c>
      <c r="D1302" s="2">
        <v>1.7421</v>
      </c>
      <c r="E1302" s="2" t="s">
        <v>1853</v>
      </c>
    </row>
    <row r="1303" spans="1:5" ht="20.25" customHeight="1" x14ac:dyDescent="0.15">
      <c r="A1303" s="2" t="s">
        <v>6538</v>
      </c>
      <c r="B1303" s="2" t="s">
        <v>6539</v>
      </c>
      <c r="C1303" s="2">
        <v>1.77</v>
      </c>
      <c r="D1303" s="2">
        <v>1.823</v>
      </c>
      <c r="E1303" s="2" t="s">
        <v>1774</v>
      </c>
    </row>
    <row r="1304" spans="1:5" ht="20.25" customHeight="1" x14ac:dyDescent="0.15">
      <c r="A1304" s="2" t="s">
        <v>6592</v>
      </c>
      <c r="B1304" s="2" t="s">
        <v>6593</v>
      </c>
      <c r="C1304" s="2">
        <v>1.77</v>
      </c>
      <c r="D1304" s="2">
        <v>0.1018</v>
      </c>
      <c r="E1304" s="2" t="s">
        <v>44</v>
      </c>
    </row>
    <row r="1305" spans="1:5" ht="20.25" customHeight="1" x14ac:dyDescent="0.15">
      <c r="A1305" s="2" t="s">
        <v>6973</v>
      </c>
      <c r="B1305" s="2" t="s">
        <v>6974</v>
      </c>
      <c r="C1305" s="2">
        <v>1.77</v>
      </c>
      <c r="D1305" s="2">
        <v>2.6905999999999999</v>
      </c>
      <c r="E1305" s="2" t="s">
        <v>1820</v>
      </c>
    </row>
    <row r="1306" spans="1:5" ht="20.25" customHeight="1" x14ac:dyDescent="0.15">
      <c r="A1306" s="2" t="s">
        <v>7951</v>
      </c>
      <c r="B1306" s="2" t="s">
        <v>7952</v>
      </c>
      <c r="C1306" s="2">
        <v>1.77</v>
      </c>
      <c r="D1306" s="2">
        <v>2.6213000000000002</v>
      </c>
      <c r="E1306" s="2" t="s">
        <v>310</v>
      </c>
    </row>
    <row r="1307" spans="1:5" ht="20.25" customHeight="1" x14ac:dyDescent="0.15">
      <c r="A1307" s="2" t="s">
        <v>2714</v>
      </c>
      <c r="B1307" s="2" t="s">
        <v>2715</v>
      </c>
      <c r="C1307" s="2">
        <v>1.76</v>
      </c>
      <c r="D1307" s="2">
        <v>0.83540000000000003</v>
      </c>
      <c r="E1307" s="2" t="s">
        <v>418</v>
      </c>
    </row>
    <row r="1308" spans="1:5" ht="20.25" customHeight="1" x14ac:dyDescent="0.15">
      <c r="A1308" s="2" t="s">
        <v>3201</v>
      </c>
      <c r="B1308" s="2" t="s">
        <v>3202</v>
      </c>
      <c r="C1308" s="2">
        <v>1.76</v>
      </c>
      <c r="D1308" s="2">
        <v>0.64649999999999996</v>
      </c>
      <c r="E1308" s="2" t="s">
        <v>3203</v>
      </c>
    </row>
    <row r="1309" spans="1:5" ht="20.25" customHeight="1" x14ac:dyDescent="0.15">
      <c r="A1309" s="2" t="s">
        <v>3421</v>
      </c>
      <c r="B1309" s="2" t="s">
        <v>3422</v>
      </c>
      <c r="C1309" s="2">
        <v>1.76</v>
      </c>
      <c r="D1309" s="2">
        <v>1.6154999999999999</v>
      </c>
      <c r="E1309" s="2" t="s">
        <v>225</v>
      </c>
    </row>
    <row r="1310" spans="1:5" ht="20.25" customHeight="1" x14ac:dyDescent="0.15">
      <c r="A1310" s="2" t="s">
        <v>4130</v>
      </c>
      <c r="B1310" s="2" t="s">
        <v>4131</v>
      </c>
      <c r="C1310" s="2">
        <v>1.76</v>
      </c>
      <c r="D1310" s="2">
        <v>5.8133999999999997</v>
      </c>
      <c r="E1310" s="2" t="s">
        <v>204</v>
      </c>
    </row>
    <row r="1311" spans="1:5" ht="20.25" customHeight="1" x14ac:dyDescent="0.15">
      <c r="A1311" s="2" t="s">
        <v>4805</v>
      </c>
      <c r="B1311" s="2" t="s">
        <v>4806</v>
      </c>
      <c r="C1311" s="2">
        <v>1.76</v>
      </c>
      <c r="D1311" s="2">
        <v>0.94320000000000004</v>
      </c>
      <c r="E1311" s="2" t="s">
        <v>396</v>
      </c>
    </row>
    <row r="1312" spans="1:5" ht="20.25" customHeight="1" x14ac:dyDescent="0.15">
      <c r="A1312" s="2" t="s">
        <v>5022</v>
      </c>
      <c r="B1312" s="2" t="s">
        <v>5023</v>
      </c>
      <c r="C1312" s="2">
        <v>1.76</v>
      </c>
      <c r="D1312" s="2">
        <v>2.9580000000000002</v>
      </c>
      <c r="E1312" s="2" t="s">
        <v>123</v>
      </c>
    </row>
    <row r="1313" spans="1:5" ht="20.25" customHeight="1" x14ac:dyDescent="0.15">
      <c r="A1313" s="2" t="s">
        <v>590</v>
      </c>
      <c r="B1313" s="2" t="s">
        <v>591</v>
      </c>
      <c r="C1313" s="2">
        <v>1.75</v>
      </c>
      <c r="D1313" s="2">
        <v>1.7914000000000001</v>
      </c>
      <c r="E1313" s="2" t="s">
        <v>44</v>
      </c>
    </row>
    <row r="1314" spans="1:5" ht="20.25" customHeight="1" x14ac:dyDescent="0.15">
      <c r="A1314" s="2" t="s">
        <v>3881</v>
      </c>
      <c r="B1314" s="2" t="s">
        <v>3882</v>
      </c>
      <c r="C1314" s="2">
        <v>1.75</v>
      </c>
      <c r="D1314" s="2">
        <v>3.7025999999999999</v>
      </c>
      <c r="E1314" s="2" t="s">
        <v>1263</v>
      </c>
    </row>
    <row r="1315" spans="1:5" ht="20.25" customHeight="1" x14ac:dyDescent="0.15">
      <c r="A1315" s="2" t="s">
        <v>6682</v>
      </c>
      <c r="B1315" s="2" t="s">
        <v>6683</v>
      </c>
      <c r="C1315" s="2">
        <v>1.75</v>
      </c>
      <c r="D1315" s="2">
        <v>1.0499000000000001</v>
      </c>
      <c r="E1315" s="2" t="s">
        <v>120</v>
      </c>
    </row>
    <row r="1316" spans="1:5" ht="20.25" customHeight="1" x14ac:dyDescent="0.15">
      <c r="A1316" s="2" t="s">
        <v>246</v>
      </c>
      <c r="B1316" s="2" t="s">
        <v>247</v>
      </c>
      <c r="C1316" s="2">
        <v>1.74</v>
      </c>
      <c r="D1316" s="2">
        <v>0.79149999999999998</v>
      </c>
      <c r="E1316" s="2" t="s">
        <v>24</v>
      </c>
    </row>
    <row r="1317" spans="1:5" ht="20.25" customHeight="1" x14ac:dyDescent="0.15">
      <c r="A1317" s="2" t="s">
        <v>467</v>
      </c>
      <c r="B1317" s="2" t="s">
        <v>468</v>
      </c>
      <c r="C1317" s="2">
        <v>1.74</v>
      </c>
      <c r="D1317" s="2">
        <v>0.32540000000000002</v>
      </c>
      <c r="E1317" s="2" t="s">
        <v>86</v>
      </c>
    </row>
    <row r="1318" spans="1:5" ht="20.25" customHeight="1" x14ac:dyDescent="0.15">
      <c r="A1318" s="2" t="s">
        <v>1943</v>
      </c>
      <c r="B1318" s="2" t="s">
        <v>1944</v>
      </c>
      <c r="C1318" s="2">
        <v>1.74</v>
      </c>
      <c r="D1318" s="2">
        <v>1.9934000000000001</v>
      </c>
      <c r="E1318" s="2" t="s">
        <v>21</v>
      </c>
    </row>
    <row r="1319" spans="1:5" ht="20.25" customHeight="1" x14ac:dyDescent="0.15">
      <c r="A1319" s="2" t="s">
        <v>3885</v>
      </c>
      <c r="B1319" s="2" t="s">
        <v>3886</v>
      </c>
      <c r="C1319" s="2">
        <v>1.74</v>
      </c>
      <c r="D1319" s="2">
        <v>0.41489999999999999</v>
      </c>
      <c r="E1319" s="2" t="s">
        <v>418</v>
      </c>
    </row>
    <row r="1320" spans="1:5" ht="20.25" customHeight="1" x14ac:dyDescent="0.15">
      <c r="A1320" s="2" t="s">
        <v>4801</v>
      </c>
      <c r="B1320" s="2" t="s">
        <v>4802</v>
      </c>
      <c r="C1320" s="2">
        <v>1.74</v>
      </c>
      <c r="D1320" s="2">
        <v>0.183</v>
      </c>
      <c r="E1320" s="2" t="s">
        <v>368</v>
      </c>
    </row>
    <row r="1321" spans="1:5" ht="20.25" customHeight="1" x14ac:dyDescent="0.15">
      <c r="A1321" s="2" t="s">
        <v>5531</v>
      </c>
      <c r="B1321" s="2" t="s">
        <v>5532</v>
      </c>
      <c r="C1321" s="2">
        <v>1.74</v>
      </c>
      <c r="D1321" s="2">
        <v>7.2739000000000003</v>
      </c>
      <c r="E1321" s="2" t="s">
        <v>1011</v>
      </c>
    </row>
    <row r="1322" spans="1:5" ht="20.25" customHeight="1" x14ac:dyDescent="0.15">
      <c r="A1322" s="2" t="s">
        <v>6620</v>
      </c>
      <c r="B1322" s="2" t="s">
        <v>6621</v>
      </c>
      <c r="C1322" s="2">
        <v>1.74</v>
      </c>
      <c r="D1322" s="2">
        <v>1.9126000000000001</v>
      </c>
      <c r="E1322" s="2" t="s">
        <v>120</v>
      </c>
    </row>
    <row r="1323" spans="1:5" ht="20.25" customHeight="1" x14ac:dyDescent="0.15">
      <c r="A1323" s="2" t="s">
        <v>460</v>
      </c>
      <c r="B1323" s="2" t="s">
        <v>461</v>
      </c>
      <c r="C1323" s="2">
        <v>1.73</v>
      </c>
      <c r="D1323" s="2">
        <v>5.0126999999999997</v>
      </c>
      <c r="E1323" s="2" t="s">
        <v>462</v>
      </c>
    </row>
    <row r="1324" spans="1:5" ht="20.25" customHeight="1" x14ac:dyDescent="0.15">
      <c r="A1324" s="2" t="s">
        <v>1478</v>
      </c>
      <c r="B1324" s="2" t="s">
        <v>1479</v>
      </c>
      <c r="C1324" s="2">
        <v>1.73</v>
      </c>
      <c r="D1324" s="2">
        <v>30.442599999999999</v>
      </c>
      <c r="E1324" s="2" t="s">
        <v>299</v>
      </c>
    </row>
    <row r="1325" spans="1:5" ht="20.25" customHeight="1" x14ac:dyDescent="0.15">
      <c r="A1325" s="2" t="s">
        <v>2712</v>
      </c>
      <c r="B1325" s="2" t="s">
        <v>2713</v>
      </c>
      <c r="C1325" s="2">
        <v>1.73</v>
      </c>
      <c r="D1325" s="2">
        <v>0.87329999999999997</v>
      </c>
      <c r="E1325" s="2" t="s">
        <v>152</v>
      </c>
    </row>
    <row r="1326" spans="1:5" ht="20.25" customHeight="1" x14ac:dyDescent="0.15">
      <c r="A1326" s="2" t="s">
        <v>3767</v>
      </c>
      <c r="B1326" s="2" t="s">
        <v>3768</v>
      </c>
      <c r="C1326" s="2">
        <v>1.73</v>
      </c>
      <c r="D1326" s="2">
        <v>0.87070000000000003</v>
      </c>
      <c r="E1326" s="2" t="s">
        <v>140</v>
      </c>
    </row>
    <row r="1327" spans="1:5" ht="20.25" customHeight="1" x14ac:dyDescent="0.15">
      <c r="A1327" s="2" t="s">
        <v>3893</v>
      </c>
      <c r="B1327" s="2" t="s">
        <v>3894</v>
      </c>
      <c r="C1327" s="2">
        <v>1.73</v>
      </c>
      <c r="D1327" s="2">
        <v>3.0383</v>
      </c>
      <c r="E1327" s="2" t="s">
        <v>2344</v>
      </c>
    </row>
    <row r="1328" spans="1:5" ht="20.25" customHeight="1" x14ac:dyDescent="0.15">
      <c r="A1328" s="2" t="s">
        <v>4274</v>
      </c>
      <c r="B1328" s="2" t="s">
        <v>4275</v>
      </c>
      <c r="C1328" s="2">
        <v>1.73</v>
      </c>
      <c r="D1328" s="2">
        <v>1.4952000000000001</v>
      </c>
      <c r="E1328" s="2" t="s">
        <v>704</v>
      </c>
    </row>
    <row r="1329" spans="1:5" ht="20.25" customHeight="1" x14ac:dyDescent="0.15">
      <c r="A1329" s="2" t="s">
        <v>4330</v>
      </c>
      <c r="B1329" s="2" t="s">
        <v>4331</v>
      </c>
      <c r="C1329" s="2">
        <v>1.73</v>
      </c>
      <c r="D1329" s="2">
        <v>0.3609</v>
      </c>
      <c r="E1329" s="2" t="s">
        <v>201</v>
      </c>
    </row>
    <row r="1330" spans="1:5" ht="20.25" customHeight="1" x14ac:dyDescent="0.15">
      <c r="A1330" s="2" t="s">
        <v>7195</v>
      </c>
      <c r="B1330" s="2" t="s">
        <v>7196</v>
      </c>
      <c r="C1330" s="2">
        <v>1.73</v>
      </c>
      <c r="D1330" s="2">
        <v>0.27439999999999998</v>
      </c>
      <c r="E1330" s="2" t="s">
        <v>86</v>
      </c>
    </row>
    <row r="1331" spans="1:5" ht="20.25" customHeight="1" x14ac:dyDescent="0.15">
      <c r="A1331" s="2" t="s">
        <v>5354</v>
      </c>
      <c r="B1331" s="2" t="s">
        <v>5355</v>
      </c>
      <c r="C1331" s="2">
        <v>1.7250000000000001</v>
      </c>
      <c r="D1331" s="2">
        <v>0.40500000000000003</v>
      </c>
      <c r="E1331" s="2" t="s">
        <v>143</v>
      </c>
    </row>
    <row r="1332" spans="1:5" ht="20.25" customHeight="1" x14ac:dyDescent="0.15">
      <c r="A1332" s="2" t="s">
        <v>5838</v>
      </c>
      <c r="B1332" s="2" t="s">
        <v>5839</v>
      </c>
      <c r="C1332" s="2">
        <v>1.7250000000000001</v>
      </c>
      <c r="D1332" s="2">
        <v>29.0031</v>
      </c>
      <c r="E1332" s="2" t="s">
        <v>506</v>
      </c>
    </row>
    <row r="1333" spans="1:5" ht="20.25" customHeight="1" x14ac:dyDescent="0.15">
      <c r="A1333" s="2" t="s">
        <v>641</v>
      </c>
      <c r="B1333" s="2" t="s">
        <v>642</v>
      </c>
      <c r="C1333" s="2">
        <v>1.72</v>
      </c>
      <c r="D1333" s="2">
        <v>0.48020000000000002</v>
      </c>
      <c r="E1333" s="2" t="s">
        <v>38</v>
      </c>
    </row>
    <row r="1334" spans="1:5" ht="20.25" customHeight="1" x14ac:dyDescent="0.15">
      <c r="A1334" s="2" t="s">
        <v>1069</v>
      </c>
      <c r="B1334" s="2" t="s">
        <v>1070</v>
      </c>
      <c r="C1334" s="2">
        <v>1.72</v>
      </c>
      <c r="D1334" s="2">
        <v>954.79780000000005</v>
      </c>
      <c r="E1334" s="2" t="s">
        <v>41</v>
      </c>
    </row>
    <row r="1335" spans="1:5" ht="20.25" customHeight="1" x14ac:dyDescent="0.15">
      <c r="A1335" s="2" t="s">
        <v>1445</v>
      </c>
      <c r="B1335" s="2" t="s">
        <v>1446</v>
      </c>
      <c r="C1335" s="2">
        <v>1.72</v>
      </c>
      <c r="D1335" s="2">
        <v>10.127000000000001</v>
      </c>
      <c r="E1335" s="2" t="s">
        <v>657</v>
      </c>
    </row>
    <row r="1336" spans="1:5" ht="20.25" customHeight="1" x14ac:dyDescent="0.15">
      <c r="A1336" s="2" t="s">
        <v>2176</v>
      </c>
      <c r="B1336" s="2" t="s">
        <v>2177</v>
      </c>
      <c r="C1336" s="2">
        <v>1.72</v>
      </c>
      <c r="D1336" s="2">
        <v>21.4879</v>
      </c>
      <c r="E1336" s="2" t="s">
        <v>1774</v>
      </c>
    </row>
    <row r="1337" spans="1:5" ht="20.25" customHeight="1" x14ac:dyDescent="0.15">
      <c r="A1337" s="2" t="s">
        <v>2841</v>
      </c>
      <c r="B1337" s="2" t="s">
        <v>2842</v>
      </c>
      <c r="C1337" s="2">
        <v>1.72</v>
      </c>
      <c r="D1337" s="2">
        <v>3.8633000000000002</v>
      </c>
      <c r="E1337" s="2" t="s">
        <v>1186</v>
      </c>
    </row>
    <row r="1338" spans="1:5" ht="20.25" customHeight="1" x14ac:dyDescent="0.15">
      <c r="A1338" s="2" t="s">
        <v>3758</v>
      </c>
      <c r="B1338" s="2" t="s">
        <v>3759</v>
      </c>
      <c r="C1338" s="2">
        <v>1.72</v>
      </c>
      <c r="D1338" s="2">
        <v>2.5232999999999999</v>
      </c>
      <c r="E1338" s="2" t="s">
        <v>3760</v>
      </c>
    </row>
    <row r="1339" spans="1:5" ht="20.25" customHeight="1" x14ac:dyDescent="0.15">
      <c r="A1339" s="2" t="s">
        <v>3899</v>
      </c>
      <c r="B1339" s="2" t="s">
        <v>3900</v>
      </c>
      <c r="C1339" s="2">
        <v>1.72</v>
      </c>
      <c r="D1339" s="2">
        <v>1.1003000000000001</v>
      </c>
      <c r="E1339" s="2" t="s">
        <v>299</v>
      </c>
    </row>
    <row r="1340" spans="1:5" ht="20.25" customHeight="1" x14ac:dyDescent="0.15">
      <c r="A1340" s="2" t="s">
        <v>5088</v>
      </c>
      <c r="B1340" s="2" t="s">
        <v>5089</v>
      </c>
      <c r="C1340" s="2">
        <v>1.72</v>
      </c>
      <c r="D1340" s="2">
        <v>19.411899999999999</v>
      </c>
      <c r="E1340" s="2" t="s">
        <v>1515</v>
      </c>
    </row>
    <row r="1341" spans="1:5" ht="20.25" customHeight="1" x14ac:dyDescent="0.15">
      <c r="A1341" s="2" t="s">
        <v>6100</v>
      </c>
      <c r="B1341" s="2" t="s">
        <v>6101</v>
      </c>
      <c r="C1341" s="2">
        <v>1.7150000000000001</v>
      </c>
      <c r="D1341" s="2">
        <v>9.0101999999999993</v>
      </c>
      <c r="E1341" s="2" t="s">
        <v>418</v>
      </c>
    </row>
    <row r="1342" spans="1:5" ht="20.25" customHeight="1" x14ac:dyDescent="0.15">
      <c r="A1342" s="2" t="s">
        <v>8089</v>
      </c>
      <c r="B1342" s="2" t="s">
        <v>8090</v>
      </c>
      <c r="C1342" s="2">
        <v>1.7150000000000001</v>
      </c>
      <c r="D1342" s="2">
        <v>1.1625000000000001</v>
      </c>
      <c r="E1342" s="2" t="s">
        <v>1099</v>
      </c>
    </row>
    <row r="1343" spans="1:5" ht="20.25" customHeight="1" x14ac:dyDescent="0.15">
      <c r="A1343" s="2" t="s">
        <v>479</v>
      </c>
      <c r="B1343" s="2" t="s">
        <v>480</v>
      </c>
      <c r="C1343" s="2">
        <v>1.71</v>
      </c>
      <c r="D1343" s="2">
        <v>2.161</v>
      </c>
      <c r="E1343" s="2" t="s">
        <v>35</v>
      </c>
    </row>
    <row r="1344" spans="1:5" ht="20.25" customHeight="1" x14ac:dyDescent="0.15">
      <c r="A1344" s="2" t="s">
        <v>688</v>
      </c>
      <c r="B1344" s="2" t="s">
        <v>689</v>
      </c>
      <c r="C1344" s="2">
        <v>1.71</v>
      </c>
      <c r="D1344" s="2">
        <v>1.1411</v>
      </c>
      <c r="E1344" s="2" t="s">
        <v>690</v>
      </c>
    </row>
    <row r="1345" spans="1:5" ht="20.25" customHeight="1" x14ac:dyDescent="0.15">
      <c r="A1345" s="2" t="s">
        <v>792</v>
      </c>
      <c r="B1345" s="2" t="s">
        <v>793</v>
      </c>
      <c r="C1345" s="2">
        <v>1.71</v>
      </c>
      <c r="D1345" s="2">
        <v>1.0935999999999999</v>
      </c>
      <c r="E1345" s="2" t="s">
        <v>794</v>
      </c>
    </row>
    <row r="1346" spans="1:5" ht="20.25" customHeight="1" x14ac:dyDescent="0.15">
      <c r="A1346" s="2" t="s">
        <v>898</v>
      </c>
      <c r="B1346" s="2" t="s">
        <v>899</v>
      </c>
      <c r="C1346" s="2">
        <v>1.71</v>
      </c>
      <c r="D1346" s="2">
        <v>1.3202</v>
      </c>
      <c r="E1346" s="2" t="s">
        <v>44</v>
      </c>
    </row>
    <row r="1347" spans="1:5" ht="20.25" customHeight="1" x14ac:dyDescent="0.15">
      <c r="A1347" s="2" t="s">
        <v>2298</v>
      </c>
      <c r="B1347" s="2" t="s">
        <v>2299</v>
      </c>
      <c r="C1347" s="2">
        <v>1.71</v>
      </c>
      <c r="D1347" s="2">
        <v>2.2957999999999998</v>
      </c>
      <c r="E1347" s="2" t="s">
        <v>982</v>
      </c>
    </row>
    <row r="1348" spans="1:5" ht="20.25" customHeight="1" x14ac:dyDescent="0.15">
      <c r="A1348" s="2" t="s">
        <v>2861</v>
      </c>
      <c r="B1348" s="2" t="s">
        <v>2862</v>
      </c>
      <c r="C1348" s="2">
        <v>1.71</v>
      </c>
      <c r="D1348" s="2">
        <v>0.27500000000000002</v>
      </c>
      <c r="E1348" s="2" t="s">
        <v>1969</v>
      </c>
    </row>
    <row r="1349" spans="1:5" ht="20.25" customHeight="1" x14ac:dyDescent="0.15">
      <c r="A1349" s="2" t="s">
        <v>3615</v>
      </c>
      <c r="B1349" s="2" t="s">
        <v>3616</v>
      </c>
      <c r="C1349" s="2">
        <v>1.71</v>
      </c>
      <c r="D1349" s="2">
        <v>2.9171</v>
      </c>
      <c r="E1349" s="2" t="s">
        <v>2930</v>
      </c>
    </row>
    <row r="1350" spans="1:5" ht="20.25" customHeight="1" x14ac:dyDescent="0.15">
      <c r="A1350" s="2" t="s">
        <v>4172</v>
      </c>
      <c r="B1350" s="2" t="s">
        <v>4173</v>
      </c>
      <c r="C1350" s="2">
        <v>1.71</v>
      </c>
      <c r="D1350" s="2">
        <v>1.8783000000000001</v>
      </c>
      <c r="E1350" s="2" t="s">
        <v>391</v>
      </c>
    </row>
    <row r="1351" spans="1:5" ht="20.25" customHeight="1" x14ac:dyDescent="0.15">
      <c r="A1351" s="2" t="s">
        <v>4322</v>
      </c>
      <c r="B1351" s="2" t="s">
        <v>4323</v>
      </c>
      <c r="C1351" s="2">
        <v>1.71</v>
      </c>
      <c r="D1351" s="2">
        <v>2.8662999999999998</v>
      </c>
      <c r="E1351" s="2" t="s">
        <v>744</v>
      </c>
    </row>
    <row r="1352" spans="1:5" ht="20.25" customHeight="1" x14ac:dyDescent="0.15">
      <c r="A1352" s="2" t="s">
        <v>4739</v>
      </c>
      <c r="B1352" s="2" t="s">
        <v>4740</v>
      </c>
      <c r="C1352" s="2">
        <v>1.71</v>
      </c>
      <c r="D1352" s="2">
        <v>0.30359999999999998</v>
      </c>
      <c r="E1352" s="2" t="s">
        <v>1268</v>
      </c>
    </row>
    <row r="1353" spans="1:5" ht="20.25" customHeight="1" x14ac:dyDescent="0.15">
      <c r="A1353" s="2" t="s">
        <v>4791</v>
      </c>
      <c r="B1353" s="2" t="s">
        <v>4792</v>
      </c>
      <c r="C1353" s="2">
        <v>1.71</v>
      </c>
      <c r="D1353" s="2">
        <v>3.2311000000000001</v>
      </c>
      <c r="E1353" s="2" t="s">
        <v>299</v>
      </c>
    </row>
    <row r="1354" spans="1:5" ht="20.25" customHeight="1" x14ac:dyDescent="0.15">
      <c r="A1354" s="2" t="s">
        <v>4933</v>
      </c>
      <c r="B1354" s="2" t="s">
        <v>4934</v>
      </c>
      <c r="C1354" s="2">
        <v>1.71</v>
      </c>
      <c r="D1354" s="2">
        <v>1.7907999999999999</v>
      </c>
      <c r="E1354" s="2" t="s">
        <v>501</v>
      </c>
    </row>
    <row r="1355" spans="1:5" ht="20.25" customHeight="1" x14ac:dyDescent="0.15">
      <c r="A1355" s="2" t="s">
        <v>5098</v>
      </c>
      <c r="B1355" s="2" t="s">
        <v>5099</v>
      </c>
      <c r="C1355" s="2">
        <v>1.71</v>
      </c>
      <c r="D1355" s="2">
        <v>0.81269999999999998</v>
      </c>
      <c r="E1355" s="2" t="s">
        <v>699</v>
      </c>
    </row>
    <row r="1356" spans="1:5" ht="20.25" customHeight="1" x14ac:dyDescent="0.15">
      <c r="A1356" s="2" t="s">
        <v>5242</v>
      </c>
      <c r="B1356" s="2" t="s">
        <v>5243</v>
      </c>
      <c r="C1356" s="2">
        <v>1.71</v>
      </c>
      <c r="D1356" s="2">
        <v>0.53069999999999995</v>
      </c>
      <c r="E1356" s="2" t="s">
        <v>201</v>
      </c>
    </row>
    <row r="1357" spans="1:5" ht="20.25" customHeight="1" x14ac:dyDescent="0.15">
      <c r="A1357" s="2" t="s">
        <v>7107</v>
      </c>
      <c r="B1357" s="2" t="s">
        <v>7108</v>
      </c>
      <c r="C1357" s="2">
        <v>1.71</v>
      </c>
      <c r="D1357" s="2">
        <v>1.9541999999999999</v>
      </c>
      <c r="E1357" s="2" t="s">
        <v>713</v>
      </c>
    </row>
    <row r="1358" spans="1:5" ht="20.25" customHeight="1" x14ac:dyDescent="0.15">
      <c r="A1358" s="2" t="s">
        <v>7685</v>
      </c>
      <c r="B1358" s="2" t="s">
        <v>7686</v>
      </c>
      <c r="C1358" s="2">
        <v>1.71</v>
      </c>
      <c r="D1358" s="2">
        <v>9.9741</v>
      </c>
      <c r="E1358" s="2" t="s">
        <v>638</v>
      </c>
    </row>
    <row r="1359" spans="1:5" ht="20.25" customHeight="1" x14ac:dyDescent="0.15">
      <c r="A1359" s="2" t="s">
        <v>6424</v>
      </c>
      <c r="B1359" s="2" t="s">
        <v>6425</v>
      </c>
      <c r="C1359" s="2">
        <v>1.7050000000000001</v>
      </c>
      <c r="D1359" s="2">
        <v>14.1896</v>
      </c>
      <c r="E1359" s="2" t="s">
        <v>690</v>
      </c>
    </row>
    <row r="1360" spans="1:5" ht="20.25" customHeight="1" x14ac:dyDescent="0.15">
      <c r="A1360" s="2" t="s">
        <v>7017</v>
      </c>
      <c r="B1360" s="2" t="s">
        <v>7018</v>
      </c>
      <c r="C1360" s="2">
        <v>1.7050000000000001</v>
      </c>
      <c r="D1360" s="2">
        <v>4.0915999999999997</v>
      </c>
      <c r="E1360" s="2" t="s">
        <v>690</v>
      </c>
    </row>
    <row r="1361" spans="1:5" ht="20.25" customHeight="1" x14ac:dyDescent="0.15">
      <c r="A1361" s="2" t="s">
        <v>8157</v>
      </c>
      <c r="B1361" s="2" t="s">
        <v>8158</v>
      </c>
      <c r="C1361" s="2">
        <v>1.7050000000000001</v>
      </c>
      <c r="D1361" s="2">
        <v>0.96740000000000004</v>
      </c>
      <c r="E1361" s="2" t="s">
        <v>406</v>
      </c>
    </row>
    <row r="1362" spans="1:5" ht="20.25" customHeight="1" x14ac:dyDescent="0.15">
      <c r="A1362" s="2" t="s">
        <v>484</v>
      </c>
      <c r="B1362" s="2" t="s">
        <v>485</v>
      </c>
      <c r="C1362" s="2">
        <v>1.7</v>
      </c>
      <c r="D1362" s="2">
        <v>0.62909999999999999</v>
      </c>
      <c r="E1362" s="2" t="s">
        <v>476</v>
      </c>
    </row>
    <row r="1363" spans="1:5" ht="20.25" customHeight="1" x14ac:dyDescent="0.15">
      <c r="A1363" s="2" t="s">
        <v>1059</v>
      </c>
      <c r="B1363" s="2" t="s">
        <v>1060</v>
      </c>
      <c r="C1363" s="2">
        <v>1.7</v>
      </c>
      <c r="D1363" s="2">
        <v>0.95030000000000003</v>
      </c>
      <c r="E1363" s="2" t="s">
        <v>1061</v>
      </c>
    </row>
    <row r="1364" spans="1:5" ht="20.25" customHeight="1" x14ac:dyDescent="0.15">
      <c r="A1364" s="2" t="s">
        <v>1100</v>
      </c>
      <c r="B1364" s="2" t="s">
        <v>1101</v>
      </c>
      <c r="C1364" s="2">
        <v>1.7</v>
      </c>
      <c r="D1364" s="2">
        <v>1.7532000000000001</v>
      </c>
      <c r="E1364" s="2" t="s">
        <v>1102</v>
      </c>
    </row>
    <row r="1365" spans="1:5" ht="20.25" customHeight="1" x14ac:dyDescent="0.15">
      <c r="A1365" s="2" t="s">
        <v>1630</v>
      </c>
      <c r="B1365" s="2" t="s">
        <v>1631</v>
      </c>
      <c r="C1365" s="2">
        <v>1.7</v>
      </c>
      <c r="D1365" s="2">
        <v>1.0876999999999999</v>
      </c>
      <c r="E1365" s="2" t="s">
        <v>1436</v>
      </c>
    </row>
    <row r="1366" spans="1:5" ht="20.25" customHeight="1" x14ac:dyDescent="0.15">
      <c r="A1366" s="2" t="s">
        <v>1941</v>
      </c>
      <c r="B1366" s="2" t="s">
        <v>1942</v>
      </c>
      <c r="C1366" s="2">
        <v>1.7</v>
      </c>
      <c r="D1366" s="2">
        <v>1.5896999999999999</v>
      </c>
      <c r="E1366" s="2" t="s">
        <v>605</v>
      </c>
    </row>
    <row r="1367" spans="1:5" ht="20.25" customHeight="1" x14ac:dyDescent="0.15">
      <c r="A1367" s="2" t="s">
        <v>2502</v>
      </c>
      <c r="B1367" s="2" t="s">
        <v>2503</v>
      </c>
      <c r="C1367" s="2">
        <v>1.7</v>
      </c>
      <c r="D1367" s="2">
        <v>0.47910000000000003</v>
      </c>
      <c r="E1367" s="2" t="s">
        <v>418</v>
      </c>
    </row>
    <row r="1368" spans="1:5" ht="20.25" customHeight="1" x14ac:dyDescent="0.15">
      <c r="A1368" s="2" t="s">
        <v>3511</v>
      </c>
      <c r="B1368" s="2" t="s">
        <v>3512</v>
      </c>
      <c r="C1368" s="2">
        <v>1.7</v>
      </c>
      <c r="D1368" s="2">
        <v>2.5217999999999998</v>
      </c>
      <c r="E1368" s="2" t="s">
        <v>501</v>
      </c>
    </row>
    <row r="1369" spans="1:5" ht="20.25" customHeight="1" x14ac:dyDescent="0.15">
      <c r="A1369" s="2" t="s">
        <v>4432</v>
      </c>
      <c r="B1369" s="2" t="s">
        <v>4433</v>
      </c>
      <c r="C1369" s="2">
        <v>1.7</v>
      </c>
      <c r="D1369" s="2">
        <v>2.3719000000000001</v>
      </c>
      <c r="E1369" s="2" t="s">
        <v>1338</v>
      </c>
    </row>
    <row r="1370" spans="1:5" ht="20.25" customHeight="1" x14ac:dyDescent="0.15">
      <c r="A1370" s="2" t="s">
        <v>5238</v>
      </c>
      <c r="B1370" s="2" t="s">
        <v>5239</v>
      </c>
      <c r="C1370" s="2">
        <v>1.7</v>
      </c>
      <c r="D1370" s="2">
        <v>4.6696</v>
      </c>
      <c r="E1370" s="2" t="s">
        <v>621</v>
      </c>
    </row>
    <row r="1371" spans="1:5" ht="20.25" customHeight="1" x14ac:dyDescent="0.15">
      <c r="A1371" s="2" t="s">
        <v>6026</v>
      </c>
      <c r="B1371" s="2" t="s">
        <v>6027</v>
      </c>
      <c r="C1371" s="2">
        <v>1.6950000000000001</v>
      </c>
      <c r="D1371" s="2">
        <v>1.3459000000000001</v>
      </c>
      <c r="E1371" s="2" t="s">
        <v>391</v>
      </c>
    </row>
    <row r="1372" spans="1:5" ht="20.25" customHeight="1" x14ac:dyDescent="0.15">
      <c r="A1372" s="2" t="s">
        <v>732</v>
      </c>
      <c r="B1372" s="2" t="s">
        <v>733</v>
      </c>
      <c r="C1372" s="2">
        <v>1.69</v>
      </c>
      <c r="D1372" s="2">
        <v>1.2617</v>
      </c>
      <c r="E1372" s="2" t="s">
        <v>171</v>
      </c>
    </row>
    <row r="1373" spans="1:5" ht="20.25" customHeight="1" x14ac:dyDescent="0.15">
      <c r="A1373" s="2" t="s">
        <v>1125</v>
      </c>
      <c r="B1373" s="2" t="s">
        <v>1126</v>
      </c>
      <c r="C1373" s="2">
        <v>1.69</v>
      </c>
      <c r="D1373" s="2">
        <v>0.996</v>
      </c>
      <c r="E1373" s="2" t="s">
        <v>21</v>
      </c>
    </row>
    <row r="1374" spans="1:5" ht="20.25" customHeight="1" x14ac:dyDescent="0.15">
      <c r="A1374" s="2" t="s">
        <v>1418</v>
      </c>
      <c r="B1374" s="2" t="s">
        <v>1419</v>
      </c>
      <c r="C1374" s="2">
        <v>1.69</v>
      </c>
      <c r="D1374" s="2">
        <v>0.47120000000000001</v>
      </c>
      <c r="E1374" s="2" t="s">
        <v>1420</v>
      </c>
    </row>
    <row r="1375" spans="1:5" ht="20.25" customHeight="1" x14ac:dyDescent="0.15">
      <c r="A1375" s="2" t="s">
        <v>1876</v>
      </c>
      <c r="B1375" s="2" t="s">
        <v>1877</v>
      </c>
      <c r="C1375" s="2">
        <v>1.69</v>
      </c>
      <c r="D1375" s="2">
        <v>0.4244</v>
      </c>
      <c r="E1375" s="2" t="s">
        <v>1878</v>
      </c>
    </row>
    <row r="1376" spans="1:5" ht="20.25" customHeight="1" x14ac:dyDescent="0.15">
      <c r="A1376" s="2" t="s">
        <v>2036</v>
      </c>
      <c r="B1376" s="2" t="s">
        <v>2037</v>
      </c>
      <c r="C1376" s="2">
        <v>1.69</v>
      </c>
      <c r="D1376" s="2">
        <v>0.41060000000000002</v>
      </c>
      <c r="E1376" s="2" t="s">
        <v>2038</v>
      </c>
    </row>
    <row r="1377" spans="1:5" ht="20.25" customHeight="1" x14ac:dyDescent="0.15">
      <c r="A1377" s="2" t="s">
        <v>2109</v>
      </c>
      <c r="B1377" s="2" t="s">
        <v>2110</v>
      </c>
      <c r="C1377" s="2">
        <v>1.69</v>
      </c>
      <c r="D1377" s="2">
        <v>49.516500000000001</v>
      </c>
      <c r="E1377" s="2" t="s">
        <v>143</v>
      </c>
    </row>
    <row r="1378" spans="1:5" ht="20.25" customHeight="1" x14ac:dyDescent="0.15">
      <c r="A1378" s="2" t="s">
        <v>2510</v>
      </c>
      <c r="B1378" s="2" t="s">
        <v>2511</v>
      </c>
      <c r="C1378" s="2">
        <v>1.69</v>
      </c>
      <c r="D1378" s="2">
        <v>6.4577999999999998</v>
      </c>
      <c r="E1378" s="2" t="s">
        <v>794</v>
      </c>
    </row>
    <row r="1379" spans="1:5" ht="20.25" customHeight="1" x14ac:dyDescent="0.15">
      <c r="A1379" s="2" t="s">
        <v>2574</v>
      </c>
      <c r="B1379" s="2" t="s">
        <v>2575</v>
      </c>
      <c r="C1379" s="2">
        <v>1.69</v>
      </c>
      <c r="D1379" s="2">
        <v>7.5652999999999997</v>
      </c>
      <c r="E1379" s="2" t="s">
        <v>430</v>
      </c>
    </row>
    <row r="1380" spans="1:5" ht="20.25" customHeight="1" x14ac:dyDescent="0.15">
      <c r="A1380" s="2" t="s">
        <v>2747</v>
      </c>
      <c r="B1380" s="2" t="s">
        <v>2748</v>
      </c>
      <c r="C1380" s="2">
        <v>1.69</v>
      </c>
      <c r="D1380" s="2">
        <v>2.3315999999999999</v>
      </c>
      <c r="E1380" s="2" t="s">
        <v>916</v>
      </c>
    </row>
    <row r="1381" spans="1:5" ht="20.25" customHeight="1" x14ac:dyDescent="0.15">
      <c r="A1381" s="2" t="s">
        <v>2894</v>
      </c>
      <c r="B1381" s="2" t="s">
        <v>2895</v>
      </c>
      <c r="C1381" s="2">
        <v>1.69</v>
      </c>
      <c r="D1381" s="2">
        <v>2.1208999999999998</v>
      </c>
      <c r="E1381" s="2" t="s">
        <v>652</v>
      </c>
    </row>
    <row r="1382" spans="1:5" ht="20.25" customHeight="1" x14ac:dyDescent="0.15">
      <c r="A1382" s="2" t="s">
        <v>3076</v>
      </c>
      <c r="B1382" s="2" t="s">
        <v>3077</v>
      </c>
      <c r="C1382" s="2">
        <v>1.69</v>
      </c>
      <c r="D1382" s="2">
        <v>1.2704</v>
      </c>
      <c r="E1382" s="2" t="s">
        <v>736</v>
      </c>
    </row>
    <row r="1383" spans="1:5" ht="20.25" customHeight="1" x14ac:dyDescent="0.15">
      <c r="A1383" s="2" t="s">
        <v>3294</v>
      </c>
      <c r="B1383" s="2" t="s">
        <v>3295</v>
      </c>
      <c r="C1383" s="2">
        <v>1.69</v>
      </c>
      <c r="D1383" s="2">
        <v>3.7915000000000001</v>
      </c>
      <c r="E1383" s="2" t="s">
        <v>157</v>
      </c>
    </row>
    <row r="1384" spans="1:5" ht="20.25" customHeight="1" x14ac:dyDescent="0.15">
      <c r="A1384" s="2" t="s">
        <v>4458</v>
      </c>
      <c r="B1384" s="2" t="s">
        <v>4459</v>
      </c>
      <c r="C1384" s="2">
        <v>1.69</v>
      </c>
      <c r="D1384" s="2">
        <v>1.5012000000000001</v>
      </c>
      <c r="E1384" s="2" t="s">
        <v>1056</v>
      </c>
    </row>
    <row r="1385" spans="1:5" ht="20.25" customHeight="1" x14ac:dyDescent="0.15">
      <c r="A1385" s="2" t="s">
        <v>4714</v>
      </c>
      <c r="B1385" s="2" t="s">
        <v>4715</v>
      </c>
      <c r="C1385" s="2">
        <v>1.69</v>
      </c>
      <c r="D1385" s="2">
        <v>0.34449999999999997</v>
      </c>
      <c r="E1385" s="2" t="s">
        <v>201</v>
      </c>
    </row>
    <row r="1386" spans="1:5" ht="20.25" customHeight="1" x14ac:dyDescent="0.15">
      <c r="A1386" s="2" t="s">
        <v>4809</v>
      </c>
      <c r="B1386" s="2" t="s">
        <v>4810</v>
      </c>
      <c r="C1386" s="2">
        <v>1.69</v>
      </c>
      <c r="D1386" s="2">
        <v>1.4363999999999999</v>
      </c>
      <c r="E1386" s="2" t="s">
        <v>140</v>
      </c>
    </row>
    <row r="1387" spans="1:5" ht="20.25" customHeight="1" x14ac:dyDescent="0.15">
      <c r="A1387" s="2" t="s">
        <v>5870</v>
      </c>
      <c r="B1387" s="2" t="s">
        <v>5871</v>
      </c>
      <c r="C1387" s="2">
        <v>1.69</v>
      </c>
      <c r="D1387" s="2">
        <v>1.5550999999999999</v>
      </c>
      <c r="E1387" s="2" t="s">
        <v>862</v>
      </c>
    </row>
    <row r="1388" spans="1:5" ht="20.25" customHeight="1" x14ac:dyDescent="0.15">
      <c r="A1388" s="2" t="s">
        <v>6462</v>
      </c>
      <c r="B1388" s="2" t="s">
        <v>6463</v>
      </c>
      <c r="C1388" s="2">
        <v>1.69</v>
      </c>
      <c r="D1388" s="2">
        <v>0.57620000000000005</v>
      </c>
      <c r="E1388" s="2" t="s">
        <v>2151</v>
      </c>
    </row>
    <row r="1389" spans="1:5" ht="20.25" customHeight="1" x14ac:dyDescent="0.15">
      <c r="A1389" s="2" t="s">
        <v>7709</v>
      </c>
      <c r="B1389" s="2" t="s">
        <v>7710</v>
      </c>
      <c r="C1389" s="2">
        <v>1.69</v>
      </c>
      <c r="D1389" s="2">
        <v>0.62109999999999999</v>
      </c>
      <c r="E1389" s="2" t="s">
        <v>207</v>
      </c>
    </row>
    <row r="1390" spans="1:5" ht="20.25" customHeight="1" x14ac:dyDescent="0.15">
      <c r="A1390" s="2" t="s">
        <v>5619</v>
      </c>
      <c r="B1390" s="2" t="s">
        <v>5620</v>
      </c>
      <c r="C1390" s="2">
        <v>1.6850000000000001</v>
      </c>
      <c r="D1390" s="2">
        <v>1.8738999999999999</v>
      </c>
      <c r="E1390" s="2" t="s">
        <v>265</v>
      </c>
    </row>
    <row r="1391" spans="1:5" ht="20.25" customHeight="1" x14ac:dyDescent="0.15">
      <c r="A1391" s="2" t="s">
        <v>236</v>
      </c>
      <c r="B1391" s="2" t="s">
        <v>237</v>
      </c>
      <c r="C1391" s="2">
        <v>1.68</v>
      </c>
      <c r="D1391" s="2">
        <v>1.6079000000000001</v>
      </c>
      <c r="E1391" s="2" t="s">
        <v>10</v>
      </c>
    </row>
    <row r="1392" spans="1:5" ht="20.25" customHeight="1" x14ac:dyDescent="0.15">
      <c r="A1392" s="2" t="s">
        <v>579</v>
      </c>
      <c r="B1392" s="2" t="s">
        <v>580</v>
      </c>
      <c r="C1392" s="2">
        <v>1.68</v>
      </c>
      <c r="D1392" s="2">
        <v>1.1555</v>
      </c>
      <c r="E1392" s="2" t="s">
        <v>38</v>
      </c>
    </row>
    <row r="1393" spans="1:5" ht="20.25" customHeight="1" x14ac:dyDescent="0.15">
      <c r="A1393" s="2" t="s">
        <v>3663</v>
      </c>
      <c r="B1393" s="2" t="s">
        <v>3664</v>
      </c>
      <c r="C1393" s="2">
        <v>1.68</v>
      </c>
      <c r="D1393" s="2">
        <v>10.497199999999999</v>
      </c>
      <c r="E1393" s="2" t="s">
        <v>605</v>
      </c>
    </row>
    <row r="1394" spans="1:5" ht="20.25" customHeight="1" x14ac:dyDescent="0.15">
      <c r="A1394" s="2" t="s">
        <v>3974</v>
      </c>
      <c r="B1394" s="2" t="s">
        <v>3975</v>
      </c>
      <c r="C1394" s="2">
        <v>1.68</v>
      </c>
      <c r="D1394" s="2">
        <v>0.1978</v>
      </c>
      <c r="E1394" s="2" t="s">
        <v>418</v>
      </c>
    </row>
    <row r="1395" spans="1:5" ht="20.25" customHeight="1" x14ac:dyDescent="0.15">
      <c r="A1395" s="2" t="s">
        <v>4262</v>
      </c>
      <c r="B1395" s="2" t="s">
        <v>4263</v>
      </c>
      <c r="C1395" s="2">
        <v>1.68</v>
      </c>
      <c r="D1395" s="2">
        <v>39.740400000000001</v>
      </c>
      <c r="E1395" s="2" t="s">
        <v>299</v>
      </c>
    </row>
    <row r="1396" spans="1:5" ht="20.25" customHeight="1" x14ac:dyDescent="0.15">
      <c r="A1396" s="2" t="s">
        <v>5431</v>
      </c>
      <c r="B1396" s="2" t="s">
        <v>5432</v>
      </c>
      <c r="C1396" s="2">
        <v>1.68</v>
      </c>
      <c r="D1396" s="2">
        <v>139.63319999999999</v>
      </c>
      <c r="E1396" s="2" t="s">
        <v>260</v>
      </c>
    </row>
    <row r="1397" spans="1:5" ht="20.25" customHeight="1" x14ac:dyDescent="0.15">
      <c r="A1397" s="2" t="s">
        <v>5569</v>
      </c>
      <c r="B1397" s="2" t="s">
        <v>5570</v>
      </c>
      <c r="C1397" s="2">
        <v>1.68</v>
      </c>
      <c r="D1397" s="2">
        <v>2.8186</v>
      </c>
      <c r="E1397" s="2" t="s">
        <v>35</v>
      </c>
    </row>
    <row r="1398" spans="1:5" ht="20.25" customHeight="1" x14ac:dyDescent="0.15">
      <c r="A1398" s="2" t="s">
        <v>6200</v>
      </c>
      <c r="B1398" s="2" t="s">
        <v>6201</v>
      </c>
      <c r="C1398" s="2">
        <v>1.68</v>
      </c>
      <c r="D1398" s="2">
        <v>32.611899999999999</v>
      </c>
      <c r="E1398" s="2" t="s">
        <v>2724</v>
      </c>
    </row>
    <row r="1399" spans="1:5" ht="20.25" customHeight="1" x14ac:dyDescent="0.15">
      <c r="A1399" s="2" t="s">
        <v>7259</v>
      </c>
      <c r="B1399" s="2" t="s">
        <v>7260</v>
      </c>
      <c r="C1399" s="2">
        <v>1.68</v>
      </c>
      <c r="D1399" s="2">
        <v>1.2024999999999999</v>
      </c>
      <c r="E1399" s="2" t="s">
        <v>1486</v>
      </c>
    </row>
    <row r="1400" spans="1:5" ht="20.25" customHeight="1" x14ac:dyDescent="0.15">
      <c r="A1400" s="2" t="s">
        <v>7433</v>
      </c>
      <c r="B1400" s="2" t="s">
        <v>7434</v>
      </c>
      <c r="C1400" s="2">
        <v>1.68</v>
      </c>
      <c r="D1400" s="2">
        <v>2.8288000000000002</v>
      </c>
      <c r="E1400" s="2" t="s">
        <v>3130</v>
      </c>
    </row>
    <row r="1401" spans="1:5" ht="20.25" customHeight="1" x14ac:dyDescent="0.15">
      <c r="A1401" s="2" t="s">
        <v>8041</v>
      </c>
      <c r="B1401" s="2" t="s">
        <v>8042</v>
      </c>
      <c r="C1401" s="2">
        <v>1.68</v>
      </c>
      <c r="D1401" s="2">
        <v>2.4777</v>
      </c>
      <c r="E1401" s="2" t="s">
        <v>1061</v>
      </c>
    </row>
    <row r="1402" spans="1:5" ht="20.25" customHeight="1" x14ac:dyDescent="0.15">
      <c r="A1402" s="2" t="s">
        <v>8105</v>
      </c>
      <c r="B1402" s="2" t="s">
        <v>8106</v>
      </c>
      <c r="C1402" s="2">
        <v>1.68</v>
      </c>
      <c r="D1402" s="2">
        <v>1.0311999999999999</v>
      </c>
      <c r="E1402" s="2" t="s">
        <v>1091</v>
      </c>
    </row>
    <row r="1403" spans="1:5" ht="20.25" customHeight="1" x14ac:dyDescent="0.15">
      <c r="A1403" s="2" t="s">
        <v>555</v>
      </c>
      <c r="B1403" s="2" t="s">
        <v>556</v>
      </c>
      <c r="C1403" s="2">
        <v>1.67</v>
      </c>
      <c r="D1403" s="2">
        <v>0.2616</v>
      </c>
      <c r="E1403" s="2" t="s">
        <v>418</v>
      </c>
    </row>
    <row r="1404" spans="1:5" ht="20.25" customHeight="1" x14ac:dyDescent="0.15">
      <c r="A1404" s="2" t="s">
        <v>1225</v>
      </c>
      <c r="B1404" s="2" t="s">
        <v>1226</v>
      </c>
      <c r="C1404" s="2">
        <v>1.67</v>
      </c>
      <c r="D1404" s="2">
        <v>0.92859999999999998</v>
      </c>
      <c r="E1404" s="2" t="s">
        <v>193</v>
      </c>
    </row>
    <row r="1405" spans="1:5" ht="20.25" customHeight="1" x14ac:dyDescent="0.15">
      <c r="A1405" s="2" t="s">
        <v>1564</v>
      </c>
      <c r="B1405" s="2" t="s">
        <v>1565</v>
      </c>
      <c r="C1405" s="2">
        <v>1.67</v>
      </c>
      <c r="D1405" s="2">
        <v>0.68889999999999996</v>
      </c>
      <c r="E1405" s="2" t="s">
        <v>638</v>
      </c>
    </row>
    <row r="1406" spans="1:5" ht="20.25" customHeight="1" x14ac:dyDescent="0.15">
      <c r="A1406" s="2" t="s">
        <v>1810</v>
      </c>
      <c r="B1406" s="2" t="s">
        <v>1811</v>
      </c>
      <c r="C1406" s="2">
        <v>1.67</v>
      </c>
      <c r="D1406" s="2">
        <v>10.276</v>
      </c>
      <c r="E1406" s="2" t="s">
        <v>21</v>
      </c>
    </row>
    <row r="1407" spans="1:5" ht="20.25" customHeight="1" x14ac:dyDescent="0.15">
      <c r="A1407" s="2" t="s">
        <v>2540</v>
      </c>
      <c r="B1407" s="2" t="s">
        <v>2541</v>
      </c>
      <c r="C1407" s="2">
        <v>1.67</v>
      </c>
      <c r="D1407" s="2">
        <v>2.3807999999999998</v>
      </c>
      <c r="E1407" s="2" t="s">
        <v>149</v>
      </c>
    </row>
    <row r="1408" spans="1:5" ht="20.25" customHeight="1" x14ac:dyDescent="0.15">
      <c r="A1408" s="2" t="s">
        <v>2596</v>
      </c>
      <c r="B1408" s="2" t="s">
        <v>2597</v>
      </c>
      <c r="C1408" s="2">
        <v>1.67</v>
      </c>
      <c r="D1408" s="2">
        <v>2.6472000000000002</v>
      </c>
      <c r="E1408" s="2" t="s">
        <v>744</v>
      </c>
    </row>
    <row r="1409" spans="1:5" ht="20.25" customHeight="1" x14ac:dyDescent="0.15">
      <c r="A1409" s="2" t="s">
        <v>2682</v>
      </c>
      <c r="B1409" s="2" t="s">
        <v>2683</v>
      </c>
      <c r="C1409" s="2">
        <v>1.67</v>
      </c>
      <c r="D1409" s="2">
        <v>0.36420000000000002</v>
      </c>
      <c r="E1409" s="2" t="s">
        <v>1224</v>
      </c>
    </row>
    <row r="1410" spans="1:5" ht="20.25" customHeight="1" x14ac:dyDescent="0.15">
      <c r="A1410" s="2" t="s">
        <v>2878</v>
      </c>
      <c r="B1410" s="2" t="s">
        <v>2879</v>
      </c>
      <c r="C1410" s="2">
        <v>1.67</v>
      </c>
      <c r="D1410" s="2">
        <v>2.8249</v>
      </c>
      <c r="E1410" s="2" t="s">
        <v>916</v>
      </c>
    </row>
    <row r="1411" spans="1:5" ht="20.25" customHeight="1" x14ac:dyDescent="0.15">
      <c r="A1411" s="2" t="s">
        <v>4128</v>
      </c>
      <c r="B1411" s="2" t="s">
        <v>4129</v>
      </c>
      <c r="C1411" s="2">
        <v>1.67</v>
      </c>
      <c r="D1411" s="2">
        <v>1.0968</v>
      </c>
      <c r="E1411" s="2" t="s">
        <v>276</v>
      </c>
    </row>
    <row r="1412" spans="1:5" ht="20.25" customHeight="1" x14ac:dyDescent="0.15">
      <c r="A1412" s="2" t="s">
        <v>5330</v>
      </c>
      <c r="B1412" s="2" t="s">
        <v>5331</v>
      </c>
      <c r="C1412" s="2">
        <v>1.67</v>
      </c>
      <c r="D1412" s="2">
        <v>2.3849999999999998</v>
      </c>
      <c r="E1412" s="2" t="s">
        <v>713</v>
      </c>
    </row>
    <row r="1413" spans="1:5" ht="20.25" customHeight="1" x14ac:dyDescent="0.15">
      <c r="A1413" s="2" t="s">
        <v>5559</v>
      </c>
      <c r="B1413" s="2" t="s">
        <v>5560</v>
      </c>
      <c r="C1413" s="2">
        <v>1.67</v>
      </c>
      <c r="D1413" s="2">
        <v>9.7545000000000002</v>
      </c>
      <c r="E1413" s="2" t="s">
        <v>647</v>
      </c>
    </row>
    <row r="1414" spans="1:5" ht="20.25" customHeight="1" x14ac:dyDescent="0.15">
      <c r="A1414" s="2" t="s">
        <v>5946</v>
      </c>
      <c r="B1414" s="2" t="s">
        <v>5947</v>
      </c>
      <c r="C1414" s="2">
        <v>1.67</v>
      </c>
      <c r="D1414" s="2">
        <v>0.14990000000000001</v>
      </c>
      <c r="E1414" s="2" t="s">
        <v>359</v>
      </c>
    </row>
    <row r="1415" spans="1:5" ht="20.25" customHeight="1" x14ac:dyDescent="0.15">
      <c r="A1415" s="2" t="s">
        <v>6320</v>
      </c>
      <c r="B1415" s="2" t="s">
        <v>6321</v>
      </c>
      <c r="C1415" s="2">
        <v>1.67</v>
      </c>
      <c r="D1415" s="2">
        <v>8.2723999999999993</v>
      </c>
      <c r="E1415" s="2" t="s">
        <v>2063</v>
      </c>
    </row>
    <row r="1416" spans="1:5" ht="20.25" customHeight="1" x14ac:dyDescent="0.15">
      <c r="A1416" s="2" t="s">
        <v>7009</v>
      </c>
      <c r="B1416" s="2" t="s">
        <v>7010</v>
      </c>
      <c r="C1416" s="2">
        <v>1.67</v>
      </c>
      <c r="D1416" s="2">
        <v>3.7342</v>
      </c>
      <c r="E1416" s="2" t="s">
        <v>35</v>
      </c>
    </row>
    <row r="1417" spans="1:5" ht="20.25" customHeight="1" x14ac:dyDescent="0.15">
      <c r="A1417" s="2" t="s">
        <v>189</v>
      </c>
      <c r="B1417" s="2" t="s">
        <v>190</v>
      </c>
      <c r="C1417" s="2">
        <v>1.66</v>
      </c>
      <c r="D1417" s="2">
        <v>5.6071999999999997</v>
      </c>
      <c r="E1417" s="2" t="s">
        <v>18</v>
      </c>
    </row>
    <row r="1418" spans="1:5" ht="20.25" customHeight="1" x14ac:dyDescent="0.15">
      <c r="A1418" s="2" t="s">
        <v>1266</v>
      </c>
      <c r="B1418" s="2" t="s">
        <v>1267</v>
      </c>
      <c r="C1418" s="2">
        <v>1.66</v>
      </c>
      <c r="D1418" s="2">
        <v>2.3605999999999998</v>
      </c>
      <c r="E1418" s="2" t="s">
        <v>1268</v>
      </c>
    </row>
    <row r="1419" spans="1:5" ht="20.25" customHeight="1" x14ac:dyDescent="0.15">
      <c r="A1419" s="2" t="s">
        <v>2829</v>
      </c>
      <c r="B1419" s="2" t="s">
        <v>2830</v>
      </c>
      <c r="C1419" s="2">
        <v>1.66</v>
      </c>
      <c r="D1419" s="2">
        <v>1.3169999999999999</v>
      </c>
      <c r="E1419" s="2" t="s">
        <v>605</v>
      </c>
    </row>
    <row r="1420" spans="1:5" ht="20.25" customHeight="1" x14ac:dyDescent="0.15">
      <c r="A1420" s="2" t="s">
        <v>3040</v>
      </c>
      <c r="B1420" s="2" t="s">
        <v>3041</v>
      </c>
      <c r="C1420" s="2">
        <v>1.66</v>
      </c>
      <c r="D1420" s="2">
        <v>0.2384</v>
      </c>
      <c r="E1420" s="2" t="s">
        <v>126</v>
      </c>
    </row>
    <row r="1421" spans="1:5" ht="20.25" customHeight="1" x14ac:dyDescent="0.15">
      <c r="A1421" s="2" t="s">
        <v>3732</v>
      </c>
      <c r="B1421" s="2" t="s">
        <v>3733</v>
      </c>
      <c r="C1421" s="2">
        <v>1.66</v>
      </c>
      <c r="D1421" s="2">
        <v>15.1296</v>
      </c>
      <c r="E1421" s="2" t="s">
        <v>818</v>
      </c>
    </row>
    <row r="1422" spans="1:5" ht="20.25" customHeight="1" x14ac:dyDescent="0.15">
      <c r="A1422" s="2" t="s">
        <v>5689</v>
      </c>
      <c r="B1422" s="2" t="s">
        <v>5690</v>
      </c>
      <c r="C1422" s="2">
        <v>1.66</v>
      </c>
      <c r="D1422" s="2">
        <v>2.6200999999999999</v>
      </c>
      <c r="E1422" s="2" t="s">
        <v>3102</v>
      </c>
    </row>
    <row r="1423" spans="1:5" ht="20.25" customHeight="1" x14ac:dyDescent="0.15">
      <c r="A1423" s="2" t="s">
        <v>6985</v>
      </c>
      <c r="B1423" s="2" t="s">
        <v>6986</v>
      </c>
      <c r="C1423" s="2">
        <v>1.66</v>
      </c>
      <c r="D1423" s="2">
        <v>40.611400000000003</v>
      </c>
      <c r="E1423" s="2" t="s">
        <v>1338</v>
      </c>
    </row>
    <row r="1424" spans="1:5" ht="20.25" customHeight="1" x14ac:dyDescent="0.15">
      <c r="A1424" s="2" t="s">
        <v>577</v>
      </c>
      <c r="B1424" s="2" t="s">
        <v>578</v>
      </c>
      <c r="C1424" s="2">
        <v>1.65</v>
      </c>
      <c r="D1424" s="2">
        <v>0.26050000000000001</v>
      </c>
      <c r="E1424" s="2" t="s">
        <v>403</v>
      </c>
    </row>
    <row r="1425" spans="1:5" ht="20.25" customHeight="1" x14ac:dyDescent="0.15">
      <c r="A1425" s="2" t="s">
        <v>2107</v>
      </c>
      <c r="B1425" s="2" t="s">
        <v>2108</v>
      </c>
      <c r="C1425" s="2">
        <v>1.65</v>
      </c>
      <c r="D1425" s="2">
        <v>0.38929999999999998</v>
      </c>
      <c r="E1425" s="2" t="s">
        <v>41</v>
      </c>
    </row>
    <row r="1426" spans="1:5" ht="20.25" customHeight="1" x14ac:dyDescent="0.15">
      <c r="A1426" s="2" t="s">
        <v>2520</v>
      </c>
      <c r="B1426" s="2" t="s">
        <v>2521</v>
      </c>
      <c r="C1426" s="2">
        <v>1.65</v>
      </c>
      <c r="D1426" s="2">
        <v>0.80169999999999997</v>
      </c>
      <c r="E1426" s="2" t="s">
        <v>120</v>
      </c>
    </row>
    <row r="1427" spans="1:5" ht="20.25" customHeight="1" x14ac:dyDescent="0.15">
      <c r="A1427" s="2" t="s">
        <v>3074</v>
      </c>
      <c r="B1427" s="2" t="s">
        <v>3075</v>
      </c>
      <c r="C1427" s="2">
        <v>1.65</v>
      </c>
      <c r="D1427" s="2">
        <v>3.1890999999999998</v>
      </c>
      <c r="E1427" s="2" t="s">
        <v>385</v>
      </c>
    </row>
    <row r="1428" spans="1:5" ht="20.25" customHeight="1" x14ac:dyDescent="0.15">
      <c r="A1428" s="2" t="s">
        <v>5663</v>
      </c>
      <c r="B1428" s="2" t="s">
        <v>5664</v>
      </c>
      <c r="C1428" s="2">
        <v>1.65</v>
      </c>
      <c r="D1428" s="2">
        <v>0.78080000000000005</v>
      </c>
      <c r="E1428" s="2" t="s">
        <v>201</v>
      </c>
    </row>
    <row r="1429" spans="1:5" ht="20.25" customHeight="1" x14ac:dyDescent="0.15">
      <c r="A1429" s="2" t="s">
        <v>6314</v>
      </c>
      <c r="B1429" s="2" t="s">
        <v>6315</v>
      </c>
      <c r="C1429" s="2">
        <v>1.65</v>
      </c>
      <c r="D1429" s="2">
        <v>5.3033999999999999</v>
      </c>
      <c r="E1429" s="2" t="s">
        <v>1533</v>
      </c>
    </row>
    <row r="1430" spans="1:5" ht="20.25" customHeight="1" x14ac:dyDescent="0.15">
      <c r="A1430" s="2" t="s">
        <v>8</v>
      </c>
      <c r="B1430" s="2" t="s">
        <v>9</v>
      </c>
      <c r="C1430" s="2">
        <v>1.64</v>
      </c>
      <c r="D1430" s="2">
        <v>1.0373000000000001</v>
      </c>
      <c r="E1430" s="2" t="s">
        <v>10</v>
      </c>
    </row>
    <row r="1431" spans="1:5" ht="20.25" customHeight="1" x14ac:dyDescent="0.15">
      <c r="A1431" s="2" t="s">
        <v>366</v>
      </c>
      <c r="B1431" s="2" t="s">
        <v>367</v>
      </c>
      <c r="C1431" s="2">
        <v>1.64</v>
      </c>
      <c r="D1431" s="2">
        <v>1.792</v>
      </c>
      <c r="E1431" s="2" t="s">
        <v>368</v>
      </c>
    </row>
    <row r="1432" spans="1:5" ht="20.25" customHeight="1" x14ac:dyDescent="0.15">
      <c r="A1432" s="2" t="s">
        <v>463</v>
      </c>
      <c r="B1432" s="2" t="s">
        <v>464</v>
      </c>
      <c r="C1432" s="2">
        <v>1.64</v>
      </c>
      <c r="D1432" s="2">
        <v>1.1064000000000001</v>
      </c>
      <c r="E1432" s="2" t="s">
        <v>385</v>
      </c>
    </row>
    <row r="1433" spans="1:5" ht="20.25" customHeight="1" x14ac:dyDescent="0.15">
      <c r="A1433" s="2" t="s">
        <v>603</v>
      </c>
      <c r="B1433" s="2" t="s">
        <v>604</v>
      </c>
      <c r="C1433" s="2">
        <v>1.64</v>
      </c>
      <c r="D1433" s="2">
        <v>0.32890000000000003</v>
      </c>
      <c r="E1433" s="2" t="s">
        <v>605</v>
      </c>
    </row>
    <row r="1434" spans="1:5" ht="20.25" customHeight="1" x14ac:dyDescent="0.15">
      <c r="A1434" s="2" t="s">
        <v>1210</v>
      </c>
      <c r="B1434" s="2" t="s">
        <v>1211</v>
      </c>
      <c r="C1434" s="2">
        <v>1.64</v>
      </c>
      <c r="D1434" s="2">
        <v>0.48759999999999998</v>
      </c>
      <c r="E1434" s="2" t="s">
        <v>368</v>
      </c>
    </row>
    <row r="1435" spans="1:5" ht="20.25" customHeight="1" x14ac:dyDescent="0.15">
      <c r="A1435" s="2" t="s">
        <v>1585</v>
      </c>
      <c r="B1435" s="2" t="s">
        <v>1586</v>
      </c>
      <c r="C1435" s="2">
        <v>1.64</v>
      </c>
      <c r="D1435" s="2">
        <v>0.31540000000000001</v>
      </c>
      <c r="E1435" s="2" t="s">
        <v>201</v>
      </c>
    </row>
    <row r="1436" spans="1:5" ht="20.25" customHeight="1" x14ac:dyDescent="0.15">
      <c r="A1436" s="2" t="s">
        <v>3722</v>
      </c>
      <c r="B1436" s="2" t="s">
        <v>3723</v>
      </c>
      <c r="C1436" s="2">
        <v>1.64</v>
      </c>
      <c r="D1436" s="2">
        <v>0.3246</v>
      </c>
      <c r="E1436" s="2" t="s">
        <v>396</v>
      </c>
    </row>
    <row r="1437" spans="1:5" ht="20.25" customHeight="1" x14ac:dyDescent="0.15">
      <c r="A1437" s="2" t="s">
        <v>6684</v>
      </c>
      <c r="B1437" s="2" t="s">
        <v>6685</v>
      </c>
      <c r="C1437" s="2">
        <v>1.64</v>
      </c>
      <c r="D1437" s="2">
        <v>1.2291000000000001</v>
      </c>
      <c r="E1437" s="2" t="s">
        <v>286</v>
      </c>
    </row>
    <row r="1438" spans="1:5" ht="20.25" customHeight="1" x14ac:dyDescent="0.15">
      <c r="A1438" s="2" t="s">
        <v>6887</v>
      </c>
      <c r="B1438" s="2" t="s">
        <v>6888</v>
      </c>
      <c r="C1438" s="2">
        <v>1.64</v>
      </c>
      <c r="D1438" s="2">
        <v>11.4694</v>
      </c>
      <c r="E1438" s="2" t="s">
        <v>574</v>
      </c>
    </row>
    <row r="1439" spans="1:5" ht="20.25" customHeight="1" x14ac:dyDescent="0.15">
      <c r="A1439" s="2" t="s">
        <v>1706</v>
      </c>
      <c r="B1439" s="2" t="s">
        <v>1707</v>
      </c>
      <c r="C1439" s="2">
        <v>1.63</v>
      </c>
      <c r="D1439" s="2">
        <v>3.0916999999999999</v>
      </c>
      <c r="E1439" s="2" t="s">
        <v>89</v>
      </c>
    </row>
    <row r="1440" spans="1:5" ht="20.25" customHeight="1" x14ac:dyDescent="0.15">
      <c r="A1440" s="2" t="s">
        <v>2024</v>
      </c>
      <c r="B1440" s="2" t="s">
        <v>2025</v>
      </c>
      <c r="C1440" s="2">
        <v>1.63</v>
      </c>
      <c r="D1440" s="2">
        <v>2.7745000000000002</v>
      </c>
      <c r="E1440" s="2" t="s">
        <v>1011</v>
      </c>
    </row>
    <row r="1441" spans="1:5" ht="20.25" customHeight="1" x14ac:dyDescent="0.15">
      <c r="A1441" s="2" t="s">
        <v>2845</v>
      </c>
      <c r="B1441" s="2" t="s">
        <v>2846</v>
      </c>
      <c r="C1441" s="2">
        <v>1.63</v>
      </c>
      <c r="D1441" s="2">
        <v>2.4588999999999999</v>
      </c>
      <c r="E1441" s="2" t="s">
        <v>403</v>
      </c>
    </row>
    <row r="1442" spans="1:5" ht="20.25" customHeight="1" x14ac:dyDescent="0.15">
      <c r="A1442" s="2" t="s">
        <v>3164</v>
      </c>
      <c r="B1442" s="2" t="s">
        <v>3165</v>
      </c>
      <c r="C1442" s="2">
        <v>1.63</v>
      </c>
      <c r="D1442" s="2">
        <v>4.2606000000000002</v>
      </c>
      <c r="E1442" s="2" t="s">
        <v>146</v>
      </c>
    </row>
    <row r="1443" spans="1:5" ht="20.25" customHeight="1" x14ac:dyDescent="0.15">
      <c r="A1443" s="2" t="s">
        <v>4500</v>
      </c>
      <c r="B1443" s="2" t="s">
        <v>4501</v>
      </c>
      <c r="C1443" s="2">
        <v>1.63</v>
      </c>
      <c r="D1443" s="2">
        <v>47.164700000000003</v>
      </c>
      <c r="E1443" s="2" t="s">
        <v>1173</v>
      </c>
    </row>
    <row r="1444" spans="1:5" ht="20.25" customHeight="1" x14ac:dyDescent="0.15">
      <c r="A1444" s="2" t="s">
        <v>6376</v>
      </c>
      <c r="B1444" s="2" t="s">
        <v>6377</v>
      </c>
      <c r="C1444" s="2">
        <v>1.63</v>
      </c>
      <c r="D1444" s="2">
        <v>2.0112000000000001</v>
      </c>
      <c r="E1444" s="2" t="s">
        <v>1403</v>
      </c>
    </row>
    <row r="1445" spans="1:5" ht="20.25" customHeight="1" x14ac:dyDescent="0.15">
      <c r="A1445" s="2" t="s">
        <v>7775</v>
      </c>
      <c r="B1445" s="2" t="s">
        <v>7776</v>
      </c>
      <c r="C1445" s="2">
        <v>1.63</v>
      </c>
      <c r="D1445" s="2">
        <v>0.10979999999999999</v>
      </c>
      <c r="E1445" s="2" t="s">
        <v>647</v>
      </c>
    </row>
    <row r="1446" spans="1:5" ht="20.25" customHeight="1" x14ac:dyDescent="0.15">
      <c r="A1446" s="2" t="s">
        <v>8135</v>
      </c>
      <c r="B1446" s="2" t="s">
        <v>8136</v>
      </c>
      <c r="C1446" s="2">
        <v>1.63</v>
      </c>
      <c r="D1446" s="2">
        <v>5.3544</v>
      </c>
      <c r="E1446" s="2" t="s">
        <v>3190</v>
      </c>
    </row>
    <row r="1447" spans="1:5" ht="20.25" customHeight="1" x14ac:dyDescent="0.15">
      <c r="A1447" s="2" t="s">
        <v>562</v>
      </c>
      <c r="B1447" s="2" t="s">
        <v>563</v>
      </c>
      <c r="C1447" s="2">
        <v>1.62</v>
      </c>
      <c r="D1447" s="2">
        <v>3.6791999999999998</v>
      </c>
      <c r="E1447" s="2" t="s">
        <v>44</v>
      </c>
    </row>
    <row r="1448" spans="1:5" ht="20.25" customHeight="1" x14ac:dyDescent="0.15">
      <c r="A1448" s="2" t="s">
        <v>753</v>
      </c>
      <c r="B1448" s="2" t="s">
        <v>754</v>
      </c>
      <c r="C1448" s="2">
        <v>1.62</v>
      </c>
      <c r="D1448" s="2">
        <v>0.61570000000000003</v>
      </c>
      <c r="E1448" s="2" t="s">
        <v>44</v>
      </c>
    </row>
    <row r="1449" spans="1:5" ht="20.25" customHeight="1" x14ac:dyDescent="0.15">
      <c r="A1449" s="2" t="s">
        <v>1683</v>
      </c>
      <c r="B1449" s="2" t="s">
        <v>1684</v>
      </c>
      <c r="C1449" s="2">
        <v>1.62</v>
      </c>
      <c r="D1449" s="2">
        <v>0.95389999999999997</v>
      </c>
      <c r="E1449" s="2" t="s">
        <v>368</v>
      </c>
    </row>
    <row r="1450" spans="1:5" ht="20.25" customHeight="1" x14ac:dyDescent="0.15">
      <c r="A1450" s="2" t="s">
        <v>1913</v>
      </c>
      <c r="B1450" s="2" t="s">
        <v>1914</v>
      </c>
      <c r="C1450" s="2">
        <v>1.62</v>
      </c>
      <c r="D1450" s="2">
        <v>2.7578</v>
      </c>
      <c r="E1450" s="2" t="s">
        <v>1757</v>
      </c>
    </row>
    <row r="1451" spans="1:5" ht="20.25" customHeight="1" x14ac:dyDescent="0.15">
      <c r="A1451" s="2" t="s">
        <v>4600</v>
      </c>
      <c r="B1451" s="2" t="s">
        <v>4601</v>
      </c>
      <c r="C1451" s="2">
        <v>1.62</v>
      </c>
      <c r="D1451" s="2">
        <v>1.1337999999999999</v>
      </c>
      <c r="E1451" s="2" t="s">
        <v>667</v>
      </c>
    </row>
    <row r="1452" spans="1:5" ht="20.25" customHeight="1" x14ac:dyDescent="0.15">
      <c r="A1452" s="2" t="s">
        <v>4847</v>
      </c>
      <c r="B1452" s="2" t="s">
        <v>4848</v>
      </c>
      <c r="C1452" s="2">
        <v>1.62</v>
      </c>
      <c r="D1452" s="2">
        <v>4.6516000000000002</v>
      </c>
      <c r="E1452" s="2" t="s">
        <v>3053</v>
      </c>
    </row>
    <row r="1453" spans="1:5" ht="20.25" customHeight="1" x14ac:dyDescent="0.15">
      <c r="A1453" s="2" t="s">
        <v>6494</v>
      </c>
      <c r="B1453" s="2" t="s">
        <v>6495</v>
      </c>
      <c r="C1453" s="2">
        <v>1.62</v>
      </c>
      <c r="D1453" s="2">
        <v>0.32929999999999998</v>
      </c>
      <c r="E1453" s="2" t="s">
        <v>44</v>
      </c>
    </row>
    <row r="1454" spans="1:5" ht="20.25" customHeight="1" x14ac:dyDescent="0.15">
      <c r="A1454" s="2" t="s">
        <v>7599</v>
      </c>
      <c r="B1454" s="2" t="s">
        <v>7600</v>
      </c>
      <c r="C1454" s="2">
        <v>1.62</v>
      </c>
      <c r="D1454" s="2">
        <v>3.2242999999999999</v>
      </c>
      <c r="E1454" s="2" t="s">
        <v>1853</v>
      </c>
    </row>
    <row r="1455" spans="1:5" ht="20.25" customHeight="1" x14ac:dyDescent="0.15">
      <c r="A1455" s="2" t="s">
        <v>7651</v>
      </c>
      <c r="B1455" s="2" t="s">
        <v>7652</v>
      </c>
      <c r="C1455" s="2">
        <v>1.62</v>
      </c>
      <c r="D1455" s="2">
        <v>4.5731000000000002</v>
      </c>
      <c r="E1455" s="2" t="s">
        <v>1486</v>
      </c>
    </row>
    <row r="1456" spans="1:5" ht="20.25" customHeight="1" x14ac:dyDescent="0.15">
      <c r="A1456" s="2" t="s">
        <v>2204</v>
      </c>
      <c r="B1456" s="2" t="s">
        <v>2205</v>
      </c>
      <c r="C1456" s="2">
        <v>1.61</v>
      </c>
      <c r="D1456" s="2">
        <v>0.88390000000000002</v>
      </c>
      <c r="E1456" s="2" t="s">
        <v>589</v>
      </c>
    </row>
    <row r="1457" spans="1:5" ht="20.25" customHeight="1" x14ac:dyDescent="0.15">
      <c r="A1457" s="2" t="s">
        <v>2342</v>
      </c>
      <c r="B1457" s="2" t="s">
        <v>2343</v>
      </c>
      <c r="C1457" s="2">
        <v>1.61</v>
      </c>
      <c r="D1457" s="2">
        <v>0.9123</v>
      </c>
      <c r="E1457" s="2" t="s">
        <v>2344</v>
      </c>
    </row>
    <row r="1458" spans="1:5" ht="20.25" customHeight="1" x14ac:dyDescent="0.15">
      <c r="A1458" s="2" t="s">
        <v>2393</v>
      </c>
      <c r="B1458" s="2" t="s">
        <v>2394</v>
      </c>
      <c r="C1458" s="2">
        <v>1.61</v>
      </c>
      <c r="D1458" s="2">
        <v>19.0229</v>
      </c>
      <c r="E1458" s="2" t="s">
        <v>1436</v>
      </c>
    </row>
    <row r="1459" spans="1:5" ht="20.25" customHeight="1" x14ac:dyDescent="0.15">
      <c r="A1459" s="2" t="s">
        <v>3649</v>
      </c>
      <c r="B1459" s="2" t="s">
        <v>3650</v>
      </c>
      <c r="C1459" s="2">
        <v>1.61</v>
      </c>
      <c r="D1459" s="2">
        <v>2.3835000000000002</v>
      </c>
      <c r="E1459" s="2" t="s">
        <v>406</v>
      </c>
    </row>
    <row r="1460" spans="1:5" ht="20.25" customHeight="1" x14ac:dyDescent="0.15">
      <c r="A1460" s="2" t="s">
        <v>5044</v>
      </c>
      <c r="B1460" s="2" t="s">
        <v>5045</v>
      </c>
      <c r="C1460" s="2">
        <v>1.61</v>
      </c>
      <c r="D1460" s="2">
        <v>0.68959999999999999</v>
      </c>
      <c r="E1460" s="2" t="s">
        <v>667</v>
      </c>
    </row>
    <row r="1461" spans="1:5" ht="20.25" customHeight="1" x14ac:dyDescent="0.15">
      <c r="A1461" s="2" t="s">
        <v>5272</v>
      </c>
      <c r="B1461" s="2" t="s">
        <v>5273</v>
      </c>
      <c r="C1461" s="2">
        <v>1.61</v>
      </c>
      <c r="D1461" s="2">
        <v>11.067299999999999</v>
      </c>
      <c r="E1461" s="2" t="s">
        <v>1282</v>
      </c>
    </row>
    <row r="1462" spans="1:5" ht="20.25" customHeight="1" x14ac:dyDescent="0.15">
      <c r="A1462" s="2" t="s">
        <v>5659</v>
      </c>
      <c r="B1462" s="2" t="s">
        <v>5660</v>
      </c>
      <c r="C1462" s="2">
        <v>1.61</v>
      </c>
      <c r="D1462" s="2">
        <v>0.8075</v>
      </c>
      <c r="E1462" s="2" t="s">
        <v>690</v>
      </c>
    </row>
    <row r="1463" spans="1:5" ht="20.25" customHeight="1" x14ac:dyDescent="0.15">
      <c r="A1463" s="2" t="s">
        <v>6112</v>
      </c>
      <c r="B1463" s="2" t="s">
        <v>6113</v>
      </c>
      <c r="C1463" s="2">
        <v>1.61</v>
      </c>
      <c r="D1463" s="2">
        <v>0.44009999999999999</v>
      </c>
      <c r="E1463" s="2" t="s">
        <v>690</v>
      </c>
    </row>
    <row r="1464" spans="1:5" ht="20.25" customHeight="1" x14ac:dyDescent="0.15">
      <c r="A1464" s="2" t="s">
        <v>6652</v>
      </c>
      <c r="B1464" s="2" t="s">
        <v>6653</v>
      </c>
      <c r="C1464" s="2">
        <v>1.61</v>
      </c>
      <c r="D1464" s="2">
        <v>10.183299999999999</v>
      </c>
      <c r="E1464" s="2" t="s">
        <v>670</v>
      </c>
    </row>
    <row r="1465" spans="1:5" ht="20.25" customHeight="1" x14ac:dyDescent="0.15">
      <c r="A1465" s="2" t="s">
        <v>6805</v>
      </c>
      <c r="B1465" s="2" t="s">
        <v>6806</v>
      </c>
      <c r="C1465" s="2">
        <v>1.605</v>
      </c>
      <c r="D1465" s="2">
        <v>1.6626000000000001</v>
      </c>
      <c r="E1465" s="2" t="s">
        <v>682</v>
      </c>
    </row>
    <row r="1466" spans="1:5" ht="20.25" customHeight="1" x14ac:dyDescent="0.15">
      <c r="A1466" s="2" t="s">
        <v>7593</v>
      </c>
      <c r="B1466" s="2" t="s">
        <v>7594</v>
      </c>
      <c r="C1466" s="2">
        <v>1.605</v>
      </c>
      <c r="D1466" s="2">
        <v>7.5613000000000001</v>
      </c>
      <c r="E1466" s="2" t="s">
        <v>713</v>
      </c>
    </row>
    <row r="1467" spans="1:5" ht="20.25" customHeight="1" x14ac:dyDescent="0.15">
      <c r="A1467" s="2" t="s">
        <v>917</v>
      </c>
      <c r="B1467" s="2" t="s">
        <v>918</v>
      </c>
      <c r="C1467" s="2">
        <v>1.6</v>
      </c>
      <c r="D1467" s="2">
        <v>5.9476000000000004</v>
      </c>
      <c r="E1467" s="2" t="s">
        <v>677</v>
      </c>
    </row>
    <row r="1468" spans="1:5" ht="20.25" customHeight="1" x14ac:dyDescent="0.15">
      <c r="A1468" s="2" t="s">
        <v>1745</v>
      </c>
      <c r="B1468" s="2" t="s">
        <v>1746</v>
      </c>
      <c r="C1468" s="2">
        <v>1.6</v>
      </c>
      <c r="D1468" s="2">
        <v>0.48370000000000002</v>
      </c>
      <c r="E1468" s="2" t="s">
        <v>1034</v>
      </c>
    </row>
    <row r="1469" spans="1:5" ht="20.25" customHeight="1" x14ac:dyDescent="0.15">
      <c r="A1469" s="2" t="s">
        <v>4028</v>
      </c>
      <c r="B1469" s="2" t="s">
        <v>4029</v>
      </c>
      <c r="C1469" s="2">
        <v>1.6</v>
      </c>
      <c r="D1469" s="2">
        <v>2.6562000000000001</v>
      </c>
      <c r="E1469" s="2" t="s">
        <v>1853</v>
      </c>
    </row>
    <row r="1470" spans="1:5" ht="20.25" customHeight="1" x14ac:dyDescent="0.15">
      <c r="A1470" s="2" t="s">
        <v>5483</v>
      </c>
      <c r="B1470" s="2" t="s">
        <v>5484</v>
      </c>
      <c r="C1470" s="2">
        <v>1.6</v>
      </c>
      <c r="D1470" s="2">
        <v>0.98619999999999997</v>
      </c>
      <c r="E1470" s="2" t="s">
        <v>1102</v>
      </c>
    </row>
    <row r="1471" spans="1:5" ht="20.25" customHeight="1" x14ac:dyDescent="0.15">
      <c r="A1471" s="2" t="s">
        <v>7223</v>
      </c>
      <c r="B1471" s="2" t="s">
        <v>7224</v>
      </c>
      <c r="C1471" s="2">
        <v>1.6</v>
      </c>
      <c r="D1471" s="2">
        <v>0.6482</v>
      </c>
      <c r="E1471" s="2" t="s">
        <v>450</v>
      </c>
    </row>
    <row r="1472" spans="1:5" ht="20.25" customHeight="1" x14ac:dyDescent="0.15">
      <c r="A1472" s="2" t="s">
        <v>7323</v>
      </c>
      <c r="B1472" s="2" t="s">
        <v>7324</v>
      </c>
      <c r="C1472" s="2">
        <v>1.6</v>
      </c>
      <c r="D1472" s="2">
        <v>2.3561999999999999</v>
      </c>
      <c r="E1472" s="2" t="s">
        <v>1381</v>
      </c>
    </row>
    <row r="1473" spans="1:5" ht="20.25" customHeight="1" x14ac:dyDescent="0.15">
      <c r="A1473" s="2" t="s">
        <v>7571</v>
      </c>
      <c r="B1473" s="2" t="s">
        <v>7572</v>
      </c>
      <c r="C1473" s="2">
        <v>1.6</v>
      </c>
      <c r="D1473" s="2">
        <v>0.25259999999999999</v>
      </c>
      <c r="E1473" s="2" t="s">
        <v>89</v>
      </c>
    </row>
    <row r="1474" spans="1:5" ht="20.25" customHeight="1" x14ac:dyDescent="0.15">
      <c r="A1474" s="2" t="s">
        <v>1534</v>
      </c>
      <c r="B1474" s="2" t="s">
        <v>1535</v>
      </c>
      <c r="C1474" s="2">
        <v>1.59</v>
      </c>
      <c r="D1474" s="2">
        <v>3.1303999999999998</v>
      </c>
      <c r="E1474" s="2" t="s">
        <v>286</v>
      </c>
    </row>
    <row r="1475" spans="1:5" ht="20.25" customHeight="1" x14ac:dyDescent="0.15">
      <c r="A1475" s="2" t="s">
        <v>2051</v>
      </c>
      <c r="B1475" s="2" t="s">
        <v>2052</v>
      </c>
      <c r="C1475" s="2">
        <v>1.59</v>
      </c>
      <c r="D1475" s="2">
        <v>0.31909999999999999</v>
      </c>
      <c r="E1475" s="2" t="s">
        <v>1102</v>
      </c>
    </row>
    <row r="1476" spans="1:5" ht="20.25" customHeight="1" x14ac:dyDescent="0.15">
      <c r="A1476" s="2" t="s">
        <v>2546</v>
      </c>
      <c r="B1476" s="2" t="s">
        <v>2547</v>
      </c>
      <c r="C1476" s="2">
        <v>1.59</v>
      </c>
      <c r="D1476" s="2">
        <v>0.89049999999999996</v>
      </c>
      <c r="E1476" s="2" t="s">
        <v>81</v>
      </c>
    </row>
    <row r="1477" spans="1:5" ht="20.25" customHeight="1" x14ac:dyDescent="0.15">
      <c r="A1477" s="2" t="s">
        <v>3425</v>
      </c>
      <c r="B1477" s="2" t="s">
        <v>3426</v>
      </c>
      <c r="C1477" s="2">
        <v>1.59</v>
      </c>
      <c r="D1477" s="2">
        <v>6.5065</v>
      </c>
      <c r="E1477" s="2" t="s">
        <v>344</v>
      </c>
    </row>
    <row r="1478" spans="1:5" ht="20.25" customHeight="1" x14ac:dyDescent="0.15">
      <c r="A1478" s="2" t="s">
        <v>3724</v>
      </c>
      <c r="B1478" s="2" t="s">
        <v>3725</v>
      </c>
      <c r="C1478" s="2">
        <v>1.59</v>
      </c>
      <c r="D1478" s="2">
        <v>5.3291000000000004</v>
      </c>
      <c r="E1478" s="2" t="s">
        <v>265</v>
      </c>
    </row>
    <row r="1479" spans="1:5" ht="20.25" customHeight="1" x14ac:dyDescent="0.15">
      <c r="A1479" s="2" t="s">
        <v>3982</v>
      </c>
      <c r="B1479" s="2" t="s">
        <v>3983</v>
      </c>
      <c r="C1479" s="2">
        <v>1.59</v>
      </c>
      <c r="D1479" s="2">
        <v>0.42220000000000002</v>
      </c>
      <c r="E1479" s="2" t="s">
        <v>201</v>
      </c>
    </row>
    <row r="1480" spans="1:5" ht="20.25" customHeight="1" x14ac:dyDescent="0.15">
      <c r="A1480" s="2" t="s">
        <v>4346</v>
      </c>
      <c r="B1480" s="2" t="s">
        <v>4347</v>
      </c>
      <c r="C1480" s="2">
        <v>1.59</v>
      </c>
      <c r="D1480" s="2">
        <v>1.0727</v>
      </c>
      <c r="E1480" s="2" t="s">
        <v>1338</v>
      </c>
    </row>
    <row r="1481" spans="1:5" ht="20.25" customHeight="1" x14ac:dyDescent="0.15">
      <c r="A1481" s="2" t="s">
        <v>5617</v>
      </c>
      <c r="B1481" s="2" t="s">
        <v>5618</v>
      </c>
      <c r="C1481" s="2">
        <v>1.59</v>
      </c>
      <c r="D1481" s="2">
        <v>7.1532999999999998</v>
      </c>
      <c r="E1481" s="2" t="s">
        <v>201</v>
      </c>
    </row>
    <row r="1482" spans="1:5" ht="20.25" customHeight="1" x14ac:dyDescent="0.15">
      <c r="A1482" s="2" t="s">
        <v>5778</v>
      </c>
      <c r="B1482" s="2" t="s">
        <v>5779</v>
      </c>
      <c r="C1482" s="2">
        <v>1.59</v>
      </c>
      <c r="D1482" s="2">
        <v>1.2829999999999999</v>
      </c>
      <c r="E1482" s="2" t="s">
        <v>406</v>
      </c>
    </row>
    <row r="1483" spans="1:5" ht="20.25" customHeight="1" x14ac:dyDescent="0.15">
      <c r="A1483" s="2" t="s">
        <v>6746</v>
      </c>
      <c r="B1483" s="2" t="s">
        <v>6747</v>
      </c>
      <c r="C1483" s="2">
        <v>1.59</v>
      </c>
      <c r="D1483" s="2">
        <v>0.44600000000000001</v>
      </c>
      <c r="E1483" s="2" t="s">
        <v>38</v>
      </c>
    </row>
    <row r="1484" spans="1:5" ht="20.25" customHeight="1" x14ac:dyDescent="0.15">
      <c r="A1484" s="2" t="s">
        <v>3851</v>
      </c>
      <c r="B1484" s="2" t="s">
        <v>3852</v>
      </c>
      <c r="C1484" s="2">
        <v>1.585</v>
      </c>
      <c r="D1484" s="2">
        <v>2.4512999999999998</v>
      </c>
      <c r="E1484" s="2" t="s">
        <v>574</v>
      </c>
    </row>
    <row r="1485" spans="1:5" ht="20.25" customHeight="1" x14ac:dyDescent="0.15">
      <c r="A1485" s="2" t="s">
        <v>566</v>
      </c>
      <c r="B1485" s="2" t="s">
        <v>567</v>
      </c>
      <c r="C1485" s="2">
        <v>1.58</v>
      </c>
      <c r="D1485" s="2">
        <v>4.2523999999999997</v>
      </c>
      <c r="E1485" s="2" t="s">
        <v>568</v>
      </c>
    </row>
    <row r="1486" spans="1:5" ht="20.25" customHeight="1" x14ac:dyDescent="0.15">
      <c r="A1486" s="2" t="s">
        <v>2399</v>
      </c>
      <c r="B1486" s="2" t="s">
        <v>2400</v>
      </c>
      <c r="C1486" s="2">
        <v>1.58</v>
      </c>
      <c r="D1486" s="2">
        <v>6.7491000000000003</v>
      </c>
      <c r="E1486" s="2" t="s">
        <v>1285</v>
      </c>
    </row>
    <row r="1487" spans="1:5" ht="20.25" customHeight="1" x14ac:dyDescent="0.15">
      <c r="A1487" s="2" t="s">
        <v>2924</v>
      </c>
      <c r="B1487" s="2" t="s">
        <v>2925</v>
      </c>
      <c r="C1487" s="2">
        <v>1.58</v>
      </c>
      <c r="D1487" s="2">
        <v>1.8823000000000001</v>
      </c>
      <c r="E1487" s="2" t="s">
        <v>7</v>
      </c>
    </row>
    <row r="1488" spans="1:5" ht="20.25" customHeight="1" x14ac:dyDescent="0.15">
      <c r="A1488" s="2" t="s">
        <v>3815</v>
      </c>
      <c r="B1488" s="2" t="s">
        <v>3816</v>
      </c>
      <c r="C1488" s="2">
        <v>1.58</v>
      </c>
      <c r="D1488" s="2">
        <v>2.6227</v>
      </c>
      <c r="E1488" s="2" t="s">
        <v>362</v>
      </c>
    </row>
    <row r="1489" spans="1:5" ht="20.25" customHeight="1" x14ac:dyDescent="0.15">
      <c r="A1489" s="2" t="s">
        <v>8205</v>
      </c>
      <c r="B1489" s="2" t="s">
        <v>8206</v>
      </c>
      <c r="C1489" s="2">
        <v>1.58</v>
      </c>
      <c r="D1489" s="2">
        <v>7.633</v>
      </c>
      <c r="E1489" s="2" t="s">
        <v>1820</v>
      </c>
    </row>
    <row r="1490" spans="1:5" ht="20.25" customHeight="1" x14ac:dyDescent="0.15">
      <c r="A1490" s="2" t="s">
        <v>8259</v>
      </c>
      <c r="B1490" s="2" t="s">
        <v>8260</v>
      </c>
      <c r="C1490" s="2">
        <v>1.58</v>
      </c>
      <c r="D1490" s="2">
        <v>2.1261999999999999</v>
      </c>
      <c r="E1490" s="2" t="s">
        <v>1145</v>
      </c>
    </row>
    <row r="1491" spans="1:5" ht="20.25" customHeight="1" x14ac:dyDescent="0.15">
      <c r="A1491" s="2" t="s">
        <v>1687</v>
      </c>
      <c r="B1491" s="2" t="s">
        <v>1688</v>
      </c>
      <c r="C1491" s="2">
        <v>1.575</v>
      </c>
      <c r="D1491" s="2">
        <v>0.35239999999999999</v>
      </c>
      <c r="E1491" s="2" t="s">
        <v>699</v>
      </c>
    </row>
    <row r="1492" spans="1:5" ht="20.25" customHeight="1" x14ac:dyDescent="0.15">
      <c r="A1492" s="2" t="s">
        <v>383</v>
      </c>
      <c r="B1492" s="2" t="s">
        <v>384</v>
      </c>
      <c r="C1492" s="2">
        <v>1.57</v>
      </c>
      <c r="D1492" s="2">
        <v>1.8759999999999999</v>
      </c>
      <c r="E1492" s="2" t="s">
        <v>385</v>
      </c>
    </row>
    <row r="1493" spans="1:5" ht="20.25" customHeight="1" x14ac:dyDescent="0.15">
      <c r="A1493" s="2" t="s">
        <v>2000</v>
      </c>
      <c r="B1493" s="2" t="s">
        <v>2001</v>
      </c>
      <c r="C1493" s="2">
        <v>1.57</v>
      </c>
      <c r="D1493" s="2">
        <v>0.626</v>
      </c>
      <c r="E1493" s="2" t="s">
        <v>1061</v>
      </c>
    </row>
    <row r="1494" spans="1:5" ht="20.25" customHeight="1" x14ac:dyDescent="0.15">
      <c r="A1494" s="2" t="s">
        <v>5254</v>
      </c>
      <c r="B1494" s="2" t="s">
        <v>5255</v>
      </c>
      <c r="C1494" s="2">
        <v>1.57</v>
      </c>
      <c r="D1494" s="2">
        <v>4.1981000000000002</v>
      </c>
      <c r="E1494" s="2" t="s">
        <v>406</v>
      </c>
    </row>
    <row r="1495" spans="1:5" ht="20.25" customHeight="1" x14ac:dyDescent="0.15">
      <c r="A1495" s="2" t="s">
        <v>5340</v>
      </c>
      <c r="B1495" s="2" t="s">
        <v>5341</v>
      </c>
      <c r="C1495" s="2">
        <v>1.57</v>
      </c>
      <c r="D1495" s="2">
        <v>4.6037999999999997</v>
      </c>
      <c r="E1495" s="2" t="s">
        <v>4127</v>
      </c>
    </row>
    <row r="1496" spans="1:5" ht="20.25" customHeight="1" x14ac:dyDescent="0.15">
      <c r="A1496" s="2" t="s">
        <v>6598</v>
      </c>
      <c r="B1496" s="2" t="s">
        <v>6599</v>
      </c>
      <c r="C1496" s="2">
        <v>1.57</v>
      </c>
      <c r="D1496" s="2">
        <v>3.9201999999999999</v>
      </c>
      <c r="E1496" s="2" t="s">
        <v>704</v>
      </c>
    </row>
    <row r="1497" spans="1:5" ht="20.25" customHeight="1" x14ac:dyDescent="0.15">
      <c r="A1497" s="2" t="s">
        <v>7199</v>
      </c>
      <c r="B1497" s="2" t="s">
        <v>7200</v>
      </c>
      <c r="C1497" s="2">
        <v>1.57</v>
      </c>
      <c r="D1497" s="2">
        <v>23.0046</v>
      </c>
      <c r="E1497" s="2" t="s">
        <v>220</v>
      </c>
    </row>
    <row r="1498" spans="1:5" ht="20.25" customHeight="1" x14ac:dyDescent="0.15">
      <c r="A1498" s="2" t="s">
        <v>6370</v>
      </c>
      <c r="B1498" s="2" t="s">
        <v>6371</v>
      </c>
      <c r="C1498" s="2">
        <v>1.5649999999999999</v>
      </c>
      <c r="D1498" s="2">
        <v>0.95050000000000001</v>
      </c>
      <c r="E1498" s="2" t="s">
        <v>794</v>
      </c>
    </row>
    <row r="1499" spans="1:5" ht="20.25" customHeight="1" x14ac:dyDescent="0.15">
      <c r="A1499" s="2" t="s">
        <v>1430</v>
      </c>
      <c r="B1499" s="2" t="s">
        <v>1431</v>
      </c>
      <c r="C1499" s="2">
        <v>1.56</v>
      </c>
      <c r="D1499" s="2">
        <v>0.2102</v>
      </c>
      <c r="E1499" s="2" t="s">
        <v>450</v>
      </c>
    </row>
    <row r="1500" spans="1:5" ht="20.25" customHeight="1" x14ac:dyDescent="0.15">
      <c r="A1500" s="2" t="s">
        <v>1443</v>
      </c>
      <c r="B1500" s="2" t="s">
        <v>1444</v>
      </c>
      <c r="C1500" s="2">
        <v>1.56</v>
      </c>
      <c r="D1500" s="2">
        <v>8.0007999999999999</v>
      </c>
      <c r="E1500" s="2" t="s">
        <v>111</v>
      </c>
    </row>
    <row r="1501" spans="1:5" ht="20.25" customHeight="1" x14ac:dyDescent="0.15">
      <c r="A1501" s="2" t="s">
        <v>1787</v>
      </c>
      <c r="B1501" s="2" t="s">
        <v>1788</v>
      </c>
      <c r="C1501" s="2">
        <v>1.56</v>
      </c>
      <c r="D1501" s="2">
        <v>1.0567</v>
      </c>
      <c r="E1501" s="2" t="s">
        <v>1757</v>
      </c>
    </row>
    <row r="1502" spans="1:5" ht="20.25" customHeight="1" x14ac:dyDescent="0.15">
      <c r="A1502" s="2" t="s">
        <v>2626</v>
      </c>
      <c r="B1502" s="2" t="s">
        <v>2627</v>
      </c>
      <c r="C1502" s="2">
        <v>1.56</v>
      </c>
      <c r="D1502" s="2">
        <v>0.20830000000000001</v>
      </c>
      <c r="E1502" s="2" t="s">
        <v>1870</v>
      </c>
    </row>
    <row r="1503" spans="1:5" ht="20.25" customHeight="1" x14ac:dyDescent="0.15">
      <c r="A1503" s="2" t="s">
        <v>2696</v>
      </c>
      <c r="B1503" s="2" t="s">
        <v>2697</v>
      </c>
      <c r="C1503" s="2">
        <v>1.56</v>
      </c>
      <c r="D1503" s="2">
        <v>0.25719999999999998</v>
      </c>
      <c r="E1503" s="2" t="s">
        <v>1061</v>
      </c>
    </row>
    <row r="1504" spans="1:5" ht="20.25" customHeight="1" x14ac:dyDescent="0.15">
      <c r="A1504" s="2" t="s">
        <v>2716</v>
      </c>
      <c r="B1504" s="2" t="s">
        <v>2717</v>
      </c>
      <c r="C1504" s="2">
        <v>1.56</v>
      </c>
      <c r="D1504" s="2">
        <v>9.57</v>
      </c>
      <c r="E1504" s="2" t="s">
        <v>529</v>
      </c>
    </row>
    <row r="1505" spans="1:5" ht="20.25" customHeight="1" x14ac:dyDescent="0.15">
      <c r="A1505" s="2" t="s">
        <v>2943</v>
      </c>
      <c r="B1505" s="2" t="s">
        <v>2944</v>
      </c>
      <c r="C1505" s="2">
        <v>1.56</v>
      </c>
      <c r="D1505" s="2">
        <v>0.65429999999999999</v>
      </c>
      <c r="E1505" s="2" t="s">
        <v>49</v>
      </c>
    </row>
    <row r="1506" spans="1:5" ht="20.25" customHeight="1" x14ac:dyDescent="0.15">
      <c r="A1506" s="2" t="s">
        <v>3449</v>
      </c>
      <c r="B1506" s="2" t="s">
        <v>3450</v>
      </c>
      <c r="C1506" s="2">
        <v>1.56</v>
      </c>
      <c r="D1506" s="2">
        <v>0.91149999999999998</v>
      </c>
      <c r="E1506" s="2" t="s">
        <v>741</v>
      </c>
    </row>
    <row r="1507" spans="1:5" ht="20.25" customHeight="1" x14ac:dyDescent="0.15">
      <c r="A1507" s="2" t="s">
        <v>3599</v>
      </c>
      <c r="B1507" s="2" t="s">
        <v>3600</v>
      </c>
      <c r="C1507" s="2">
        <v>1.56</v>
      </c>
      <c r="D1507" s="2">
        <v>0.87480000000000002</v>
      </c>
      <c r="E1507" s="2" t="s">
        <v>276</v>
      </c>
    </row>
    <row r="1508" spans="1:5" ht="20.25" customHeight="1" x14ac:dyDescent="0.15">
      <c r="A1508" s="2" t="s">
        <v>7959</v>
      </c>
      <c r="B1508" s="2" t="s">
        <v>7960</v>
      </c>
      <c r="C1508" s="2">
        <v>1.56</v>
      </c>
      <c r="D1508" s="2">
        <v>0.79730000000000001</v>
      </c>
      <c r="E1508" s="2" t="s">
        <v>406</v>
      </c>
    </row>
    <row r="1509" spans="1:5" ht="20.25" customHeight="1" x14ac:dyDescent="0.15">
      <c r="A1509" s="2" t="s">
        <v>84</v>
      </c>
      <c r="B1509" s="2" t="s">
        <v>85</v>
      </c>
      <c r="C1509" s="2">
        <v>1.55</v>
      </c>
      <c r="D1509" s="2">
        <v>0.67010000000000003</v>
      </c>
      <c r="E1509" s="2" t="s">
        <v>86</v>
      </c>
    </row>
    <row r="1510" spans="1:5" ht="20.25" customHeight="1" x14ac:dyDescent="0.15">
      <c r="A1510" s="2" t="s">
        <v>532</v>
      </c>
      <c r="B1510" s="2" t="s">
        <v>533</v>
      </c>
      <c r="C1510" s="2">
        <v>1.55</v>
      </c>
      <c r="D1510" s="2">
        <v>2.2637999999999998</v>
      </c>
      <c r="E1510" s="2" t="s">
        <v>391</v>
      </c>
    </row>
    <row r="1511" spans="1:5" ht="20.25" customHeight="1" x14ac:dyDescent="0.15">
      <c r="A1511" s="2" t="s">
        <v>718</v>
      </c>
      <c r="B1511" s="2" t="s">
        <v>719</v>
      </c>
      <c r="C1511" s="2">
        <v>1.55</v>
      </c>
      <c r="D1511" s="2">
        <v>4.6779000000000002</v>
      </c>
      <c r="E1511" s="2" t="s">
        <v>140</v>
      </c>
    </row>
    <row r="1512" spans="1:5" ht="20.25" customHeight="1" x14ac:dyDescent="0.15">
      <c r="A1512" s="2" t="s">
        <v>844</v>
      </c>
      <c r="B1512" s="2" t="s">
        <v>845</v>
      </c>
      <c r="C1512" s="2">
        <v>1.55</v>
      </c>
      <c r="D1512" s="2">
        <v>1.1277999999999999</v>
      </c>
      <c r="E1512" s="2" t="s">
        <v>146</v>
      </c>
    </row>
    <row r="1513" spans="1:5" ht="20.25" customHeight="1" x14ac:dyDescent="0.15">
      <c r="A1513" s="2" t="s">
        <v>1719</v>
      </c>
      <c r="B1513" s="2" t="s">
        <v>1720</v>
      </c>
      <c r="C1513" s="2">
        <v>1.55</v>
      </c>
      <c r="D1513" s="2">
        <v>0.59309999999999996</v>
      </c>
      <c r="E1513" s="2" t="s">
        <v>647</v>
      </c>
    </row>
    <row r="1514" spans="1:5" ht="20.25" customHeight="1" x14ac:dyDescent="0.15">
      <c r="A1514" s="2" t="s">
        <v>2646</v>
      </c>
      <c r="B1514" s="2" t="s">
        <v>2647</v>
      </c>
      <c r="C1514" s="2">
        <v>1.55</v>
      </c>
      <c r="D1514" s="2">
        <v>13.9566</v>
      </c>
      <c r="E1514" s="2" t="s">
        <v>44</v>
      </c>
    </row>
    <row r="1515" spans="1:5" ht="20.25" customHeight="1" x14ac:dyDescent="0.15">
      <c r="A1515" s="2" t="s">
        <v>3220</v>
      </c>
      <c r="B1515" s="2" t="s">
        <v>3221</v>
      </c>
      <c r="C1515" s="2">
        <v>1.55</v>
      </c>
      <c r="D1515" s="2">
        <v>1.9490000000000001</v>
      </c>
      <c r="E1515" s="2" t="s">
        <v>574</v>
      </c>
    </row>
    <row r="1516" spans="1:5" ht="20.25" customHeight="1" x14ac:dyDescent="0.15">
      <c r="A1516" s="2" t="s">
        <v>3372</v>
      </c>
      <c r="B1516" s="2" t="s">
        <v>3373</v>
      </c>
      <c r="C1516" s="2">
        <v>1.55</v>
      </c>
      <c r="D1516" s="2">
        <v>97.4131</v>
      </c>
      <c r="E1516" s="2" t="s">
        <v>1870</v>
      </c>
    </row>
    <row r="1517" spans="1:5" ht="20.25" customHeight="1" x14ac:dyDescent="0.15">
      <c r="A1517" s="2" t="s">
        <v>3779</v>
      </c>
      <c r="B1517" s="2" t="s">
        <v>3780</v>
      </c>
      <c r="C1517" s="2">
        <v>1.55</v>
      </c>
      <c r="D1517" s="2">
        <v>1.1628000000000001</v>
      </c>
      <c r="E1517" s="2" t="s">
        <v>265</v>
      </c>
    </row>
    <row r="1518" spans="1:5" ht="20.25" customHeight="1" x14ac:dyDescent="0.15">
      <c r="A1518" s="2" t="s">
        <v>4112</v>
      </c>
      <c r="B1518" s="2" t="s">
        <v>4113</v>
      </c>
      <c r="C1518" s="2">
        <v>1.55</v>
      </c>
      <c r="D1518" s="2">
        <v>12.8032</v>
      </c>
      <c r="E1518" s="2" t="s">
        <v>418</v>
      </c>
    </row>
    <row r="1519" spans="1:5" ht="20.25" customHeight="1" x14ac:dyDescent="0.15">
      <c r="A1519" s="2" t="s">
        <v>4390</v>
      </c>
      <c r="B1519" s="2" t="s">
        <v>4391</v>
      </c>
      <c r="C1519" s="2">
        <v>1.55</v>
      </c>
      <c r="D1519" s="2">
        <v>6.4503000000000004</v>
      </c>
      <c r="E1519" s="2" t="s">
        <v>1608</v>
      </c>
    </row>
    <row r="1520" spans="1:5" ht="20.25" customHeight="1" x14ac:dyDescent="0.15">
      <c r="A1520" s="2" t="s">
        <v>4948</v>
      </c>
      <c r="B1520" s="2" t="s">
        <v>4949</v>
      </c>
      <c r="C1520" s="2">
        <v>1.55</v>
      </c>
      <c r="D1520" s="2">
        <v>0.8034</v>
      </c>
      <c r="E1520" s="2" t="s">
        <v>89</v>
      </c>
    </row>
    <row r="1521" spans="1:5" ht="20.25" customHeight="1" x14ac:dyDescent="0.15">
      <c r="A1521" s="2" t="s">
        <v>6006</v>
      </c>
      <c r="B1521" s="2" t="s">
        <v>6007</v>
      </c>
      <c r="C1521" s="2">
        <v>1.55</v>
      </c>
      <c r="D1521" s="2">
        <v>1.3791</v>
      </c>
      <c r="E1521" s="2" t="s">
        <v>4720</v>
      </c>
    </row>
    <row r="1522" spans="1:5" ht="20.25" customHeight="1" x14ac:dyDescent="0.15">
      <c r="A1522" s="2" t="s">
        <v>6242</v>
      </c>
      <c r="B1522" s="2" t="s">
        <v>6243</v>
      </c>
      <c r="C1522" s="2">
        <v>1.55</v>
      </c>
      <c r="D1522" s="2">
        <v>3.9727000000000001</v>
      </c>
      <c r="E1522" s="2" t="s">
        <v>1011</v>
      </c>
    </row>
    <row r="1523" spans="1:5" ht="20.25" customHeight="1" x14ac:dyDescent="0.15">
      <c r="A1523" s="2" t="s">
        <v>7245</v>
      </c>
      <c r="B1523" s="2" t="s">
        <v>7246</v>
      </c>
      <c r="C1523" s="2">
        <v>1.55</v>
      </c>
      <c r="D1523" s="2">
        <v>0.2455</v>
      </c>
      <c r="E1523" s="2" t="s">
        <v>784</v>
      </c>
    </row>
    <row r="1524" spans="1:5" ht="20.25" customHeight="1" x14ac:dyDescent="0.15">
      <c r="A1524" s="2" t="s">
        <v>7351</v>
      </c>
      <c r="B1524" s="2" t="s">
        <v>7352</v>
      </c>
      <c r="C1524" s="2">
        <v>1.55</v>
      </c>
      <c r="D1524" s="2">
        <v>0.8105</v>
      </c>
      <c r="E1524" s="2" t="s">
        <v>385</v>
      </c>
    </row>
    <row r="1525" spans="1:5" ht="20.25" customHeight="1" x14ac:dyDescent="0.15">
      <c r="A1525" s="2" t="s">
        <v>7567</v>
      </c>
      <c r="B1525" s="2" t="s">
        <v>7568</v>
      </c>
      <c r="C1525" s="2">
        <v>1.55</v>
      </c>
      <c r="D1525" s="2">
        <v>1.9086000000000001</v>
      </c>
      <c r="E1525" s="2" t="s">
        <v>713</v>
      </c>
    </row>
    <row r="1526" spans="1:5" ht="20.25" customHeight="1" x14ac:dyDescent="0.15">
      <c r="A1526" s="2" t="s">
        <v>6955</v>
      </c>
      <c r="B1526" s="2" t="s">
        <v>6956</v>
      </c>
      <c r="C1526" s="2">
        <v>1.5449999999999999</v>
      </c>
      <c r="D1526" s="2">
        <v>3.9611999999999998</v>
      </c>
      <c r="E1526" s="2" t="s">
        <v>140</v>
      </c>
    </row>
    <row r="1527" spans="1:5" ht="20.25" customHeight="1" x14ac:dyDescent="0.15">
      <c r="A1527" s="2" t="s">
        <v>780</v>
      </c>
      <c r="B1527" s="2" t="s">
        <v>781</v>
      </c>
      <c r="C1527" s="2">
        <v>1.54</v>
      </c>
      <c r="D1527" s="2">
        <v>0.25850000000000001</v>
      </c>
      <c r="E1527" s="2" t="s">
        <v>483</v>
      </c>
    </row>
    <row r="1528" spans="1:5" ht="20.25" customHeight="1" x14ac:dyDescent="0.15">
      <c r="A1528" s="2" t="s">
        <v>1119</v>
      </c>
      <c r="B1528" s="2" t="s">
        <v>1120</v>
      </c>
      <c r="C1528" s="2">
        <v>1.54</v>
      </c>
      <c r="D1528" s="2">
        <v>1.8825000000000001</v>
      </c>
      <c r="E1528" s="2" t="s">
        <v>744</v>
      </c>
    </row>
    <row r="1529" spans="1:5" ht="20.25" customHeight="1" x14ac:dyDescent="0.15">
      <c r="A1529" s="2" t="s">
        <v>1556</v>
      </c>
      <c r="B1529" s="2" t="s">
        <v>1557</v>
      </c>
      <c r="C1529" s="2">
        <v>1.54</v>
      </c>
      <c r="D1529" s="2">
        <v>0.92569999999999997</v>
      </c>
      <c r="E1529" s="2" t="s">
        <v>359</v>
      </c>
    </row>
    <row r="1530" spans="1:5" ht="20.25" customHeight="1" x14ac:dyDescent="0.15">
      <c r="A1530" s="2" t="s">
        <v>2628</v>
      </c>
      <c r="B1530" s="2" t="s">
        <v>2629</v>
      </c>
      <c r="C1530" s="2">
        <v>1.54</v>
      </c>
      <c r="D1530" s="2">
        <v>5.69</v>
      </c>
      <c r="E1530" s="2" t="s">
        <v>21</v>
      </c>
    </row>
    <row r="1531" spans="1:5" ht="20.25" customHeight="1" x14ac:dyDescent="0.15">
      <c r="A1531" s="2" t="s">
        <v>3869</v>
      </c>
      <c r="B1531" s="2" t="s">
        <v>3870</v>
      </c>
      <c r="C1531" s="2">
        <v>1.54</v>
      </c>
      <c r="D1531" s="2">
        <v>5.0327999999999999</v>
      </c>
      <c r="E1531" s="2" t="s">
        <v>171</v>
      </c>
    </row>
    <row r="1532" spans="1:5" ht="20.25" customHeight="1" x14ac:dyDescent="0.15">
      <c r="A1532" s="2" t="s">
        <v>4044</v>
      </c>
      <c r="B1532" s="2" t="s">
        <v>4045</v>
      </c>
      <c r="C1532" s="2">
        <v>1.54</v>
      </c>
      <c r="D1532" s="2">
        <v>2.5059</v>
      </c>
      <c r="E1532" s="2" t="s">
        <v>207</v>
      </c>
    </row>
    <row r="1533" spans="1:5" ht="20.25" customHeight="1" x14ac:dyDescent="0.15">
      <c r="A1533" s="2" t="s">
        <v>4186</v>
      </c>
      <c r="B1533" s="2" t="s">
        <v>4187</v>
      </c>
      <c r="C1533" s="2">
        <v>1.54</v>
      </c>
      <c r="D1533" s="2">
        <v>1.5077</v>
      </c>
      <c r="E1533" s="2" t="s">
        <v>1145</v>
      </c>
    </row>
    <row r="1534" spans="1:5" ht="20.25" customHeight="1" x14ac:dyDescent="0.15">
      <c r="A1534" s="2" t="s">
        <v>4280</v>
      </c>
      <c r="B1534" s="2" t="s">
        <v>4281</v>
      </c>
      <c r="C1534" s="2">
        <v>1.54</v>
      </c>
      <c r="D1534" s="2">
        <v>0.4415</v>
      </c>
      <c r="E1534" s="2" t="s">
        <v>818</v>
      </c>
    </row>
    <row r="1535" spans="1:5" ht="20.25" customHeight="1" x14ac:dyDescent="0.15">
      <c r="A1535" s="2" t="s">
        <v>4342</v>
      </c>
      <c r="B1535" s="2" t="s">
        <v>4343</v>
      </c>
      <c r="C1535" s="2">
        <v>1.54</v>
      </c>
      <c r="D1535" s="2">
        <v>4.0008999999999997</v>
      </c>
      <c r="E1535" s="2" t="s">
        <v>201</v>
      </c>
    </row>
    <row r="1536" spans="1:5" ht="20.25" customHeight="1" x14ac:dyDescent="0.15">
      <c r="A1536" s="2" t="s">
        <v>8325</v>
      </c>
      <c r="B1536" s="2" t="s">
        <v>8326</v>
      </c>
      <c r="C1536" s="2">
        <v>1.54</v>
      </c>
      <c r="D1536" s="2">
        <v>1.1758</v>
      </c>
      <c r="E1536" s="2" t="s">
        <v>2681</v>
      </c>
    </row>
    <row r="1537" spans="1:5" ht="20.25" customHeight="1" x14ac:dyDescent="0.15">
      <c r="A1537" s="2" t="s">
        <v>2815</v>
      </c>
      <c r="B1537" s="2" t="s">
        <v>2816</v>
      </c>
      <c r="C1537" s="2">
        <v>1.5349999999999999</v>
      </c>
      <c r="D1537" s="2">
        <v>415.23239999999998</v>
      </c>
      <c r="E1537" s="2" t="s">
        <v>677</v>
      </c>
    </row>
    <row r="1538" spans="1:5" ht="20.25" customHeight="1" x14ac:dyDescent="0.15">
      <c r="A1538" s="2" t="s">
        <v>895</v>
      </c>
      <c r="B1538" s="2" t="s">
        <v>896</v>
      </c>
      <c r="C1538" s="2">
        <v>1.53</v>
      </c>
      <c r="D1538" s="2">
        <v>0.25340000000000001</v>
      </c>
      <c r="E1538" s="2" t="s">
        <v>897</v>
      </c>
    </row>
    <row r="1539" spans="1:5" ht="20.25" customHeight="1" x14ac:dyDescent="0.15">
      <c r="A1539" s="2" t="s">
        <v>1604</v>
      </c>
      <c r="B1539" s="2" t="s">
        <v>1605</v>
      </c>
      <c r="C1539" s="2">
        <v>1.53</v>
      </c>
      <c r="D1539" s="2">
        <v>0.54410000000000003</v>
      </c>
      <c r="E1539" s="2" t="s">
        <v>44</v>
      </c>
    </row>
    <row r="1540" spans="1:5" ht="20.25" customHeight="1" x14ac:dyDescent="0.15">
      <c r="A1540" s="2" t="s">
        <v>2570</v>
      </c>
      <c r="B1540" s="2" t="s">
        <v>2571</v>
      </c>
      <c r="C1540" s="2">
        <v>1.53</v>
      </c>
      <c r="D1540" s="2">
        <v>5.6222000000000003</v>
      </c>
      <c r="E1540" s="2" t="s">
        <v>245</v>
      </c>
    </row>
    <row r="1541" spans="1:5" ht="20.25" customHeight="1" x14ac:dyDescent="0.15">
      <c r="A1541" s="2" t="s">
        <v>2688</v>
      </c>
      <c r="B1541" s="2" t="s">
        <v>2689</v>
      </c>
      <c r="C1541" s="2">
        <v>1.53</v>
      </c>
      <c r="D1541" s="2">
        <v>0.59319999999999995</v>
      </c>
      <c r="E1541" s="2" t="s">
        <v>571</v>
      </c>
    </row>
    <row r="1542" spans="1:5" ht="20.25" customHeight="1" x14ac:dyDescent="0.15">
      <c r="A1542" s="2" t="s">
        <v>3435</v>
      </c>
      <c r="B1542" s="2" t="s">
        <v>3436</v>
      </c>
      <c r="C1542" s="2">
        <v>1.53</v>
      </c>
      <c r="D1542" s="2">
        <v>32.427700000000002</v>
      </c>
      <c r="E1542" s="2" t="s">
        <v>86</v>
      </c>
    </row>
    <row r="1543" spans="1:5" ht="20.25" customHeight="1" x14ac:dyDescent="0.15">
      <c r="A1543" s="2" t="s">
        <v>4194</v>
      </c>
      <c r="B1543" s="2" t="s">
        <v>4195</v>
      </c>
      <c r="C1543" s="2">
        <v>1.53</v>
      </c>
      <c r="D1543" s="2">
        <v>2.8953000000000002</v>
      </c>
      <c r="E1543" s="2" t="s">
        <v>257</v>
      </c>
    </row>
    <row r="1544" spans="1:5" ht="20.25" customHeight="1" x14ac:dyDescent="0.15">
      <c r="A1544" s="2" t="s">
        <v>4328</v>
      </c>
      <c r="B1544" s="2" t="s">
        <v>4329</v>
      </c>
      <c r="C1544" s="2">
        <v>1.53</v>
      </c>
      <c r="D1544" s="2">
        <v>1.2642</v>
      </c>
      <c r="E1544" s="2" t="s">
        <v>52</v>
      </c>
    </row>
    <row r="1545" spans="1:5" ht="20.25" customHeight="1" x14ac:dyDescent="0.15">
      <c r="A1545" s="2" t="s">
        <v>5124</v>
      </c>
      <c r="B1545" s="2" t="s">
        <v>5125</v>
      </c>
      <c r="C1545" s="2">
        <v>1.53</v>
      </c>
      <c r="D1545" s="2">
        <v>0.50609999999999999</v>
      </c>
      <c r="E1545" s="2" t="s">
        <v>286</v>
      </c>
    </row>
    <row r="1546" spans="1:5" ht="20.25" customHeight="1" x14ac:dyDescent="0.15">
      <c r="A1546" s="2" t="s">
        <v>7355</v>
      </c>
      <c r="B1546" s="2" t="s">
        <v>7356</v>
      </c>
      <c r="C1546" s="2">
        <v>1.53</v>
      </c>
      <c r="D1546" s="2">
        <v>1.1454</v>
      </c>
      <c r="E1546" s="2" t="s">
        <v>201</v>
      </c>
    </row>
    <row r="1547" spans="1:5" ht="20.25" customHeight="1" x14ac:dyDescent="0.15">
      <c r="A1547" s="2" t="s">
        <v>772</v>
      </c>
      <c r="B1547" s="2" t="s">
        <v>773</v>
      </c>
      <c r="C1547" s="2">
        <v>1.5249999999999999</v>
      </c>
      <c r="D1547" s="2">
        <v>0.74829999999999997</v>
      </c>
      <c r="E1547" s="2" t="s">
        <v>747</v>
      </c>
    </row>
    <row r="1548" spans="1:5" ht="20.25" customHeight="1" x14ac:dyDescent="0.15">
      <c r="A1548" s="2" t="s">
        <v>852</v>
      </c>
      <c r="B1548" s="2" t="s">
        <v>853</v>
      </c>
      <c r="C1548" s="2">
        <v>1.52</v>
      </c>
      <c r="D1548" s="2">
        <v>0.26429999999999998</v>
      </c>
      <c r="E1548" s="2" t="s">
        <v>171</v>
      </c>
    </row>
    <row r="1549" spans="1:5" ht="20.25" customHeight="1" x14ac:dyDescent="0.15">
      <c r="A1549" s="2" t="s">
        <v>1634</v>
      </c>
      <c r="B1549" s="2" t="s">
        <v>1635</v>
      </c>
      <c r="C1549" s="2">
        <v>1.52</v>
      </c>
      <c r="D1549" s="2">
        <v>3.669</v>
      </c>
      <c r="E1549" s="2" t="s">
        <v>574</v>
      </c>
    </row>
    <row r="1550" spans="1:5" ht="20.25" customHeight="1" x14ac:dyDescent="0.15">
      <c r="A1550" s="2" t="s">
        <v>1670</v>
      </c>
      <c r="B1550" s="2" t="s">
        <v>1671</v>
      </c>
      <c r="C1550" s="2">
        <v>1.52</v>
      </c>
      <c r="D1550" s="2">
        <v>4.1102999999999996</v>
      </c>
      <c r="E1550" s="2" t="s">
        <v>185</v>
      </c>
    </row>
    <row r="1551" spans="1:5" ht="20.25" customHeight="1" x14ac:dyDescent="0.15">
      <c r="A1551" s="2" t="s">
        <v>3046</v>
      </c>
      <c r="B1551" s="2" t="s">
        <v>3047</v>
      </c>
      <c r="C1551" s="2">
        <v>1.52</v>
      </c>
      <c r="D1551" s="2">
        <v>1.8223</v>
      </c>
      <c r="E1551" s="2" t="s">
        <v>3048</v>
      </c>
    </row>
    <row r="1552" spans="1:5" ht="20.25" customHeight="1" x14ac:dyDescent="0.15">
      <c r="A1552" s="2" t="s">
        <v>4584</v>
      </c>
      <c r="B1552" s="2" t="s">
        <v>4585</v>
      </c>
      <c r="C1552" s="2">
        <v>1.52</v>
      </c>
      <c r="D1552" s="2">
        <v>0.50229999999999997</v>
      </c>
      <c r="E1552" s="2" t="s">
        <v>713</v>
      </c>
    </row>
    <row r="1553" spans="1:5" ht="20.25" customHeight="1" x14ac:dyDescent="0.15">
      <c r="A1553" s="2" t="s">
        <v>5226</v>
      </c>
      <c r="B1553" s="2" t="s">
        <v>5227</v>
      </c>
      <c r="C1553" s="2">
        <v>1.52</v>
      </c>
      <c r="D1553" s="2">
        <v>0.2918</v>
      </c>
      <c r="E1553" s="2" t="s">
        <v>89</v>
      </c>
    </row>
    <row r="1554" spans="1:5" ht="20.25" customHeight="1" x14ac:dyDescent="0.15">
      <c r="A1554" s="2" t="s">
        <v>6318</v>
      </c>
      <c r="B1554" s="2" t="s">
        <v>6319</v>
      </c>
      <c r="C1554" s="2">
        <v>1.52</v>
      </c>
      <c r="D1554" s="2">
        <v>4.1196000000000002</v>
      </c>
      <c r="E1554" s="2" t="s">
        <v>571</v>
      </c>
    </row>
    <row r="1555" spans="1:5" ht="20.25" customHeight="1" x14ac:dyDescent="0.15">
      <c r="A1555" s="2" t="s">
        <v>7061</v>
      </c>
      <c r="B1555" s="2" t="s">
        <v>7062</v>
      </c>
      <c r="C1555" s="2">
        <v>1.52</v>
      </c>
      <c r="D1555" s="2">
        <v>1.6538999999999999</v>
      </c>
      <c r="E1555" s="2" t="s">
        <v>704</v>
      </c>
    </row>
    <row r="1556" spans="1:5" ht="20.25" customHeight="1" x14ac:dyDescent="0.15">
      <c r="A1556" s="2" t="s">
        <v>7965</v>
      </c>
      <c r="B1556" s="2" t="s">
        <v>7966</v>
      </c>
      <c r="C1556" s="2">
        <v>1.52</v>
      </c>
      <c r="D1556" s="2">
        <v>1.6069</v>
      </c>
      <c r="E1556" s="2" t="s">
        <v>1608</v>
      </c>
    </row>
    <row r="1557" spans="1:5" ht="20.25" customHeight="1" x14ac:dyDescent="0.15">
      <c r="A1557" s="2" t="s">
        <v>8051</v>
      </c>
      <c r="B1557" s="2" t="s">
        <v>8052</v>
      </c>
      <c r="C1557" s="2">
        <v>1.52</v>
      </c>
      <c r="D1557" s="2">
        <v>0.39500000000000002</v>
      </c>
      <c r="E1557" s="2" t="s">
        <v>2724</v>
      </c>
    </row>
    <row r="1558" spans="1:5" ht="20.25" customHeight="1" x14ac:dyDescent="0.15">
      <c r="A1558" s="2" t="s">
        <v>5629</v>
      </c>
      <c r="B1558" s="2" t="s">
        <v>5630</v>
      </c>
      <c r="C1558" s="2">
        <v>1.5149999999999999</v>
      </c>
      <c r="D1558" s="2">
        <v>0.44529999999999997</v>
      </c>
      <c r="E1558" s="2" t="s">
        <v>787</v>
      </c>
    </row>
    <row r="1559" spans="1:5" ht="20.25" customHeight="1" x14ac:dyDescent="0.15">
      <c r="A1559" s="2" t="s">
        <v>7523</v>
      </c>
      <c r="B1559" s="2" t="s">
        <v>7524</v>
      </c>
      <c r="C1559" s="2">
        <v>1.5149999999999999</v>
      </c>
      <c r="D1559" s="2">
        <v>0.21390000000000001</v>
      </c>
      <c r="E1559" s="2" t="s">
        <v>1243</v>
      </c>
    </row>
    <row r="1560" spans="1:5" ht="20.25" customHeight="1" x14ac:dyDescent="0.15">
      <c r="A1560" s="2" t="s">
        <v>914</v>
      </c>
      <c r="B1560" s="2" t="s">
        <v>915</v>
      </c>
      <c r="C1560" s="2">
        <v>1.51</v>
      </c>
      <c r="D1560" s="2">
        <v>2.6781999999999999</v>
      </c>
      <c r="E1560" s="2" t="s">
        <v>916</v>
      </c>
    </row>
    <row r="1561" spans="1:5" ht="20.25" customHeight="1" x14ac:dyDescent="0.15">
      <c r="A1561" s="2" t="s">
        <v>1995</v>
      </c>
      <c r="B1561" s="2" t="s">
        <v>1996</v>
      </c>
      <c r="C1561" s="2">
        <v>1.51</v>
      </c>
      <c r="D1561" s="2">
        <v>0.50609999999999999</v>
      </c>
      <c r="E1561" s="2" t="s">
        <v>1997</v>
      </c>
    </row>
    <row r="1562" spans="1:5" ht="20.25" customHeight="1" x14ac:dyDescent="0.15">
      <c r="A1562" s="2" t="s">
        <v>2222</v>
      </c>
      <c r="B1562" s="2" t="s">
        <v>2223</v>
      </c>
      <c r="C1562" s="2">
        <v>1.51</v>
      </c>
      <c r="D1562" s="2">
        <v>1.4213</v>
      </c>
      <c r="E1562" s="2" t="s">
        <v>769</v>
      </c>
    </row>
    <row r="1563" spans="1:5" ht="20.25" customHeight="1" x14ac:dyDescent="0.15">
      <c r="A1563" s="2" t="s">
        <v>2364</v>
      </c>
      <c r="B1563" s="2" t="s">
        <v>2365</v>
      </c>
      <c r="C1563" s="2">
        <v>1.51</v>
      </c>
      <c r="D1563" s="2">
        <v>0.37580000000000002</v>
      </c>
      <c r="E1563" s="2" t="s">
        <v>799</v>
      </c>
    </row>
    <row r="1564" spans="1:5" ht="20.25" customHeight="1" x14ac:dyDescent="0.15">
      <c r="A1564" s="2" t="s">
        <v>2415</v>
      </c>
      <c r="B1564" s="2" t="s">
        <v>2416</v>
      </c>
      <c r="C1564" s="2">
        <v>1.51</v>
      </c>
      <c r="D1564" s="2">
        <v>0.19439999999999999</v>
      </c>
      <c r="E1564" s="2" t="s">
        <v>322</v>
      </c>
    </row>
    <row r="1565" spans="1:5" ht="20.25" customHeight="1" x14ac:dyDescent="0.15">
      <c r="A1565" s="2" t="s">
        <v>2833</v>
      </c>
      <c r="B1565" s="2" t="s">
        <v>2834</v>
      </c>
      <c r="C1565" s="2">
        <v>1.51</v>
      </c>
      <c r="D1565" s="2">
        <v>2.5325000000000002</v>
      </c>
      <c r="E1565" s="2" t="s">
        <v>204</v>
      </c>
    </row>
    <row r="1566" spans="1:5" ht="20.25" customHeight="1" x14ac:dyDescent="0.15">
      <c r="A1566" s="2" t="s">
        <v>3058</v>
      </c>
      <c r="B1566" s="2" t="s">
        <v>3059</v>
      </c>
      <c r="C1566" s="2">
        <v>1.51</v>
      </c>
      <c r="D1566" s="2">
        <v>20.355799999999999</v>
      </c>
      <c r="E1566" s="2" t="s">
        <v>1593</v>
      </c>
    </row>
    <row r="1567" spans="1:5" ht="20.25" customHeight="1" x14ac:dyDescent="0.15">
      <c r="A1567" s="2" t="s">
        <v>4420</v>
      </c>
      <c r="B1567" s="2" t="s">
        <v>4421</v>
      </c>
      <c r="C1567" s="2">
        <v>1.51</v>
      </c>
      <c r="D1567" s="2">
        <v>4.1054000000000004</v>
      </c>
      <c r="E1567" s="2" t="s">
        <v>421</v>
      </c>
    </row>
    <row r="1568" spans="1:5" ht="20.25" customHeight="1" x14ac:dyDescent="0.15">
      <c r="A1568" s="2" t="s">
        <v>4833</v>
      </c>
      <c r="B1568" s="2" t="s">
        <v>4834</v>
      </c>
      <c r="C1568" s="2">
        <v>1.51</v>
      </c>
      <c r="D1568" s="2">
        <v>4.6761999999999997</v>
      </c>
      <c r="E1568" s="2" t="s">
        <v>1099</v>
      </c>
    </row>
    <row r="1569" spans="1:5" ht="20.25" customHeight="1" x14ac:dyDescent="0.15">
      <c r="A1569" s="2" t="s">
        <v>5527</v>
      </c>
      <c r="B1569" s="2" t="s">
        <v>5528</v>
      </c>
      <c r="C1569" s="2">
        <v>1.51</v>
      </c>
      <c r="D1569" s="2">
        <v>1.2454000000000001</v>
      </c>
      <c r="E1569" s="2" t="s">
        <v>699</v>
      </c>
    </row>
    <row r="1570" spans="1:5" ht="20.25" customHeight="1" x14ac:dyDescent="0.15">
      <c r="A1570" s="2" t="s">
        <v>5776</v>
      </c>
      <c r="B1570" s="2" t="s">
        <v>5777</v>
      </c>
      <c r="C1570" s="2">
        <v>1.51</v>
      </c>
      <c r="D1570" s="2">
        <v>0.33989999999999998</v>
      </c>
      <c r="E1570" s="2" t="s">
        <v>713</v>
      </c>
    </row>
    <row r="1571" spans="1:5" ht="20.25" customHeight="1" x14ac:dyDescent="0.15">
      <c r="A1571" s="2" t="s">
        <v>5884</v>
      </c>
      <c r="B1571" s="2" t="s">
        <v>5885</v>
      </c>
      <c r="C1571" s="2">
        <v>1.51</v>
      </c>
      <c r="D1571" s="2">
        <v>1.2068000000000001</v>
      </c>
      <c r="E1571" s="2" t="s">
        <v>299</v>
      </c>
    </row>
    <row r="1572" spans="1:5" ht="20.25" customHeight="1" x14ac:dyDescent="0.15">
      <c r="A1572" s="2" t="s">
        <v>6542</v>
      </c>
      <c r="B1572" s="2" t="s">
        <v>6543</v>
      </c>
      <c r="C1572" s="2">
        <v>1.51</v>
      </c>
      <c r="D1572" s="2">
        <v>4.9657</v>
      </c>
      <c r="E1572" s="2" t="s">
        <v>982</v>
      </c>
    </row>
    <row r="1573" spans="1:5" ht="20.25" customHeight="1" x14ac:dyDescent="0.15">
      <c r="A1573" s="2" t="s">
        <v>7401</v>
      </c>
      <c r="B1573" s="2" t="s">
        <v>7402</v>
      </c>
      <c r="C1573" s="2">
        <v>1.51</v>
      </c>
      <c r="D1573" s="2">
        <v>0.99380000000000002</v>
      </c>
      <c r="E1573" s="2" t="s">
        <v>140</v>
      </c>
    </row>
    <row r="1574" spans="1:5" ht="20.25" customHeight="1" x14ac:dyDescent="0.15">
      <c r="A1574" s="2" t="s">
        <v>7627</v>
      </c>
      <c r="B1574" s="2" t="s">
        <v>7628</v>
      </c>
      <c r="C1574" s="2">
        <v>1.51</v>
      </c>
      <c r="D1574" s="2">
        <v>0.68879999999999997</v>
      </c>
      <c r="E1574" s="2" t="s">
        <v>818</v>
      </c>
    </row>
    <row r="1575" spans="1:5" ht="20.25" customHeight="1" x14ac:dyDescent="0.15">
      <c r="A1575" s="2" t="s">
        <v>7971</v>
      </c>
      <c r="B1575" s="2" t="s">
        <v>7972</v>
      </c>
      <c r="C1575" s="2">
        <v>1.51</v>
      </c>
      <c r="D1575" s="2">
        <v>1.0483</v>
      </c>
      <c r="E1575" s="2" t="s">
        <v>3130</v>
      </c>
    </row>
    <row r="1576" spans="1:5" ht="20.25" customHeight="1" x14ac:dyDescent="0.15">
      <c r="A1576" s="2" t="s">
        <v>386</v>
      </c>
      <c r="B1576" s="2" t="s">
        <v>387</v>
      </c>
      <c r="C1576" s="2">
        <v>1.5</v>
      </c>
      <c r="D1576" s="2">
        <v>0.89590000000000003</v>
      </c>
      <c r="E1576" s="2" t="s">
        <v>388</v>
      </c>
    </row>
    <row r="1577" spans="1:5" ht="20.25" customHeight="1" x14ac:dyDescent="0.15">
      <c r="A1577" s="2" t="s">
        <v>858</v>
      </c>
      <c r="B1577" s="2" t="s">
        <v>859</v>
      </c>
      <c r="C1577" s="2">
        <v>1.5</v>
      </c>
      <c r="D1577" s="2">
        <v>35.464100000000002</v>
      </c>
      <c r="E1577" s="2" t="s">
        <v>633</v>
      </c>
    </row>
    <row r="1578" spans="1:5" ht="20.25" customHeight="1" x14ac:dyDescent="0.15">
      <c r="A1578" s="2" t="s">
        <v>1005</v>
      </c>
      <c r="B1578" s="2" t="s">
        <v>1006</v>
      </c>
      <c r="C1578" s="2">
        <v>1.5</v>
      </c>
      <c r="D1578" s="2">
        <v>0.89980000000000004</v>
      </c>
      <c r="E1578" s="2" t="s">
        <v>89</v>
      </c>
    </row>
    <row r="1579" spans="1:5" ht="20.25" customHeight="1" x14ac:dyDescent="0.15">
      <c r="A1579" s="2" t="s">
        <v>1218</v>
      </c>
      <c r="B1579" s="2" t="s">
        <v>1219</v>
      </c>
      <c r="C1579" s="2">
        <v>1.5</v>
      </c>
      <c r="D1579" s="2">
        <v>0.68799999999999994</v>
      </c>
      <c r="E1579" s="2" t="s">
        <v>201</v>
      </c>
    </row>
    <row r="1580" spans="1:5" ht="20.25" customHeight="1" x14ac:dyDescent="0.15">
      <c r="A1580" s="2" t="s">
        <v>2131</v>
      </c>
      <c r="B1580" s="2" t="s">
        <v>2132</v>
      </c>
      <c r="C1580" s="2">
        <v>1.5</v>
      </c>
      <c r="D1580" s="2">
        <v>3.0834000000000001</v>
      </c>
      <c r="E1580" s="2" t="s">
        <v>137</v>
      </c>
    </row>
    <row r="1581" spans="1:5" ht="20.25" customHeight="1" x14ac:dyDescent="0.15">
      <c r="A1581" s="2" t="s">
        <v>3891</v>
      </c>
      <c r="B1581" s="2" t="s">
        <v>3892</v>
      </c>
      <c r="C1581" s="2">
        <v>1.5</v>
      </c>
      <c r="D1581" s="2">
        <v>4.6855000000000002</v>
      </c>
      <c r="E1581" s="2" t="s">
        <v>140</v>
      </c>
    </row>
    <row r="1582" spans="1:5" ht="20.25" customHeight="1" x14ac:dyDescent="0.15">
      <c r="A1582" s="2" t="s">
        <v>4400</v>
      </c>
      <c r="B1582" s="2" t="s">
        <v>4401</v>
      </c>
      <c r="C1582" s="2">
        <v>1.5</v>
      </c>
      <c r="D1582" s="2">
        <v>0.44829999999999998</v>
      </c>
      <c r="E1582" s="2" t="s">
        <v>286</v>
      </c>
    </row>
    <row r="1583" spans="1:5" ht="20.25" customHeight="1" x14ac:dyDescent="0.15">
      <c r="A1583" s="2" t="s">
        <v>5144</v>
      </c>
      <c r="B1583" s="2" t="s">
        <v>5145</v>
      </c>
      <c r="C1583" s="2">
        <v>1.5</v>
      </c>
      <c r="D1583" s="2">
        <v>1.9483999999999999</v>
      </c>
      <c r="E1583" s="2" t="s">
        <v>1403</v>
      </c>
    </row>
    <row r="1584" spans="1:5" ht="20.25" customHeight="1" x14ac:dyDescent="0.15">
      <c r="A1584" s="2" t="s">
        <v>5421</v>
      </c>
      <c r="B1584" s="2" t="s">
        <v>5422</v>
      </c>
      <c r="C1584" s="2">
        <v>1.5</v>
      </c>
      <c r="D1584" s="2">
        <v>9.6689000000000007</v>
      </c>
      <c r="E1584" s="2" t="s">
        <v>677</v>
      </c>
    </row>
    <row r="1585" spans="1:5" ht="20.25" customHeight="1" x14ac:dyDescent="0.15">
      <c r="A1585" s="2" t="s">
        <v>6528</v>
      </c>
      <c r="B1585" s="2" t="s">
        <v>6529</v>
      </c>
      <c r="C1585" s="2">
        <v>1.5</v>
      </c>
      <c r="D1585" s="2">
        <v>1.3012999999999999</v>
      </c>
      <c r="E1585" s="2" t="s">
        <v>667</v>
      </c>
    </row>
    <row r="1586" spans="1:5" ht="20.25" customHeight="1" x14ac:dyDescent="0.15">
      <c r="A1586" s="2" t="s">
        <v>6600</v>
      </c>
      <c r="B1586" s="2" t="s">
        <v>6601</v>
      </c>
      <c r="C1586" s="2">
        <v>1.5</v>
      </c>
      <c r="D1586" s="2">
        <v>7.6901000000000002</v>
      </c>
      <c r="E1586" s="2" t="s">
        <v>68</v>
      </c>
    </row>
    <row r="1587" spans="1:5" ht="20.25" customHeight="1" x14ac:dyDescent="0.15">
      <c r="A1587" s="2" t="s">
        <v>7023</v>
      </c>
      <c r="B1587" s="2" t="s">
        <v>7024</v>
      </c>
      <c r="C1587" s="2">
        <v>1.5</v>
      </c>
      <c r="D1587" s="2">
        <v>37.298499999999997</v>
      </c>
      <c r="E1587" s="2" t="s">
        <v>310</v>
      </c>
    </row>
    <row r="1588" spans="1:5" ht="20.25" customHeight="1" x14ac:dyDescent="0.15">
      <c r="A1588" s="2" t="s">
        <v>7187</v>
      </c>
      <c r="B1588" s="2" t="s">
        <v>7188</v>
      </c>
      <c r="C1588" s="2">
        <v>1.5</v>
      </c>
      <c r="D1588" s="2">
        <v>6.1047000000000002</v>
      </c>
      <c r="E1588" s="2" t="s">
        <v>1338</v>
      </c>
    </row>
    <row r="1589" spans="1:5" ht="20.25" customHeight="1" x14ac:dyDescent="0.15">
      <c r="A1589" s="2" t="s">
        <v>7255</v>
      </c>
      <c r="B1589" s="2" t="s">
        <v>7256</v>
      </c>
      <c r="C1589" s="2">
        <v>1.5</v>
      </c>
      <c r="D1589" s="2">
        <v>1.1037999999999999</v>
      </c>
      <c r="E1589" s="2" t="s">
        <v>310</v>
      </c>
    </row>
    <row r="1590" spans="1:5" ht="20.25" customHeight="1" x14ac:dyDescent="0.15">
      <c r="A1590" s="2" t="s">
        <v>4504</v>
      </c>
      <c r="B1590" s="2" t="s">
        <v>4505</v>
      </c>
      <c r="C1590" s="2">
        <v>1.4950000000000001</v>
      </c>
      <c r="D1590" s="2">
        <v>1.7296</v>
      </c>
      <c r="E1590" s="2" t="s">
        <v>171</v>
      </c>
    </row>
    <row r="1591" spans="1:5" ht="20.25" customHeight="1" x14ac:dyDescent="0.15">
      <c r="A1591" s="2" t="s">
        <v>8169</v>
      </c>
      <c r="B1591" s="2" t="s">
        <v>8170</v>
      </c>
      <c r="C1591" s="2">
        <v>1.4950000000000001</v>
      </c>
      <c r="D1591" s="2">
        <v>1.4316</v>
      </c>
      <c r="E1591" s="2" t="s">
        <v>589</v>
      </c>
    </row>
    <row r="1592" spans="1:5" ht="20.25" customHeight="1" x14ac:dyDescent="0.15">
      <c r="A1592" s="2" t="s">
        <v>8413</v>
      </c>
      <c r="B1592" s="2" t="s">
        <v>8414</v>
      </c>
      <c r="C1592" s="2">
        <v>1.4950000000000001</v>
      </c>
      <c r="D1592" s="2">
        <v>4.3838999999999997</v>
      </c>
      <c r="E1592" s="2" t="s">
        <v>3048</v>
      </c>
    </row>
    <row r="1593" spans="1:5" ht="20.25" customHeight="1" x14ac:dyDescent="0.15">
      <c r="A1593" s="2" t="s">
        <v>622</v>
      </c>
      <c r="B1593" s="2" t="s">
        <v>623</v>
      </c>
      <c r="C1593" s="2">
        <v>1.49</v>
      </c>
      <c r="D1593" s="2">
        <v>0.63290000000000002</v>
      </c>
      <c r="E1593" s="2" t="s">
        <v>286</v>
      </c>
    </row>
    <row r="1594" spans="1:5" ht="20.25" customHeight="1" x14ac:dyDescent="0.15">
      <c r="A1594" s="2" t="s">
        <v>1322</v>
      </c>
      <c r="B1594" s="2" t="s">
        <v>1323</v>
      </c>
      <c r="C1594" s="2">
        <v>1.49</v>
      </c>
      <c r="D1594" s="2">
        <v>0.32579999999999998</v>
      </c>
      <c r="E1594" s="2" t="s">
        <v>134</v>
      </c>
    </row>
    <row r="1595" spans="1:5" ht="20.25" customHeight="1" x14ac:dyDescent="0.15">
      <c r="A1595" s="2" t="s">
        <v>1363</v>
      </c>
      <c r="B1595" s="2" t="s">
        <v>1364</v>
      </c>
      <c r="C1595" s="2">
        <v>1.49</v>
      </c>
      <c r="D1595" s="2">
        <v>6.93E-2</v>
      </c>
      <c r="E1595" s="2" t="s">
        <v>201</v>
      </c>
    </row>
    <row r="1596" spans="1:5" ht="20.25" customHeight="1" x14ac:dyDescent="0.15">
      <c r="A1596" s="2" t="s">
        <v>1401</v>
      </c>
      <c r="B1596" s="2" t="s">
        <v>1402</v>
      </c>
      <c r="C1596" s="2">
        <v>1.49</v>
      </c>
      <c r="D1596" s="2">
        <v>0.39119999999999999</v>
      </c>
      <c r="E1596" s="2" t="s">
        <v>1403</v>
      </c>
    </row>
    <row r="1597" spans="1:5" ht="20.25" customHeight="1" x14ac:dyDescent="0.15">
      <c r="A1597" s="2" t="s">
        <v>1961</v>
      </c>
      <c r="B1597" s="2" t="s">
        <v>1962</v>
      </c>
      <c r="C1597" s="2">
        <v>1.49</v>
      </c>
      <c r="D1597" s="2">
        <v>0.85409999999999997</v>
      </c>
      <c r="E1597" s="2" t="s">
        <v>1820</v>
      </c>
    </row>
    <row r="1598" spans="1:5" ht="20.25" customHeight="1" x14ac:dyDescent="0.15">
      <c r="A1598" s="2" t="s">
        <v>2230</v>
      </c>
      <c r="B1598" s="2" t="s">
        <v>2231</v>
      </c>
      <c r="C1598" s="2">
        <v>1.49</v>
      </c>
      <c r="D1598" s="2">
        <v>1.3461000000000001</v>
      </c>
      <c r="E1598" s="2" t="s">
        <v>140</v>
      </c>
    </row>
    <row r="1599" spans="1:5" ht="20.25" customHeight="1" x14ac:dyDescent="0.15">
      <c r="A1599" s="2" t="s">
        <v>2439</v>
      </c>
      <c r="B1599" s="2" t="s">
        <v>2440</v>
      </c>
      <c r="C1599" s="2">
        <v>1.49</v>
      </c>
      <c r="D1599" s="2">
        <v>0.34660000000000002</v>
      </c>
      <c r="E1599" s="2" t="s">
        <v>667</v>
      </c>
    </row>
    <row r="1600" spans="1:5" ht="20.25" customHeight="1" x14ac:dyDescent="0.15">
      <c r="A1600" s="2" t="s">
        <v>2843</v>
      </c>
      <c r="B1600" s="2" t="s">
        <v>2844</v>
      </c>
      <c r="C1600" s="2">
        <v>1.49</v>
      </c>
      <c r="D1600" s="2">
        <v>0.97440000000000004</v>
      </c>
      <c r="E1600" s="2" t="s">
        <v>784</v>
      </c>
    </row>
    <row r="1601" spans="1:5" ht="20.25" customHeight="1" x14ac:dyDescent="0.15">
      <c r="A1601" s="2" t="s">
        <v>3391</v>
      </c>
      <c r="B1601" s="2" t="s">
        <v>3392</v>
      </c>
      <c r="C1601" s="2">
        <v>1.49</v>
      </c>
      <c r="D1601" s="2">
        <v>1.5651999999999999</v>
      </c>
      <c r="E1601" s="2" t="s">
        <v>747</v>
      </c>
    </row>
    <row r="1602" spans="1:5" ht="20.25" customHeight="1" x14ac:dyDescent="0.15">
      <c r="A1602" s="2" t="s">
        <v>5070</v>
      </c>
      <c r="B1602" s="2" t="s">
        <v>5071</v>
      </c>
      <c r="C1602" s="2">
        <v>1.49</v>
      </c>
      <c r="D1602" s="2">
        <v>5.89</v>
      </c>
      <c r="E1602" s="2" t="s">
        <v>336</v>
      </c>
    </row>
    <row r="1603" spans="1:5" ht="20.25" customHeight="1" x14ac:dyDescent="0.15">
      <c r="A1603" s="2" t="s">
        <v>6839</v>
      </c>
      <c r="B1603" s="2" t="s">
        <v>6840</v>
      </c>
      <c r="C1603" s="2">
        <v>1.49</v>
      </c>
      <c r="D1603" s="2">
        <v>0.2145</v>
      </c>
      <c r="E1603" s="2" t="s">
        <v>2463</v>
      </c>
    </row>
    <row r="1604" spans="1:5" ht="20.25" customHeight="1" x14ac:dyDescent="0.15">
      <c r="A1604" s="2" t="s">
        <v>7197</v>
      </c>
      <c r="B1604" s="2" t="s">
        <v>7198</v>
      </c>
      <c r="C1604" s="2">
        <v>1.49</v>
      </c>
      <c r="D1604" s="2">
        <v>0.66590000000000005</v>
      </c>
      <c r="E1604" s="2" t="s">
        <v>1436</v>
      </c>
    </row>
    <row r="1605" spans="1:5" ht="20.25" customHeight="1" x14ac:dyDescent="0.15">
      <c r="A1605" s="2" t="s">
        <v>7913</v>
      </c>
      <c r="B1605" s="2" t="s">
        <v>7914</v>
      </c>
      <c r="C1605" s="2">
        <v>1.49</v>
      </c>
      <c r="D1605" s="2">
        <v>1.9553</v>
      </c>
      <c r="E1605" s="2" t="s">
        <v>638</v>
      </c>
    </row>
    <row r="1606" spans="1:5" ht="20.25" customHeight="1" x14ac:dyDescent="0.15">
      <c r="A1606" s="2" t="s">
        <v>8155</v>
      </c>
      <c r="B1606" s="2" t="s">
        <v>8156</v>
      </c>
      <c r="C1606" s="2">
        <v>1.49</v>
      </c>
      <c r="D1606" s="2">
        <v>0.24929999999999999</v>
      </c>
      <c r="E1606" s="2" t="s">
        <v>667</v>
      </c>
    </row>
    <row r="1607" spans="1:5" ht="20.25" customHeight="1" x14ac:dyDescent="0.15">
      <c r="A1607" s="2" t="s">
        <v>601</v>
      </c>
      <c r="B1607" s="2" t="s">
        <v>602</v>
      </c>
      <c r="C1607" s="2">
        <v>1.48</v>
      </c>
      <c r="D1607" s="2">
        <v>0.76870000000000005</v>
      </c>
      <c r="E1607" s="2" t="s">
        <v>198</v>
      </c>
    </row>
    <row r="1608" spans="1:5" ht="20.25" customHeight="1" x14ac:dyDescent="0.15">
      <c r="A1608" s="2" t="s">
        <v>2304</v>
      </c>
      <c r="B1608" s="2" t="s">
        <v>2305</v>
      </c>
      <c r="C1608" s="2">
        <v>1.48</v>
      </c>
      <c r="D1608" s="2">
        <v>0.72709999999999997</v>
      </c>
      <c r="E1608" s="2" t="s">
        <v>276</v>
      </c>
    </row>
    <row r="1609" spans="1:5" ht="20.25" customHeight="1" x14ac:dyDescent="0.15">
      <c r="A1609" s="2" t="s">
        <v>2612</v>
      </c>
      <c r="B1609" s="2" t="s">
        <v>2613</v>
      </c>
      <c r="C1609" s="2">
        <v>1.48</v>
      </c>
      <c r="D1609" s="2">
        <v>20.872800000000002</v>
      </c>
      <c r="E1609" s="2" t="s">
        <v>1691</v>
      </c>
    </row>
    <row r="1610" spans="1:5" ht="20.25" customHeight="1" x14ac:dyDescent="0.15">
      <c r="A1610" s="2" t="s">
        <v>2896</v>
      </c>
      <c r="B1610" s="2" t="s">
        <v>2897</v>
      </c>
      <c r="C1610" s="2">
        <v>1.48</v>
      </c>
      <c r="D1610" s="2">
        <v>1.4604999999999999</v>
      </c>
      <c r="E1610" s="2" t="s">
        <v>2898</v>
      </c>
    </row>
    <row r="1611" spans="1:5" ht="20.25" customHeight="1" x14ac:dyDescent="0.15">
      <c r="A1611" s="2" t="s">
        <v>2941</v>
      </c>
      <c r="B1611" s="2" t="s">
        <v>2942</v>
      </c>
      <c r="C1611" s="2">
        <v>1.48</v>
      </c>
      <c r="D1611" s="2">
        <v>4.6444000000000001</v>
      </c>
      <c r="E1611" s="2" t="s">
        <v>483</v>
      </c>
    </row>
    <row r="1612" spans="1:5" ht="20.25" customHeight="1" x14ac:dyDescent="0.15">
      <c r="A1612" s="2" t="s">
        <v>3655</v>
      </c>
      <c r="B1612" s="2" t="s">
        <v>3656</v>
      </c>
      <c r="C1612" s="2">
        <v>1.48</v>
      </c>
      <c r="D1612" s="2">
        <v>2.1985000000000001</v>
      </c>
      <c r="E1612" s="2" t="s">
        <v>418</v>
      </c>
    </row>
    <row r="1613" spans="1:5" ht="20.25" customHeight="1" x14ac:dyDescent="0.15">
      <c r="A1613" s="2" t="s">
        <v>4676</v>
      </c>
      <c r="B1613" s="2" t="s">
        <v>4677</v>
      </c>
      <c r="C1613" s="2">
        <v>1.48</v>
      </c>
      <c r="D1613" s="2">
        <v>0.94569999999999999</v>
      </c>
      <c r="E1613" s="2" t="s">
        <v>787</v>
      </c>
    </row>
    <row r="1614" spans="1:5" ht="20.25" customHeight="1" x14ac:dyDescent="0.15">
      <c r="A1614" s="2" t="s">
        <v>4901</v>
      </c>
      <c r="B1614" s="2" t="s">
        <v>4902</v>
      </c>
      <c r="C1614" s="2">
        <v>1.48</v>
      </c>
      <c r="D1614" s="2">
        <v>9.8528000000000002</v>
      </c>
      <c r="E1614" s="2" t="s">
        <v>385</v>
      </c>
    </row>
    <row r="1615" spans="1:5" ht="20.25" customHeight="1" x14ac:dyDescent="0.15">
      <c r="A1615" s="2" t="s">
        <v>5274</v>
      </c>
      <c r="B1615" s="2" t="s">
        <v>5275</v>
      </c>
      <c r="C1615" s="2">
        <v>1.48</v>
      </c>
      <c r="D1615" s="2">
        <v>2.2132999999999998</v>
      </c>
      <c r="E1615" s="2" t="s">
        <v>421</v>
      </c>
    </row>
    <row r="1616" spans="1:5" ht="20.25" customHeight="1" x14ac:dyDescent="0.15">
      <c r="A1616" s="2" t="s">
        <v>5369</v>
      </c>
      <c r="B1616" s="2" t="s">
        <v>5370</v>
      </c>
      <c r="C1616" s="2">
        <v>1.48</v>
      </c>
      <c r="D1616" s="2">
        <v>22.331800000000001</v>
      </c>
      <c r="E1616" s="2" t="s">
        <v>630</v>
      </c>
    </row>
    <row r="1617" spans="1:5" ht="20.25" customHeight="1" x14ac:dyDescent="0.15">
      <c r="A1617" s="2" t="s">
        <v>5635</v>
      </c>
      <c r="B1617" s="2" t="s">
        <v>5636</v>
      </c>
      <c r="C1617" s="2">
        <v>1.48</v>
      </c>
      <c r="D1617" s="2">
        <v>0.57340000000000002</v>
      </c>
      <c r="E1617" s="2" t="s">
        <v>1853</v>
      </c>
    </row>
    <row r="1618" spans="1:5" ht="20.25" customHeight="1" x14ac:dyDescent="0.15">
      <c r="A1618" s="2" t="s">
        <v>6068</v>
      </c>
      <c r="B1618" s="2" t="s">
        <v>6069</v>
      </c>
      <c r="C1618" s="2">
        <v>1.48</v>
      </c>
      <c r="D1618" s="2">
        <v>140.0335</v>
      </c>
      <c r="E1618" s="2" t="s">
        <v>647</v>
      </c>
    </row>
    <row r="1619" spans="1:5" ht="20.25" customHeight="1" x14ac:dyDescent="0.15">
      <c r="A1619" s="2" t="s">
        <v>8175</v>
      </c>
      <c r="B1619" s="2" t="s">
        <v>8176</v>
      </c>
      <c r="C1619" s="2">
        <v>1.48</v>
      </c>
      <c r="D1619" s="2">
        <v>7.5716999999999999</v>
      </c>
      <c r="E1619" s="2" t="s">
        <v>2678</v>
      </c>
    </row>
    <row r="1620" spans="1:5" ht="20.25" customHeight="1" x14ac:dyDescent="0.15">
      <c r="A1620" s="2" t="s">
        <v>1195</v>
      </c>
      <c r="B1620" s="2" t="s">
        <v>1196</v>
      </c>
      <c r="C1620" s="2">
        <v>1.47</v>
      </c>
      <c r="D1620" s="2">
        <v>3.2376</v>
      </c>
      <c r="E1620" s="2" t="s">
        <v>21</v>
      </c>
    </row>
    <row r="1621" spans="1:5" ht="20.25" customHeight="1" x14ac:dyDescent="0.15">
      <c r="A1621" s="2" t="s">
        <v>1642</v>
      </c>
      <c r="B1621" s="2" t="s">
        <v>1643</v>
      </c>
      <c r="C1621" s="2">
        <v>1.47</v>
      </c>
      <c r="D1621" s="2">
        <v>2.3092999999999999</v>
      </c>
      <c r="E1621" s="2" t="s">
        <v>74</v>
      </c>
    </row>
    <row r="1622" spans="1:5" ht="20.25" customHeight="1" x14ac:dyDescent="0.15">
      <c r="A1622" s="2" t="s">
        <v>2514</v>
      </c>
      <c r="B1622" s="2" t="s">
        <v>2515</v>
      </c>
      <c r="C1622" s="2">
        <v>1.47</v>
      </c>
      <c r="D1622" s="2">
        <v>0.46679999999999999</v>
      </c>
      <c r="E1622" s="2" t="s">
        <v>149</v>
      </c>
    </row>
    <row r="1623" spans="1:5" ht="20.25" customHeight="1" x14ac:dyDescent="0.15">
      <c r="A1623" s="2" t="s">
        <v>3105</v>
      </c>
      <c r="B1623" s="2" t="s">
        <v>3106</v>
      </c>
      <c r="C1623" s="2">
        <v>1.47</v>
      </c>
      <c r="D1623" s="2">
        <v>15.788399999999999</v>
      </c>
      <c r="E1623" s="2" t="s">
        <v>260</v>
      </c>
    </row>
    <row r="1624" spans="1:5" ht="20.25" customHeight="1" x14ac:dyDescent="0.15">
      <c r="A1624" s="2" t="s">
        <v>3326</v>
      </c>
      <c r="B1624" s="2" t="s">
        <v>3327</v>
      </c>
      <c r="C1624" s="2">
        <v>1.47</v>
      </c>
      <c r="D1624" s="2">
        <v>6.7000000000000004E-2</v>
      </c>
      <c r="E1624" s="2" t="s">
        <v>699</v>
      </c>
    </row>
    <row r="1625" spans="1:5" ht="20.25" customHeight="1" x14ac:dyDescent="0.15">
      <c r="A1625" s="2" t="s">
        <v>3517</v>
      </c>
      <c r="B1625" s="2" t="s">
        <v>3518</v>
      </c>
      <c r="C1625" s="2">
        <v>1.47</v>
      </c>
      <c r="D1625" s="2">
        <v>0.53249999999999997</v>
      </c>
      <c r="E1625" s="2" t="s">
        <v>140</v>
      </c>
    </row>
    <row r="1626" spans="1:5" ht="20.25" customHeight="1" x14ac:dyDescent="0.15">
      <c r="A1626" s="2" t="s">
        <v>4819</v>
      </c>
      <c r="B1626" s="2" t="s">
        <v>4820</v>
      </c>
      <c r="C1626" s="2">
        <v>1.47</v>
      </c>
      <c r="D1626" s="2">
        <v>0.65380000000000005</v>
      </c>
      <c r="E1626" s="2" t="s">
        <v>677</v>
      </c>
    </row>
    <row r="1627" spans="1:5" ht="20.25" customHeight="1" x14ac:dyDescent="0.15">
      <c r="A1627" s="2" t="s">
        <v>5066</v>
      </c>
      <c r="B1627" s="2" t="s">
        <v>5067</v>
      </c>
      <c r="C1627" s="2">
        <v>1.47</v>
      </c>
      <c r="D1627" s="2">
        <v>1.2853000000000001</v>
      </c>
      <c r="E1627" s="2" t="s">
        <v>1403</v>
      </c>
    </row>
    <row r="1628" spans="1:5" ht="20.25" customHeight="1" x14ac:dyDescent="0.15">
      <c r="A1628" s="2" t="s">
        <v>5471</v>
      </c>
      <c r="B1628" s="2" t="s">
        <v>5472</v>
      </c>
      <c r="C1628" s="2">
        <v>1.47</v>
      </c>
      <c r="D1628" s="2">
        <v>1.4460999999999999</v>
      </c>
      <c r="E1628" s="2" t="s">
        <v>605</v>
      </c>
    </row>
    <row r="1629" spans="1:5" ht="20.25" customHeight="1" x14ac:dyDescent="0.15">
      <c r="A1629" s="2" t="s">
        <v>5699</v>
      </c>
      <c r="B1629" s="2" t="s">
        <v>5700</v>
      </c>
      <c r="C1629" s="2">
        <v>1.47</v>
      </c>
      <c r="D1629" s="2">
        <v>0.89080000000000004</v>
      </c>
      <c r="E1629" s="2" t="s">
        <v>149</v>
      </c>
    </row>
    <row r="1630" spans="1:5" ht="20.25" customHeight="1" x14ac:dyDescent="0.15">
      <c r="A1630" s="2" t="s">
        <v>6060</v>
      </c>
      <c r="B1630" s="2" t="s">
        <v>6061</v>
      </c>
      <c r="C1630" s="2">
        <v>1.47</v>
      </c>
      <c r="D1630" s="2">
        <v>0.4158</v>
      </c>
      <c r="E1630" s="2" t="s">
        <v>35</v>
      </c>
    </row>
    <row r="1631" spans="1:5" ht="20.25" customHeight="1" x14ac:dyDescent="0.15">
      <c r="A1631" s="2" t="s">
        <v>7633</v>
      </c>
      <c r="B1631" s="2" t="s">
        <v>7634</v>
      </c>
      <c r="C1631" s="2">
        <v>1.47</v>
      </c>
      <c r="D1631" s="2">
        <v>2.8153999999999999</v>
      </c>
      <c r="E1631" s="2" t="s">
        <v>1680</v>
      </c>
    </row>
    <row r="1632" spans="1:5" ht="20.25" customHeight="1" x14ac:dyDescent="0.15">
      <c r="A1632" s="2" t="s">
        <v>7969</v>
      </c>
      <c r="B1632" s="2" t="s">
        <v>7970</v>
      </c>
      <c r="C1632" s="2">
        <v>1.47</v>
      </c>
      <c r="D1632" s="2">
        <v>2.9485000000000001</v>
      </c>
      <c r="E1632" s="2" t="s">
        <v>4127</v>
      </c>
    </row>
    <row r="1633" spans="1:5" ht="20.25" customHeight="1" x14ac:dyDescent="0.15">
      <c r="A1633" s="2" t="s">
        <v>525</v>
      </c>
      <c r="B1633" s="2" t="s">
        <v>526</v>
      </c>
      <c r="C1633" s="2">
        <v>1.46</v>
      </c>
      <c r="D1633" s="2">
        <v>0.2374</v>
      </c>
      <c r="E1633" s="2" t="s">
        <v>207</v>
      </c>
    </row>
    <row r="1634" spans="1:5" ht="20.25" customHeight="1" x14ac:dyDescent="0.15">
      <c r="A1634" s="2" t="s">
        <v>1176</v>
      </c>
      <c r="B1634" s="2" t="s">
        <v>1177</v>
      </c>
      <c r="C1634" s="2">
        <v>1.46</v>
      </c>
      <c r="D1634" s="2">
        <v>3.6442000000000001</v>
      </c>
      <c r="E1634" s="2" t="s">
        <v>188</v>
      </c>
    </row>
    <row r="1635" spans="1:5" ht="20.25" customHeight="1" x14ac:dyDescent="0.15">
      <c r="A1635" s="2" t="s">
        <v>2403</v>
      </c>
      <c r="B1635" s="2" t="s">
        <v>2404</v>
      </c>
      <c r="C1635" s="2">
        <v>1.46</v>
      </c>
      <c r="D1635" s="2">
        <v>0.77039999999999997</v>
      </c>
      <c r="E1635" s="2" t="s">
        <v>41</v>
      </c>
    </row>
    <row r="1636" spans="1:5" ht="20.25" customHeight="1" x14ac:dyDescent="0.15">
      <c r="A1636" s="2" t="s">
        <v>4998</v>
      </c>
      <c r="B1636" s="2" t="s">
        <v>4999</v>
      </c>
      <c r="C1636" s="2">
        <v>1.46</v>
      </c>
      <c r="D1636" s="2">
        <v>0.47610000000000002</v>
      </c>
      <c r="E1636" s="2" t="s">
        <v>713</v>
      </c>
    </row>
    <row r="1637" spans="1:5" ht="20.25" customHeight="1" x14ac:dyDescent="0.15">
      <c r="A1637" s="2" t="s">
        <v>5423</v>
      </c>
      <c r="B1637" s="2" t="s">
        <v>5424</v>
      </c>
      <c r="C1637" s="2">
        <v>1.46</v>
      </c>
      <c r="D1637" s="2">
        <v>4.1504000000000003</v>
      </c>
      <c r="E1637" s="2" t="s">
        <v>614</v>
      </c>
    </row>
    <row r="1638" spans="1:5" ht="20.25" customHeight="1" x14ac:dyDescent="0.15">
      <c r="A1638" s="2" t="s">
        <v>8013</v>
      </c>
      <c r="B1638" s="2" t="s">
        <v>8014</v>
      </c>
      <c r="C1638" s="2">
        <v>1.46</v>
      </c>
      <c r="D1638" s="2">
        <v>1.5952999999999999</v>
      </c>
      <c r="E1638" s="2" t="s">
        <v>638</v>
      </c>
    </row>
    <row r="1639" spans="1:5" ht="20.25" customHeight="1" x14ac:dyDescent="0.15">
      <c r="A1639" s="2" t="s">
        <v>8405</v>
      </c>
      <c r="B1639" s="2" t="s">
        <v>8406</v>
      </c>
      <c r="C1639" s="2">
        <v>1.46</v>
      </c>
      <c r="D1639" s="2">
        <v>6.5792999999999999</v>
      </c>
      <c r="E1639" s="2" t="s">
        <v>3102</v>
      </c>
    </row>
    <row r="1640" spans="1:5" ht="20.25" customHeight="1" x14ac:dyDescent="0.15">
      <c r="A1640" s="2" t="s">
        <v>2216</v>
      </c>
      <c r="B1640" s="2" t="s">
        <v>2217</v>
      </c>
      <c r="C1640" s="2">
        <v>1.45</v>
      </c>
      <c r="D1640" s="2">
        <v>0.81269999999999998</v>
      </c>
      <c r="E1640" s="2" t="s">
        <v>21</v>
      </c>
    </row>
    <row r="1641" spans="1:5" ht="20.25" customHeight="1" x14ac:dyDescent="0.15">
      <c r="A1641" s="2" t="s">
        <v>2644</v>
      </c>
      <c r="B1641" s="2" t="s">
        <v>2645</v>
      </c>
      <c r="C1641" s="2">
        <v>1.45</v>
      </c>
      <c r="D1641" s="2">
        <v>4.1673</v>
      </c>
      <c r="E1641" s="2" t="s">
        <v>630</v>
      </c>
    </row>
    <row r="1642" spans="1:5" ht="20.25" customHeight="1" x14ac:dyDescent="0.15">
      <c r="A1642" s="2" t="s">
        <v>2995</v>
      </c>
      <c r="B1642" s="2" t="s">
        <v>2996</v>
      </c>
      <c r="C1642" s="2">
        <v>1.45</v>
      </c>
      <c r="D1642" s="2">
        <v>1.2819</v>
      </c>
      <c r="E1642" s="2" t="s">
        <v>667</v>
      </c>
    </row>
    <row r="1643" spans="1:5" ht="20.25" customHeight="1" x14ac:dyDescent="0.15">
      <c r="A1643" s="2" t="s">
        <v>3318</v>
      </c>
      <c r="B1643" s="2" t="s">
        <v>3319</v>
      </c>
      <c r="C1643" s="2">
        <v>1.45</v>
      </c>
      <c r="D1643" s="2">
        <v>0.8206</v>
      </c>
      <c r="E1643" s="2" t="s">
        <v>1224</v>
      </c>
    </row>
    <row r="1644" spans="1:5" ht="20.25" customHeight="1" x14ac:dyDescent="0.15">
      <c r="A1644" s="2" t="s">
        <v>4048</v>
      </c>
      <c r="B1644" s="2" t="s">
        <v>4049</v>
      </c>
      <c r="C1644" s="2">
        <v>1.45</v>
      </c>
      <c r="D1644" s="2">
        <v>6.7382999999999997</v>
      </c>
      <c r="E1644" s="2" t="s">
        <v>44</v>
      </c>
    </row>
    <row r="1645" spans="1:5" ht="20.25" customHeight="1" x14ac:dyDescent="0.15">
      <c r="A1645" s="2" t="s">
        <v>5016</v>
      </c>
      <c r="B1645" s="2" t="s">
        <v>5017</v>
      </c>
      <c r="C1645" s="2">
        <v>1.45</v>
      </c>
      <c r="D1645" s="2">
        <v>1.3804000000000001</v>
      </c>
      <c r="E1645" s="2" t="s">
        <v>286</v>
      </c>
    </row>
    <row r="1646" spans="1:5" ht="20.25" customHeight="1" x14ac:dyDescent="0.15">
      <c r="A1646" s="2" t="s">
        <v>5687</v>
      </c>
      <c r="B1646" s="2" t="s">
        <v>5688</v>
      </c>
      <c r="C1646" s="2">
        <v>1.45</v>
      </c>
      <c r="D1646" s="2">
        <v>2.3079999999999998</v>
      </c>
      <c r="E1646" s="2" t="s">
        <v>1263</v>
      </c>
    </row>
    <row r="1647" spans="1:5" ht="20.25" customHeight="1" x14ac:dyDescent="0.15">
      <c r="A1647" s="2" t="s">
        <v>5706</v>
      </c>
      <c r="B1647" s="2" t="s">
        <v>5707</v>
      </c>
      <c r="C1647" s="2">
        <v>1.45</v>
      </c>
      <c r="D1647" s="2">
        <v>1.135</v>
      </c>
      <c r="E1647" s="2" t="s">
        <v>690</v>
      </c>
    </row>
    <row r="1648" spans="1:5" ht="20.25" customHeight="1" x14ac:dyDescent="0.15">
      <c r="A1648" s="2" t="s">
        <v>6720</v>
      </c>
      <c r="B1648" s="2" t="s">
        <v>6721</v>
      </c>
      <c r="C1648" s="2">
        <v>1.45</v>
      </c>
      <c r="D1648" s="2">
        <v>8.2200000000000006</v>
      </c>
      <c r="E1648" s="2" t="s">
        <v>784</v>
      </c>
    </row>
    <row r="1649" spans="1:5" ht="20.25" customHeight="1" x14ac:dyDescent="0.15">
      <c r="A1649" s="2" t="s">
        <v>3431</v>
      </c>
      <c r="B1649" s="2" t="s">
        <v>3432</v>
      </c>
      <c r="C1649" s="2">
        <v>1.4450000000000001</v>
      </c>
      <c r="D1649" s="2">
        <v>1.3795999999999999</v>
      </c>
      <c r="E1649" s="2" t="s">
        <v>336</v>
      </c>
    </row>
    <row r="1650" spans="1:5" ht="20.25" customHeight="1" x14ac:dyDescent="0.15">
      <c r="A1650" s="2" t="s">
        <v>6484</v>
      </c>
      <c r="B1650" s="2" t="s">
        <v>6485</v>
      </c>
      <c r="C1650" s="2">
        <v>1.4450000000000001</v>
      </c>
      <c r="D1650" s="2">
        <v>4.4610000000000003</v>
      </c>
      <c r="E1650" s="2" t="s">
        <v>529</v>
      </c>
    </row>
    <row r="1651" spans="1:5" ht="20.25" customHeight="1" x14ac:dyDescent="0.15">
      <c r="A1651" s="2" t="s">
        <v>1222</v>
      </c>
      <c r="B1651" s="2" t="s">
        <v>1223</v>
      </c>
      <c r="C1651" s="2">
        <v>1.44</v>
      </c>
      <c r="D1651" s="2">
        <v>9.4665999999999997</v>
      </c>
      <c r="E1651" s="2" t="s">
        <v>1224</v>
      </c>
    </row>
    <row r="1652" spans="1:5" ht="20.25" customHeight="1" x14ac:dyDescent="0.15">
      <c r="A1652" s="2" t="s">
        <v>1501</v>
      </c>
      <c r="B1652" s="2" t="s">
        <v>1502</v>
      </c>
      <c r="C1652" s="2">
        <v>1.44</v>
      </c>
      <c r="D1652" s="2">
        <v>4.7827999999999999</v>
      </c>
      <c r="E1652" s="2" t="s">
        <v>614</v>
      </c>
    </row>
    <row r="1653" spans="1:5" ht="20.25" customHeight="1" x14ac:dyDescent="0.15">
      <c r="A1653" s="2" t="s">
        <v>2174</v>
      </c>
      <c r="B1653" s="2" t="s">
        <v>2175</v>
      </c>
      <c r="C1653" s="2">
        <v>1.44</v>
      </c>
      <c r="D1653" s="2">
        <v>3.1625000000000001</v>
      </c>
      <c r="E1653" s="2" t="s">
        <v>724</v>
      </c>
    </row>
    <row r="1654" spans="1:5" ht="20.25" customHeight="1" x14ac:dyDescent="0.15">
      <c r="A1654" s="2" t="s">
        <v>2314</v>
      </c>
      <c r="B1654" s="2" t="s">
        <v>2315</v>
      </c>
      <c r="C1654" s="2">
        <v>1.44</v>
      </c>
      <c r="D1654" s="2">
        <v>0.60060000000000002</v>
      </c>
      <c r="E1654" s="2" t="s">
        <v>403</v>
      </c>
    </row>
    <row r="1655" spans="1:5" ht="20.25" customHeight="1" x14ac:dyDescent="0.15">
      <c r="A1655" s="2" t="s">
        <v>2366</v>
      </c>
      <c r="B1655" s="2" t="s">
        <v>2367</v>
      </c>
      <c r="C1655" s="2">
        <v>1.44</v>
      </c>
      <c r="D1655" s="2">
        <v>248.60290000000001</v>
      </c>
      <c r="E1655" s="2" t="s">
        <v>92</v>
      </c>
    </row>
    <row r="1656" spans="1:5" ht="20.25" customHeight="1" x14ac:dyDescent="0.15">
      <c r="A1656" s="2" t="s">
        <v>2722</v>
      </c>
      <c r="B1656" s="2" t="s">
        <v>2723</v>
      </c>
      <c r="C1656" s="2">
        <v>1.44</v>
      </c>
      <c r="D1656" s="2">
        <v>3.5951</v>
      </c>
      <c r="E1656" s="2" t="s">
        <v>2724</v>
      </c>
    </row>
    <row r="1657" spans="1:5" ht="20.25" customHeight="1" x14ac:dyDescent="0.15">
      <c r="A1657" s="2" t="s">
        <v>2761</v>
      </c>
      <c r="B1657" s="2" t="s">
        <v>2762</v>
      </c>
      <c r="C1657" s="2">
        <v>1.44</v>
      </c>
      <c r="D1657" s="2">
        <v>6.1589999999999998</v>
      </c>
      <c r="E1657" s="2" t="s">
        <v>1243</v>
      </c>
    </row>
    <row r="1658" spans="1:5" ht="20.25" customHeight="1" x14ac:dyDescent="0.15">
      <c r="A1658" s="2" t="s">
        <v>3128</v>
      </c>
      <c r="B1658" s="2" t="s">
        <v>3129</v>
      </c>
      <c r="C1658" s="2">
        <v>1.44</v>
      </c>
      <c r="D1658" s="2">
        <v>0.41339999999999999</v>
      </c>
      <c r="E1658" s="2" t="s">
        <v>3130</v>
      </c>
    </row>
    <row r="1659" spans="1:5" ht="20.25" customHeight="1" x14ac:dyDescent="0.15">
      <c r="A1659" s="2" t="s">
        <v>3191</v>
      </c>
      <c r="B1659" s="2" t="s">
        <v>3192</v>
      </c>
      <c r="C1659" s="2">
        <v>1.44</v>
      </c>
      <c r="D1659" s="2">
        <v>0.3901</v>
      </c>
      <c r="E1659" s="2" t="s">
        <v>265</v>
      </c>
    </row>
    <row r="1660" spans="1:5" ht="20.25" customHeight="1" x14ac:dyDescent="0.15">
      <c r="A1660" s="2" t="s">
        <v>3710</v>
      </c>
      <c r="B1660" s="2" t="s">
        <v>3711</v>
      </c>
      <c r="C1660" s="2">
        <v>1.44</v>
      </c>
      <c r="D1660" s="2">
        <v>1.0927</v>
      </c>
      <c r="E1660" s="2" t="s">
        <v>638</v>
      </c>
    </row>
    <row r="1661" spans="1:5" ht="20.25" customHeight="1" x14ac:dyDescent="0.15">
      <c r="A1661" s="2" t="s">
        <v>4030</v>
      </c>
      <c r="B1661" s="2" t="s">
        <v>4031</v>
      </c>
      <c r="C1661" s="2">
        <v>1.44</v>
      </c>
      <c r="D1661" s="2">
        <v>0.72870000000000001</v>
      </c>
      <c r="E1661" s="2" t="s">
        <v>260</v>
      </c>
    </row>
    <row r="1662" spans="1:5" ht="20.25" customHeight="1" x14ac:dyDescent="0.15">
      <c r="A1662" s="2" t="s">
        <v>4100</v>
      </c>
      <c r="B1662" s="2" t="s">
        <v>4101</v>
      </c>
      <c r="C1662" s="2">
        <v>1.44</v>
      </c>
      <c r="D1662" s="2">
        <v>3.8990999999999998</v>
      </c>
      <c r="E1662" s="2" t="s">
        <v>574</v>
      </c>
    </row>
    <row r="1663" spans="1:5" ht="20.25" customHeight="1" x14ac:dyDescent="0.15">
      <c r="A1663" s="2" t="s">
        <v>6700</v>
      </c>
      <c r="B1663" s="2" t="s">
        <v>6701</v>
      </c>
      <c r="C1663" s="2">
        <v>1.44</v>
      </c>
      <c r="D1663" s="2">
        <v>0.72609999999999997</v>
      </c>
      <c r="E1663" s="2" t="s">
        <v>784</v>
      </c>
    </row>
    <row r="1664" spans="1:5" ht="20.25" customHeight="1" x14ac:dyDescent="0.15">
      <c r="A1664" s="2" t="s">
        <v>6771</v>
      </c>
      <c r="B1664" s="2" t="s">
        <v>6772</v>
      </c>
      <c r="C1664" s="2">
        <v>1.44</v>
      </c>
      <c r="D1664" s="2">
        <v>0.42320000000000002</v>
      </c>
      <c r="E1664" s="2" t="s">
        <v>1403</v>
      </c>
    </row>
    <row r="1665" spans="1:5" ht="20.25" customHeight="1" x14ac:dyDescent="0.15">
      <c r="A1665" s="2" t="s">
        <v>7089</v>
      </c>
      <c r="B1665" s="2" t="s">
        <v>7090</v>
      </c>
      <c r="C1665" s="2">
        <v>1.44</v>
      </c>
      <c r="D1665" s="2">
        <v>0.80010000000000003</v>
      </c>
      <c r="E1665" s="2" t="s">
        <v>784</v>
      </c>
    </row>
    <row r="1666" spans="1:5" ht="20.25" customHeight="1" x14ac:dyDescent="0.15">
      <c r="A1666" s="2" t="s">
        <v>7357</v>
      </c>
      <c r="B1666" s="2" t="s">
        <v>7358</v>
      </c>
      <c r="C1666" s="2">
        <v>1.44</v>
      </c>
      <c r="D1666" s="2">
        <v>0.74029999999999996</v>
      </c>
      <c r="E1666" s="2" t="s">
        <v>55</v>
      </c>
    </row>
    <row r="1667" spans="1:5" ht="20.25" customHeight="1" x14ac:dyDescent="0.15">
      <c r="A1667" s="2" t="s">
        <v>7883</v>
      </c>
      <c r="B1667" s="2" t="s">
        <v>7884</v>
      </c>
      <c r="C1667" s="2">
        <v>1.44</v>
      </c>
      <c r="D1667" s="2">
        <v>9.8129000000000008</v>
      </c>
      <c r="E1667" s="2" t="s">
        <v>245</v>
      </c>
    </row>
    <row r="1668" spans="1:5" ht="20.25" customHeight="1" x14ac:dyDescent="0.15">
      <c r="A1668" s="2" t="s">
        <v>7915</v>
      </c>
      <c r="B1668" s="2" t="s">
        <v>7916</v>
      </c>
      <c r="C1668" s="2">
        <v>1.44</v>
      </c>
      <c r="D1668" s="2">
        <v>3.3647999999999998</v>
      </c>
      <c r="E1668" s="2" t="s">
        <v>2463</v>
      </c>
    </row>
    <row r="1669" spans="1:5" ht="20.25" customHeight="1" x14ac:dyDescent="0.15">
      <c r="A1669" s="2" t="s">
        <v>8407</v>
      </c>
      <c r="B1669" s="2" t="s">
        <v>8408</v>
      </c>
      <c r="C1669" s="2">
        <v>1.44</v>
      </c>
      <c r="D1669" s="2">
        <v>2.0937999999999999</v>
      </c>
      <c r="E1669" s="2" t="s">
        <v>3971</v>
      </c>
    </row>
    <row r="1670" spans="1:5" ht="20.25" customHeight="1" x14ac:dyDescent="0.15">
      <c r="A1670" s="2" t="s">
        <v>22</v>
      </c>
      <c r="B1670" s="2" t="s">
        <v>23</v>
      </c>
      <c r="C1670" s="2">
        <v>1.43</v>
      </c>
      <c r="D1670" s="2">
        <v>1.0125999999999999</v>
      </c>
      <c r="E1670" s="2" t="s">
        <v>24</v>
      </c>
    </row>
    <row r="1671" spans="1:5" ht="20.25" customHeight="1" x14ac:dyDescent="0.15">
      <c r="A1671" s="2" t="s">
        <v>2212</v>
      </c>
      <c r="B1671" s="2" t="s">
        <v>2213</v>
      </c>
      <c r="C1671" s="2">
        <v>1.43</v>
      </c>
      <c r="D1671" s="2">
        <v>2.6292</v>
      </c>
      <c r="E1671" s="2" t="s">
        <v>1420</v>
      </c>
    </row>
    <row r="1672" spans="1:5" ht="20.25" customHeight="1" x14ac:dyDescent="0.15">
      <c r="A1672" s="2" t="s">
        <v>2918</v>
      </c>
      <c r="B1672" s="2" t="s">
        <v>2919</v>
      </c>
      <c r="C1672" s="2">
        <v>1.43</v>
      </c>
      <c r="D1672" s="2">
        <v>0.47770000000000001</v>
      </c>
      <c r="E1672" s="2" t="s">
        <v>1403</v>
      </c>
    </row>
    <row r="1673" spans="1:5" ht="20.25" customHeight="1" x14ac:dyDescent="0.15">
      <c r="A1673" s="2" t="s">
        <v>3857</v>
      </c>
      <c r="B1673" s="2" t="s">
        <v>3858</v>
      </c>
      <c r="C1673" s="2">
        <v>1.43</v>
      </c>
      <c r="D1673" s="2">
        <v>0.32269999999999999</v>
      </c>
      <c r="E1673" s="2" t="s">
        <v>1061</v>
      </c>
    </row>
    <row r="1674" spans="1:5" ht="20.25" customHeight="1" x14ac:dyDescent="0.15">
      <c r="A1674" s="2" t="s">
        <v>4306</v>
      </c>
      <c r="B1674" s="2" t="s">
        <v>4307</v>
      </c>
      <c r="C1674" s="2">
        <v>1.43</v>
      </c>
      <c r="D1674" s="2">
        <v>3.2841</v>
      </c>
      <c r="E1674" s="2" t="s">
        <v>784</v>
      </c>
    </row>
    <row r="1675" spans="1:5" ht="20.25" customHeight="1" x14ac:dyDescent="0.15">
      <c r="A1675" s="2" t="s">
        <v>7759</v>
      </c>
      <c r="B1675" s="2" t="s">
        <v>7760</v>
      </c>
      <c r="C1675" s="2">
        <v>1.43</v>
      </c>
      <c r="D1675" s="2">
        <v>0.71830000000000005</v>
      </c>
      <c r="E1675" s="2" t="s">
        <v>71</v>
      </c>
    </row>
    <row r="1676" spans="1:5" ht="20.25" customHeight="1" x14ac:dyDescent="0.15">
      <c r="A1676" s="2" t="s">
        <v>5385</v>
      </c>
      <c r="B1676" s="2" t="s">
        <v>5386</v>
      </c>
      <c r="C1676" s="2">
        <v>1.425</v>
      </c>
      <c r="D1676" s="2">
        <v>2.5674999999999999</v>
      </c>
      <c r="E1676" s="2" t="s">
        <v>356</v>
      </c>
    </row>
    <row r="1677" spans="1:5" ht="20.25" customHeight="1" x14ac:dyDescent="0.15">
      <c r="A1677" s="2" t="s">
        <v>8047</v>
      </c>
      <c r="B1677" s="2" t="s">
        <v>8048</v>
      </c>
      <c r="C1677" s="2">
        <v>1.425</v>
      </c>
      <c r="D1677" s="2">
        <v>1.0863</v>
      </c>
      <c r="E1677" s="2" t="s">
        <v>2068</v>
      </c>
    </row>
    <row r="1678" spans="1:5" ht="20.25" customHeight="1" x14ac:dyDescent="0.15">
      <c r="A1678" s="2" t="s">
        <v>144</v>
      </c>
      <c r="B1678" s="2" t="s">
        <v>145</v>
      </c>
      <c r="C1678" s="2">
        <v>1.42</v>
      </c>
      <c r="D1678" s="2">
        <v>0.61899999999999999</v>
      </c>
      <c r="E1678" s="2" t="s">
        <v>146</v>
      </c>
    </row>
    <row r="1679" spans="1:5" ht="20.25" customHeight="1" x14ac:dyDescent="0.15">
      <c r="A1679" s="2" t="s">
        <v>680</v>
      </c>
      <c r="B1679" s="2" t="s">
        <v>681</v>
      </c>
      <c r="C1679" s="2">
        <v>1.42</v>
      </c>
      <c r="D1679" s="2">
        <v>1.1960999999999999</v>
      </c>
      <c r="E1679" s="2" t="s">
        <v>682</v>
      </c>
    </row>
    <row r="1680" spans="1:5" ht="20.25" customHeight="1" x14ac:dyDescent="0.15">
      <c r="A1680" s="2" t="s">
        <v>1895</v>
      </c>
      <c r="B1680" s="2" t="s">
        <v>1896</v>
      </c>
      <c r="C1680" s="2">
        <v>1.42</v>
      </c>
      <c r="D1680" s="2">
        <v>1.8368</v>
      </c>
      <c r="E1680" s="2" t="s">
        <v>1436</v>
      </c>
    </row>
    <row r="1681" spans="1:5" ht="20.25" customHeight="1" x14ac:dyDescent="0.15">
      <c r="A1681" s="2" t="s">
        <v>2117</v>
      </c>
      <c r="B1681" s="2" t="s">
        <v>2118</v>
      </c>
      <c r="C1681" s="2">
        <v>1.42</v>
      </c>
      <c r="D1681" s="2">
        <v>2.1425999999999998</v>
      </c>
      <c r="E1681" s="2" t="s">
        <v>44</v>
      </c>
    </row>
    <row r="1682" spans="1:5" ht="20.25" customHeight="1" x14ac:dyDescent="0.15">
      <c r="A1682" s="2" t="s">
        <v>2435</v>
      </c>
      <c r="B1682" s="2" t="s">
        <v>2436</v>
      </c>
      <c r="C1682" s="2">
        <v>1.42</v>
      </c>
      <c r="D1682" s="2">
        <v>0.52549999999999997</v>
      </c>
      <c r="E1682" s="2" t="s">
        <v>152</v>
      </c>
    </row>
    <row r="1683" spans="1:5" ht="20.25" customHeight="1" x14ac:dyDescent="0.15">
      <c r="A1683" s="2" t="s">
        <v>3607</v>
      </c>
      <c r="B1683" s="2" t="s">
        <v>3608</v>
      </c>
      <c r="C1683" s="2">
        <v>1.42</v>
      </c>
      <c r="D1683" s="2">
        <v>2.9729999999999999</v>
      </c>
      <c r="E1683" s="2" t="s">
        <v>371</v>
      </c>
    </row>
    <row r="1684" spans="1:5" ht="20.25" customHeight="1" x14ac:dyDescent="0.15">
      <c r="A1684" s="2" t="s">
        <v>4054</v>
      </c>
      <c r="B1684" s="2" t="s">
        <v>4055</v>
      </c>
      <c r="C1684" s="2">
        <v>1.42</v>
      </c>
      <c r="D1684" s="2">
        <v>0.98960000000000004</v>
      </c>
      <c r="E1684" s="2" t="s">
        <v>677</v>
      </c>
    </row>
    <row r="1685" spans="1:5" ht="20.25" customHeight="1" x14ac:dyDescent="0.15">
      <c r="A1685" s="2" t="s">
        <v>4976</v>
      </c>
      <c r="B1685" s="2" t="s">
        <v>4977</v>
      </c>
      <c r="C1685" s="2">
        <v>1.42</v>
      </c>
      <c r="D1685" s="2">
        <v>1.9581999999999999</v>
      </c>
      <c r="E1685" s="2" t="s">
        <v>784</v>
      </c>
    </row>
    <row r="1686" spans="1:5" ht="20.25" customHeight="1" x14ac:dyDescent="0.15">
      <c r="A1686" s="2" t="s">
        <v>7019</v>
      </c>
      <c r="B1686" s="2" t="s">
        <v>7020</v>
      </c>
      <c r="C1686" s="2">
        <v>1.42</v>
      </c>
      <c r="D1686" s="2">
        <v>1.6877</v>
      </c>
      <c r="E1686" s="2" t="s">
        <v>450</v>
      </c>
    </row>
    <row r="1687" spans="1:5" ht="20.25" customHeight="1" x14ac:dyDescent="0.15">
      <c r="A1687" s="2" t="s">
        <v>7267</v>
      </c>
      <c r="B1687" s="2" t="s">
        <v>7268</v>
      </c>
      <c r="C1687" s="2">
        <v>1.42</v>
      </c>
      <c r="D1687" s="2">
        <v>1.3306</v>
      </c>
      <c r="E1687" s="2" t="s">
        <v>286</v>
      </c>
    </row>
    <row r="1688" spans="1:5" ht="20.25" customHeight="1" x14ac:dyDescent="0.15">
      <c r="A1688" s="2" t="s">
        <v>7563</v>
      </c>
      <c r="B1688" s="2" t="s">
        <v>7564</v>
      </c>
      <c r="C1688" s="2">
        <v>1.42</v>
      </c>
      <c r="D1688" s="2">
        <v>0.29360000000000003</v>
      </c>
      <c r="E1688" s="2" t="s">
        <v>638</v>
      </c>
    </row>
    <row r="1689" spans="1:5" ht="20.25" customHeight="1" x14ac:dyDescent="0.15">
      <c r="A1689" s="2" t="s">
        <v>4088</v>
      </c>
      <c r="B1689" s="2" t="s">
        <v>4089</v>
      </c>
      <c r="C1689" s="2">
        <v>1.415</v>
      </c>
      <c r="D1689" s="2">
        <v>3.5718000000000001</v>
      </c>
      <c r="E1689" s="2" t="s">
        <v>286</v>
      </c>
    </row>
    <row r="1690" spans="1:5" ht="20.25" customHeight="1" x14ac:dyDescent="0.15">
      <c r="A1690" s="2" t="s">
        <v>5834</v>
      </c>
      <c r="B1690" s="2" t="s">
        <v>5835</v>
      </c>
      <c r="C1690" s="2">
        <v>1.415</v>
      </c>
      <c r="D1690" s="2">
        <v>6.7931999999999997</v>
      </c>
      <c r="E1690" s="2" t="s">
        <v>1997</v>
      </c>
    </row>
    <row r="1691" spans="1:5" ht="20.25" customHeight="1" x14ac:dyDescent="0.15">
      <c r="A1691" s="2" t="s">
        <v>8011</v>
      </c>
      <c r="B1691" s="2" t="s">
        <v>8012</v>
      </c>
      <c r="C1691" s="2">
        <v>1.415</v>
      </c>
      <c r="D1691" s="2">
        <v>3.6941000000000002</v>
      </c>
      <c r="E1691" s="2" t="s">
        <v>2930</v>
      </c>
    </row>
    <row r="1692" spans="1:5" ht="20.25" customHeight="1" x14ac:dyDescent="0.15">
      <c r="A1692" s="2" t="s">
        <v>8327</v>
      </c>
      <c r="B1692" s="2" t="s">
        <v>8328</v>
      </c>
      <c r="C1692" s="2">
        <v>1.415</v>
      </c>
      <c r="D1692" s="2">
        <v>2.7795000000000001</v>
      </c>
      <c r="E1692" s="2" t="s">
        <v>374</v>
      </c>
    </row>
    <row r="1693" spans="1:5" ht="20.25" customHeight="1" x14ac:dyDescent="0.15">
      <c r="A1693" s="2" t="s">
        <v>552</v>
      </c>
      <c r="B1693" s="2" t="s">
        <v>553</v>
      </c>
      <c r="C1693" s="2">
        <v>1.41</v>
      </c>
      <c r="D1693" s="2">
        <v>1.1811</v>
      </c>
      <c r="E1693" s="2" t="s">
        <v>554</v>
      </c>
    </row>
    <row r="1694" spans="1:5" ht="20.25" customHeight="1" x14ac:dyDescent="0.15">
      <c r="A1694" s="2" t="s">
        <v>900</v>
      </c>
      <c r="B1694" s="2" t="s">
        <v>901</v>
      </c>
      <c r="C1694" s="2">
        <v>1.41</v>
      </c>
      <c r="D1694" s="2">
        <v>0.54530000000000001</v>
      </c>
      <c r="E1694" s="2" t="s">
        <v>339</v>
      </c>
    </row>
    <row r="1695" spans="1:5" ht="20.25" customHeight="1" x14ac:dyDescent="0.15">
      <c r="A1695" s="2" t="s">
        <v>1018</v>
      </c>
      <c r="B1695" s="2" t="s">
        <v>1019</v>
      </c>
      <c r="C1695" s="2">
        <v>1.41</v>
      </c>
      <c r="D1695" s="2">
        <v>1.1309</v>
      </c>
      <c r="E1695" s="2" t="s">
        <v>430</v>
      </c>
    </row>
    <row r="1696" spans="1:5" ht="20.25" customHeight="1" x14ac:dyDescent="0.15">
      <c r="A1696" s="2" t="s">
        <v>3300</v>
      </c>
      <c r="B1696" s="2" t="s">
        <v>3301</v>
      </c>
      <c r="C1696" s="2">
        <v>1.41</v>
      </c>
      <c r="D1696" s="2">
        <v>7.9958999999999998</v>
      </c>
      <c r="E1696" s="2" t="s">
        <v>1853</v>
      </c>
    </row>
    <row r="1697" spans="1:5" ht="20.25" customHeight="1" x14ac:dyDescent="0.15">
      <c r="A1697" s="2" t="s">
        <v>4264</v>
      </c>
      <c r="B1697" s="2" t="s">
        <v>4265</v>
      </c>
      <c r="C1697" s="2">
        <v>1.41</v>
      </c>
      <c r="D1697" s="2">
        <v>0.62490000000000001</v>
      </c>
      <c r="E1697" s="2" t="s">
        <v>123</v>
      </c>
    </row>
    <row r="1698" spans="1:5" ht="20.25" customHeight="1" x14ac:dyDescent="0.15">
      <c r="A1698" s="2" t="s">
        <v>4988</v>
      </c>
      <c r="B1698" s="2" t="s">
        <v>4989</v>
      </c>
      <c r="C1698" s="2">
        <v>1.41</v>
      </c>
      <c r="D1698" s="2">
        <v>2.4802</v>
      </c>
      <c r="E1698" s="2" t="s">
        <v>1691</v>
      </c>
    </row>
    <row r="1699" spans="1:5" ht="20.25" customHeight="1" x14ac:dyDescent="0.15">
      <c r="A1699" s="2" t="s">
        <v>5294</v>
      </c>
      <c r="B1699" s="2" t="s">
        <v>5295</v>
      </c>
      <c r="C1699" s="2">
        <v>1.41</v>
      </c>
      <c r="D1699" s="2">
        <v>1.8048999999999999</v>
      </c>
      <c r="E1699" s="2" t="s">
        <v>1061</v>
      </c>
    </row>
    <row r="1700" spans="1:5" ht="20.25" customHeight="1" x14ac:dyDescent="0.15">
      <c r="A1700" s="2" t="s">
        <v>5493</v>
      </c>
      <c r="B1700" s="2" t="s">
        <v>5494</v>
      </c>
      <c r="C1700" s="2">
        <v>1.41</v>
      </c>
      <c r="D1700" s="2">
        <v>0.1832</v>
      </c>
      <c r="E1700" s="2" t="s">
        <v>359</v>
      </c>
    </row>
    <row r="1701" spans="1:5" ht="20.25" customHeight="1" x14ac:dyDescent="0.15">
      <c r="A1701" s="2" t="s">
        <v>7083</v>
      </c>
      <c r="B1701" s="2" t="s">
        <v>7084</v>
      </c>
      <c r="C1701" s="2">
        <v>1.41</v>
      </c>
      <c r="D1701" s="2">
        <v>2.6366000000000001</v>
      </c>
      <c r="E1701" s="2" t="s">
        <v>1593</v>
      </c>
    </row>
    <row r="1702" spans="1:5" ht="20.25" customHeight="1" x14ac:dyDescent="0.15">
      <c r="A1702" s="2" t="s">
        <v>7581</v>
      </c>
      <c r="B1702" s="2" t="s">
        <v>7582</v>
      </c>
      <c r="C1702" s="2">
        <v>1.41</v>
      </c>
      <c r="D1702" s="2">
        <v>1.8153999999999999</v>
      </c>
      <c r="E1702" s="2" t="s">
        <v>630</v>
      </c>
    </row>
    <row r="1703" spans="1:5" ht="20.25" customHeight="1" x14ac:dyDescent="0.15">
      <c r="A1703" s="2" t="s">
        <v>7699</v>
      </c>
      <c r="B1703" s="2" t="s">
        <v>7700</v>
      </c>
      <c r="C1703" s="2">
        <v>1.41</v>
      </c>
      <c r="D1703" s="2">
        <v>1.6262000000000001</v>
      </c>
      <c r="E1703" s="2" t="s">
        <v>1570</v>
      </c>
    </row>
    <row r="1704" spans="1:5" ht="20.25" customHeight="1" x14ac:dyDescent="0.15">
      <c r="A1704" s="2" t="s">
        <v>1550</v>
      </c>
      <c r="B1704" s="2" t="s">
        <v>1551</v>
      </c>
      <c r="C1704" s="2">
        <v>1.405</v>
      </c>
      <c r="D1704" s="2">
        <v>1.7763</v>
      </c>
      <c r="E1704" s="2" t="s">
        <v>286</v>
      </c>
    </row>
    <row r="1705" spans="1:5" ht="20.25" customHeight="1" x14ac:dyDescent="0.15">
      <c r="A1705" s="2" t="s">
        <v>14</v>
      </c>
      <c r="B1705" s="2" t="s">
        <v>15</v>
      </c>
      <c r="C1705" s="2">
        <v>1.4</v>
      </c>
      <c r="D1705" s="2">
        <v>1.6160000000000001</v>
      </c>
      <c r="E1705" s="2" t="s">
        <v>10</v>
      </c>
    </row>
    <row r="1706" spans="1:5" ht="20.25" customHeight="1" x14ac:dyDescent="0.15">
      <c r="A1706" s="2" t="s">
        <v>16</v>
      </c>
      <c r="B1706" s="2" t="s">
        <v>17</v>
      </c>
      <c r="C1706" s="2">
        <v>1.4</v>
      </c>
      <c r="D1706" s="2">
        <v>4.2731000000000003</v>
      </c>
      <c r="E1706" s="2" t="s">
        <v>18</v>
      </c>
    </row>
    <row r="1707" spans="1:5" ht="20.25" customHeight="1" x14ac:dyDescent="0.15">
      <c r="A1707" s="2" t="s">
        <v>1827</v>
      </c>
      <c r="B1707" s="2" t="s">
        <v>1828</v>
      </c>
      <c r="C1707" s="2">
        <v>1.4</v>
      </c>
      <c r="D1707" s="2">
        <v>14.8635</v>
      </c>
      <c r="E1707" s="2" t="s">
        <v>511</v>
      </c>
    </row>
    <row r="1708" spans="1:5" ht="20.25" customHeight="1" x14ac:dyDescent="0.15">
      <c r="A1708" s="2" t="s">
        <v>3641</v>
      </c>
      <c r="B1708" s="2" t="s">
        <v>3642</v>
      </c>
      <c r="C1708" s="2">
        <v>1.4</v>
      </c>
      <c r="D1708" s="2">
        <v>2.0587</v>
      </c>
      <c r="E1708" s="2" t="s">
        <v>220</v>
      </c>
    </row>
    <row r="1709" spans="1:5" ht="20.25" customHeight="1" x14ac:dyDescent="0.15">
      <c r="A1709" s="2" t="s">
        <v>3945</v>
      </c>
      <c r="B1709" s="2" t="s">
        <v>3946</v>
      </c>
      <c r="C1709" s="2">
        <v>1.4</v>
      </c>
      <c r="D1709" s="2">
        <v>1.0024999999999999</v>
      </c>
      <c r="E1709" s="2" t="s">
        <v>1774</v>
      </c>
    </row>
    <row r="1710" spans="1:5" ht="20.25" customHeight="1" x14ac:dyDescent="0.15">
      <c r="A1710" s="2" t="s">
        <v>3988</v>
      </c>
      <c r="B1710" s="2" t="s">
        <v>3989</v>
      </c>
      <c r="C1710" s="2">
        <v>1.4</v>
      </c>
      <c r="D1710" s="2">
        <v>0.74639999999999995</v>
      </c>
      <c r="E1710" s="2" t="s">
        <v>1390</v>
      </c>
    </row>
    <row r="1711" spans="1:5" ht="20.25" customHeight="1" x14ac:dyDescent="0.15">
      <c r="A1711" s="2" t="s">
        <v>5631</v>
      </c>
      <c r="B1711" s="2" t="s">
        <v>5632</v>
      </c>
      <c r="C1711" s="2">
        <v>1.4</v>
      </c>
      <c r="D1711" s="2">
        <v>1.9531000000000001</v>
      </c>
      <c r="E1711" s="2" t="s">
        <v>506</v>
      </c>
    </row>
    <row r="1712" spans="1:5" ht="20.25" customHeight="1" x14ac:dyDescent="0.15">
      <c r="A1712" s="2" t="s">
        <v>7143</v>
      </c>
      <c r="B1712" s="2" t="s">
        <v>7144</v>
      </c>
      <c r="C1712" s="2">
        <v>1.4</v>
      </c>
      <c r="D1712" s="2">
        <v>0.92190000000000005</v>
      </c>
      <c r="E1712" s="2" t="s">
        <v>406</v>
      </c>
    </row>
    <row r="1713" spans="1:5" ht="20.25" customHeight="1" x14ac:dyDescent="0.15">
      <c r="A1713" s="2" t="s">
        <v>7863</v>
      </c>
      <c r="B1713" s="2" t="s">
        <v>7864</v>
      </c>
      <c r="C1713" s="2">
        <v>1.395</v>
      </c>
      <c r="D1713" s="2">
        <v>1.54</v>
      </c>
      <c r="E1713" s="2" t="s">
        <v>86</v>
      </c>
    </row>
    <row r="1714" spans="1:5" ht="20.25" customHeight="1" x14ac:dyDescent="0.15">
      <c r="A1714" s="2" t="s">
        <v>7991</v>
      </c>
      <c r="B1714" s="2" t="s">
        <v>7992</v>
      </c>
      <c r="C1714" s="2">
        <v>1.395</v>
      </c>
      <c r="D1714" s="2">
        <v>1.6059000000000001</v>
      </c>
      <c r="E1714" s="2" t="s">
        <v>374</v>
      </c>
    </row>
    <row r="1715" spans="1:5" ht="20.25" customHeight="1" x14ac:dyDescent="0.15">
      <c r="A1715" s="2" t="s">
        <v>25</v>
      </c>
      <c r="B1715" s="2" t="s">
        <v>26</v>
      </c>
      <c r="C1715" s="2">
        <v>1.39</v>
      </c>
      <c r="D1715" s="2">
        <v>0.46689999999999998</v>
      </c>
      <c r="E1715" s="2" t="s">
        <v>27</v>
      </c>
    </row>
    <row r="1716" spans="1:5" ht="20.25" customHeight="1" x14ac:dyDescent="0.15">
      <c r="A1716" s="2" t="s">
        <v>1862</v>
      </c>
      <c r="B1716" s="2" t="s">
        <v>1863</v>
      </c>
      <c r="C1716" s="2">
        <v>1.39</v>
      </c>
      <c r="D1716" s="2">
        <v>0.57189999999999996</v>
      </c>
      <c r="E1716" s="2" t="s">
        <v>471</v>
      </c>
    </row>
    <row r="1717" spans="1:5" ht="20.25" customHeight="1" x14ac:dyDescent="0.15">
      <c r="A1717" s="2" t="s">
        <v>3056</v>
      </c>
      <c r="B1717" s="2" t="s">
        <v>3057</v>
      </c>
      <c r="C1717" s="2">
        <v>1.39</v>
      </c>
      <c r="D1717" s="2">
        <v>14.7737</v>
      </c>
      <c r="E1717" s="2" t="s">
        <v>245</v>
      </c>
    </row>
    <row r="1718" spans="1:5" ht="20.25" customHeight="1" x14ac:dyDescent="0.15">
      <c r="A1718" s="2" t="s">
        <v>3925</v>
      </c>
      <c r="B1718" s="2" t="s">
        <v>3926</v>
      </c>
      <c r="C1718" s="2">
        <v>1.39</v>
      </c>
      <c r="D1718" s="2">
        <v>8.7331000000000003</v>
      </c>
      <c r="E1718" s="2" t="s">
        <v>1593</v>
      </c>
    </row>
    <row r="1719" spans="1:5" ht="20.25" customHeight="1" x14ac:dyDescent="0.15">
      <c r="A1719" s="2" t="s">
        <v>5812</v>
      </c>
      <c r="B1719" s="2" t="s">
        <v>5813</v>
      </c>
      <c r="C1719" s="2">
        <v>1.39</v>
      </c>
      <c r="D1719" s="2">
        <v>2.8241999999999998</v>
      </c>
      <c r="E1719" s="2" t="s">
        <v>421</v>
      </c>
    </row>
    <row r="1720" spans="1:5" ht="20.25" customHeight="1" x14ac:dyDescent="0.15">
      <c r="A1720" s="2" t="s">
        <v>6861</v>
      </c>
      <c r="B1720" s="2" t="s">
        <v>6862</v>
      </c>
      <c r="C1720" s="2">
        <v>1.39</v>
      </c>
      <c r="D1720" s="2">
        <v>0.67269999999999996</v>
      </c>
      <c r="E1720" s="2" t="s">
        <v>1774</v>
      </c>
    </row>
    <row r="1721" spans="1:5" ht="20.25" customHeight="1" x14ac:dyDescent="0.15">
      <c r="A1721" s="2" t="s">
        <v>6901</v>
      </c>
      <c r="B1721" s="2" t="s">
        <v>6902</v>
      </c>
      <c r="C1721" s="2">
        <v>1.39</v>
      </c>
      <c r="D1721" s="2">
        <v>0.84960000000000002</v>
      </c>
      <c r="E1721" s="2" t="s">
        <v>157</v>
      </c>
    </row>
    <row r="1722" spans="1:5" ht="20.25" customHeight="1" x14ac:dyDescent="0.15">
      <c r="A1722" s="2" t="s">
        <v>7573</v>
      </c>
      <c r="B1722" s="2" t="s">
        <v>7574</v>
      </c>
      <c r="C1722" s="2">
        <v>1.39</v>
      </c>
      <c r="D1722" s="2">
        <v>1.5229999999999999</v>
      </c>
      <c r="E1722" s="2" t="s">
        <v>1436</v>
      </c>
    </row>
    <row r="1723" spans="1:5" ht="20.25" customHeight="1" x14ac:dyDescent="0.15">
      <c r="A1723" s="2" t="s">
        <v>6789</v>
      </c>
      <c r="B1723" s="2" t="s">
        <v>6790</v>
      </c>
      <c r="C1723" s="2">
        <v>1.385</v>
      </c>
      <c r="D1723" s="2">
        <v>0.59909999999999997</v>
      </c>
      <c r="E1723" s="2" t="s">
        <v>286</v>
      </c>
    </row>
    <row r="1724" spans="1:5" ht="20.25" customHeight="1" x14ac:dyDescent="0.15">
      <c r="A1724" s="2" t="s">
        <v>1421</v>
      </c>
      <c r="B1724" s="2" t="s">
        <v>1422</v>
      </c>
      <c r="C1724" s="2">
        <v>1.38</v>
      </c>
      <c r="D1724" s="2">
        <v>0.67900000000000005</v>
      </c>
      <c r="E1724" s="2" t="s">
        <v>140</v>
      </c>
    </row>
    <row r="1725" spans="1:5" ht="20.25" customHeight="1" x14ac:dyDescent="0.15">
      <c r="A1725" s="2" t="s">
        <v>1587</v>
      </c>
      <c r="B1725" s="2" t="s">
        <v>1588</v>
      </c>
      <c r="C1725" s="2">
        <v>1.38</v>
      </c>
      <c r="D1725" s="2">
        <v>6.6584000000000003</v>
      </c>
      <c r="E1725" s="2" t="s">
        <v>1459</v>
      </c>
    </row>
    <row r="1726" spans="1:5" ht="20.25" customHeight="1" x14ac:dyDescent="0.15">
      <c r="A1726" s="2" t="s">
        <v>1650</v>
      </c>
      <c r="B1726" s="2" t="s">
        <v>1651</v>
      </c>
      <c r="C1726" s="2">
        <v>1.38</v>
      </c>
      <c r="D1726" s="2">
        <v>0.91510000000000002</v>
      </c>
      <c r="E1726" s="2" t="s">
        <v>571</v>
      </c>
    </row>
    <row r="1727" spans="1:5" ht="20.25" customHeight="1" x14ac:dyDescent="0.15">
      <c r="A1727" s="2" t="s">
        <v>3849</v>
      </c>
      <c r="B1727" s="2" t="s">
        <v>3850</v>
      </c>
      <c r="C1727" s="2">
        <v>1.38</v>
      </c>
      <c r="D1727" s="2">
        <v>0.49919999999999998</v>
      </c>
      <c r="E1727" s="2" t="s">
        <v>704</v>
      </c>
    </row>
    <row r="1728" spans="1:5" ht="20.25" customHeight="1" x14ac:dyDescent="0.15">
      <c r="A1728" s="2" t="s">
        <v>3905</v>
      </c>
      <c r="B1728" s="2" t="s">
        <v>3906</v>
      </c>
      <c r="C1728" s="2">
        <v>1.38</v>
      </c>
      <c r="D1728" s="2">
        <v>3.3411</v>
      </c>
      <c r="E1728" s="2" t="s">
        <v>459</v>
      </c>
    </row>
    <row r="1729" spans="1:5" ht="20.25" customHeight="1" x14ac:dyDescent="0.15">
      <c r="A1729" s="2" t="s">
        <v>4444</v>
      </c>
      <c r="B1729" s="2" t="s">
        <v>4445</v>
      </c>
      <c r="C1729" s="2">
        <v>1.38</v>
      </c>
      <c r="D1729" s="2">
        <v>1.571</v>
      </c>
      <c r="E1729" s="2" t="s">
        <v>1425</v>
      </c>
    </row>
    <row r="1730" spans="1:5" ht="20.25" customHeight="1" x14ac:dyDescent="0.15">
      <c r="A1730" s="2" t="s">
        <v>6372</v>
      </c>
      <c r="B1730" s="2" t="s">
        <v>6373</v>
      </c>
      <c r="C1730" s="2">
        <v>1.38</v>
      </c>
      <c r="D1730" s="2">
        <v>2.3538999999999999</v>
      </c>
      <c r="E1730" s="2" t="s">
        <v>403</v>
      </c>
    </row>
    <row r="1731" spans="1:5" ht="20.25" customHeight="1" x14ac:dyDescent="0.15">
      <c r="A1731" s="2" t="s">
        <v>7975</v>
      </c>
      <c r="B1731" s="2" t="s">
        <v>7976</v>
      </c>
      <c r="C1731" s="2">
        <v>1.38</v>
      </c>
      <c r="D1731" s="2">
        <v>6.5648</v>
      </c>
      <c r="E1731" s="2" t="s">
        <v>89</v>
      </c>
    </row>
    <row r="1732" spans="1:5" ht="20.25" customHeight="1" x14ac:dyDescent="0.15">
      <c r="A1732" s="2" t="s">
        <v>7755</v>
      </c>
      <c r="B1732" s="2" t="s">
        <v>7756</v>
      </c>
      <c r="C1732" s="2">
        <v>1.375</v>
      </c>
      <c r="D1732" s="2">
        <v>5.2455999999999996</v>
      </c>
      <c r="E1732" s="2" t="s">
        <v>2724</v>
      </c>
    </row>
    <row r="1733" spans="1:5" ht="20.25" customHeight="1" x14ac:dyDescent="0.15">
      <c r="A1733" s="2" t="s">
        <v>379</v>
      </c>
      <c r="B1733" s="2" t="s">
        <v>380</v>
      </c>
      <c r="C1733" s="2">
        <v>1.37</v>
      </c>
      <c r="D1733" s="2">
        <v>0.17610000000000001</v>
      </c>
      <c r="E1733" s="2" t="s">
        <v>299</v>
      </c>
    </row>
    <row r="1734" spans="1:5" ht="20.25" customHeight="1" x14ac:dyDescent="0.15">
      <c r="A1734" s="2" t="s">
        <v>1290</v>
      </c>
      <c r="B1734" s="2" t="s">
        <v>1291</v>
      </c>
      <c r="C1734" s="2">
        <v>1.37</v>
      </c>
      <c r="D1734" s="2">
        <v>2.5234999999999999</v>
      </c>
      <c r="E1734" s="2" t="s">
        <v>35</v>
      </c>
    </row>
    <row r="1735" spans="1:5" ht="20.25" customHeight="1" x14ac:dyDescent="0.15">
      <c r="A1735" s="2" t="s">
        <v>1406</v>
      </c>
      <c r="B1735" s="2" t="s">
        <v>1407</v>
      </c>
      <c r="C1735" s="2">
        <v>1.37</v>
      </c>
      <c r="D1735" s="2">
        <v>0.1177</v>
      </c>
      <c r="E1735" s="2" t="s">
        <v>134</v>
      </c>
    </row>
    <row r="1736" spans="1:5" ht="20.25" customHeight="1" x14ac:dyDescent="0.15">
      <c r="A1736" s="2" t="s">
        <v>1897</v>
      </c>
      <c r="B1736" s="2" t="s">
        <v>1898</v>
      </c>
      <c r="C1736" s="2">
        <v>1.37</v>
      </c>
      <c r="D1736" s="2">
        <v>0.28199999999999997</v>
      </c>
      <c r="E1736" s="2" t="s">
        <v>1066</v>
      </c>
    </row>
    <row r="1737" spans="1:5" ht="20.25" customHeight="1" x14ac:dyDescent="0.15">
      <c r="A1737" s="2" t="s">
        <v>2755</v>
      </c>
      <c r="B1737" s="2" t="s">
        <v>2756</v>
      </c>
      <c r="C1737" s="2">
        <v>1.37</v>
      </c>
      <c r="D1737" s="2">
        <v>0.96550000000000002</v>
      </c>
      <c r="E1737" s="2" t="s">
        <v>371</v>
      </c>
    </row>
    <row r="1738" spans="1:5" ht="20.25" customHeight="1" x14ac:dyDescent="0.15">
      <c r="A1738" s="2" t="s">
        <v>4612</v>
      </c>
      <c r="B1738" s="2" t="s">
        <v>4613</v>
      </c>
      <c r="C1738" s="2">
        <v>1.37</v>
      </c>
      <c r="D1738" s="2">
        <v>1.9795</v>
      </c>
      <c r="E1738" s="2" t="s">
        <v>1774</v>
      </c>
    </row>
    <row r="1739" spans="1:5" ht="20.25" customHeight="1" x14ac:dyDescent="0.15">
      <c r="A1739" s="2" t="s">
        <v>6128</v>
      </c>
      <c r="B1739" s="2" t="s">
        <v>6129</v>
      </c>
      <c r="C1739" s="2">
        <v>1.37</v>
      </c>
      <c r="D1739" s="2">
        <v>29.374700000000001</v>
      </c>
      <c r="E1739" s="2" t="s">
        <v>374</v>
      </c>
    </row>
    <row r="1740" spans="1:5" ht="20.25" customHeight="1" x14ac:dyDescent="0.15">
      <c r="A1740" s="2" t="s">
        <v>6206</v>
      </c>
      <c r="B1740" s="2" t="s">
        <v>6207</v>
      </c>
      <c r="C1740" s="2">
        <v>1.37</v>
      </c>
      <c r="D1740" s="2">
        <v>0.27350000000000002</v>
      </c>
      <c r="E1740" s="2" t="s">
        <v>784</v>
      </c>
    </row>
    <row r="1741" spans="1:5" ht="20.25" customHeight="1" x14ac:dyDescent="0.15">
      <c r="A1741" s="2" t="s">
        <v>6420</v>
      </c>
      <c r="B1741" s="2" t="s">
        <v>6421</v>
      </c>
      <c r="C1741" s="2">
        <v>1.37</v>
      </c>
      <c r="D1741" s="2">
        <v>0.7258</v>
      </c>
      <c r="E1741" s="2" t="s">
        <v>794</v>
      </c>
    </row>
    <row r="1742" spans="1:5" ht="20.25" customHeight="1" x14ac:dyDescent="0.15">
      <c r="A1742" s="2" t="s">
        <v>6572</v>
      </c>
      <c r="B1742" s="2" t="s">
        <v>6573</v>
      </c>
      <c r="C1742" s="2">
        <v>1.37</v>
      </c>
      <c r="D1742" s="2">
        <v>2.4722</v>
      </c>
      <c r="E1742" s="2" t="s">
        <v>68</v>
      </c>
    </row>
    <row r="1743" spans="1:5" ht="20.25" customHeight="1" x14ac:dyDescent="0.15">
      <c r="A1743" s="2" t="s">
        <v>6686</v>
      </c>
      <c r="B1743" s="2" t="s">
        <v>6687</v>
      </c>
      <c r="C1743" s="2">
        <v>1.37</v>
      </c>
      <c r="D1743" s="2">
        <v>0.61990000000000001</v>
      </c>
      <c r="E1743" s="2" t="s">
        <v>1061</v>
      </c>
    </row>
    <row r="1744" spans="1:5" ht="20.25" customHeight="1" x14ac:dyDescent="0.15">
      <c r="A1744" s="2" t="s">
        <v>274</v>
      </c>
      <c r="B1744" s="2" t="s">
        <v>275</v>
      </c>
      <c r="C1744" s="2">
        <v>1.36</v>
      </c>
      <c r="D1744" s="2">
        <v>0.37509999999999999</v>
      </c>
      <c r="E1744" s="2" t="s">
        <v>276</v>
      </c>
    </row>
    <row r="1745" spans="1:5" ht="20.25" customHeight="1" x14ac:dyDescent="0.15">
      <c r="A1745" s="2" t="s">
        <v>1037</v>
      </c>
      <c r="B1745" s="2" t="s">
        <v>1038</v>
      </c>
      <c r="C1745" s="2">
        <v>1.36</v>
      </c>
      <c r="D1745" s="2">
        <v>0.1835</v>
      </c>
      <c r="E1745" s="2" t="s">
        <v>89</v>
      </c>
    </row>
    <row r="1746" spans="1:5" ht="20.25" customHeight="1" x14ac:dyDescent="0.15">
      <c r="A1746" s="2" t="s">
        <v>1296</v>
      </c>
      <c r="B1746" s="2" t="s">
        <v>1297</v>
      </c>
      <c r="C1746" s="2">
        <v>1.36</v>
      </c>
      <c r="D1746" s="2">
        <v>4.3042999999999996</v>
      </c>
      <c r="E1746" s="2" t="s">
        <v>44</v>
      </c>
    </row>
    <row r="1747" spans="1:5" ht="20.25" customHeight="1" x14ac:dyDescent="0.15">
      <c r="A1747" s="2" t="s">
        <v>1367</v>
      </c>
      <c r="B1747" s="2" t="s">
        <v>1368</v>
      </c>
      <c r="C1747" s="2">
        <v>1.36</v>
      </c>
      <c r="D1747" s="2">
        <v>0.1326</v>
      </c>
      <c r="E1747" s="2" t="s">
        <v>699</v>
      </c>
    </row>
    <row r="1748" spans="1:5" ht="20.25" customHeight="1" x14ac:dyDescent="0.15">
      <c r="A1748" s="2" t="s">
        <v>1507</v>
      </c>
      <c r="B1748" s="2" t="s">
        <v>1508</v>
      </c>
      <c r="C1748" s="2">
        <v>1.36</v>
      </c>
      <c r="D1748" s="2">
        <v>9.3675999999999995</v>
      </c>
      <c r="E1748" s="2" t="s">
        <v>207</v>
      </c>
    </row>
    <row r="1749" spans="1:5" ht="20.25" customHeight="1" x14ac:dyDescent="0.15">
      <c r="A1749" s="2" t="s">
        <v>2965</v>
      </c>
      <c r="B1749" s="2" t="s">
        <v>2966</v>
      </c>
      <c r="C1749" s="2">
        <v>1.36</v>
      </c>
      <c r="D1749" s="2">
        <v>16.618500000000001</v>
      </c>
      <c r="E1749" s="2" t="s">
        <v>1691</v>
      </c>
    </row>
    <row r="1750" spans="1:5" ht="20.25" customHeight="1" x14ac:dyDescent="0.15">
      <c r="A1750" s="2" t="s">
        <v>3282</v>
      </c>
      <c r="B1750" s="2" t="s">
        <v>3283</v>
      </c>
      <c r="C1750" s="2">
        <v>1.36</v>
      </c>
      <c r="D1750" s="2">
        <v>0.32300000000000001</v>
      </c>
      <c r="E1750" s="2" t="s">
        <v>276</v>
      </c>
    </row>
    <row r="1751" spans="1:5" ht="20.25" customHeight="1" x14ac:dyDescent="0.15">
      <c r="A1751" s="2" t="s">
        <v>3322</v>
      </c>
      <c r="B1751" s="2" t="s">
        <v>3323</v>
      </c>
      <c r="C1751" s="2">
        <v>1.36</v>
      </c>
      <c r="D1751" s="2">
        <v>19.8245</v>
      </c>
      <c r="E1751" s="2" t="s">
        <v>35</v>
      </c>
    </row>
    <row r="1752" spans="1:5" ht="20.25" customHeight="1" x14ac:dyDescent="0.15">
      <c r="A1752" s="2" t="s">
        <v>3837</v>
      </c>
      <c r="B1752" s="2" t="s">
        <v>3838</v>
      </c>
      <c r="C1752" s="2">
        <v>1.36</v>
      </c>
      <c r="D1752" s="2">
        <v>0.2417</v>
      </c>
      <c r="E1752" s="2" t="s">
        <v>152</v>
      </c>
    </row>
    <row r="1753" spans="1:5" ht="20.25" customHeight="1" x14ac:dyDescent="0.15">
      <c r="A1753" s="2" t="s">
        <v>6716</v>
      </c>
      <c r="B1753" s="2" t="s">
        <v>6717</v>
      </c>
      <c r="C1753" s="2">
        <v>1.36</v>
      </c>
      <c r="D1753" s="2">
        <v>0.30299999999999999</v>
      </c>
      <c r="E1753" s="2" t="s">
        <v>638</v>
      </c>
    </row>
    <row r="1754" spans="1:5" ht="20.25" customHeight="1" x14ac:dyDescent="0.15">
      <c r="A1754" s="2" t="s">
        <v>6726</v>
      </c>
      <c r="B1754" s="2" t="s">
        <v>6727</v>
      </c>
      <c r="C1754" s="2">
        <v>1.36</v>
      </c>
      <c r="D1754" s="2">
        <v>5.0812999999999997</v>
      </c>
      <c r="E1754" s="2" t="s">
        <v>690</v>
      </c>
    </row>
    <row r="1755" spans="1:5" ht="20.25" customHeight="1" x14ac:dyDescent="0.15">
      <c r="A1755" s="2" t="s">
        <v>6897</v>
      </c>
      <c r="B1755" s="2" t="s">
        <v>6898</v>
      </c>
      <c r="C1755" s="2">
        <v>1.36</v>
      </c>
      <c r="D1755" s="2">
        <v>0.34989999999999999</v>
      </c>
      <c r="E1755" s="2" t="s">
        <v>647</v>
      </c>
    </row>
    <row r="1756" spans="1:5" ht="20.25" customHeight="1" x14ac:dyDescent="0.15">
      <c r="A1756" s="2" t="s">
        <v>7313</v>
      </c>
      <c r="B1756" s="2" t="s">
        <v>7314</v>
      </c>
      <c r="C1756" s="2">
        <v>1.36</v>
      </c>
      <c r="D1756" s="2">
        <v>2.181</v>
      </c>
      <c r="E1756" s="2" t="s">
        <v>10</v>
      </c>
    </row>
    <row r="1757" spans="1:5" ht="20.25" customHeight="1" x14ac:dyDescent="0.15">
      <c r="A1757" s="2" t="s">
        <v>5130</v>
      </c>
      <c r="B1757" s="2" t="s">
        <v>5131</v>
      </c>
      <c r="C1757" s="2">
        <v>1.355</v>
      </c>
      <c r="D1757" s="2">
        <v>1.6661999999999999</v>
      </c>
      <c r="E1757" s="2" t="s">
        <v>207</v>
      </c>
    </row>
    <row r="1758" spans="1:5" ht="20.25" customHeight="1" x14ac:dyDescent="0.15">
      <c r="A1758" s="2" t="s">
        <v>1103</v>
      </c>
      <c r="B1758" s="2" t="s">
        <v>1104</v>
      </c>
      <c r="C1758" s="2">
        <v>1.35</v>
      </c>
      <c r="D1758" s="2">
        <v>0.29809999999999998</v>
      </c>
      <c r="E1758" s="2" t="s">
        <v>406</v>
      </c>
    </row>
    <row r="1759" spans="1:5" ht="20.25" customHeight="1" x14ac:dyDescent="0.15">
      <c r="A1759" s="2" t="s">
        <v>1193</v>
      </c>
      <c r="B1759" s="2" t="s">
        <v>1194</v>
      </c>
      <c r="C1759" s="2">
        <v>1.35</v>
      </c>
      <c r="D1759" s="2">
        <v>0.1595</v>
      </c>
      <c r="E1759" s="2" t="s">
        <v>1102</v>
      </c>
    </row>
    <row r="1760" spans="1:5" ht="20.25" customHeight="1" x14ac:dyDescent="0.15">
      <c r="A1760" s="2" t="s">
        <v>1972</v>
      </c>
      <c r="B1760" s="2" t="s">
        <v>1973</v>
      </c>
      <c r="C1760" s="2">
        <v>1.35</v>
      </c>
      <c r="D1760" s="2">
        <v>2.0606</v>
      </c>
      <c r="E1760" s="2" t="s">
        <v>21</v>
      </c>
    </row>
    <row r="1761" spans="1:5" ht="20.25" customHeight="1" x14ac:dyDescent="0.15">
      <c r="A1761" s="2" t="s">
        <v>3342</v>
      </c>
      <c r="B1761" s="2" t="s">
        <v>3343</v>
      </c>
      <c r="C1761" s="2">
        <v>1.35</v>
      </c>
      <c r="D1761" s="2">
        <v>9.7299999999999998E-2</v>
      </c>
      <c r="E1761" s="2" t="s">
        <v>143</v>
      </c>
    </row>
    <row r="1762" spans="1:5" ht="20.25" customHeight="1" x14ac:dyDescent="0.15">
      <c r="A1762" s="2" t="s">
        <v>3403</v>
      </c>
      <c r="B1762" s="2" t="s">
        <v>3404</v>
      </c>
      <c r="C1762" s="2">
        <v>1.35</v>
      </c>
      <c r="D1762" s="2">
        <v>2.2848999999999999</v>
      </c>
      <c r="E1762" s="2" t="s">
        <v>421</v>
      </c>
    </row>
    <row r="1763" spans="1:5" ht="20.25" customHeight="1" x14ac:dyDescent="0.15">
      <c r="A1763" s="2" t="s">
        <v>5230</v>
      </c>
      <c r="B1763" s="2" t="s">
        <v>5231</v>
      </c>
      <c r="C1763" s="2">
        <v>1.35</v>
      </c>
      <c r="D1763" s="2">
        <v>0.98440000000000005</v>
      </c>
      <c r="E1763" s="2" t="s">
        <v>140</v>
      </c>
    </row>
    <row r="1764" spans="1:5" ht="20.25" customHeight="1" x14ac:dyDescent="0.15">
      <c r="A1764" s="2" t="s">
        <v>7005</v>
      </c>
      <c r="B1764" s="2" t="s">
        <v>7006</v>
      </c>
      <c r="C1764" s="2">
        <v>1.35</v>
      </c>
      <c r="D1764" s="2">
        <v>2.1956000000000002</v>
      </c>
      <c r="E1764" s="2" t="s">
        <v>1338</v>
      </c>
    </row>
    <row r="1765" spans="1:5" ht="20.25" customHeight="1" x14ac:dyDescent="0.15">
      <c r="A1765" s="2" t="s">
        <v>7537</v>
      </c>
      <c r="B1765" s="2" t="s">
        <v>7538</v>
      </c>
      <c r="C1765" s="2">
        <v>1.35</v>
      </c>
      <c r="D1765" s="2">
        <v>13.063599999999999</v>
      </c>
      <c r="E1765" s="2" t="s">
        <v>89</v>
      </c>
    </row>
    <row r="1766" spans="1:5" ht="20.25" customHeight="1" x14ac:dyDescent="0.15">
      <c r="A1766" s="2" t="s">
        <v>8199</v>
      </c>
      <c r="B1766" s="2" t="s">
        <v>8200</v>
      </c>
      <c r="C1766" s="2">
        <v>1.35</v>
      </c>
      <c r="D1766" s="2">
        <v>0.86619999999999997</v>
      </c>
      <c r="E1766" s="2" t="s">
        <v>2678</v>
      </c>
    </row>
    <row r="1767" spans="1:5" ht="20.25" customHeight="1" x14ac:dyDescent="0.15">
      <c r="A1767" s="2" t="s">
        <v>5489</v>
      </c>
      <c r="B1767" s="2" t="s">
        <v>5490</v>
      </c>
      <c r="C1767" s="2">
        <v>1.345</v>
      </c>
      <c r="D1767" s="2">
        <v>9.8777000000000008</v>
      </c>
      <c r="E1767" s="2" t="s">
        <v>827</v>
      </c>
    </row>
    <row r="1768" spans="1:5" ht="20.25" customHeight="1" x14ac:dyDescent="0.15">
      <c r="A1768" s="2" t="s">
        <v>375</v>
      </c>
      <c r="B1768" s="2" t="s">
        <v>376</v>
      </c>
      <c r="C1768" s="2">
        <v>1.34</v>
      </c>
      <c r="D1768" s="2">
        <v>0.39779999999999999</v>
      </c>
      <c r="E1768" s="2" t="s">
        <v>44</v>
      </c>
    </row>
    <row r="1769" spans="1:5" ht="20.25" customHeight="1" x14ac:dyDescent="0.15">
      <c r="A1769" s="2" t="s">
        <v>1085</v>
      </c>
      <c r="B1769" s="2" t="s">
        <v>1086</v>
      </c>
      <c r="C1769" s="2">
        <v>1.34</v>
      </c>
      <c r="D1769" s="2">
        <v>5.6573000000000002</v>
      </c>
      <c r="E1769" s="2" t="s">
        <v>614</v>
      </c>
    </row>
    <row r="1770" spans="1:5" ht="20.25" customHeight="1" x14ac:dyDescent="0.15">
      <c r="A1770" s="2" t="s">
        <v>2053</v>
      </c>
      <c r="B1770" s="2" t="s">
        <v>2054</v>
      </c>
      <c r="C1770" s="2">
        <v>1.34</v>
      </c>
      <c r="D1770" s="2">
        <v>0.50280000000000002</v>
      </c>
      <c r="E1770" s="2" t="s">
        <v>2038</v>
      </c>
    </row>
    <row r="1771" spans="1:5" ht="20.25" customHeight="1" x14ac:dyDescent="0.15">
      <c r="A1771" s="2" t="s">
        <v>2075</v>
      </c>
      <c r="B1771" s="2" t="s">
        <v>2076</v>
      </c>
      <c r="C1771" s="2">
        <v>1.34</v>
      </c>
      <c r="D1771" s="2">
        <v>1.335</v>
      </c>
      <c r="E1771" s="2" t="s">
        <v>92</v>
      </c>
    </row>
    <row r="1772" spans="1:5" ht="20.25" customHeight="1" x14ac:dyDescent="0.15">
      <c r="A1772" s="2" t="s">
        <v>2855</v>
      </c>
      <c r="B1772" s="2" t="s">
        <v>2856</v>
      </c>
      <c r="C1772" s="2">
        <v>1.34</v>
      </c>
      <c r="D1772" s="2">
        <v>1.6425000000000001</v>
      </c>
      <c r="E1772" s="2" t="s">
        <v>1403</v>
      </c>
    </row>
    <row r="1773" spans="1:5" ht="20.25" customHeight="1" x14ac:dyDescent="0.15">
      <c r="A1773" s="2" t="s">
        <v>2886</v>
      </c>
      <c r="B1773" s="2" t="s">
        <v>2887</v>
      </c>
      <c r="C1773" s="2">
        <v>1.34</v>
      </c>
      <c r="D1773" s="2">
        <v>2.0102000000000002</v>
      </c>
      <c r="E1773" s="2" t="s">
        <v>554</v>
      </c>
    </row>
    <row r="1774" spans="1:5" ht="20.25" customHeight="1" x14ac:dyDescent="0.15">
      <c r="A1774" s="2" t="s">
        <v>3022</v>
      </c>
      <c r="B1774" s="2" t="s">
        <v>3023</v>
      </c>
      <c r="C1774" s="2">
        <v>1.34</v>
      </c>
      <c r="D1774" s="2">
        <v>1.61</v>
      </c>
      <c r="E1774" s="2" t="s">
        <v>44</v>
      </c>
    </row>
    <row r="1775" spans="1:5" ht="20.25" customHeight="1" x14ac:dyDescent="0.15">
      <c r="A1775" s="2" t="s">
        <v>3671</v>
      </c>
      <c r="B1775" s="2" t="s">
        <v>3672</v>
      </c>
      <c r="C1775" s="2">
        <v>1.34</v>
      </c>
      <c r="D1775" s="2">
        <v>0.14119999999999999</v>
      </c>
      <c r="E1775" s="2" t="s">
        <v>371</v>
      </c>
    </row>
    <row r="1776" spans="1:5" ht="20.25" customHeight="1" x14ac:dyDescent="0.15">
      <c r="A1776" s="2" t="s">
        <v>4238</v>
      </c>
      <c r="B1776" s="2" t="s">
        <v>4239</v>
      </c>
      <c r="C1776" s="2">
        <v>1.335</v>
      </c>
      <c r="D1776" s="2">
        <v>2.0217999999999998</v>
      </c>
      <c r="E1776" s="2" t="s">
        <v>961</v>
      </c>
    </row>
    <row r="1777" spans="1:5" ht="20.25" customHeight="1" x14ac:dyDescent="0.15">
      <c r="A1777" s="2" t="s">
        <v>397</v>
      </c>
      <c r="B1777" s="2" t="s">
        <v>398</v>
      </c>
      <c r="C1777" s="2">
        <v>1.33</v>
      </c>
      <c r="D1777" s="2">
        <v>0.57089999999999996</v>
      </c>
      <c r="E1777" s="2" t="s">
        <v>171</v>
      </c>
    </row>
    <row r="1778" spans="1:5" ht="20.25" customHeight="1" x14ac:dyDescent="0.15">
      <c r="A1778" s="2" t="s">
        <v>910</v>
      </c>
      <c r="B1778" s="2" t="s">
        <v>911</v>
      </c>
      <c r="C1778" s="2">
        <v>1.33</v>
      </c>
      <c r="D1778" s="2">
        <v>0.3543</v>
      </c>
      <c r="E1778" s="2" t="s">
        <v>750</v>
      </c>
    </row>
    <row r="1779" spans="1:5" ht="20.25" customHeight="1" x14ac:dyDescent="0.15">
      <c r="A1779" s="2" t="s">
        <v>2091</v>
      </c>
      <c r="B1779" s="2" t="s">
        <v>2092</v>
      </c>
      <c r="C1779" s="2">
        <v>1.33</v>
      </c>
      <c r="D1779" s="2">
        <v>34.499200000000002</v>
      </c>
      <c r="E1779" s="2" t="s">
        <v>140</v>
      </c>
    </row>
    <row r="1780" spans="1:5" ht="20.25" customHeight="1" x14ac:dyDescent="0.15">
      <c r="A1780" s="2" t="s">
        <v>3631</v>
      </c>
      <c r="B1780" s="2" t="s">
        <v>3632</v>
      </c>
      <c r="C1780" s="2">
        <v>1.33</v>
      </c>
      <c r="D1780" s="2">
        <v>5.2397999999999998</v>
      </c>
      <c r="E1780" s="2" t="s">
        <v>143</v>
      </c>
    </row>
    <row r="1781" spans="1:5" ht="20.25" customHeight="1" x14ac:dyDescent="0.15">
      <c r="A1781" s="2" t="s">
        <v>3756</v>
      </c>
      <c r="B1781" s="2" t="s">
        <v>3757</v>
      </c>
      <c r="C1781" s="2">
        <v>1.33</v>
      </c>
      <c r="D1781" s="2">
        <v>0.78320000000000001</v>
      </c>
      <c r="E1781" s="2" t="s">
        <v>2724</v>
      </c>
    </row>
    <row r="1782" spans="1:5" ht="20.25" customHeight="1" x14ac:dyDescent="0.15">
      <c r="A1782" s="2" t="s">
        <v>3823</v>
      </c>
      <c r="B1782" s="2" t="s">
        <v>3824</v>
      </c>
      <c r="C1782" s="2">
        <v>1.33</v>
      </c>
      <c r="D1782" s="2">
        <v>1.1847000000000001</v>
      </c>
      <c r="E1782" s="2" t="s">
        <v>2463</v>
      </c>
    </row>
    <row r="1783" spans="1:5" ht="20.25" customHeight="1" x14ac:dyDescent="0.15">
      <c r="A1783" s="2" t="s">
        <v>4753</v>
      </c>
      <c r="B1783" s="2" t="s">
        <v>4754</v>
      </c>
      <c r="C1783" s="2">
        <v>1.33</v>
      </c>
      <c r="D1783" s="2">
        <v>2.5783</v>
      </c>
      <c r="E1783" s="2" t="s">
        <v>784</v>
      </c>
    </row>
    <row r="1784" spans="1:5" ht="20.25" customHeight="1" x14ac:dyDescent="0.15">
      <c r="A1784" s="2" t="s">
        <v>5252</v>
      </c>
      <c r="B1784" s="2" t="s">
        <v>5253</v>
      </c>
      <c r="C1784" s="2">
        <v>1.33</v>
      </c>
      <c r="D1784" s="2">
        <v>75.292400000000001</v>
      </c>
      <c r="E1784" s="2" t="s">
        <v>633</v>
      </c>
    </row>
    <row r="1785" spans="1:5" ht="20.25" customHeight="1" x14ac:dyDescent="0.15">
      <c r="A1785" s="2" t="s">
        <v>5266</v>
      </c>
      <c r="B1785" s="2" t="s">
        <v>5267</v>
      </c>
      <c r="C1785" s="2">
        <v>1.33</v>
      </c>
      <c r="D1785" s="2">
        <v>17.677099999999999</v>
      </c>
      <c r="E1785" s="2" t="s">
        <v>747</v>
      </c>
    </row>
    <row r="1786" spans="1:5" ht="20.25" customHeight="1" x14ac:dyDescent="0.15">
      <c r="A1786" s="2" t="s">
        <v>5563</v>
      </c>
      <c r="B1786" s="2" t="s">
        <v>5564</v>
      </c>
      <c r="C1786" s="2">
        <v>1.33</v>
      </c>
      <c r="D1786" s="2">
        <v>1.1277999999999999</v>
      </c>
      <c r="E1786" s="2" t="s">
        <v>1102</v>
      </c>
    </row>
    <row r="1787" spans="1:5" ht="20.25" customHeight="1" x14ac:dyDescent="0.15">
      <c r="A1787" s="2" t="s">
        <v>5994</v>
      </c>
      <c r="B1787" s="2" t="s">
        <v>5995</v>
      </c>
      <c r="C1787" s="2">
        <v>1.33</v>
      </c>
      <c r="D1787" s="2">
        <v>0.53580000000000005</v>
      </c>
      <c r="E1787" s="2" t="s">
        <v>784</v>
      </c>
    </row>
    <row r="1788" spans="1:5" ht="20.25" customHeight="1" x14ac:dyDescent="0.15">
      <c r="A1788" s="2" t="s">
        <v>6030</v>
      </c>
      <c r="B1788" s="2" t="s">
        <v>6031</v>
      </c>
      <c r="C1788" s="2">
        <v>1.33</v>
      </c>
      <c r="D1788" s="2">
        <v>3.7995999999999999</v>
      </c>
      <c r="E1788" s="2" t="s">
        <v>3053</v>
      </c>
    </row>
    <row r="1789" spans="1:5" ht="20.25" customHeight="1" x14ac:dyDescent="0.15">
      <c r="A1789" s="2" t="s">
        <v>7053</v>
      </c>
      <c r="B1789" s="2" t="s">
        <v>7054</v>
      </c>
      <c r="C1789" s="2">
        <v>1.33</v>
      </c>
      <c r="D1789" s="2">
        <v>0.21340000000000001</v>
      </c>
      <c r="E1789" s="2" t="s">
        <v>310</v>
      </c>
    </row>
    <row r="1790" spans="1:5" ht="20.25" customHeight="1" x14ac:dyDescent="0.15">
      <c r="A1790" s="2" t="s">
        <v>7155</v>
      </c>
      <c r="B1790" s="2" t="s">
        <v>7156</v>
      </c>
      <c r="C1790" s="2">
        <v>1.33</v>
      </c>
      <c r="D1790" s="2">
        <v>0.90190000000000003</v>
      </c>
      <c r="E1790" s="2" t="s">
        <v>3141</v>
      </c>
    </row>
    <row r="1791" spans="1:5" ht="20.25" customHeight="1" x14ac:dyDescent="0.15">
      <c r="A1791" s="2" t="s">
        <v>7305</v>
      </c>
      <c r="B1791" s="2" t="s">
        <v>7306</v>
      </c>
      <c r="C1791" s="2">
        <v>1.33</v>
      </c>
      <c r="D1791" s="2">
        <v>1.427</v>
      </c>
      <c r="E1791" s="2" t="s">
        <v>1338</v>
      </c>
    </row>
    <row r="1792" spans="1:5" ht="20.25" customHeight="1" x14ac:dyDescent="0.15">
      <c r="A1792" s="2" t="s">
        <v>5196</v>
      </c>
      <c r="B1792" s="2" t="s">
        <v>5197</v>
      </c>
      <c r="C1792" s="2">
        <v>1.325</v>
      </c>
      <c r="D1792" s="2">
        <v>0.26179999999999998</v>
      </c>
      <c r="E1792" s="2" t="s">
        <v>201</v>
      </c>
    </row>
    <row r="1793" spans="1:5" ht="20.25" customHeight="1" x14ac:dyDescent="0.15">
      <c r="A1793" s="2" t="s">
        <v>87</v>
      </c>
      <c r="B1793" s="2" t="s">
        <v>88</v>
      </c>
      <c r="C1793" s="2">
        <v>1.32</v>
      </c>
      <c r="D1793" s="2">
        <v>0.93079999999999996</v>
      </c>
      <c r="E1793" s="2" t="s">
        <v>89</v>
      </c>
    </row>
    <row r="1794" spans="1:5" ht="20.25" customHeight="1" x14ac:dyDescent="0.15">
      <c r="A1794" s="2" t="s">
        <v>414</v>
      </c>
      <c r="B1794" s="2" t="s">
        <v>415</v>
      </c>
      <c r="C1794" s="2">
        <v>1.32</v>
      </c>
      <c r="D1794" s="2">
        <v>0.83379999999999999</v>
      </c>
      <c r="E1794" s="2" t="s">
        <v>44</v>
      </c>
    </row>
    <row r="1795" spans="1:5" ht="20.25" customHeight="1" x14ac:dyDescent="0.15">
      <c r="A1795" s="2" t="s">
        <v>2771</v>
      </c>
      <c r="B1795" s="2" t="s">
        <v>2772</v>
      </c>
      <c r="C1795" s="2">
        <v>1.32</v>
      </c>
      <c r="D1795" s="2">
        <v>0.93430000000000002</v>
      </c>
      <c r="E1795" s="2" t="s">
        <v>362</v>
      </c>
    </row>
    <row r="1796" spans="1:5" ht="20.25" customHeight="1" x14ac:dyDescent="0.15">
      <c r="A1796" s="2" t="s">
        <v>3016</v>
      </c>
      <c r="B1796" s="2" t="s">
        <v>3017</v>
      </c>
      <c r="C1796" s="2">
        <v>1.32</v>
      </c>
      <c r="D1796" s="2">
        <v>1.173</v>
      </c>
      <c r="E1796" s="2" t="s">
        <v>149</v>
      </c>
    </row>
    <row r="1797" spans="1:5" ht="20.25" customHeight="1" x14ac:dyDescent="0.15">
      <c r="A1797" s="2" t="s">
        <v>3112</v>
      </c>
      <c r="B1797" s="2" t="s">
        <v>3113</v>
      </c>
      <c r="C1797" s="2">
        <v>1.32</v>
      </c>
      <c r="D1797" s="2">
        <v>17.011500000000002</v>
      </c>
      <c r="E1797" s="2" t="s">
        <v>201</v>
      </c>
    </row>
    <row r="1798" spans="1:5" ht="20.25" customHeight="1" x14ac:dyDescent="0.15">
      <c r="A1798" s="2" t="s">
        <v>3144</v>
      </c>
      <c r="B1798" s="2" t="s">
        <v>3145</v>
      </c>
      <c r="C1798" s="2">
        <v>1.32</v>
      </c>
      <c r="D1798" s="2">
        <v>24.367899999999999</v>
      </c>
      <c r="E1798" s="2" t="s">
        <v>727</v>
      </c>
    </row>
    <row r="1799" spans="1:5" ht="20.25" customHeight="1" x14ac:dyDescent="0.15">
      <c r="A1799" s="2" t="s">
        <v>3643</v>
      </c>
      <c r="B1799" s="2" t="s">
        <v>3644</v>
      </c>
      <c r="C1799" s="2">
        <v>1.32</v>
      </c>
      <c r="D1799" s="2">
        <v>14.3536</v>
      </c>
      <c r="E1799" s="2" t="s">
        <v>2678</v>
      </c>
    </row>
    <row r="1800" spans="1:5" ht="20.25" customHeight="1" x14ac:dyDescent="0.15">
      <c r="A1800" s="2" t="s">
        <v>5050</v>
      </c>
      <c r="B1800" s="2" t="s">
        <v>5051</v>
      </c>
      <c r="C1800" s="2">
        <v>1.32</v>
      </c>
      <c r="D1800" s="2">
        <v>0.19639999999999999</v>
      </c>
      <c r="E1800" s="2" t="s">
        <v>1820</v>
      </c>
    </row>
    <row r="1801" spans="1:5" ht="20.25" customHeight="1" x14ac:dyDescent="0.15">
      <c r="A1801" s="2" t="s">
        <v>5068</v>
      </c>
      <c r="B1801" s="2" t="s">
        <v>5069</v>
      </c>
      <c r="C1801" s="2">
        <v>1.32</v>
      </c>
      <c r="D1801" s="2">
        <v>1.9846999999999999</v>
      </c>
      <c r="E1801" s="2" t="s">
        <v>574</v>
      </c>
    </row>
    <row r="1802" spans="1:5" ht="20.25" customHeight="1" x14ac:dyDescent="0.15">
      <c r="A1802" s="2" t="s">
        <v>5246</v>
      </c>
      <c r="B1802" s="2" t="s">
        <v>5247</v>
      </c>
      <c r="C1802" s="2">
        <v>1.32</v>
      </c>
      <c r="D1802" s="2">
        <v>7.4908999999999999</v>
      </c>
      <c r="E1802" s="2" t="s">
        <v>1873</v>
      </c>
    </row>
    <row r="1803" spans="1:5" ht="20.25" customHeight="1" x14ac:dyDescent="0.15">
      <c r="A1803" s="2" t="s">
        <v>7705</v>
      </c>
      <c r="B1803" s="2" t="s">
        <v>7706</v>
      </c>
      <c r="C1803" s="2">
        <v>1.32</v>
      </c>
      <c r="D1803" s="2">
        <v>1.5753999999999999</v>
      </c>
      <c r="E1803" s="2" t="s">
        <v>638</v>
      </c>
    </row>
    <row r="1804" spans="1:5" ht="20.25" customHeight="1" x14ac:dyDescent="0.15">
      <c r="A1804" s="2" t="s">
        <v>8301</v>
      </c>
      <c r="B1804" s="2" t="s">
        <v>8302</v>
      </c>
      <c r="C1804" s="2">
        <v>1.32</v>
      </c>
      <c r="D1804" s="2">
        <v>5.5594999999999999</v>
      </c>
      <c r="E1804" s="2" t="s">
        <v>140</v>
      </c>
    </row>
    <row r="1805" spans="1:5" ht="20.25" customHeight="1" x14ac:dyDescent="0.15">
      <c r="A1805" s="2" t="s">
        <v>6823</v>
      </c>
      <c r="B1805" s="2" t="s">
        <v>6824</v>
      </c>
      <c r="C1805" s="2">
        <v>1.3149999999999999</v>
      </c>
      <c r="D1805" s="2">
        <v>4.7389999999999999</v>
      </c>
      <c r="E1805" s="2" t="s">
        <v>86</v>
      </c>
    </row>
    <row r="1806" spans="1:5" ht="20.25" customHeight="1" x14ac:dyDescent="0.15">
      <c r="A1806" s="2" t="s">
        <v>72</v>
      </c>
      <c r="B1806" s="2" t="s">
        <v>73</v>
      </c>
      <c r="C1806" s="2">
        <v>1.31</v>
      </c>
      <c r="D1806" s="2">
        <v>7.0599999999999996E-2</v>
      </c>
      <c r="E1806" s="2" t="s">
        <v>74</v>
      </c>
    </row>
    <row r="1807" spans="1:5" ht="20.25" customHeight="1" x14ac:dyDescent="0.15">
      <c r="A1807" s="2" t="s">
        <v>1482</v>
      </c>
      <c r="B1807" s="2" t="s">
        <v>1483</v>
      </c>
      <c r="C1807" s="2">
        <v>1.31</v>
      </c>
      <c r="D1807" s="2">
        <v>1.1406000000000001</v>
      </c>
      <c r="E1807" s="2" t="s">
        <v>339</v>
      </c>
    </row>
    <row r="1808" spans="1:5" ht="20.25" customHeight="1" x14ac:dyDescent="0.15">
      <c r="A1808" s="2" t="s">
        <v>3260</v>
      </c>
      <c r="B1808" s="2" t="s">
        <v>3261</v>
      </c>
      <c r="C1808" s="2">
        <v>1.31</v>
      </c>
      <c r="D1808" s="2">
        <v>0.62470000000000003</v>
      </c>
      <c r="E1808" s="2" t="s">
        <v>1680</v>
      </c>
    </row>
    <row r="1809" spans="1:5" ht="20.25" customHeight="1" x14ac:dyDescent="0.15">
      <c r="A1809" s="2" t="s">
        <v>3575</v>
      </c>
      <c r="B1809" s="2" t="s">
        <v>3576</v>
      </c>
      <c r="C1809" s="2">
        <v>1.31</v>
      </c>
      <c r="D1809" s="2">
        <v>1.2685999999999999</v>
      </c>
      <c r="E1809" s="2" t="s">
        <v>310</v>
      </c>
    </row>
    <row r="1810" spans="1:5" ht="20.25" customHeight="1" x14ac:dyDescent="0.15">
      <c r="A1810" s="2" t="s">
        <v>5591</v>
      </c>
      <c r="B1810" s="2" t="s">
        <v>5592</v>
      </c>
      <c r="C1810" s="2">
        <v>1.31</v>
      </c>
      <c r="D1810" s="2">
        <v>1.9823999999999999</v>
      </c>
      <c r="E1810" s="2" t="s">
        <v>3130</v>
      </c>
    </row>
    <row r="1811" spans="1:5" ht="20.25" customHeight="1" x14ac:dyDescent="0.15">
      <c r="A1811" s="2" t="s">
        <v>7227</v>
      </c>
      <c r="B1811" s="2" t="s">
        <v>7228</v>
      </c>
      <c r="C1811" s="2">
        <v>1.31</v>
      </c>
      <c r="D1811" s="2">
        <v>0.88890000000000002</v>
      </c>
      <c r="E1811" s="2" t="s">
        <v>2724</v>
      </c>
    </row>
    <row r="1812" spans="1:5" ht="20.25" customHeight="1" x14ac:dyDescent="0.15">
      <c r="A1812" s="2" t="s">
        <v>7611</v>
      </c>
      <c r="B1812" s="2" t="s">
        <v>7612</v>
      </c>
      <c r="C1812" s="2">
        <v>1.31</v>
      </c>
      <c r="D1812" s="2">
        <v>0.77549999999999997</v>
      </c>
      <c r="E1812" s="2" t="s">
        <v>736</v>
      </c>
    </row>
    <row r="1813" spans="1:5" ht="20.25" customHeight="1" x14ac:dyDescent="0.15">
      <c r="A1813" s="2" t="s">
        <v>7799</v>
      </c>
      <c r="B1813" s="2" t="s">
        <v>7800</v>
      </c>
      <c r="C1813" s="2">
        <v>1.31</v>
      </c>
      <c r="D1813" s="2">
        <v>5.1292</v>
      </c>
      <c r="E1813" s="2" t="s">
        <v>1243</v>
      </c>
    </row>
    <row r="1814" spans="1:5" ht="20.25" customHeight="1" x14ac:dyDescent="0.15">
      <c r="A1814" s="2" t="s">
        <v>8033</v>
      </c>
      <c r="B1814" s="2" t="s">
        <v>8034</v>
      </c>
      <c r="C1814" s="2">
        <v>1.31</v>
      </c>
      <c r="D1814" s="2">
        <v>4.5251999999999999</v>
      </c>
      <c r="E1814" s="2" t="s">
        <v>1102</v>
      </c>
    </row>
    <row r="1815" spans="1:5" ht="20.25" customHeight="1" x14ac:dyDescent="0.15">
      <c r="A1815" s="2" t="s">
        <v>3976</v>
      </c>
      <c r="B1815" s="2" t="s">
        <v>3977</v>
      </c>
      <c r="C1815" s="2">
        <v>1.3049999999999999</v>
      </c>
      <c r="D1815" s="2">
        <v>1.3524</v>
      </c>
      <c r="E1815" s="2" t="s">
        <v>574</v>
      </c>
    </row>
    <row r="1816" spans="1:5" ht="20.25" customHeight="1" x14ac:dyDescent="0.15">
      <c r="A1816" s="2" t="s">
        <v>7251</v>
      </c>
      <c r="B1816" s="2" t="s">
        <v>7252</v>
      </c>
      <c r="C1816" s="2">
        <v>1.3049999999999999</v>
      </c>
      <c r="D1816" s="2">
        <v>15.740500000000001</v>
      </c>
      <c r="E1816" s="2" t="s">
        <v>265</v>
      </c>
    </row>
    <row r="1817" spans="1:5" ht="20.25" customHeight="1" x14ac:dyDescent="0.15">
      <c r="A1817" s="2" t="s">
        <v>1871</v>
      </c>
      <c r="B1817" s="2" t="s">
        <v>1872</v>
      </c>
      <c r="C1817" s="2">
        <v>1.3</v>
      </c>
      <c r="D1817" s="2">
        <v>127.041</v>
      </c>
      <c r="E1817" s="2" t="s">
        <v>1873</v>
      </c>
    </row>
    <row r="1818" spans="1:5" ht="20.25" customHeight="1" x14ac:dyDescent="0.15">
      <c r="A1818" s="2" t="s">
        <v>2356</v>
      </c>
      <c r="B1818" s="2" t="s">
        <v>2357</v>
      </c>
      <c r="C1818" s="2">
        <v>1.3</v>
      </c>
      <c r="D1818" s="2">
        <v>4.2760999999999996</v>
      </c>
      <c r="E1818" s="2" t="s">
        <v>1034</v>
      </c>
    </row>
    <row r="1819" spans="1:5" ht="20.25" customHeight="1" x14ac:dyDescent="0.15">
      <c r="A1819" s="2" t="s">
        <v>5451</v>
      </c>
      <c r="B1819" s="2" t="s">
        <v>5452</v>
      </c>
      <c r="C1819" s="2">
        <v>1.3</v>
      </c>
      <c r="D1819" s="2">
        <v>0.4173</v>
      </c>
      <c r="E1819" s="2" t="s">
        <v>201</v>
      </c>
    </row>
    <row r="1820" spans="1:5" ht="20.25" customHeight="1" x14ac:dyDescent="0.15">
      <c r="A1820" s="2" t="s">
        <v>5519</v>
      </c>
      <c r="B1820" s="2" t="s">
        <v>5520</v>
      </c>
      <c r="C1820" s="2">
        <v>1.3</v>
      </c>
      <c r="D1820" s="2">
        <v>1.3589</v>
      </c>
      <c r="E1820" s="2" t="s">
        <v>3203</v>
      </c>
    </row>
    <row r="1821" spans="1:5" ht="20.25" customHeight="1" x14ac:dyDescent="0.15">
      <c r="A1821" s="2" t="s">
        <v>6198</v>
      </c>
      <c r="B1821" s="2" t="s">
        <v>6199</v>
      </c>
      <c r="C1821" s="2">
        <v>1.3</v>
      </c>
      <c r="D1821" s="2">
        <v>0.58550000000000002</v>
      </c>
      <c r="E1821" s="2" t="s">
        <v>1608</v>
      </c>
    </row>
    <row r="1822" spans="1:5" ht="20.25" customHeight="1" x14ac:dyDescent="0.15">
      <c r="A1822" s="2" t="s">
        <v>6556</v>
      </c>
      <c r="B1822" s="2" t="s">
        <v>6557</v>
      </c>
      <c r="C1822" s="2">
        <v>1.3</v>
      </c>
      <c r="D1822" s="2">
        <v>0.1893</v>
      </c>
      <c r="E1822" s="2" t="s">
        <v>713</v>
      </c>
    </row>
    <row r="1823" spans="1:5" ht="20.25" customHeight="1" x14ac:dyDescent="0.15">
      <c r="A1823" s="2" t="s">
        <v>8313</v>
      </c>
      <c r="B1823" s="2" t="s">
        <v>8314</v>
      </c>
      <c r="C1823" s="2">
        <v>1.2949999999999999</v>
      </c>
      <c r="D1823" s="2">
        <v>9.1456</v>
      </c>
      <c r="E1823" s="2" t="s">
        <v>68</v>
      </c>
    </row>
    <row r="1824" spans="1:5" ht="20.25" customHeight="1" x14ac:dyDescent="0.15">
      <c r="A1824" s="2" t="s">
        <v>1464</v>
      </c>
      <c r="B1824" s="2" t="s">
        <v>1465</v>
      </c>
      <c r="C1824" s="2">
        <v>1.29</v>
      </c>
      <c r="D1824" s="2">
        <v>4.5332999999999997</v>
      </c>
      <c r="E1824" s="2" t="s">
        <v>299</v>
      </c>
    </row>
    <row r="1825" spans="1:5" ht="20.25" customHeight="1" x14ac:dyDescent="0.15">
      <c r="A1825" s="2" t="s">
        <v>1768</v>
      </c>
      <c r="B1825" s="2" t="s">
        <v>1769</v>
      </c>
      <c r="C1825" s="2">
        <v>1.29</v>
      </c>
      <c r="D1825" s="2">
        <v>0.97060000000000002</v>
      </c>
      <c r="E1825" s="2" t="s">
        <v>225</v>
      </c>
    </row>
    <row r="1826" spans="1:5" ht="20.25" customHeight="1" x14ac:dyDescent="0.15">
      <c r="A1826" s="2" t="s">
        <v>2020</v>
      </c>
      <c r="B1826" s="2" t="s">
        <v>2021</v>
      </c>
      <c r="C1826" s="2">
        <v>1.29</v>
      </c>
      <c r="D1826" s="2">
        <v>2.3988999999999998</v>
      </c>
      <c r="E1826" s="2" t="s">
        <v>1338</v>
      </c>
    </row>
    <row r="1827" spans="1:5" ht="20.25" customHeight="1" x14ac:dyDescent="0.15">
      <c r="A1827" s="2" t="s">
        <v>2937</v>
      </c>
      <c r="B1827" s="2" t="s">
        <v>2938</v>
      </c>
      <c r="C1827" s="2">
        <v>1.29</v>
      </c>
      <c r="D1827" s="2">
        <v>1.0179</v>
      </c>
      <c r="E1827" s="2" t="s">
        <v>699</v>
      </c>
    </row>
    <row r="1828" spans="1:5" ht="20.25" customHeight="1" x14ac:dyDescent="0.15">
      <c r="A1828" s="2" t="s">
        <v>3350</v>
      </c>
      <c r="B1828" s="2" t="s">
        <v>3351</v>
      </c>
      <c r="C1828" s="2">
        <v>1.29</v>
      </c>
      <c r="D1828" s="2">
        <v>9.7809000000000008</v>
      </c>
      <c r="E1828" s="2" t="s">
        <v>385</v>
      </c>
    </row>
    <row r="1829" spans="1:5" ht="20.25" customHeight="1" x14ac:dyDescent="0.15">
      <c r="A1829" s="2" t="s">
        <v>3903</v>
      </c>
      <c r="B1829" s="2" t="s">
        <v>3904</v>
      </c>
      <c r="C1829" s="2">
        <v>1.29</v>
      </c>
      <c r="D1829" s="2">
        <v>1.0064</v>
      </c>
      <c r="E1829" s="2" t="s">
        <v>371</v>
      </c>
    </row>
    <row r="1830" spans="1:5" ht="20.25" customHeight="1" x14ac:dyDescent="0.15">
      <c r="A1830" s="2" t="s">
        <v>4510</v>
      </c>
      <c r="B1830" s="2" t="s">
        <v>4511</v>
      </c>
      <c r="C1830" s="2">
        <v>1.29</v>
      </c>
      <c r="D1830" s="2">
        <v>11.5159</v>
      </c>
      <c r="E1830" s="2" t="s">
        <v>146</v>
      </c>
    </row>
    <row r="1831" spans="1:5" ht="20.25" customHeight="1" x14ac:dyDescent="0.15">
      <c r="A1831" s="2" t="s">
        <v>4815</v>
      </c>
      <c r="B1831" s="2" t="s">
        <v>4816</v>
      </c>
      <c r="C1831" s="2">
        <v>1.29</v>
      </c>
      <c r="D1831" s="2">
        <v>3.3191000000000002</v>
      </c>
      <c r="E1831" s="2" t="s">
        <v>667</v>
      </c>
    </row>
    <row r="1832" spans="1:5" ht="20.25" customHeight="1" x14ac:dyDescent="0.15">
      <c r="A1832" s="2" t="s">
        <v>5322</v>
      </c>
      <c r="B1832" s="2" t="s">
        <v>5323</v>
      </c>
      <c r="C1832" s="2">
        <v>1.29</v>
      </c>
      <c r="D1832" s="2">
        <v>0.20780000000000001</v>
      </c>
      <c r="E1832" s="2" t="s">
        <v>2463</v>
      </c>
    </row>
    <row r="1833" spans="1:5" ht="20.25" customHeight="1" x14ac:dyDescent="0.15">
      <c r="A1833" s="2" t="s">
        <v>5571</v>
      </c>
      <c r="B1833" s="2" t="s">
        <v>5572</v>
      </c>
      <c r="C1833" s="2">
        <v>1.29</v>
      </c>
      <c r="D1833" s="2">
        <v>0.19109999999999999</v>
      </c>
      <c r="E1833" s="2" t="s">
        <v>713</v>
      </c>
    </row>
    <row r="1834" spans="1:5" ht="20.25" customHeight="1" x14ac:dyDescent="0.15">
      <c r="A1834" s="2" t="s">
        <v>7029</v>
      </c>
      <c r="B1834" s="2" t="s">
        <v>7030</v>
      </c>
      <c r="C1834" s="2">
        <v>1.29</v>
      </c>
      <c r="D1834" s="2">
        <v>1.8927</v>
      </c>
      <c r="E1834" s="2" t="s">
        <v>1608</v>
      </c>
    </row>
    <row r="1835" spans="1:5" ht="20.25" customHeight="1" x14ac:dyDescent="0.15">
      <c r="A1835" s="2" t="s">
        <v>7585</v>
      </c>
      <c r="B1835" s="2" t="s">
        <v>7586</v>
      </c>
      <c r="C1835" s="2">
        <v>1.2849999999999999</v>
      </c>
      <c r="D1835" s="2">
        <v>3.2728000000000002</v>
      </c>
      <c r="E1835" s="2" t="s">
        <v>4939</v>
      </c>
    </row>
    <row r="1836" spans="1:5" ht="20.25" customHeight="1" x14ac:dyDescent="0.15">
      <c r="A1836" s="2" t="s">
        <v>2773</v>
      </c>
      <c r="B1836" s="2" t="s">
        <v>2774</v>
      </c>
      <c r="C1836" s="2">
        <v>1.28</v>
      </c>
      <c r="D1836" s="2">
        <v>0.40889999999999999</v>
      </c>
      <c r="E1836" s="2" t="s">
        <v>254</v>
      </c>
    </row>
    <row r="1837" spans="1:5" ht="20.25" customHeight="1" x14ac:dyDescent="0.15">
      <c r="A1837" s="2" t="s">
        <v>3929</v>
      </c>
      <c r="B1837" s="2" t="s">
        <v>3930</v>
      </c>
      <c r="C1837" s="2">
        <v>1.28</v>
      </c>
      <c r="D1837" s="2">
        <v>0.21099999999999999</v>
      </c>
      <c r="E1837" s="2" t="s">
        <v>1820</v>
      </c>
    </row>
    <row r="1838" spans="1:5" ht="20.25" customHeight="1" x14ac:dyDescent="0.15">
      <c r="A1838" s="2" t="s">
        <v>4072</v>
      </c>
      <c r="B1838" s="2" t="s">
        <v>4073</v>
      </c>
      <c r="C1838" s="2">
        <v>1.28</v>
      </c>
      <c r="D1838" s="2">
        <v>4.5042</v>
      </c>
      <c r="E1838" s="2" t="s">
        <v>201</v>
      </c>
    </row>
    <row r="1839" spans="1:5" ht="20.25" customHeight="1" x14ac:dyDescent="0.15">
      <c r="A1839" s="2" t="s">
        <v>4338</v>
      </c>
      <c r="B1839" s="2" t="s">
        <v>4339</v>
      </c>
      <c r="C1839" s="2">
        <v>1.28</v>
      </c>
      <c r="D1839" s="2">
        <v>0.1588</v>
      </c>
      <c r="E1839" s="2" t="s">
        <v>391</v>
      </c>
    </row>
    <row r="1840" spans="1:5" ht="20.25" customHeight="1" x14ac:dyDescent="0.15">
      <c r="A1840" s="2" t="s">
        <v>5192</v>
      </c>
      <c r="B1840" s="2" t="s">
        <v>5193</v>
      </c>
      <c r="C1840" s="2">
        <v>1.28</v>
      </c>
      <c r="D1840" s="2">
        <v>0.31119999999999998</v>
      </c>
      <c r="E1840" s="2" t="s">
        <v>667</v>
      </c>
    </row>
    <row r="1841" spans="1:5" ht="20.25" customHeight="1" x14ac:dyDescent="0.15">
      <c r="A1841" s="2" t="s">
        <v>6961</v>
      </c>
      <c r="B1841" s="2" t="s">
        <v>6962</v>
      </c>
      <c r="C1841" s="2">
        <v>1.28</v>
      </c>
      <c r="D1841" s="2">
        <v>1.2879</v>
      </c>
      <c r="E1841" s="2" t="s">
        <v>1224</v>
      </c>
    </row>
    <row r="1842" spans="1:5" ht="20.25" customHeight="1" x14ac:dyDescent="0.15">
      <c r="A1842" s="2" t="s">
        <v>7337</v>
      </c>
      <c r="B1842" s="2" t="s">
        <v>7338</v>
      </c>
      <c r="C1842" s="2">
        <v>1.28</v>
      </c>
      <c r="D1842" s="2">
        <v>1.0588</v>
      </c>
      <c r="E1842" s="2" t="s">
        <v>1173</v>
      </c>
    </row>
    <row r="1843" spans="1:5" ht="20.25" customHeight="1" x14ac:dyDescent="0.15">
      <c r="A1843" s="2" t="s">
        <v>7375</v>
      </c>
      <c r="B1843" s="2" t="s">
        <v>7376</v>
      </c>
      <c r="C1843" s="2">
        <v>1.28</v>
      </c>
      <c r="D1843" s="2">
        <v>6.3630000000000004</v>
      </c>
      <c r="E1843" s="2" t="s">
        <v>123</v>
      </c>
    </row>
    <row r="1844" spans="1:5" ht="20.25" customHeight="1" x14ac:dyDescent="0.15">
      <c r="A1844" s="2" t="s">
        <v>8049</v>
      </c>
      <c r="B1844" s="2" t="s">
        <v>8050</v>
      </c>
      <c r="C1844" s="2">
        <v>1.28</v>
      </c>
      <c r="D1844" s="2">
        <v>3.7046000000000001</v>
      </c>
      <c r="E1844" s="2" t="s">
        <v>690</v>
      </c>
    </row>
    <row r="1845" spans="1:5" ht="20.25" customHeight="1" x14ac:dyDescent="0.15">
      <c r="A1845" s="2" t="s">
        <v>325</v>
      </c>
      <c r="B1845" s="2" t="s">
        <v>326</v>
      </c>
      <c r="C1845" s="2">
        <v>1.27</v>
      </c>
      <c r="D1845" s="2">
        <v>0.17399999999999999</v>
      </c>
      <c r="E1845" s="2" t="s">
        <v>134</v>
      </c>
    </row>
    <row r="1846" spans="1:5" ht="20.25" customHeight="1" x14ac:dyDescent="0.15">
      <c r="A1846" s="2" t="s">
        <v>610</v>
      </c>
      <c r="B1846" s="2" t="s">
        <v>611</v>
      </c>
      <c r="C1846" s="2">
        <v>1.27</v>
      </c>
      <c r="D1846" s="2">
        <v>7.5523999999999996</v>
      </c>
      <c r="E1846" s="2" t="s">
        <v>437</v>
      </c>
    </row>
    <row r="1847" spans="1:5" ht="20.25" customHeight="1" x14ac:dyDescent="0.15">
      <c r="A1847" s="2" t="s">
        <v>879</v>
      </c>
      <c r="B1847" s="2" t="s">
        <v>880</v>
      </c>
      <c r="C1847" s="2">
        <v>1.27</v>
      </c>
      <c r="D1847" s="2">
        <v>1.1611</v>
      </c>
      <c r="E1847" s="2" t="s">
        <v>483</v>
      </c>
    </row>
    <row r="1848" spans="1:5" ht="20.25" customHeight="1" x14ac:dyDescent="0.15">
      <c r="A1848" s="2" t="s">
        <v>1921</v>
      </c>
      <c r="B1848" s="2" t="s">
        <v>1922</v>
      </c>
      <c r="C1848" s="2">
        <v>1.27</v>
      </c>
      <c r="D1848" s="2">
        <v>2.7090000000000001</v>
      </c>
      <c r="E1848" s="2" t="s">
        <v>371</v>
      </c>
    </row>
    <row r="1849" spans="1:5" ht="20.25" customHeight="1" x14ac:dyDescent="0.15">
      <c r="A1849" s="2" t="s">
        <v>2141</v>
      </c>
      <c r="B1849" s="2" t="s">
        <v>2142</v>
      </c>
      <c r="C1849" s="2">
        <v>1.27</v>
      </c>
      <c r="D1849" s="2">
        <v>2.1698</v>
      </c>
      <c r="E1849" s="2" t="s">
        <v>630</v>
      </c>
    </row>
    <row r="1850" spans="1:5" ht="20.25" customHeight="1" x14ac:dyDescent="0.15">
      <c r="A1850" s="2" t="s">
        <v>2192</v>
      </c>
      <c r="B1850" s="2" t="s">
        <v>2193</v>
      </c>
      <c r="C1850" s="2">
        <v>1.27</v>
      </c>
      <c r="D1850" s="2">
        <v>15.8271</v>
      </c>
      <c r="E1850" s="2" t="s">
        <v>140</v>
      </c>
    </row>
    <row r="1851" spans="1:5" ht="20.25" customHeight="1" x14ac:dyDescent="0.15">
      <c r="A1851" s="2" t="s">
        <v>3206</v>
      </c>
      <c r="B1851" s="2" t="s">
        <v>3207</v>
      </c>
      <c r="C1851" s="2">
        <v>1.27</v>
      </c>
      <c r="D1851" s="2">
        <v>1.3521000000000001</v>
      </c>
      <c r="E1851" s="2" t="s">
        <v>214</v>
      </c>
    </row>
    <row r="1852" spans="1:5" ht="20.25" customHeight="1" x14ac:dyDescent="0.15">
      <c r="A1852" s="2" t="s">
        <v>3352</v>
      </c>
      <c r="B1852" s="2" t="s">
        <v>3353</v>
      </c>
      <c r="C1852" s="2">
        <v>1.27</v>
      </c>
      <c r="D1852" s="2">
        <v>0.46629999999999999</v>
      </c>
      <c r="E1852" s="2" t="s">
        <v>1066</v>
      </c>
    </row>
    <row r="1853" spans="1:5" ht="20.25" customHeight="1" x14ac:dyDescent="0.15">
      <c r="A1853" s="2" t="s">
        <v>3645</v>
      </c>
      <c r="B1853" s="2" t="s">
        <v>3646</v>
      </c>
      <c r="C1853" s="2">
        <v>1.27</v>
      </c>
      <c r="D1853" s="2">
        <v>2.4384999999999999</v>
      </c>
      <c r="E1853" s="2" t="s">
        <v>1139</v>
      </c>
    </row>
    <row r="1854" spans="1:5" ht="20.25" customHeight="1" x14ac:dyDescent="0.15">
      <c r="A1854" s="2" t="s">
        <v>3998</v>
      </c>
      <c r="B1854" s="2" t="s">
        <v>3999</v>
      </c>
      <c r="C1854" s="2">
        <v>1.27</v>
      </c>
      <c r="D1854" s="2">
        <v>2.5884</v>
      </c>
      <c r="E1854" s="2" t="s">
        <v>228</v>
      </c>
    </row>
    <row r="1855" spans="1:5" ht="20.25" customHeight="1" x14ac:dyDescent="0.15">
      <c r="A1855" s="2" t="s">
        <v>5928</v>
      </c>
      <c r="B1855" s="2" t="s">
        <v>5929</v>
      </c>
      <c r="C1855" s="2">
        <v>1.27</v>
      </c>
      <c r="D1855" s="2">
        <v>0.29730000000000001</v>
      </c>
      <c r="E1855" s="2" t="s">
        <v>741</v>
      </c>
    </row>
    <row r="1856" spans="1:5" ht="20.25" customHeight="1" x14ac:dyDescent="0.15">
      <c r="A1856" s="2" t="s">
        <v>2093</v>
      </c>
      <c r="B1856" s="2" t="s">
        <v>2094</v>
      </c>
      <c r="C1856" s="2">
        <v>1.26</v>
      </c>
      <c r="D1856" s="2">
        <v>0.72270000000000001</v>
      </c>
      <c r="E1856" s="2" t="s">
        <v>633</v>
      </c>
    </row>
    <row r="1857" spans="1:5" ht="20.25" customHeight="1" x14ac:dyDescent="0.15">
      <c r="A1857" s="2" t="s">
        <v>2318</v>
      </c>
      <c r="B1857" s="2" t="s">
        <v>2319</v>
      </c>
      <c r="C1857" s="2">
        <v>1.26</v>
      </c>
      <c r="D1857" s="2">
        <v>8.8572000000000006</v>
      </c>
      <c r="E1857" s="2" t="s">
        <v>299</v>
      </c>
    </row>
    <row r="1858" spans="1:5" ht="20.25" customHeight="1" x14ac:dyDescent="0.15">
      <c r="A1858" s="2" t="s">
        <v>2622</v>
      </c>
      <c r="B1858" s="2" t="s">
        <v>2623</v>
      </c>
      <c r="C1858" s="2">
        <v>1.26</v>
      </c>
      <c r="D1858" s="2">
        <v>1.4291</v>
      </c>
      <c r="E1858" s="2" t="s">
        <v>1969</v>
      </c>
    </row>
    <row r="1859" spans="1:5" ht="20.25" customHeight="1" x14ac:dyDescent="0.15">
      <c r="A1859" s="2" t="s">
        <v>3170</v>
      </c>
      <c r="B1859" s="2" t="s">
        <v>3171</v>
      </c>
      <c r="C1859" s="2">
        <v>1.26</v>
      </c>
      <c r="D1859" s="2">
        <v>9.2129999999999992</v>
      </c>
      <c r="E1859" s="2" t="s">
        <v>359</v>
      </c>
    </row>
    <row r="1860" spans="1:5" ht="20.25" customHeight="1" x14ac:dyDescent="0.15">
      <c r="A1860" s="2" t="s">
        <v>4528</v>
      </c>
      <c r="B1860" s="2" t="s">
        <v>4529</v>
      </c>
      <c r="C1860" s="2">
        <v>1.26</v>
      </c>
      <c r="D1860" s="2">
        <v>0.37690000000000001</v>
      </c>
      <c r="E1860" s="2" t="s">
        <v>1403</v>
      </c>
    </row>
    <row r="1861" spans="1:5" ht="20.25" customHeight="1" x14ac:dyDescent="0.15">
      <c r="A1861" s="2" t="s">
        <v>4897</v>
      </c>
      <c r="B1861" s="2" t="s">
        <v>4898</v>
      </c>
      <c r="C1861" s="2">
        <v>1.26</v>
      </c>
      <c r="D1861" s="2">
        <v>0.20030000000000001</v>
      </c>
      <c r="E1861" s="2" t="s">
        <v>152</v>
      </c>
    </row>
    <row r="1862" spans="1:5" ht="20.25" customHeight="1" x14ac:dyDescent="0.15">
      <c r="A1862" s="2" t="s">
        <v>5992</v>
      </c>
      <c r="B1862" s="2" t="s">
        <v>5993</v>
      </c>
      <c r="C1862" s="2">
        <v>1.26</v>
      </c>
      <c r="D1862" s="2">
        <v>5.3197000000000001</v>
      </c>
      <c r="E1862" s="2" t="s">
        <v>421</v>
      </c>
    </row>
    <row r="1863" spans="1:5" ht="20.25" customHeight="1" x14ac:dyDescent="0.15">
      <c r="A1863" s="2" t="s">
        <v>93</v>
      </c>
      <c r="B1863" s="2" t="s">
        <v>94</v>
      </c>
      <c r="C1863" s="2">
        <v>1.25</v>
      </c>
      <c r="D1863" s="2">
        <v>0.53910000000000002</v>
      </c>
      <c r="E1863" s="2" t="s">
        <v>95</v>
      </c>
    </row>
    <row r="1864" spans="1:5" ht="20.25" customHeight="1" x14ac:dyDescent="0.15">
      <c r="A1864" s="2" t="s">
        <v>348</v>
      </c>
      <c r="B1864" s="2" t="s">
        <v>349</v>
      </c>
      <c r="C1864" s="2">
        <v>1.25</v>
      </c>
      <c r="D1864" s="2">
        <v>0.2465</v>
      </c>
      <c r="E1864" s="2" t="s">
        <v>193</v>
      </c>
    </row>
    <row r="1865" spans="1:5" ht="20.25" customHeight="1" x14ac:dyDescent="0.15">
      <c r="A1865" s="2" t="s">
        <v>2180</v>
      </c>
      <c r="B1865" s="2" t="s">
        <v>2181</v>
      </c>
      <c r="C1865" s="2">
        <v>1.25</v>
      </c>
      <c r="D1865" s="2">
        <v>18.491199999999999</v>
      </c>
      <c r="E1865" s="2" t="s">
        <v>265</v>
      </c>
    </row>
    <row r="1866" spans="1:5" ht="20.25" customHeight="1" x14ac:dyDescent="0.15">
      <c r="A1866" s="2" t="s">
        <v>3131</v>
      </c>
      <c r="B1866" s="2" t="s">
        <v>3132</v>
      </c>
      <c r="C1866" s="2">
        <v>1.25</v>
      </c>
      <c r="D1866" s="2">
        <v>3.2159</v>
      </c>
      <c r="E1866" s="2" t="s">
        <v>214</v>
      </c>
    </row>
    <row r="1867" spans="1:5" ht="20.25" customHeight="1" x14ac:dyDescent="0.15">
      <c r="A1867" s="2" t="s">
        <v>3927</v>
      </c>
      <c r="B1867" s="2" t="s">
        <v>3928</v>
      </c>
      <c r="C1867" s="2">
        <v>1.25</v>
      </c>
      <c r="D1867" s="2">
        <v>0.86099999999999999</v>
      </c>
      <c r="E1867" s="2" t="s">
        <v>396</v>
      </c>
    </row>
    <row r="1868" spans="1:5" ht="20.25" customHeight="1" x14ac:dyDescent="0.15">
      <c r="A1868" s="2" t="s">
        <v>6949</v>
      </c>
      <c r="B1868" s="2" t="s">
        <v>6950</v>
      </c>
      <c r="C1868" s="2">
        <v>1.25</v>
      </c>
      <c r="D1868" s="2">
        <v>3.8422000000000001</v>
      </c>
      <c r="E1868" s="2" t="s">
        <v>1390</v>
      </c>
    </row>
    <row r="1869" spans="1:5" ht="20.25" customHeight="1" x14ac:dyDescent="0.15">
      <c r="A1869" s="2" t="s">
        <v>7473</v>
      </c>
      <c r="B1869" s="2" t="s">
        <v>7474</v>
      </c>
      <c r="C1869" s="2">
        <v>1.25</v>
      </c>
      <c r="D1869" s="2">
        <v>8.6094000000000008</v>
      </c>
      <c r="E1869" s="2" t="s">
        <v>204</v>
      </c>
    </row>
    <row r="1870" spans="1:5" ht="20.25" customHeight="1" x14ac:dyDescent="0.15">
      <c r="A1870" s="2" t="s">
        <v>7907</v>
      </c>
      <c r="B1870" s="2" t="s">
        <v>7908</v>
      </c>
      <c r="C1870" s="2">
        <v>1.25</v>
      </c>
      <c r="D1870" s="2">
        <v>0.92220000000000002</v>
      </c>
      <c r="E1870" s="2" t="s">
        <v>3102</v>
      </c>
    </row>
    <row r="1871" spans="1:5" ht="20.25" customHeight="1" x14ac:dyDescent="0.15">
      <c r="A1871" s="2" t="s">
        <v>416</v>
      </c>
      <c r="B1871" s="2" t="s">
        <v>417</v>
      </c>
      <c r="C1871" s="2">
        <v>1.24</v>
      </c>
      <c r="D1871" s="2">
        <v>0.26600000000000001</v>
      </c>
      <c r="E1871" s="2" t="s">
        <v>418</v>
      </c>
    </row>
    <row r="1872" spans="1:5" ht="20.25" customHeight="1" x14ac:dyDescent="0.15">
      <c r="A1872" s="2" t="s">
        <v>1931</v>
      </c>
      <c r="B1872" s="2" t="s">
        <v>1932</v>
      </c>
      <c r="C1872" s="2">
        <v>1.24</v>
      </c>
      <c r="D1872" s="2">
        <v>0.2092</v>
      </c>
      <c r="E1872" s="2" t="s">
        <v>371</v>
      </c>
    </row>
    <row r="1873" spans="1:5" ht="20.25" customHeight="1" x14ac:dyDescent="0.15">
      <c r="A1873" s="2" t="s">
        <v>3567</v>
      </c>
      <c r="B1873" s="2" t="s">
        <v>3568</v>
      </c>
      <c r="C1873" s="2">
        <v>1.24</v>
      </c>
      <c r="D1873" s="2">
        <v>2.2183000000000002</v>
      </c>
      <c r="E1873" s="2" t="s">
        <v>385</v>
      </c>
    </row>
    <row r="1874" spans="1:5" ht="20.25" customHeight="1" x14ac:dyDescent="0.15">
      <c r="A1874" s="2" t="s">
        <v>4024</v>
      </c>
      <c r="B1874" s="2" t="s">
        <v>4025</v>
      </c>
      <c r="C1874" s="2">
        <v>1.24</v>
      </c>
      <c r="D1874" s="2">
        <v>5.8964999999999996</v>
      </c>
      <c r="E1874" s="2" t="s">
        <v>1459</v>
      </c>
    </row>
    <row r="1875" spans="1:5" ht="20.25" customHeight="1" x14ac:dyDescent="0.15">
      <c r="A1875" s="2" t="s">
        <v>4490</v>
      </c>
      <c r="B1875" s="2" t="s">
        <v>4491</v>
      </c>
      <c r="C1875" s="2">
        <v>1.24</v>
      </c>
      <c r="D1875" s="2">
        <v>0.6532</v>
      </c>
      <c r="E1875" s="2" t="s">
        <v>276</v>
      </c>
    </row>
    <row r="1876" spans="1:5" ht="20.25" customHeight="1" x14ac:dyDescent="0.15">
      <c r="A1876" s="2" t="s">
        <v>4554</v>
      </c>
      <c r="B1876" s="2" t="s">
        <v>4555</v>
      </c>
      <c r="C1876" s="2">
        <v>1.24</v>
      </c>
      <c r="D1876" s="2">
        <v>0.79700000000000004</v>
      </c>
      <c r="E1876" s="2" t="s">
        <v>571</v>
      </c>
    </row>
    <row r="1877" spans="1:5" ht="20.25" customHeight="1" x14ac:dyDescent="0.15">
      <c r="A1877" s="2" t="s">
        <v>4767</v>
      </c>
      <c r="B1877" s="2" t="s">
        <v>4768</v>
      </c>
      <c r="C1877" s="2">
        <v>1.24</v>
      </c>
      <c r="D1877" s="2">
        <v>34.491999999999997</v>
      </c>
      <c r="E1877" s="2" t="s">
        <v>299</v>
      </c>
    </row>
    <row r="1878" spans="1:5" ht="20.25" customHeight="1" x14ac:dyDescent="0.15">
      <c r="A1878" s="2" t="s">
        <v>4841</v>
      </c>
      <c r="B1878" s="2" t="s">
        <v>4842</v>
      </c>
      <c r="C1878" s="2">
        <v>1.24</v>
      </c>
      <c r="D1878" s="2">
        <v>6.2502000000000004</v>
      </c>
      <c r="E1878" s="2" t="s">
        <v>982</v>
      </c>
    </row>
    <row r="1879" spans="1:5" ht="20.25" customHeight="1" x14ac:dyDescent="0.15">
      <c r="A1879" s="2" t="s">
        <v>5210</v>
      </c>
      <c r="B1879" s="2" t="s">
        <v>5211</v>
      </c>
      <c r="C1879" s="2">
        <v>1.24</v>
      </c>
      <c r="D1879" s="2">
        <v>2.1400999999999999</v>
      </c>
      <c r="E1879" s="2" t="s">
        <v>385</v>
      </c>
    </row>
    <row r="1880" spans="1:5" ht="20.25" customHeight="1" x14ac:dyDescent="0.15">
      <c r="A1880" s="2" t="s">
        <v>5302</v>
      </c>
      <c r="B1880" s="2" t="s">
        <v>5303</v>
      </c>
      <c r="C1880" s="2">
        <v>1.24</v>
      </c>
      <c r="D1880" s="2">
        <v>0.81169999999999998</v>
      </c>
      <c r="E1880" s="2" t="s">
        <v>3693</v>
      </c>
    </row>
    <row r="1881" spans="1:5" ht="20.25" customHeight="1" x14ac:dyDescent="0.15">
      <c r="A1881" s="2" t="s">
        <v>5685</v>
      </c>
      <c r="B1881" s="2" t="s">
        <v>5686</v>
      </c>
      <c r="C1881" s="2">
        <v>1.24</v>
      </c>
      <c r="D1881" s="2">
        <v>1.0681</v>
      </c>
      <c r="E1881" s="2" t="s">
        <v>1139</v>
      </c>
    </row>
    <row r="1882" spans="1:5" ht="20.25" customHeight="1" x14ac:dyDescent="0.15">
      <c r="A1882" s="2" t="s">
        <v>6612</v>
      </c>
      <c r="B1882" s="2" t="s">
        <v>6613</v>
      </c>
      <c r="C1882" s="2">
        <v>1.24</v>
      </c>
      <c r="D1882" s="2">
        <v>0.74819999999999998</v>
      </c>
      <c r="E1882" s="2" t="s">
        <v>201</v>
      </c>
    </row>
    <row r="1883" spans="1:5" ht="20.25" customHeight="1" x14ac:dyDescent="0.15">
      <c r="A1883" s="2" t="s">
        <v>6993</v>
      </c>
      <c r="B1883" s="2" t="s">
        <v>6994</v>
      </c>
      <c r="C1883" s="2">
        <v>1.24</v>
      </c>
      <c r="D1883" s="2">
        <v>2.8931</v>
      </c>
      <c r="E1883" s="2" t="s">
        <v>359</v>
      </c>
    </row>
    <row r="1884" spans="1:5" ht="20.25" customHeight="1" x14ac:dyDescent="0.15">
      <c r="A1884" s="2" t="s">
        <v>7135</v>
      </c>
      <c r="B1884" s="2" t="s">
        <v>7136</v>
      </c>
      <c r="C1884" s="2">
        <v>1.24</v>
      </c>
      <c r="D1884" s="2">
        <v>0.45550000000000002</v>
      </c>
      <c r="E1884" s="2" t="s">
        <v>605</v>
      </c>
    </row>
    <row r="1885" spans="1:5" ht="20.25" customHeight="1" x14ac:dyDescent="0.15">
      <c r="A1885" s="2" t="s">
        <v>7325</v>
      </c>
      <c r="B1885" s="2" t="s">
        <v>7326</v>
      </c>
      <c r="C1885" s="2">
        <v>1.24</v>
      </c>
      <c r="D1885" s="2">
        <v>0.85389999999999999</v>
      </c>
      <c r="E1885" s="2" t="s">
        <v>1338</v>
      </c>
    </row>
    <row r="1886" spans="1:5" ht="20.25" customHeight="1" x14ac:dyDescent="0.15">
      <c r="A1886" s="2" t="s">
        <v>3689</v>
      </c>
      <c r="B1886" s="2" t="s">
        <v>3690</v>
      </c>
      <c r="C1886" s="2">
        <v>1.2350000000000001</v>
      </c>
      <c r="D1886" s="2">
        <v>1.6092</v>
      </c>
      <c r="E1886" s="2" t="s">
        <v>13</v>
      </c>
    </row>
    <row r="1887" spans="1:5" ht="20.25" customHeight="1" x14ac:dyDescent="0.15">
      <c r="A1887" s="2" t="s">
        <v>2099</v>
      </c>
      <c r="B1887" s="2" t="s">
        <v>2100</v>
      </c>
      <c r="C1887" s="2">
        <v>1.23</v>
      </c>
      <c r="D1887" s="2">
        <v>1.1508</v>
      </c>
      <c r="E1887" s="2" t="s">
        <v>120</v>
      </c>
    </row>
    <row r="1888" spans="1:5" ht="20.25" customHeight="1" x14ac:dyDescent="0.15">
      <c r="A1888" s="2" t="s">
        <v>2121</v>
      </c>
      <c r="B1888" s="2" t="s">
        <v>2122</v>
      </c>
      <c r="C1888" s="2">
        <v>1.23</v>
      </c>
      <c r="D1888" s="2">
        <v>15.689299999999999</v>
      </c>
      <c r="E1888" s="2" t="s">
        <v>44</v>
      </c>
    </row>
    <row r="1889" spans="1:5" ht="20.25" customHeight="1" x14ac:dyDescent="0.15">
      <c r="A1889" s="2" t="s">
        <v>4134</v>
      </c>
      <c r="B1889" s="2" t="s">
        <v>4135</v>
      </c>
      <c r="C1889" s="2">
        <v>1.23</v>
      </c>
      <c r="D1889" s="2">
        <v>1.7144999999999999</v>
      </c>
      <c r="E1889" s="2" t="s">
        <v>1282</v>
      </c>
    </row>
    <row r="1890" spans="1:5" ht="20.25" customHeight="1" x14ac:dyDescent="0.15">
      <c r="A1890" s="2" t="s">
        <v>4249</v>
      </c>
      <c r="B1890" s="2" t="s">
        <v>4250</v>
      </c>
      <c r="C1890" s="2">
        <v>1.23</v>
      </c>
      <c r="D1890" s="2">
        <v>0.66639999999999999</v>
      </c>
      <c r="E1890" s="2" t="s">
        <v>605</v>
      </c>
    </row>
    <row r="1891" spans="1:5" ht="20.25" customHeight="1" x14ac:dyDescent="0.15">
      <c r="A1891" s="2" t="s">
        <v>4867</v>
      </c>
      <c r="B1891" s="2" t="s">
        <v>4868</v>
      </c>
      <c r="C1891" s="2">
        <v>1.23</v>
      </c>
      <c r="D1891" s="2">
        <v>2.1536</v>
      </c>
      <c r="E1891" s="2" t="s">
        <v>682</v>
      </c>
    </row>
    <row r="1892" spans="1:5" ht="20.25" customHeight="1" x14ac:dyDescent="0.15">
      <c r="A1892" s="2" t="s">
        <v>5712</v>
      </c>
      <c r="B1892" s="2" t="s">
        <v>5713</v>
      </c>
      <c r="C1892" s="2">
        <v>1.23</v>
      </c>
      <c r="D1892" s="2">
        <v>3.0247999999999999</v>
      </c>
      <c r="E1892" s="2" t="s">
        <v>561</v>
      </c>
    </row>
    <row r="1893" spans="1:5" ht="20.25" customHeight="1" x14ac:dyDescent="0.15">
      <c r="A1893" s="2" t="s">
        <v>7905</v>
      </c>
      <c r="B1893" s="2" t="s">
        <v>7906</v>
      </c>
      <c r="C1893" s="2">
        <v>1.23</v>
      </c>
      <c r="D1893" s="2">
        <v>2.2665999999999999</v>
      </c>
      <c r="E1893" s="2" t="s">
        <v>471</v>
      </c>
    </row>
    <row r="1894" spans="1:5" ht="20.25" customHeight="1" x14ac:dyDescent="0.15">
      <c r="A1894" s="2" t="s">
        <v>5820</v>
      </c>
      <c r="B1894" s="2" t="s">
        <v>5821</v>
      </c>
      <c r="C1894" s="2">
        <v>1.2250000000000001</v>
      </c>
      <c r="D1894" s="2">
        <v>1.42</v>
      </c>
      <c r="E1894" s="2" t="s">
        <v>931</v>
      </c>
    </row>
    <row r="1895" spans="1:5" ht="20.25" customHeight="1" x14ac:dyDescent="0.15">
      <c r="A1895" s="2" t="s">
        <v>7215</v>
      </c>
      <c r="B1895" s="2" t="s">
        <v>7216</v>
      </c>
      <c r="C1895" s="2">
        <v>1.2250000000000001</v>
      </c>
      <c r="D1895" s="2">
        <v>4.9059999999999997</v>
      </c>
      <c r="E1895" s="2" t="s">
        <v>86</v>
      </c>
    </row>
    <row r="1896" spans="1:5" ht="20.25" customHeight="1" x14ac:dyDescent="0.15">
      <c r="A1896" s="2" t="s">
        <v>1731</v>
      </c>
      <c r="B1896" s="2" t="s">
        <v>1732</v>
      </c>
      <c r="C1896" s="2">
        <v>1.22</v>
      </c>
      <c r="D1896" s="2">
        <v>2.3277999999999999</v>
      </c>
      <c r="E1896" s="2" t="s">
        <v>1381</v>
      </c>
    </row>
    <row r="1897" spans="1:5" ht="20.25" customHeight="1" x14ac:dyDescent="0.15">
      <c r="A1897" s="2" t="s">
        <v>2127</v>
      </c>
      <c r="B1897" s="2" t="s">
        <v>2128</v>
      </c>
      <c r="C1897" s="2">
        <v>1.22</v>
      </c>
      <c r="D1897" s="2">
        <v>0.94779999999999998</v>
      </c>
      <c r="E1897" s="2" t="s">
        <v>365</v>
      </c>
    </row>
    <row r="1898" spans="1:5" ht="20.25" customHeight="1" x14ac:dyDescent="0.15">
      <c r="A1898" s="2" t="s">
        <v>4608</v>
      </c>
      <c r="B1898" s="2" t="s">
        <v>4609</v>
      </c>
      <c r="C1898" s="2">
        <v>1.22</v>
      </c>
      <c r="D1898" s="2">
        <v>0.40310000000000001</v>
      </c>
      <c r="E1898" s="2" t="s">
        <v>787</v>
      </c>
    </row>
    <row r="1899" spans="1:5" ht="20.25" customHeight="1" x14ac:dyDescent="0.15">
      <c r="A1899" s="2" t="s">
        <v>4634</v>
      </c>
      <c r="B1899" s="2" t="s">
        <v>4635</v>
      </c>
      <c r="C1899" s="2">
        <v>1.22</v>
      </c>
      <c r="D1899" s="2">
        <v>0.6492</v>
      </c>
      <c r="E1899" s="2" t="s">
        <v>750</v>
      </c>
    </row>
    <row r="1900" spans="1:5" ht="20.25" customHeight="1" x14ac:dyDescent="0.15">
      <c r="A1900" s="2" t="s">
        <v>4823</v>
      </c>
      <c r="B1900" s="2" t="s">
        <v>4824</v>
      </c>
      <c r="C1900" s="2">
        <v>1.22</v>
      </c>
      <c r="D1900" s="2">
        <v>1.8523000000000001</v>
      </c>
      <c r="E1900" s="2" t="s">
        <v>784</v>
      </c>
    </row>
    <row r="1901" spans="1:5" ht="20.25" customHeight="1" x14ac:dyDescent="0.15">
      <c r="A1901" s="2" t="s">
        <v>5014</v>
      </c>
      <c r="B1901" s="2" t="s">
        <v>5015</v>
      </c>
      <c r="C1901" s="2">
        <v>1.22</v>
      </c>
      <c r="D1901" s="2">
        <v>108.17359999999999</v>
      </c>
      <c r="E1901" s="2" t="s">
        <v>2344</v>
      </c>
    </row>
    <row r="1902" spans="1:5" ht="20.25" customHeight="1" x14ac:dyDescent="0.15">
      <c r="A1902" s="2" t="s">
        <v>5018</v>
      </c>
      <c r="B1902" s="2" t="s">
        <v>5019</v>
      </c>
      <c r="C1902" s="2">
        <v>1.22</v>
      </c>
      <c r="D1902" s="2">
        <v>0.4718</v>
      </c>
      <c r="E1902" s="2" t="s">
        <v>677</v>
      </c>
    </row>
    <row r="1903" spans="1:5" ht="20.25" customHeight="1" x14ac:dyDescent="0.15">
      <c r="A1903" s="2" t="s">
        <v>5310</v>
      </c>
      <c r="B1903" s="2" t="s">
        <v>5311</v>
      </c>
      <c r="C1903" s="2">
        <v>1.22</v>
      </c>
      <c r="D1903" s="2">
        <v>0.20180000000000001</v>
      </c>
      <c r="E1903" s="2" t="s">
        <v>744</v>
      </c>
    </row>
    <row r="1904" spans="1:5" ht="20.25" customHeight="1" x14ac:dyDescent="0.15">
      <c r="A1904" s="2" t="s">
        <v>5615</v>
      </c>
      <c r="B1904" s="2" t="s">
        <v>5616</v>
      </c>
      <c r="C1904" s="2">
        <v>1.22</v>
      </c>
      <c r="D1904" s="2">
        <v>7.1863999999999999</v>
      </c>
      <c r="E1904" s="2" t="s">
        <v>3190</v>
      </c>
    </row>
    <row r="1905" spans="1:5" ht="20.25" customHeight="1" x14ac:dyDescent="0.15">
      <c r="A1905" s="2" t="s">
        <v>6292</v>
      </c>
      <c r="B1905" s="2" t="s">
        <v>6293</v>
      </c>
      <c r="C1905" s="2">
        <v>1.22</v>
      </c>
      <c r="D1905" s="2">
        <v>2.8176000000000001</v>
      </c>
      <c r="E1905" s="2" t="s">
        <v>68</v>
      </c>
    </row>
    <row r="1906" spans="1:5" ht="20.25" customHeight="1" x14ac:dyDescent="0.15">
      <c r="A1906" s="2" t="s">
        <v>6304</v>
      </c>
      <c r="B1906" s="2" t="s">
        <v>6305</v>
      </c>
      <c r="C1906" s="2">
        <v>1.22</v>
      </c>
      <c r="D1906" s="2">
        <v>0.42320000000000002</v>
      </c>
      <c r="E1906" s="2" t="s">
        <v>713</v>
      </c>
    </row>
    <row r="1907" spans="1:5" ht="20.25" customHeight="1" x14ac:dyDescent="0.15">
      <c r="A1907" s="2" t="s">
        <v>8365</v>
      </c>
      <c r="B1907" s="2" t="s">
        <v>8366</v>
      </c>
      <c r="C1907" s="2">
        <v>1.22</v>
      </c>
      <c r="D1907" s="2">
        <v>3.0548000000000002</v>
      </c>
      <c r="E1907" s="2" t="s">
        <v>1102</v>
      </c>
    </row>
    <row r="1908" spans="1:5" ht="20.25" customHeight="1" x14ac:dyDescent="0.15">
      <c r="A1908" s="2" t="s">
        <v>5058</v>
      </c>
      <c r="B1908" s="2" t="s">
        <v>5059</v>
      </c>
      <c r="C1908" s="2">
        <v>1.2150000000000001</v>
      </c>
      <c r="D1908" s="2">
        <v>0.76529999999999998</v>
      </c>
      <c r="E1908" s="2" t="s">
        <v>143</v>
      </c>
    </row>
    <row r="1909" spans="1:5" ht="20.25" customHeight="1" x14ac:dyDescent="0.15">
      <c r="A1909" s="2" t="s">
        <v>7149</v>
      </c>
      <c r="B1909" s="2" t="s">
        <v>7150</v>
      </c>
      <c r="C1909" s="2">
        <v>1.2150000000000001</v>
      </c>
      <c r="D1909" s="2">
        <v>0.41199999999999998</v>
      </c>
      <c r="E1909" s="2" t="s">
        <v>359</v>
      </c>
    </row>
    <row r="1910" spans="1:5" ht="20.25" customHeight="1" x14ac:dyDescent="0.15">
      <c r="A1910" s="2" t="s">
        <v>816</v>
      </c>
      <c r="B1910" s="2" t="s">
        <v>817</v>
      </c>
      <c r="C1910" s="2">
        <v>1.21</v>
      </c>
      <c r="D1910" s="2">
        <v>3.1756000000000002</v>
      </c>
      <c r="E1910" s="2" t="s">
        <v>818</v>
      </c>
    </row>
    <row r="1911" spans="1:5" ht="20.25" customHeight="1" x14ac:dyDescent="0.15">
      <c r="A1911" s="2" t="s">
        <v>2071</v>
      </c>
      <c r="B1911" s="2" t="s">
        <v>2072</v>
      </c>
      <c r="C1911" s="2">
        <v>1.21</v>
      </c>
      <c r="D1911" s="2">
        <v>0.33100000000000002</v>
      </c>
      <c r="E1911" s="2" t="s">
        <v>897</v>
      </c>
    </row>
    <row r="1912" spans="1:5" ht="20.25" customHeight="1" x14ac:dyDescent="0.15">
      <c r="A1912" s="2" t="s">
        <v>3653</v>
      </c>
      <c r="B1912" s="2" t="s">
        <v>3654</v>
      </c>
      <c r="C1912" s="2">
        <v>1.21</v>
      </c>
      <c r="D1912" s="2">
        <v>4.8010999999999999</v>
      </c>
      <c r="E1912" s="2" t="s">
        <v>664</v>
      </c>
    </row>
    <row r="1913" spans="1:5" ht="20.25" customHeight="1" x14ac:dyDescent="0.15">
      <c r="A1913" s="2" t="s">
        <v>3811</v>
      </c>
      <c r="B1913" s="2" t="s">
        <v>3812</v>
      </c>
      <c r="C1913" s="2">
        <v>1.21</v>
      </c>
      <c r="D1913" s="2">
        <v>5.0632999999999999</v>
      </c>
      <c r="E1913" s="2" t="s">
        <v>1268</v>
      </c>
    </row>
    <row r="1914" spans="1:5" ht="20.25" customHeight="1" x14ac:dyDescent="0.15">
      <c r="A1914" s="2" t="s">
        <v>5038</v>
      </c>
      <c r="B1914" s="2" t="s">
        <v>5039</v>
      </c>
      <c r="C1914" s="2">
        <v>1.21</v>
      </c>
      <c r="D1914" s="2">
        <v>0.56789999999999996</v>
      </c>
      <c r="E1914" s="2" t="s">
        <v>727</v>
      </c>
    </row>
    <row r="1915" spans="1:5" ht="20.25" customHeight="1" x14ac:dyDescent="0.15">
      <c r="A1915" s="2" t="s">
        <v>6506</v>
      </c>
      <c r="B1915" s="2" t="s">
        <v>6507</v>
      </c>
      <c r="C1915" s="2">
        <v>1.21</v>
      </c>
      <c r="D1915" s="2">
        <v>3.5657999999999999</v>
      </c>
      <c r="E1915" s="2" t="s">
        <v>123</v>
      </c>
    </row>
    <row r="1916" spans="1:5" ht="20.25" customHeight="1" x14ac:dyDescent="0.15">
      <c r="A1916" s="2" t="s">
        <v>6614</v>
      </c>
      <c r="B1916" s="2" t="s">
        <v>6615</v>
      </c>
      <c r="C1916" s="2">
        <v>1.21</v>
      </c>
      <c r="D1916" s="2">
        <v>1.4104000000000001</v>
      </c>
      <c r="E1916" s="2" t="s">
        <v>784</v>
      </c>
    </row>
    <row r="1917" spans="1:5" ht="20.25" customHeight="1" x14ac:dyDescent="0.15">
      <c r="A1917" s="2" t="s">
        <v>7617</v>
      </c>
      <c r="B1917" s="2" t="s">
        <v>7618</v>
      </c>
      <c r="C1917" s="2">
        <v>1.21</v>
      </c>
      <c r="D1917" s="2">
        <v>33.874899999999997</v>
      </c>
      <c r="E1917" s="2" t="s">
        <v>41</v>
      </c>
    </row>
    <row r="1918" spans="1:5" ht="20.25" customHeight="1" x14ac:dyDescent="0.15">
      <c r="A1918" s="2" t="s">
        <v>8139</v>
      </c>
      <c r="B1918" s="2" t="s">
        <v>8140</v>
      </c>
      <c r="C1918" s="2">
        <v>1.21</v>
      </c>
      <c r="D1918" s="2">
        <v>2.2787999999999999</v>
      </c>
      <c r="E1918" s="2" t="s">
        <v>529</v>
      </c>
    </row>
    <row r="1919" spans="1:5" ht="20.25" customHeight="1" x14ac:dyDescent="0.15">
      <c r="A1919" s="2" t="s">
        <v>734</v>
      </c>
      <c r="B1919" s="2" t="s">
        <v>735</v>
      </c>
      <c r="C1919" s="2">
        <v>1.2</v>
      </c>
      <c r="D1919" s="2">
        <v>0.80800000000000005</v>
      </c>
      <c r="E1919" s="2" t="s">
        <v>736</v>
      </c>
    </row>
    <row r="1920" spans="1:5" ht="20.25" customHeight="1" x14ac:dyDescent="0.15">
      <c r="A1920" s="2" t="s">
        <v>2214</v>
      </c>
      <c r="B1920" s="2" t="s">
        <v>2215</v>
      </c>
      <c r="C1920" s="2">
        <v>1.2</v>
      </c>
      <c r="D1920" s="2">
        <v>16.959099999999999</v>
      </c>
      <c r="E1920" s="2" t="s">
        <v>1094</v>
      </c>
    </row>
    <row r="1921" spans="1:5" ht="20.25" customHeight="1" x14ac:dyDescent="0.15">
      <c r="A1921" s="2" t="s">
        <v>2459</v>
      </c>
      <c r="B1921" s="2" t="s">
        <v>2460</v>
      </c>
      <c r="C1921" s="2">
        <v>1.2</v>
      </c>
      <c r="D1921" s="2">
        <v>0.21440000000000001</v>
      </c>
      <c r="E1921" s="2" t="s">
        <v>1994</v>
      </c>
    </row>
    <row r="1922" spans="1:5" ht="20.25" customHeight="1" x14ac:dyDescent="0.15">
      <c r="A1922" s="2" t="s">
        <v>4290</v>
      </c>
      <c r="B1922" s="2" t="s">
        <v>4291</v>
      </c>
      <c r="C1922" s="2">
        <v>1.2</v>
      </c>
      <c r="D1922" s="2">
        <v>9.7773000000000003</v>
      </c>
      <c r="E1922" s="2" t="s">
        <v>638</v>
      </c>
    </row>
    <row r="1923" spans="1:5" ht="20.25" customHeight="1" x14ac:dyDescent="0.15">
      <c r="A1923" s="2" t="s">
        <v>5062</v>
      </c>
      <c r="B1923" s="2" t="s">
        <v>5063</v>
      </c>
      <c r="C1923" s="2">
        <v>1.2</v>
      </c>
      <c r="D1923" s="2">
        <v>1.7459</v>
      </c>
      <c r="E1923" s="2" t="s">
        <v>3130</v>
      </c>
    </row>
    <row r="1924" spans="1:5" ht="20.25" customHeight="1" x14ac:dyDescent="0.15">
      <c r="A1924" s="2" t="s">
        <v>5332</v>
      </c>
      <c r="B1924" s="2" t="s">
        <v>5333</v>
      </c>
      <c r="C1924" s="2">
        <v>1.2</v>
      </c>
      <c r="D1924" s="2">
        <v>1.0446</v>
      </c>
      <c r="E1924" s="2" t="s">
        <v>299</v>
      </c>
    </row>
    <row r="1925" spans="1:5" ht="20.25" customHeight="1" x14ac:dyDescent="0.15">
      <c r="A1925" s="2" t="s">
        <v>5625</v>
      </c>
      <c r="B1925" s="2" t="s">
        <v>5626</v>
      </c>
      <c r="C1925" s="2">
        <v>1.2</v>
      </c>
      <c r="D1925" s="2">
        <v>0.90510000000000002</v>
      </c>
      <c r="E1925" s="2" t="s">
        <v>747</v>
      </c>
    </row>
    <row r="1926" spans="1:5" ht="20.25" customHeight="1" x14ac:dyDescent="0.15">
      <c r="A1926" s="2" t="s">
        <v>6454</v>
      </c>
      <c r="B1926" s="2" t="s">
        <v>6455</v>
      </c>
      <c r="C1926" s="2">
        <v>1.2</v>
      </c>
      <c r="D1926" s="2">
        <v>1.6327</v>
      </c>
      <c r="E1926" s="2" t="s">
        <v>359</v>
      </c>
    </row>
    <row r="1927" spans="1:5" ht="20.25" customHeight="1" x14ac:dyDescent="0.15">
      <c r="A1927" s="2" t="s">
        <v>7505</v>
      </c>
      <c r="B1927" s="2" t="s">
        <v>7506</v>
      </c>
      <c r="C1927" s="2">
        <v>1.2</v>
      </c>
      <c r="D1927" s="2">
        <v>3.7097000000000002</v>
      </c>
      <c r="E1927" s="2" t="s">
        <v>6764</v>
      </c>
    </row>
    <row r="1928" spans="1:5" ht="20.25" customHeight="1" x14ac:dyDescent="0.15">
      <c r="A1928" s="2" t="s">
        <v>7941</v>
      </c>
      <c r="B1928" s="2" t="s">
        <v>7942</v>
      </c>
      <c r="C1928" s="2">
        <v>1.2</v>
      </c>
      <c r="D1928" s="2">
        <v>0.65639999999999998</v>
      </c>
      <c r="E1928" s="2" t="s">
        <v>1102</v>
      </c>
    </row>
    <row r="1929" spans="1:5" ht="20.25" customHeight="1" x14ac:dyDescent="0.15">
      <c r="A1929" s="2" t="s">
        <v>8377</v>
      </c>
      <c r="B1929" s="2" t="s">
        <v>8378</v>
      </c>
      <c r="C1929" s="2">
        <v>1.2</v>
      </c>
      <c r="D1929" s="2">
        <v>0.5716</v>
      </c>
      <c r="E1929" s="2" t="s">
        <v>4261</v>
      </c>
    </row>
    <row r="1930" spans="1:5" ht="20.25" customHeight="1" x14ac:dyDescent="0.15">
      <c r="A1930" s="2" t="s">
        <v>4839</v>
      </c>
      <c r="B1930" s="2" t="s">
        <v>4840</v>
      </c>
      <c r="C1930" s="2">
        <v>1.1950000000000001</v>
      </c>
      <c r="D1930" s="2">
        <v>1.0170999999999999</v>
      </c>
      <c r="E1930" s="2" t="s">
        <v>171</v>
      </c>
    </row>
    <row r="1931" spans="1:5" ht="20.25" customHeight="1" x14ac:dyDescent="0.15">
      <c r="A1931" s="2" t="s">
        <v>6262</v>
      </c>
      <c r="B1931" s="2" t="s">
        <v>6263</v>
      </c>
      <c r="C1931" s="2">
        <v>1.1950000000000001</v>
      </c>
      <c r="D1931" s="2">
        <v>6.7348999999999997</v>
      </c>
      <c r="E1931" s="2" t="s">
        <v>299</v>
      </c>
    </row>
    <row r="1932" spans="1:5" ht="20.25" customHeight="1" x14ac:dyDescent="0.15">
      <c r="A1932" s="2" t="s">
        <v>509</v>
      </c>
      <c r="B1932" s="2" t="s">
        <v>510</v>
      </c>
      <c r="C1932" s="2">
        <v>1.19</v>
      </c>
      <c r="D1932" s="2">
        <v>3.3092000000000001</v>
      </c>
      <c r="E1932" s="2" t="s">
        <v>511</v>
      </c>
    </row>
    <row r="1933" spans="1:5" ht="20.25" customHeight="1" x14ac:dyDescent="0.15">
      <c r="A1933" s="2" t="s">
        <v>3681</v>
      </c>
      <c r="B1933" s="2" t="s">
        <v>3682</v>
      </c>
      <c r="C1933" s="2">
        <v>1.19</v>
      </c>
      <c r="D1933" s="2">
        <v>1.1412</v>
      </c>
      <c r="E1933" s="2" t="s">
        <v>201</v>
      </c>
    </row>
    <row r="1934" spans="1:5" ht="20.25" customHeight="1" x14ac:dyDescent="0.15">
      <c r="A1934" s="2" t="s">
        <v>4014</v>
      </c>
      <c r="B1934" s="2" t="s">
        <v>4015</v>
      </c>
      <c r="C1934" s="2">
        <v>1.19</v>
      </c>
      <c r="D1934" s="2">
        <v>26.0365</v>
      </c>
      <c r="E1934" s="2" t="s">
        <v>542</v>
      </c>
    </row>
    <row r="1935" spans="1:5" ht="20.25" customHeight="1" x14ac:dyDescent="0.15">
      <c r="A1935" s="2" t="s">
        <v>4226</v>
      </c>
      <c r="B1935" s="2" t="s">
        <v>4227</v>
      </c>
      <c r="C1935" s="2">
        <v>1.19</v>
      </c>
      <c r="D1935" s="2">
        <v>0.313</v>
      </c>
      <c r="E1935" s="2" t="s">
        <v>89</v>
      </c>
    </row>
    <row r="1936" spans="1:5" ht="20.25" customHeight="1" x14ac:dyDescent="0.15">
      <c r="A1936" s="2" t="s">
        <v>6090</v>
      </c>
      <c r="B1936" s="2" t="s">
        <v>6091</v>
      </c>
      <c r="C1936" s="2">
        <v>1.19</v>
      </c>
      <c r="D1936" s="2">
        <v>191.8527</v>
      </c>
      <c r="E1936" s="2" t="s">
        <v>391</v>
      </c>
    </row>
    <row r="1937" spans="1:5" ht="20.25" customHeight="1" x14ac:dyDescent="0.15">
      <c r="A1937" s="2" t="s">
        <v>7449</v>
      </c>
      <c r="B1937" s="2" t="s">
        <v>7450</v>
      </c>
      <c r="C1937" s="2">
        <v>1.19</v>
      </c>
      <c r="D1937" s="2">
        <v>1.7172000000000001</v>
      </c>
      <c r="E1937" s="2" t="s">
        <v>2151</v>
      </c>
    </row>
    <row r="1938" spans="1:5" ht="20.25" customHeight="1" x14ac:dyDescent="0.15">
      <c r="A1938" s="2" t="s">
        <v>337</v>
      </c>
      <c r="B1938" s="2" t="s">
        <v>338</v>
      </c>
      <c r="C1938" s="2">
        <v>1.18</v>
      </c>
      <c r="D1938" s="2">
        <v>0.34100000000000003</v>
      </c>
      <c r="E1938" s="2" t="s">
        <v>339</v>
      </c>
    </row>
    <row r="1939" spans="1:5" ht="20.25" customHeight="1" x14ac:dyDescent="0.15">
      <c r="A1939" s="2" t="s">
        <v>1339</v>
      </c>
      <c r="B1939" s="2" t="s">
        <v>1340</v>
      </c>
      <c r="C1939" s="2">
        <v>1.18</v>
      </c>
      <c r="D1939" s="2">
        <v>6.1616999999999997</v>
      </c>
      <c r="E1939" s="2" t="s">
        <v>231</v>
      </c>
    </row>
    <row r="1940" spans="1:5" ht="20.25" customHeight="1" x14ac:dyDescent="0.15">
      <c r="A1940" s="2" t="s">
        <v>1779</v>
      </c>
      <c r="B1940" s="2" t="s">
        <v>1780</v>
      </c>
      <c r="C1940" s="2">
        <v>1.18</v>
      </c>
      <c r="D1940" s="2">
        <v>4.2435999999999998</v>
      </c>
      <c r="E1940" s="2" t="s">
        <v>13</v>
      </c>
    </row>
    <row r="1941" spans="1:5" ht="20.25" customHeight="1" x14ac:dyDescent="0.15">
      <c r="A1941" s="2" t="s">
        <v>1821</v>
      </c>
      <c r="B1941" s="2" t="s">
        <v>1822</v>
      </c>
      <c r="C1941" s="2">
        <v>1.18</v>
      </c>
      <c r="D1941" s="2">
        <v>2.7686999999999999</v>
      </c>
      <c r="E1941" s="2" t="s">
        <v>299</v>
      </c>
    </row>
    <row r="1942" spans="1:5" ht="20.25" customHeight="1" x14ac:dyDescent="0.15">
      <c r="A1942" s="2" t="s">
        <v>2190</v>
      </c>
      <c r="B1942" s="2" t="s">
        <v>2191</v>
      </c>
      <c r="C1942" s="2">
        <v>1.18</v>
      </c>
      <c r="D1942" s="2">
        <v>0.79239999999999999</v>
      </c>
      <c r="E1942" s="2" t="s">
        <v>299</v>
      </c>
    </row>
    <row r="1943" spans="1:5" ht="20.25" customHeight="1" x14ac:dyDescent="0.15">
      <c r="A1943" s="2" t="s">
        <v>2353</v>
      </c>
      <c r="B1943" s="2" t="s">
        <v>2354</v>
      </c>
      <c r="C1943" s="2">
        <v>1.18</v>
      </c>
      <c r="D1943" s="2">
        <v>0.13170000000000001</v>
      </c>
      <c r="E1943" s="2" t="s">
        <v>2355</v>
      </c>
    </row>
    <row r="1944" spans="1:5" ht="20.25" customHeight="1" x14ac:dyDescent="0.15">
      <c r="A1944" s="2" t="s">
        <v>2859</v>
      </c>
      <c r="B1944" s="2" t="s">
        <v>2860</v>
      </c>
      <c r="C1944" s="2">
        <v>1.18</v>
      </c>
      <c r="D1944" s="2">
        <v>0.92630000000000001</v>
      </c>
      <c r="E1944" s="2" t="s">
        <v>106</v>
      </c>
    </row>
    <row r="1945" spans="1:5" ht="20.25" customHeight="1" x14ac:dyDescent="0.15">
      <c r="A1945" s="2" t="s">
        <v>3158</v>
      </c>
      <c r="B1945" s="2" t="s">
        <v>3159</v>
      </c>
      <c r="C1945" s="2">
        <v>1.18</v>
      </c>
      <c r="D1945" s="2">
        <v>0.22070000000000001</v>
      </c>
      <c r="E1945" s="2" t="s">
        <v>421</v>
      </c>
    </row>
    <row r="1946" spans="1:5" ht="20.25" customHeight="1" x14ac:dyDescent="0.15">
      <c r="A1946" s="2" t="s">
        <v>4032</v>
      </c>
      <c r="B1946" s="2" t="s">
        <v>4033</v>
      </c>
      <c r="C1946" s="2">
        <v>1.18</v>
      </c>
      <c r="D1946" s="2">
        <v>5.8521000000000001</v>
      </c>
      <c r="E1946" s="2" t="s">
        <v>371</v>
      </c>
    </row>
    <row r="1947" spans="1:5" ht="20.25" customHeight="1" x14ac:dyDescent="0.15">
      <c r="A1947" s="2" t="s">
        <v>4259</v>
      </c>
      <c r="B1947" s="2" t="s">
        <v>4260</v>
      </c>
      <c r="C1947" s="2">
        <v>1.18</v>
      </c>
      <c r="D1947" s="2">
        <v>1.8474999999999999</v>
      </c>
      <c r="E1947" s="2" t="s">
        <v>4261</v>
      </c>
    </row>
    <row r="1948" spans="1:5" ht="20.25" customHeight="1" x14ac:dyDescent="0.15">
      <c r="A1948" s="2" t="s">
        <v>5365</v>
      </c>
      <c r="B1948" s="2" t="s">
        <v>5366</v>
      </c>
      <c r="C1948" s="2">
        <v>1.18</v>
      </c>
      <c r="D1948" s="2">
        <v>0.52680000000000005</v>
      </c>
      <c r="E1948" s="2" t="s">
        <v>201</v>
      </c>
    </row>
    <row r="1949" spans="1:5" ht="20.25" customHeight="1" x14ac:dyDescent="0.15">
      <c r="A1949" s="2" t="s">
        <v>5391</v>
      </c>
      <c r="B1949" s="2" t="s">
        <v>5392</v>
      </c>
      <c r="C1949" s="2">
        <v>1.18</v>
      </c>
      <c r="D1949" s="2">
        <v>0.45960000000000001</v>
      </c>
      <c r="E1949" s="2" t="s">
        <v>201</v>
      </c>
    </row>
    <row r="1950" spans="1:5" ht="20.25" customHeight="1" x14ac:dyDescent="0.15">
      <c r="A1950" s="2" t="s">
        <v>5657</v>
      </c>
      <c r="B1950" s="2" t="s">
        <v>5658</v>
      </c>
      <c r="C1950" s="2">
        <v>1.18</v>
      </c>
      <c r="D1950" s="2">
        <v>5.8342000000000001</v>
      </c>
      <c r="E1950" s="2" t="s">
        <v>362</v>
      </c>
    </row>
    <row r="1951" spans="1:5" ht="20.25" customHeight="1" x14ac:dyDescent="0.15">
      <c r="A1951" s="2" t="s">
        <v>7597</v>
      </c>
      <c r="B1951" s="2" t="s">
        <v>7598</v>
      </c>
      <c r="C1951" s="2">
        <v>1.18</v>
      </c>
      <c r="D1951" s="2">
        <v>6.0239000000000003</v>
      </c>
      <c r="E1951" s="2" t="s">
        <v>630</v>
      </c>
    </row>
    <row r="1952" spans="1:5" ht="20.25" customHeight="1" x14ac:dyDescent="0.15">
      <c r="A1952" s="2" t="s">
        <v>7741</v>
      </c>
      <c r="B1952" s="2" t="s">
        <v>7742</v>
      </c>
      <c r="C1952" s="2">
        <v>1.175</v>
      </c>
      <c r="D1952" s="2">
        <v>0.84289999999999998</v>
      </c>
      <c r="E1952" s="2" t="s">
        <v>638</v>
      </c>
    </row>
    <row r="1953" spans="1:5" ht="20.25" customHeight="1" x14ac:dyDescent="0.15">
      <c r="A1953" s="2" t="s">
        <v>8019</v>
      </c>
      <c r="B1953" s="2" t="s">
        <v>8020</v>
      </c>
      <c r="C1953" s="2">
        <v>1.175</v>
      </c>
      <c r="D1953" s="2">
        <v>3.0148000000000001</v>
      </c>
      <c r="E1953" s="2" t="s">
        <v>2724</v>
      </c>
    </row>
    <row r="1954" spans="1:5" ht="20.25" customHeight="1" x14ac:dyDescent="0.15">
      <c r="A1954" s="2" t="s">
        <v>150</v>
      </c>
      <c r="B1954" s="2" t="s">
        <v>151</v>
      </c>
      <c r="C1954" s="2">
        <v>1.17</v>
      </c>
      <c r="D1954" s="2">
        <v>6.2199999999999998E-2</v>
      </c>
      <c r="E1954" s="2" t="s">
        <v>152</v>
      </c>
    </row>
    <row r="1955" spans="1:5" ht="20.25" customHeight="1" x14ac:dyDescent="0.15">
      <c r="A1955" s="2" t="s">
        <v>1544</v>
      </c>
      <c r="B1955" s="2" t="s">
        <v>1545</v>
      </c>
      <c r="C1955" s="2">
        <v>1.17</v>
      </c>
      <c r="D1955" s="2">
        <v>0.4652</v>
      </c>
      <c r="E1955" s="2" t="s">
        <v>81</v>
      </c>
    </row>
    <row r="1956" spans="1:5" ht="20.25" customHeight="1" x14ac:dyDescent="0.15">
      <c r="A1956" s="2" t="s">
        <v>1589</v>
      </c>
      <c r="B1956" s="2" t="s">
        <v>1590</v>
      </c>
      <c r="C1956" s="2">
        <v>1.17</v>
      </c>
      <c r="D1956" s="2">
        <v>3.5034000000000001</v>
      </c>
      <c r="E1956" s="2" t="s">
        <v>347</v>
      </c>
    </row>
    <row r="1957" spans="1:5" ht="20.25" customHeight="1" x14ac:dyDescent="0.15">
      <c r="A1957" s="2" t="s">
        <v>2208</v>
      </c>
      <c r="B1957" s="2" t="s">
        <v>2209</v>
      </c>
      <c r="C1957" s="2">
        <v>1.17</v>
      </c>
      <c r="D1957" s="2">
        <v>36.6526</v>
      </c>
      <c r="E1957" s="2" t="s">
        <v>657</v>
      </c>
    </row>
    <row r="1958" spans="1:5" ht="20.25" customHeight="1" x14ac:dyDescent="0.15">
      <c r="A1958" s="2" t="s">
        <v>2694</v>
      </c>
      <c r="B1958" s="2" t="s">
        <v>2695</v>
      </c>
      <c r="C1958" s="2">
        <v>1.17</v>
      </c>
      <c r="D1958" s="2">
        <v>10.061299999999999</v>
      </c>
      <c r="E1958" s="2" t="s">
        <v>356</v>
      </c>
    </row>
    <row r="1959" spans="1:5" ht="20.25" customHeight="1" x14ac:dyDescent="0.15">
      <c r="A1959" s="2" t="s">
        <v>2777</v>
      </c>
      <c r="B1959" s="2" t="s">
        <v>2778</v>
      </c>
      <c r="C1959" s="2">
        <v>1.17</v>
      </c>
      <c r="D1959" s="2">
        <v>1.7868999999999999</v>
      </c>
      <c r="E1959" s="2" t="s">
        <v>1224</v>
      </c>
    </row>
    <row r="1960" spans="1:5" ht="20.25" customHeight="1" x14ac:dyDescent="0.15">
      <c r="A1960" s="2" t="s">
        <v>3455</v>
      </c>
      <c r="B1960" s="2" t="s">
        <v>3456</v>
      </c>
      <c r="C1960" s="2">
        <v>1.17</v>
      </c>
      <c r="D1960" s="2">
        <v>0.17419999999999999</v>
      </c>
      <c r="E1960" s="2" t="s">
        <v>86</v>
      </c>
    </row>
    <row r="1961" spans="1:5" ht="20.25" customHeight="1" x14ac:dyDescent="0.15">
      <c r="A1961" s="2" t="s">
        <v>3797</v>
      </c>
      <c r="B1961" s="2" t="s">
        <v>3798</v>
      </c>
      <c r="C1961" s="2">
        <v>1.17</v>
      </c>
      <c r="D1961" s="2">
        <v>1.1571</v>
      </c>
      <c r="E1961" s="2" t="s">
        <v>605</v>
      </c>
    </row>
    <row r="1962" spans="1:5" ht="20.25" customHeight="1" x14ac:dyDescent="0.15">
      <c r="A1962" s="2" t="s">
        <v>4482</v>
      </c>
      <c r="B1962" s="2" t="s">
        <v>4483</v>
      </c>
      <c r="C1962" s="2">
        <v>1.17</v>
      </c>
      <c r="D1962" s="2">
        <v>1.8322000000000001</v>
      </c>
      <c r="E1962" s="2" t="s">
        <v>483</v>
      </c>
    </row>
    <row r="1963" spans="1:5" ht="20.25" customHeight="1" x14ac:dyDescent="0.15">
      <c r="A1963" s="2" t="s">
        <v>5306</v>
      </c>
      <c r="B1963" s="2" t="s">
        <v>5307</v>
      </c>
      <c r="C1963" s="2">
        <v>1.17</v>
      </c>
      <c r="D1963" s="2">
        <v>2.7847</v>
      </c>
      <c r="E1963" s="2" t="s">
        <v>2678</v>
      </c>
    </row>
    <row r="1964" spans="1:5" ht="20.25" customHeight="1" x14ac:dyDescent="0.15">
      <c r="A1964" s="2" t="s">
        <v>6106</v>
      </c>
      <c r="B1964" s="2" t="s">
        <v>6107</v>
      </c>
      <c r="C1964" s="2">
        <v>1.17</v>
      </c>
      <c r="D1964" s="2">
        <v>0.25659999999999999</v>
      </c>
      <c r="E1964" s="2" t="s">
        <v>310</v>
      </c>
    </row>
    <row r="1965" spans="1:5" ht="20.25" customHeight="1" x14ac:dyDescent="0.15">
      <c r="A1965" s="2" t="s">
        <v>6136</v>
      </c>
      <c r="B1965" s="2" t="s">
        <v>6137</v>
      </c>
      <c r="C1965" s="2">
        <v>1.17</v>
      </c>
      <c r="D1965" s="2">
        <v>0.36209999999999998</v>
      </c>
      <c r="E1965" s="2" t="s">
        <v>1757</v>
      </c>
    </row>
    <row r="1966" spans="1:5" ht="20.25" customHeight="1" x14ac:dyDescent="0.15">
      <c r="A1966" s="2" t="s">
        <v>6606</v>
      </c>
      <c r="B1966" s="2" t="s">
        <v>6607</v>
      </c>
      <c r="C1966" s="2">
        <v>1.17</v>
      </c>
      <c r="D1966" s="2">
        <v>5.0787000000000004</v>
      </c>
      <c r="E1966" s="2" t="s">
        <v>677</v>
      </c>
    </row>
    <row r="1967" spans="1:5" ht="20.25" customHeight="1" x14ac:dyDescent="0.15">
      <c r="A1967" s="2" t="s">
        <v>8269</v>
      </c>
      <c r="B1967" s="2" t="s">
        <v>8270</v>
      </c>
      <c r="C1967" s="2">
        <v>1.17</v>
      </c>
      <c r="D1967" s="2">
        <v>15.4794</v>
      </c>
      <c r="E1967" s="2" t="s">
        <v>827</v>
      </c>
    </row>
    <row r="1968" spans="1:5" ht="20.25" customHeight="1" x14ac:dyDescent="0.15">
      <c r="A1968" s="2" t="s">
        <v>6951</v>
      </c>
      <c r="B1968" s="2" t="s">
        <v>6952</v>
      </c>
      <c r="C1968" s="2">
        <v>1.165</v>
      </c>
      <c r="D1968" s="2">
        <v>3.4203000000000001</v>
      </c>
      <c r="E1968" s="2" t="s">
        <v>621</v>
      </c>
    </row>
    <row r="1969" spans="1:5" ht="20.25" customHeight="1" x14ac:dyDescent="0.15">
      <c r="A1969" s="2" t="s">
        <v>1654</v>
      </c>
      <c r="B1969" s="2" t="s">
        <v>1655</v>
      </c>
      <c r="C1969" s="2">
        <v>1.1599999999999999</v>
      </c>
      <c r="D1969" s="2">
        <v>2.9906000000000001</v>
      </c>
      <c r="E1969" s="2" t="s">
        <v>10</v>
      </c>
    </row>
    <row r="1970" spans="1:5" ht="20.25" customHeight="1" x14ac:dyDescent="0.15">
      <c r="A1970" s="2" t="s">
        <v>1905</v>
      </c>
      <c r="B1970" s="2" t="s">
        <v>1906</v>
      </c>
      <c r="C1970" s="2">
        <v>1.1599999999999999</v>
      </c>
      <c r="D1970" s="2">
        <v>49.909399999999998</v>
      </c>
      <c r="E1970" s="2" t="s">
        <v>633</v>
      </c>
    </row>
    <row r="1971" spans="1:5" ht="20.25" customHeight="1" x14ac:dyDescent="0.15">
      <c r="A1971" s="2" t="s">
        <v>2286</v>
      </c>
      <c r="B1971" s="2" t="s">
        <v>2287</v>
      </c>
      <c r="C1971" s="2">
        <v>1.1599999999999999</v>
      </c>
      <c r="D1971" s="2">
        <v>7.3167</v>
      </c>
      <c r="E1971" s="2" t="s">
        <v>207</v>
      </c>
    </row>
    <row r="1972" spans="1:5" ht="20.25" customHeight="1" x14ac:dyDescent="0.15">
      <c r="A1972" s="2" t="s">
        <v>2449</v>
      </c>
      <c r="B1972" s="2" t="s">
        <v>2450</v>
      </c>
      <c r="C1972" s="2">
        <v>1.1599999999999999</v>
      </c>
      <c r="D1972" s="2">
        <v>1.4728000000000001</v>
      </c>
      <c r="E1972" s="2" t="s">
        <v>1268</v>
      </c>
    </row>
    <row r="1973" spans="1:5" ht="20.25" customHeight="1" x14ac:dyDescent="0.15">
      <c r="A1973" s="2" t="s">
        <v>2725</v>
      </c>
      <c r="B1973" s="2" t="s">
        <v>2726</v>
      </c>
      <c r="C1973" s="2">
        <v>1.1599999999999999</v>
      </c>
      <c r="D1973" s="2">
        <v>7.8670999999999998</v>
      </c>
      <c r="E1973" s="2" t="s">
        <v>322</v>
      </c>
    </row>
    <row r="1974" spans="1:5" ht="20.25" customHeight="1" x14ac:dyDescent="0.15">
      <c r="A1974" s="2" t="s">
        <v>3793</v>
      </c>
      <c r="B1974" s="2" t="s">
        <v>3794</v>
      </c>
      <c r="C1974" s="2">
        <v>1.1599999999999999</v>
      </c>
      <c r="D1974" s="2">
        <v>1.6990000000000001</v>
      </c>
      <c r="E1974" s="2" t="s">
        <v>2374</v>
      </c>
    </row>
    <row r="1975" spans="1:5" ht="20.25" customHeight="1" x14ac:dyDescent="0.15">
      <c r="A1975" s="2" t="s">
        <v>5892</v>
      </c>
      <c r="B1975" s="2" t="s">
        <v>5893</v>
      </c>
      <c r="C1975" s="2">
        <v>1.1599999999999999</v>
      </c>
      <c r="D1975" s="2">
        <v>2.8199999999999999E-2</v>
      </c>
      <c r="E1975" s="2" t="s">
        <v>339</v>
      </c>
    </row>
    <row r="1976" spans="1:5" ht="20.25" customHeight="1" x14ac:dyDescent="0.15">
      <c r="A1976" s="2" t="s">
        <v>6088</v>
      </c>
      <c r="B1976" s="2" t="s">
        <v>6089</v>
      </c>
      <c r="C1976" s="2">
        <v>1.1599999999999999</v>
      </c>
      <c r="D1976" s="2">
        <v>2.1076000000000001</v>
      </c>
      <c r="E1976" s="2" t="s">
        <v>1102</v>
      </c>
    </row>
    <row r="1977" spans="1:5" ht="20.25" customHeight="1" x14ac:dyDescent="0.15">
      <c r="A1977" s="2" t="s">
        <v>7093</v>
      </c>
      <c r="B1977" s="2" t="s">
        <v>7094</v>
      </c>
      <c r="C1977" s="2">
        <v>1.1599999999999999</v>
      </c>
      <c r="D1977" s="2">
        <v>1.0268999999999999</v>
      </c>
      <c r="E1977" s="2" t="s">
        <v>638</v>
      </c>
    </row>
    <row r="1978" spans="1:5" ht="20.25" customHeight="1" x14ac:dyDescent="0.15">
      <c r="A1978" s="2" t="s">
        <v>7261</v>
      </c>
      <c r="B1978" s="2" t="s">
        <v>7262</v>
      </c>
      <c r="C1978" s="2">
        <v>1.1599999999999999</v>
      </c>
      <c r="D1978" s="2">
        <v>1.41</v>
      </c>
      <c r="E1978" s="2" t="s">
        <v>713</v>
      </c>
    </row>
    <row r="1979" spans="1:5" ht="20.25" customHeight="1" x14ac:dyDescent="0.15">
      <c r="A1979" s="2" t="s">
        <v>8177</v>
      </c>
      <c r="B1979" s="2" t="s">
        <v>8178</v>
      </c>
      <c r="C1979" s="2">
        <v>1.1599999999999999</v>
      </c>
      <c r="D1979" s="2">
        <v>0.98050000000000004</v>
      </c>
      <c r="E1979" s="2" t="s">
        <v>1608</v>
      </c>
    </row>
    <row r="1980" spans="1:5" ht="20.25" customHeight="1" x14ac:dyDescent="0.15">
      <c r="A1980" s="2" t="s">
        <v>5828</v>
      </c>
      <c r="B1980" s="2" t="s">
        <v>5829</v>
      </c>
      <c r="C1980" s="2">
        <v>1.155</v>
      </c>
      <c r="D1980" s="2">
        <v>2.1901999999999999</v>
      </c>
      <c r="E1980" s="2" t="s">
        <v>747</v>
      </c>
    </row>
    <row r="1981" spans="1:5" ht="20.25" customHeight="1" x14ac:dyDescent="0.15">
      <c r="A1981" s="2" t="s">
        <v>446</v>
      </c>
      <c r="B1981" s="2" t="s">
        <v>447</v>
      </c>
      <c r="C1981" s="2">
        <v>1.1499999999999999</v>
      </c>
      <c r="D1981" s="2">
        <v>1.1153999999999999</v>
      </c>
      <c r="E1981" s="2" t="s">
        <v>137</v>
      </c>
    </row>
    <row r="1982" spans="1:5" ht="20.25" customHeight="1" x14ac:dyDescent="0.15">
      <c r="A1982" s="2" t="s">
        <v>1048</v>
      </c>
      <c r="B1982" s="2" t="s">
        <v>1049</v>
      </c>
      <c r="C1982" s="2">
        <v>1.1499999999999999</v>
      </c>
      <c r="D1982" s="2">
        <v>0.78510000000000002</v>
      </c>
      <c r="E1982" s="2" t="s">
        <v>265</v>
      </c>
    </row>
    <row r="1983" spans="1:5" ht="20.25" customHeight="1" x14ac:dyDescent="0.15">
      <c r="A1983" s="2" t="s">
        <v>2014</v>
      </c>
      <c r="B1983" s="2" t="s">
        <v>2015</v>
      </c>
      <c r="C1983" s="2">
        <v>1.1499999999999999</v>
      </c>
      <c r="D1983" s="2">
        <v>2.4739</v>
      </c>
      <c r="E1983" s="2" t="s">
        <v>198</v>
      </c>
    </row>
    <row r="1984" spans="1:5" ht="20.25" customHeight="1" x14ac:dyDescent="0.15">
      <c r="A1984" s="2" t="s">
        <v>2472</v>
      </c>
      <c r="B1984" s="2" t="s">
        <v>2473</v>
      </c>
      <c r="C1984" s="2">
        <v>1.1499999999999999</v>
      </c>
      <c r="D1984" s="2">
        <v>1.4805999999999999</v>
      </c>
      <c r="E1984" s="2" t="s">
        <v>13</v>
      </c>
    </row>
    <row r="1985" spans="1:5" ht="20.25" customHeight="1" x14ac:dyDescent="0.15">
      <c r="A1985" s="2" t="s">
        <v>3698</v>
      </c>
      <c r="B1985" s="2" t="s">
        <v>3699</v>
      </c>
      <c r="C1985" s="2">
        <v>1.1499999999999999</v>
      </c>
      <c r="D1985" s="2">
        <v>159.9479</v>
      </c>
      <c r="E1985" s="2" t="s">
        <v>228</v>
      </c>
    </row>
    <row r="1986" spans="1:5" ht="20.25" customHeight="1" x14ac:dyDescent="0.15">
      <c r="A1986" s="2" t="s">
        <v>4356</v>
      </c>
      <c r="B1986" s="2" t="s">
        <v>4357</v>
      </c>
      <c r="C1986" s="2">
        <v>1.1499999999999999</v>
      </c>
      <c r="D1986" s="2">
        <v>1.9514</v>
      </c>
      <c r="E1986" s="2" t="s">
        <v>35</v>
      </c>
    </row>
    <row r="1987" spans="1:5" ht="20.25" customHeight="1" x14ac:dyDescent="0.15">
      <c r="A1987" s="2" t="s">
        <v>5236</v>
      </c>
      <c r="B1987" s="2" t="s">
        <v>5237</v>
      </c>
      <c r="C1987" s="2">
        <v>1.1499999999999999</v>
      </c>
      <c r="D1987" s="2">
        <v>5.0620000000000003</v>
      </c>
      <c r="E1987" s="2" t="s">
        <v>149</v>
      </c>
    </row>
    <row r="1988" spans="1:5" ht="20.25" customHeight="1" x14ac:dyDescent="0.15">
      <c r="A1988" s="2" t="s">
        <v>5920</v>
      </c>
      <c r="B1988" s="2" t="s">
        <v>5921</v>
      </c>
      <c r="C1988" s="2">
        <v>1.1499999999999999</v>
      </c>
      <c r="D1988" s="2">
        <v>0.30099999999999999</v>
      </c>
      <c r="E1988" s="2" t="s">
        <v>704</v>
      </c>
    </row>
    <row r="1989" spans="1:5" ht="20.25" customHeight="1" x14ac:dyDescent="0.15">
      <c r="A1989" s="2" t="s">
        <v>5944</v>
      </c>
      <c r="B1989" s="2" t="s">
        <v>5945</v>
      </c>
      <c r="C1989" s="2">
        <v>1.1499999999999999</v>
      </c>
      <c r="D1989" s="2">
        <v>0.33279999999999998</v>
      </c>
      <c r="E1989" s="2" t="s">
        <v>3130</v>
      </c>
    </row>
    <row r="1990" spans="1:5" ht="20.25" customHeight="1" x14ac:dyDescent="0.15">
      <c r="A1990" s="2" t="s">
        <v>6446</v>
      </c>
      <c r="B1990" s="2" t="s">
        <v>6447</v>
      </c>
      <c r="C1990" s="2">
        <v>1.1499999999999999</v>
      </c>
      <c r="D1990" s="2">
        <v>12.599299999999999</v>
      </c>
      <c r="E1990" s="2" t="s">
        <v>140</v>
      </c>
    </row>
    <row r="1991" spans="1:5" ht="20.25" customHeight="1" x14ac:dyDescent="0.15">
      <c r="A1991" s="2" t="s">
        <v>1233</v>
      </c>
      <c r="B1991" s="2" t="s">
        <v>1234</v>
      </c>
      <c r="C1991" s="2">
        <v>1.1399999999999999</v>
      </c>
      <c r="D1991" s="2">
        <v>0.64200000000000002</v>
      </c>
      <c r="E1991" s="2" t="s">
        <v>276</v>
      </c>
    </row>
    <row r="1992" spans="1:5" ht="20.25" customHeight="1" x14ac:dyDescent="0.15">
      <c r="A1992" s="2" t="s">
        <v>2125</v>
      </c>
      <c r="B1992" s="2" t="s">
        <v>2126</v>
      </c>
      <c r="C1992" s="2">
        <v>1.1399999999999999</v>
      </c>
      <c r="D1992" s="2">
        <v>11.052</v>
      </c>
      <c r="E1992" s="2" t="s">
        <v>421</v>
      </c>
    </row>
    <row r="1993" spans="1:5" ht="20.25" customHeight="1" x14ac:dyDescent="0.15">
      <c r="A1993" s="2" t="s">
        <v>2129</v>
      </c>
      <c r="B1993" s="2" t="s">
        <v>2130</v>
      </c>
      <c r="C1993" s="2">
        <v>1.1399999999999999</v>
      </c>
      <c r="D1993" s="2">
        <v>0.94120000000000004</v>
      </c>
      <c r="E1993" s="2" t="s">
        <v>747</v>
      </c>
    </row>
    <row r="1994" spans="1:5" ht="20.25" customHeight="1" x14ac:dyDescent="0.15">
      <c r="A1994" s="2" t="s">
        <v>2560</v>
      </c>
      <c r="B1994" s="2" t="s">
        <v>2561</v>
      </c>
      <c r="C1994" s="2">
        <v>1.1399999999999999</v>
      </c>
      <c r="D1994" s="2">
        <v>0.83120000000000005</v>
      </c>
      <c r="E1994" s="2" t="s">
        <v>1338</v>
      </c>
    </row>
    <row r="1995" spans="1:5" ht="20.25" customHeight="1" x14ac:dyDescent="0.15">
      <c r="A1995" s="2" t="s">
        <v>3150</v>
      </c>
      <c r="B1995" s="2" t="s">
        <v>3151</v>
      </c>
      <c r="C1995" s="2">
        <v>1.1399999999999999</v>
      </c>
      <c r="D1995" s="2">
        <v>12.776400000000001</v>
      </c>
      <c r="E1995" s="2" t="s">
        <v>1528</v>
      </c>
    </row>
    <row r="1996" spans="1:5" ht="20.25" customHeight="1" x14ac:dyDescent="0.15">
      <c r="A1996" s="2" t="s">
        <v>3230</v>
      </c>
      <c r="B1996" s="2" t="s">
        <v>3231</v>
      </c>
      <c r="C1996" s="2">
        <v>1.1399999999999999</v>
      </c>
      <c r="D1996" s="2">
        <v>1.8053999999999999</v>
      </c>
      <c r="E1996" s="2" t="s">
        <v>220</v>
      </c>
    </row>
    <row r="1997" spans="1:5" ht="20.25" customHeight="1" x14ac:dyDescent="0.15">
      <c r="A1997" s="2" t="s">
        <v>3364</v>
      </c>
      <c r="B1997" s="2" t="s">
        <v>3365</v>
      </c>
      <c r="C1997" s="2">
        <v>1.1399999999999999</v>
      </c>
      <c r="D1997" s="2">
        <v>0.1537</v>
      </c>
      <c r="E1997" s="2" t="s">
        <v>49</v>
      </c>
    </row>
    <row r="1998" spans="1:5" ht="20.25" customHeight="1" x14ac:dyDescent="0.15">
      <c r="A1998" s="2" t="s">
        <v>3395</v>
      </c>
      <c r="B1998" s="2" t="s">
        <v>3396</v>
      </c>
      <c r="C1998" s="2">
        <v>1.1399999999999999</v>
      </c>
      <c r="D1998" s="2">
        <v>2.7395</v>
      </c>
      <c r="E1998" s="2" t="s">
        <v>1801</v>
      </c>
    </row>
    <row r="1999" spans="1:5" ht="20.25" customHeight="1" x14ac:dyDescent="0.15">
      <c r="A1999" s="2" t="s">
        <v>3647</v>
      </c>
      <c r="B1999" s="2" t="s">
        <v>3648</v>
      </c>
      <c r="C1999" s="2">
        <v>1.1399999999999999</v>
      </c>
      <c r="D1999" s="2">
        <v>3.9466999999999999</v>
      </c>
      <c r="E1999" s="2" t="s">
        <v>3130</v>
      </c>
    </row>
    <row r="2000" spans="1:5" ht="20.25" customHeight="1" x14ac:dyDescent="0.15">
      <c r="A2000" s="2" t="s">
        <v>4144</v>
      </c>
      <c r="B2000" s="2" t="s">
        <v>4145</v>
      </c>
      <c r="C2000" s="2">
        <v>1.1399999999999999</v>
      </c>
      <c r="D2000" s="2">
        <v>2.2927</v>
      </c>
      <c r="E2000" s="2" t="s">
        <v>299</v>
      </c>
    </row>
    <row r="2001" spans="1:5" ht="20.25" customHeight="1" x14ac:dyDescent="0.15">
      <c r="A2001" s="2" t="s">
        <v>4164</v>
      </c>
      <c r="B2001" s="2" t="s">
        <v>4165</v>
      </c>
      <c r="C2001" s="2">
        <v>1.1399999999999999</v>
      </c>
      <c r="D2001" s="2">
        <v>2.0125000000000002</v>
      </c>
      <c r="E2001" s="2" t="s">
        <v>4127</v>
      </c>
    </row>
    <row r="2002" spans="1:5" ht="20.25" customHeight="1" x14ac:dyDescent="0.15">
      <c r="A2002" s="2" t="s">
        <v>6146</v>
      </c>
      <c r="B2002" s="2" t="s">
        <v>6147</v>
      </c>
      <c r="C2002" s="2">
        <v>1.1399999999999999</v>
      </c>
      <c r="D2002" s="2">
        <v>0.36809999999999998</v>
      </c>
      <c r="E2002" s="2" t="s">
        <v>677</v>
      </c>
    </row>
    <row r="2003" spans="1:5" ht="20.25" customHeight="1" x14ac:dyDescent="0.15">
      <c r="A2003" s="2" t="s">
        <v>6240</v>
      </c>
      <c r="B2003" s="2" t="s">
        <v>6241</v>
      </c>
      <c r="C2003" s="2">
        <v>1.1399999999999999</v>
      </c>
      <c r="D2003" s="2">
        <v>4.8723000000000001</v>
      </c>
      <c r="E2003" s="2" t="s">
        <v>2463</v>
      </c>
    </row>
    <row r="2004" spans="1:5" ht="20.25" customHeight="1" x14ac:dyDescent="0.15">
      <c r="A2004" s="2" t="s">
        <v>7001</v>
      </c>
      <c r="B2004" s="2" t="s">
        <v>7002</v>
      </c>
      <c r="C2004" s="2">
        <v>1.1399999999999999</v>
      </c>
      <c r="D2004" s="2">
        <v>2.4365999999999999</v>
      </c>
      <c r="E2004" s="2" t="s">
        <v>3005</v>
      </c>
    </row>
    <row r="2005" spans="1:5" ht="20.25" customHeight="1" x14ac:dyDescent="0.15">
      <c r="A2005" s="2" t="s">
        <v>7329</v>
      </c>
      <c r="B2005" s="2" t="s">
        <v>7330</v>
      </c>
      <c r="C2005" s="2">
        <v>1.1399999999999999</v>
      </c>
      <c r="D2005" s="2">
        <v>2.1012</v>
      </c>
      <c r="E2005" s="2" t="s">
        <v>529</v>
      </c>
    </row>
    <row r="2006" spans="1:5" ht="20.25" customHeight="1" x14ac:dyDescent="0.15">
      <c r="A2006" s="2" t="s">
        <v>7945</v>
      </c>
      <c r="B2006" s="2" t="s">
        <v>7946</v>
      </c>
      <c r="C2006" s="2">
        <v>1.1399999999999999</v>
      </c>
      <c r="D2006" s="2">
        <v>23.4986</v>
      </c>
      <c r="E2006" s="2" t="s">
        <v>1061</v>
      </c>
    </row>
    <row r="2007" spans="1:5" ht="20.25" customHeight="1" x14ac:dyDescent="0.15">
      <c r="A2007" s="2" t="s">
        <v>8109</v>
      </c>
      <c r="B2007" s="2" t="s">
        <v>8110</v>
      </c>
      <c r="C2007" s="2">
        <v>1.1399999999999999</v>
      </c>
      <c r="D2007" s="2">
        <v>4.0827999999999998</v>
      </c>
      <c r="E2007" s="2" t="s">
        <v>2678</v>
      </c>
    </row>
    <row r="2008" spans="1:5" ht="20.25" customHeight="1" x14ac:dyDescent="0.15">
      <c r="A2008" s="2" t="s">
        <v>1278</v>
      </c>
      <c r="B2008" s="2" t="s">
        <v>1279</v>
      </c>
      <c r="C2008" s="2">
        <v>1.135</v>
      </c>
      <c r="D2008" s="2">
        <v>6.5038</v>
      </c>
      <c r="E2008" s="2" t="s">
        <v>185</v>
      </c>
    </row>
    <row r="2009" spans="1:5" ht="20.25" customHeight="1" x14ac:dyDescent="0.15">
      <c r="A2009" s="2" t="s">
        <v>7239</v>
      </c>
      <c r="B2009" s="2" t="s">
        <v>7240</v>
      </c>
      <c r="C2009" s="2">
        <v>1.135</v>
      </c>
      <c r="D2009" s="2">
        <v>7.3940000000000001</v>
      </c>
      <c r="E2009" s="2" t="s">
        <v>1515</v>
      </c>
    </row>
    <row r="2010" spans="1:5" ht="20.25" customHeight="1" x14ac:dyDescent="0.15">
      <c r="A2010" s="2" t="s">
        <v>639</v>
      </c>
      <c r="B2010" s="2" t="s">
        <v>640</v>
      </c>
      <c r="C2010" s="2">
        <v>1.1299999999999999</v>
      </c>
      <c r="D2010" s="2">
        <v>29.097999999999999</v>
      </c>
      <c r="E2010" s="2" t="s">
        <v>385</v>
      </c>
    </row>
    <row r="2011" spans="1:5" ht="20.25" customHeight="1" x14ac:dyDescent="0.15">
      <c r="A2011" s="2" t="s">
        <v>875</v>
      </c>
      <c r="B2011" s="2" t="s">
        <v>876</v>
      </c>
      <c r="C2011" s="2">
        <v>1.1299999999999999</v>
      </c>
      <c r="D2011" s="2">
        <v>1.4913000000000001</v>
      </c>
      <c r="E2011" s="2" t="s">
        <v>322</v>
      </c>
    </row>
    <row r="2012" spans="1:5" ht="20.25" customHeight="1" x14ac:dyDescent="0.15">
      <c r="A2012" s="2" t="s">
        <v>1113</v>
      </c>
      <c r="B2012" s="2" t="s">
        <v>1114</v>
      </c>
      <c r="C2012" s="2">
        <v>1.1299999999999999</v>
      </c>
      <c r="D2012" s="2">
        <v>6.165</v>
      </c>
      <c r="E2012" s="2" t="s">
        <v>621</v>
      </c>
    </row>
    <row r="2013" spans="1:5" ht="20.25" customHeight="1" x14ac:dyDescent="0.15">
      <c r="A2013" s="2" t="s">
        <v>1332</v>
      </c>
      <c r="B2013" s="2" t="s">
        <v>1333</v>
      </c>
      <c r="C2013" s="2">
        <v>1.1299999999999999</v>
      </c>
      <c r="D2013" s="2">
        <v>2.7143000000000002</v>
      </c>
      <c r="E2013" s="2" t="s">
        <v>747</v>
      </c>
    </row>
    <row r="2014" spans="1:5" ht="20.25" customHeight="1" x14ac:dyDescent="0.15">
      <c r="A2014" s="2" t="s">
        <v>1887</v>
      </c>
      <c r="B2014" s="2" t="s">
        <v>1888</v>
      </c>
      <c r="C2014" s="2">
        <v>1.1299999999999999</v>
      </c>
      <c r="D2014" s="2">
        <v>2.3795000000000002</v>
      </c>
      <c r="E2014" s="2" t="s">
        <v>437</v>
      </c>
    </row>
    <row r="2015" spans="1:5" ht="20.25" customHeight="1" x14ac:dyDescent="0.15">
      <c r="A2015" s="2" t="s">
        <v>2262</v>
      </c>
      <c r="B2015" s="2" t="s">
        <v>2263</v>
      </c>
      <c r="C2015" s="2">
        <v>1.1299999999999999</v>
      </c>
      <c r="D2015" s="2">
        <v>1.4444999999999999</v>
      </c>
      <c r="E2015" s="2" t="s">
        <v>1186</v>
      </c>
    </row>
    <row r="2016" spans="1:5" ht="20.25" customHeight="1" x14ac:dyDescent="0.15">
      <c r="A2016" s="2" t="s">
        <v>2767</v>
      </c>
      <c r="B2016" s="2" t="s">
        <v>2768</v>
      </c>
      <c r="C2016" s="2">
        <v>1.1299999999999999</v>
      </c>
      <c r="D2016" s="2">
        <v>0.41349999999999998</v>
      </c>
      <c r="E2016" s="2" t="s">
        <v>1757</v>
      </c>
    </row>
    <row r="2017" spans="1:5" ht="20.25" customHeight="1" x14ac:dyDescent="0.15">
      <c r="A2017" s="2" t="s">
        <v>2888</v>
      </c>
      <c r="B2017" s="2" t="s">
        <v>2889</v>
      </c>
      <c r="C2017" s="2">
        <v>1.1299999999999999</v>
      </c>
      <c r="D2017" s="2">
        <v>0.2495</v>
      </c>
      <c r="E2017" s="2" t="s">
        <v>1102</v>
      </c>
    </row>
    <row r="2018" spans="1:5" ht="20.25" customHeight="1" x14ac:dyDescent="0.15">
      <c r="A2018" s="2" t="s">
        <v>2945</v>
      </c>
      <c r="B2018" s="2" t="s">
        <v>2946</v>
      </c>
      <c r="C2018" s="2">
        <v>1.1299999999999999</v>
      </c>
      <c r="D2018" s="2">
        <v>4.3400000000000001E-2</v>
      </c>
      <c r="E2018" s="2" t="s">
        <v>1102</v>
      </c>
    </row>
    <row r="2019" spans="1:5" ht="20.25" customHeight="1" x14ac:dyDescent="0.15">
      <c r="A2019" s="2" t="s">
        <v>3479</v>
      </c>
      <c r="B2019" s="2" t="s">
        <v>3480</v>
      </c>
      <c r="C2019" s="2">
        <v>1.1299999999999999</v>
      </c>
      <c r="D2019" s="2">
        <v>1.7090000000000001</v>
      </c>
      <c r="E2019" s="2" t="s">
        <v>747</v>
      </c>
    </row>
    <row r="2020" spans="1:5" ht="20.25" customHeight="1" x14ac:dyDescent="0.15">
      <c r="A2020" s="2" t="s">
        <v>3603</v>
      </c>
      <c r="B2020" s="2" t="s">
        <v>3604</v>
      </c>
      <c r="C2020" s="2">
        <v>1.1299999999999999</v>
      </c>
      <c r="D2020" s="2">
        <v>0.85209999999999997</v>
      </c>
      <c r="E2020" s="2" t="s">
        <v>568</v>
      </c>
    </row>
    <row r="2021" spans="1:5" ht="20.25" customHeight="1" x14ac:dyDescent="0.15">
      <c r="A2021" s="2" t="s">
        <v>5072</v>
      </c>
      <c r="B2021" s="2" t="s">
        <v>5073</v>
      </c>
      <c r="C2021" s="2">
        <v>1.1299999999999999</v>
      </c>
      <c r="D2021" s="2">
        <v>0.83299999999999996</v>
      </c>
      <c r="E2021" s="2" t="s">
        <v>1139</v>
      </c>
    </row>
    <row r="2022" spans="1:5" ht="20.25" customHeight="1" x14ac:dyDescent="0.15">
      <c r="A2022" s="2" t="s">
        <v>5326</v>
      </c>
      <c r="B2022" s="2" t="s">
        <v>5327</v>
      </c>
      <c r="C2022" s="2">
        <v>1.1299999999999999</v>
      </c>
      <c r="D2022" s="2">
        <v>11.908300000000001</v>
      </c>
      <c r="E2022" s="2" t="s">
        <v>123</v>
      </c>
    </row>
    <row r="2023" spans="1:5" ht="20.25" customHeight="1" x14ac:dyDescent="0.15">
      <c r="A2023" s="2" t="s">
        <v>7271</v>
      </c>
      <c r="B2023" s="2" t="s">
        <v>7272</v>
      </c>
      <c r="C2023" s="2">
        <v>1.1299999999999999</v>
      </c>
      <c r="D2023" s="2">
        <v>0.61019999999999996</v>
      </c>
      <c r="E2023" s="2" t="s">
        <v>630</v>
      </c>
    </row>
    <row r="2024" spans="1:5" ht="20.25" customHeight="1" x14ac:dyDescent="0.15">
      <c r="A2024" s="2" t="s">
        <v>8381</v>
      </c>
      <c r="B2024" s="2" t="s">
        <v>8382</v>
      </c>
      <c r="C2024" s="2">
        <v>1.1299999999999999</v>
      </c>
      <c r="D2024" s="2">
        <v>6.0186999999999999</v>
      </c>
      <c r="E2024" s="2" t="s">
        <v>171</v>
      </c>
    </row>
    <row r="2025" spans="1:5" ht="20.25" customHeight="1" x14ac:dyDescent="0.15">
      <c r="A2025" s="2" t="s">
        <v>2200</v>
      </c>
      <c r="B2025" s="2" t="s">
        <v>2201</v>
      </c>
      <c r="C2025" s="2">
        <v>1.1200000000000001</v>
      </c>
      <c r="D2025" s="2">
        <v>12.6595</v>
      </c>
      <c r="E2025" s="2" t="s">
        <v>299</v>
      </c>
    </row>
    <row r="2026" spans="1:5" ht="20.25" customHeight="1" x14ac:dyDescent="0.15">
      <c r="A2026" s="2" t="s">
        <v>2880</v>
      </c>
      <c r="B2026" s="2" t="s">
        <v>2881</v>
      </c>
      <c r="C2026" s="2">
        <v>1.1200000000000001</v>
      </c>
      <c r="D2026" s="2">
        <v>0.38</v>
      </c>
      <c r="E2026" s="2" t="s">
        <v>699</v>
      </c>
    </row>
    <row r="2027" spans="1:5" ht="20.25" customHeight="1" x14ac:dyDescent="0.15">
      <c r="A2027" s="2" t="s">
        <v>3551</v>
      </c>
      <c r="B2027" s="2" t="s">
        <v>3552</v>
      </c>
      <c r="C2027" s="2">
        <v>1.1200000000000001</v>
      </c>
      <c r="D2027" s="2">
        <v>0.3846</v>
      </c>
      <c r="E2027" s="2" t="s">
        <v>1425</v>
      </c>
    </row>
    <row r="2028" spans="1:5" ht="20.25" customHeight="1" x14ac:dyDescent="0.15">
      <c r="A2028" s="2" t="s">
        <v>3972</v>
      </c>
      <c r="B2028" s="2" t="s">
        <v>3973</v>
      </c>
      <c r="C2028" s="2">
        <v>1.1200000000000001</v>
      </c>
      <c r="D2028" s="2">
        <v>0.98460000000000003</v>
      </c>
      <c r="E2028" s="2" t="s">
        <v>501</v>
      </c>
    </row>
    <row r="2029" spans="1:5" ht="20.25" customHeight="1" x14ac:dyDescent="0.15">
      <c r="A2029" s="2" t="s">
        <v>4224</v>
      </c>
      <c r="B2029" s="2" t="s">
        <v>4225</v>
      </c>
      <c r="C2029" s="2">
        <v>1.1200000000000001</v>
      </c>
      <c r="D2029" s="2">
        <v>0.91959999999999997</v>
      </c>
      <c r="E2029" s="2" t="s">
        <v>1061</v>
      </c>
    </row>
    <row r="2030" spans="1:5" ht="20.25" customHeight="1" x14ac:dyDescent="0.15">
      <c r="A2030" s="2" t="s">
        <v>4670</v>
      </c>
      <c r="B2030" s="2" t="s">
        <v>4671</v>
      </c>
      <c r="C2030" s="2">
        <v>1.1200000000000001</v>
      </c>
      <c r="D2030" s="2">
        <v>0.1575</v>
      </c>
      <c r="E2030" s="2" t="s">
        <v>1102</v>
      </c>
    </row>
    <row r="2031" spans="1:5" ht="20.25" customHeight="1" x14ac:dyDescent="0.15">
      <c r="A2031" s="2" t="s">
        <v>5034</v>
      </c>
      <c r="B2031" s="2" t="s">
        <v>5035</v>
      </c>
      <c r="C2031" s="2">
        <v>1.1200000000000001</v>
      </c>
      <c r="D2031" s="2">
        <v>5.423</v>
      </c>
      <c r="E2031" s="2" t="s">
        <v>784</v>
      </c>
    </row>
    <row r="2032" spans="1:5" ht="20.25" customHeight="1" x14ac:dyDescent="0.15">
      <c r="A2032" s="2" t="s">
        <v>6756</v>
      </c>
      <c r="B2032" s="2" t="s">
        <v>6757</v>
      </c>
      <c r="C2032" s="2">
        <v>1.1200000000000001</v>
      </c>
      <c r="D2032" s="2">
        <v>1.2318</v>
      </c>
      <c r="E2032" s="2" t="s">
        <v>201</v>
      </c>
    </row>
    <row r="2033" spans="1:5" ht="20.25" customHeight="1" x14ac:dyDescent="0.15">
      <c r="A2033" s="2" t="s">
        <v>7327</v>
      </c>
      <c r="B2033" s="2" t="s">
        <v>7328</v>
      </c>
      <c r="C2033" s="2">
        <v>1.1200000000000001</v>
      </c>
      <c r="D2033" s="2">
        <v>1.2064999999999999</v>
      </c>
      <c r="E2033" s="2" t="s">
        <v>339</v>
      </c>
    </row>
    <row r="2034" spans="1:5" ht="20.25" customHeight="1" x14ac:dyDescent="0.15">
      <c r="A2034" s="2" t="s">
        <v>7365</v>
      </c>
      <c r="B2034" s="2" t="s">
        <v>7366</v>
      </c>
      <c r="C2034" s="2">
        <v>1.1200000000000001</v>
      </c>
      <c r="D2034" s="2">
        <v>0.4854</v>
      </c>
      <c r="E2034" s="2" t="s">
        <v>1102</v>
      </c>
    </row>
    <row r="2035" spans="1:5" ht="20.25" customHeight="1" x14ac:dyDescent="0.15">
      <c r="A2035" s="2" t="s">
        <v>7899</v>
      </c>
      <c r="B2035" s="2" t="s">
        <v>7900</v>
      </c>
      <c r="C2035" s="2">
        <v>1.1200000000000001</v>
      </c>
      <c r="D2035" s="2">
        <v>52.278700000000001</v>
      </c>
      <c r="E2035" s="2" t="s">
        <v>5703</v>
      </c>
    </row>
    <row r="2036" spans="1:5" ht="20.25" customHeight="1" x14ac:dyDescent="0.15">
      <c r="A2036" s="2" t="s">
        <v>8339</v>
      </c>
      <c r="B2036" s="2" t="s">
        <v>8340</v>
      </c>
      <c r="C2036" s="2">
        <v>1.1200000000000001</v>
      </c>
      <c r="D2036" s="2">
        <v>2.7341000000000002</v>
      </c>
      <c r="E2036" s="2" t="s">
        <v>1066</v>
      </c>
    </row>
    <row r="2037" spans="1:5" ht="20.25" customHeight="1" x14ac:dyDescent="0.15">
      <c r="A2037" s="2" t="s">
        <v>1057</v>
      </c>
      <c r="B2037" s="2" t="s">
        <v>1058</v>
      </c>
      <c r="C2037" s="2">
        <v>1.1100000000000001</v>
      </c>
      <c r="D2037" s="2">
        <v>0.3584</v>
      </c>
      <c r="E2037" s="2" t="s">
        <v>81</v>
      </c>
    </row>
    <row r="2038" spans="1:5" ht="20.25" customHeight="1" x14ac:dyDescent="0.15">
      <c r="A2038" s="2" t="s">
        <v>2670</v>
      </c>
      <c r="B2038" s="2" t="s">
        <v>2671</v>
      </c>
      <c r="C2038" s="2">
        <v>1.1100000000000001</v>
      </c>
      <c r="D2038" s="2">
        <v>4.4455</v>
      </c>
      <c r="E2038" s="2" t="s">
        <v>1139</v>
      </c>
    </row>
    <row r="2039" spans="1:5" ht="20.25" customHeight="1" x14ac:dyDescent="0.15">
      <c r="A2039" s="2" t="s">
        <v>2835</v>
      </c>
      <c r="B2039" s="2" t="s">
        <v>2836</v>
      </c>
      <c r="C2039" s="2">
        <v>1.1100000000000001</v>
      </c>
      <c r="D2039" s="2">
        <v>281.31310000000002</v>
      </c>
      <c r="E2039" s="2" t="s">
        <v>35</v>
      </c>
    </row>
    <row r="2040" spans="1:5" ht="20.25" customHeight="1" x14ac:dyDescent="0.15">
      <c r="A2040" s="2" t="s">
        <v>3386</v>
      </c>
      <c r="B2040" s="2" t="s">
        <v>3387</v>
      </c>
      <c r="C2040" s="2">
        <v>1.1100000000000001</v>
      </c>
      <c r="D2040" s="2">
        <v>1.6081000000000001</v>
      </c>
      <c r="E2040" s="2" t="s">
        <v>498</v>
      </c>
    </row>
    <row r="2041" spans="1:5" ht="20.25" customHeight="1" x14ac:dyDescent="0.15">
      <c r="A2041" s="2" t="s">
        <v>3429</v>
      </c>
      <c r="B2041" s="2" t="s">
        <v>3430</v>
      </c>
      <c r="C2041" s="2">
        <v>1.1100000000000001</v>
      </c>
      <c r="D2041" s="2">
        <v>5.8471000000000002</v>
      </c>
      <c r="E2041" s="2" t="s">
        <v>68</v>
      </c>
    </row>
    <row r="2042" spans="1:5" ht="20.25" customHeight="1" x14ac:dyDescent="0.15">
      <c r="A2042" s="2" t="s">
        <v>4242</v>
      </c>
      <c r="B2042" s="2" t="s">
        <v>4243</v>
      </c>
      <c r="C2042" s="2">
        <v>1.1100000000000001</v>
      </c>
      <c r="D2042" s="2">
        <v>0.27239999999999998</v>
      </c>
      <c r="E2042" s="2" t="s">
        <v>605</v>
      </c>
    </row>
    <row r="2043" spans="1:5" ht="20.25" customHeight="1" x14ac:dyDescent="0.15">
      <c r="A2043" s="2" t="s">
        <v>4706</v>
      </c>
      <c r="B2043" s="2" t="s">
        <v>4707</v>
      </c>
      <c r="C2043" s="2">
        <v>1.1100000000000001</v>
      </c>
      <c r="D2043" s="2">
        <v>0.84299999999999997</v>
      </c>
      <c r="E2043" s="2" t="s">
        <v>931</v>
      </c>
    </row>
    <row r="2044" spans="1:5" ht="20.25" customHeight="1" x14ac:dyDescent="0.15">
      <c r="A2044" s="2" t="s">
        <v>4795</v>
      </c>
      <c r="B2044" s="2" t="s">
        <v>4796</v>
      </c>
      <c r="C2044" s="2">
        <v>1.1100000000000001</v>
      </c>
      <c r="D2044" s="2">
        <v>4.9339000000000004</v>
      </c>
      <c r="E2044" s="2" t="s">
        <v>322</v>
      </c>
    </row>
    <row r="2045" spans="1:5" ht="20.25" customHeight="1" x14ac:dyDescent="0.15">
      <c r="A2045" s="2" t="s">
        <v>5010</v>
      </c>
      <c r="B2045" s="2" t="s">
        <v>5011</v>
      </c>
      <c r="C2045" s="2">
        <v>1.1100000000000001</v>
      </c>
      <c r="D2045" s="2">
        <v>16.622800000000002</v>
      </c>
      <c r="E2045" s="2" t="s">
        <v>862</v>
      </c>
    </row>
    <row r="2046" spans="1:5" ht="20.25" customHeight="1" x14ac:dyDescent="0.15">
      <c r="A2046" s="2" t="s">
        <v>6174</v>
      </c>
      <c r="B2046" s="2" t="s">
        <v>6175</v>
      </c>
      <c r="C2046" s="2">
        <v>1.1100000000000001</v>
      </c>
      <c r="D2046" s="2">
        <v>7.3228999999999997</v>
      </c>
      <c r="E2046" s="2" t="s">
        <v>286</v>
      </c>
    </row>
    <row r="2047" spans="1:5" ht="20.25" customHeight="1" x14ac:dyDescent="0.15">
      <c r="A2047" s="2" t="s">
        <v>7577</v>
      </c>
      <c r="B2047" s="2" t="s">
        <v>7578</v>
      </c>
      <c r="C2047" s="2">
        <v>1.1100000000000001</v>
      </c>
      <c r="D2047" s="2">
        <v>0.43690000000000001</v>
      </c>
      <c r="E2047" s="2" t="s">
        <v>1436</v>
      </c>
    </row>
    <row r="2048" spans="1:5" ht="20.25" customHeight="1" x14ac:dyDescent="0.15">
      <c r="A2048" s="2" t="s">
        <v>7055</v>
      </c>
      <c r="B2048" s="2" t="s">
        <v>7056</v>
      </c>
      <c r="C2048" s="2">
        <v>1.105</v>
      </c>
      <c r="D2048" s="2">
        <v>5.0094000000000003</v>
      </c>
      <c r="E2048" s="2" t="s">
        <v>542</v>
      </c>
    </row>
    <row r="2049" spans="1:5" ht="20.25" customHeight="1" x14ac:dyDescent="0.15">
      <c r="A2049" s="2" t="s">
        <v>615</v>
      </c>
      <c r="B2049" s="2" t="s">
        <v>616</v>
      </c>
      <c r="C2049" s="2">
        <v>1.1000000000000001</v>
      </c>
      <c r="D2049" s="2">
        <v>0.436</v>
      </c>
      <c r="E2049" s="2" t="s">
        <v>225</v>
      </c>
    </row>
    <row r="2050" spans="1:5" ht="20.25" customHeight="1" x14ac:dyDescent="0.15">
      <c r="A2050" s="2" t="s">
        <v>1255</v>
      </c>
      <c r="B2050" s="2" t="s">
        <v>1256</v>
      </c>
      <c r="C2050" s="2">
        <v>1.1000000000000001</v>
      </c>
      <c r="D2050" s="2">
        <v>0.57169999999999999</v>
      </c>
      <c r="E2050" s="2" t="s">
        <v>81</v>
      </c>
    </row>
    <row r="2051" spans="1:5" ht="20.25" customHeight="1" x14ac:dyDescent="0.15">
      <c r="A2051" s="2" t="s">
        <v>1470</v>
      </c>
      <c r="B2051" s="2" t="s">
        <v>1471</v>
      </c>
      <c r="C2051" s="2">
        <v>1.1000000000000001</v>
      </c>
      <c r="D2051" s="2">
        <v>0.27960000000000002</v>
      </c>
      <c r="E2051" s="2" t="s">
        <v>916</v>
      </c>
    </row>
    <row r="2052" spans="1:5" ht="20.25" customHeight="1" x14ac:dyDescent="0.15">
      <c r="A2052" s="2" t="s">
        <v>1577</v>
      </c>
      <c r="B2052" s="2" t="s">
        <v>1578</v>
      </c>
      <c r="C2052" s="2">
        <v>1.1000000000000001</v>
      </c>
      <c r="D2052" s="2">
        <v>8.4000000000000005E-2</v>
      </c>
      <c r="E2052" s="2" t="s">
        <v>322</v>
      </c>
    </row>
    <row r="2053" spans="1:5" ht="20.25" customHeight="1" x14ac:dyDescent="0.15">
      <c r="A2053" s="2" t="s">
        <v>2372</v>
      </c>
      <c r="B2053" s="2" t="s">
        <v>2373</v>
      </c>
      <c r="C2053" s="2">
        <v>1.1000000000000001</v>
      </c>
      <c r="D2053" s="2">
        <v>1.1514</v>
      </c>
      <c r="E2053" s="2" t="s">
        <v>2374</v>
      </c>
    </row>
    <row r="2054" spans="1:5" ht="20.25" customHeight="1" x14ac:dyDescent="0.15">
      <c r="A2054" s="2" t="s">
        <v>2441</v>
      </c>
      <c r="B2054" s="2" t="s">
        <v>2442</v>
      </c>
      <c r="C2054" s="2">
        <v>1.1000000000000001</v>
      </c>
      <c r="D2054" s="2">
        <v>15.636699999999999</v>
      </c>
      <c r="E2054" s="2" t="s">
        <v>35</v>
      </c>
    </row>
    <row r="2055" spans="1:5" ht="20.25" customHeight="1" x14ac:dyDescent="0.15">
      <c r="A2055" s="2" t="s">
        <v>2580</v>
      </c>
      <c r="B2055" s="2" t="s">
        <v>2581</v>
      </c>
      <c r="C2055" s="2">
        <v>1.1000000000000001</v>
      </c>
      <c r="D2055" s="2">
        <v>0.32779999999999998</v>
      </c>
      <c r="E2055" s="2" t="s">
        <v>74</v>
      </c>
    </row>
    <row r="2056" spans="1:5" ht="20.25" customHeight="1" x14ac:dyDescent="0.15">
      <c r="A2056" s="2" t="s">
        <v>3378</v>
      </c>
      <c r="B2056" s="2" t="s">
        <v>3379</v>
      </c>
      <c r="C2056" s="2">
        <v>1.1000000000000001</v>
      </c>
      <c r="D2056" s="2">
        <v>1.0304</v>
      </c>
      <c r="E2056" s="2" t="s">
        <v>268</v>
      </c>
    </row>
    <row r="2057" spans="1:5" ht="20.25" customHeight="1" x14ac:dyDescent="0.15">
      <c r="A2057" s="2" t="s">
        <v>4240</v>
      </c>
      <c r="B2057" s="2" t="s">
        <v>4241</v>
      </c>
      <c r="C2057" s="2">
        <v>1.1000000000000001</v>
      </c>
      <c r="D2057" s="2">
        <v>96.463899999999995</v>
      </c>
      <c r="E2057" s="2" t="s">
        <v>638</v>
      </c>
    </row>
    <row r="2058" spans="1:5" ht="20.25" customHeight="1" x14ac:dyDescent="0.15">
      <c r="A2058" s="2" t="s">
        <v>6046</v>
      </c>
      <c r="B2058" s="2" t="s">
        <v>6047</v>
      </c>
      <c r="C2058" s="2">
        <v>1.1000000000000001</v>
      </c>
      <c r="D2058" s="2">
        <v>3.0344000000000002</v>
      </c>
      <c r="E2058" s="2" t="s">
        <v>574</v>
      </c>
    </row>
    <row r="2059" spans="1:5" ht="20.25" customHeight="1" x14ac:dyDescent="0.15">
      <c r="A2059" s="2" t="s">
        <v>6754</v>
      </c>
      <c r="B2059" s="2" t="s">
        <v>6755</v>
      </c>
      <c r="C2059" s="2">
        <v>1.1000000000000001</v>
      </c>
      <c r="D2059" s="2">
        <v>283.39449999999999</v>
      </c>
      <c r="E2059" s="2" t="s">
        <v>374</v>
      </c>
    </row>
    <row r="2060" spans="1:5" ht="20.25" customHeight="1" x14ac:dyDescent="0.15">
      <c r="A2060" s="2" t="s">
        <v>98</v>
      </c>
      <c r="B2060" s="2" t="s">
        <v>99</v>
      </c>
      <c r="C2060" s="2">
        <v>1.0900000000000001</v>
      </c>
      <c r="D2060" s="2">
        <v>8.0199999999999994E-2</v>
      </c>
      <c r="E2060" s="2" t="s">
        <v>100</v>
      </c>
    </row>
    <row r="2061" spans="1:5" ht="20.25" customHeight="1" x14ac:dyDescent="0.15">
      <c r="A2061" s="2" t="s">
        <v>234</v>
      </c>
      <c r="B2061" s="2" t="s">
        <v>235</v>
      </c>
      <c r="C2061" s="2">
        <v>1.0900000000000001</v>
      </c>
      <c r="D2061" s="2">
        <v>0.30170000000000002</v>
      </c>
      <c r="E2061" s="2" t="s">
        <v>81</v>
      </c>
    </row>
    <row r="2062" spans="1:5" ht="20.25" customHeight="1" x14ac:dyDescent="0.15">
      <c r="A2062" s="2" t="s">
        <v>1379</v>
      </c>
      <c r="B2062" s="2" t="s">
        <v>1380</v>
      </c>
      <c r="C2062" s="2">
        <v>1.0900000000000001</v>
      </c>
      <c r="D2062" s="2">
        <v>3.1131000000000002</v>
      </c>
      <c r="E2062" s="2" t="s">
        <v>1381</v>
      </c>
    </row>
    <row r="2063" spans="1:5" ht="20.25" customHeight="1" x14ac:dyDescent="0.15">
      <c r="A2063" s="2" t="s">
        <v>1917</v>
      </c>
      <c r="B2063" s="2" t="s">
        <v>1918</v>
      </c>
      <c r="C2063" s="2">
        <v>1.0900000000000001</v>
      </c>
      <c r="D2063" s="2">
        <v>0.1656</v>
      </c>
      <c r="E2063" s="2" t="s">
        <v>217</v>
      </c>
    </row>
    <row r="2064" spans="1:5" ht="20.25" customHeight="1" x14ac:dyDescent="0.15">
      <c r="A2064" s="2" t="s">
        <v>2334</v>
      </c>
      <c r="B2064" s="2" t="s">
        <v>2335</v>
      </c>
      <c r="C2064" s="2">
        <v>1.0900000000000001</v>
      </c>
      <c r="D2064" s="2">
        <v>0.22950000000000001</v>
      </c>
      <c r="E2064" s="2" t="s">
        <v>483</v>
      </c>
    </row>
    <row r="2065" spans="1:5" ht="20.25" customHeight="1" x14ac:dyDescent="0.15">
      <c r="A2065" s="2" t="s">
        <v>2757</v>
      </c>
      <c r="B2065" s="2" t="s">
        <v>2758</v>
      </c>
      <c r="C2065" s="2">
        <v>1.0900000000000001</v>
      </c>
      <c r="D2065" s="2">
        <v>33.809899999999999</v>
      </c>
      <c r="E2065" s="2" t="s">
        <v>542</v>
      </c>
    </row>
    <row r="2066" spans="1:5" ht="20.25" customHeight="1" x14ac:dyDescent="0.15">
      <c r="A2066" s="2" t="s">
        <v>3094</v>
      </c>
      <c r="B2066" s="2" t="s">
        <v>3095</v>
      </c>
      <c r="C2066" s="2">
        <v>1.0900000000000001</v>
      </c>
      <c r="D2066" s="2">
        <v>2.1473</v>
      </c>
      <c r="E2066" s="2" t="s">
        <v>299</v>
      </c>
    </row>
    <row r="2067" spans="1:5" ht="20.25" customHeight="1" x14ac:dyDescent="0.15">
      <c r="A2067" s="2" t="s">
        <v>3107</v>
      </c>
      <c r="B2067" s="2" t="s">
        <v>3108</v>
      </c>
      <c r="C2067" s="2">
        <v>1.0900000000000001</v>
      </c>
      <c r="D2067" s="2">
        <v>5.0903</v>
      </c>
      <c r="E2067" s="2" t="s">
        <v>724</v>
      </c>
    </row>
    <row r="2068" spans="1:5" ht="20.25" customHeight="1" x14ac:dyDescent="0.15">
      <c r="A2068" s="2" t="s">
        <v>3284</v>
      </c>
      <c r="B2068" s="2" t="s">
        <v>3285</v>
      </c>
      <c r="C2068" s="2">
        <v>1.0900000000000001</v>
      </c>
      <c r="D2068" s="2">
        <v>0.57509999999999994</v>
      </c>
      <c r="E2068" s="2" t="s">
        <v>152</v>
      </c>
    </row>
    <row r="2069" spans="1:5" ht="20.25" customHeight="1" x14ac:dyDescent="0.15">
      <c r="A2069" s="2" t="s">
        <v>3539</v>
      </c>
      <c r="B2069" s="2" t="s">
        <v>3540</v>
      </c>
      <c r="C2069" s="2">
        <v>1.0900000000000001</v>
      </c>
      <c r="D2069" s="2">
        <v>4.1837999999999997</v>
      </c>
      <c r="E2069" s="2" t="s">
        <v>418</v>
      </c>
    </row>
    <row r="2070" spans="1:5" ht="20.25" customHeight="1" x14ac:dyDescent="0.15">
      <c r="A2070" s="2" t="s">
        <v>3949</v>
      </c>
      <c r="B2070" s="2" t="s">
        <v>3950</v>
      </c>
      <c r="C2070" s="2">
        <v>1.0900000000000001</v>
      </c>
      <c r="D2070" s="2">
        <v>0.2266</v>
      </c>
      <c r="E2070" s="2" t="s">
        <v>1224</v>
      </c>
    </row>
    <row r="2071" spans="1:5" ht="20.25" customHeight="1" x14ac:dyDescent="0.15">
      <c r="A2071" s="2" t="s">
        <v>3978</v>
      </c>
      <c r="B2071" s="2" t="s">
        <v>3979</v>
      </c>
      <c r="C2071" s="2">
        <v>1.0900000000000001</v>
      </c>
      <c r="D2071" s="2">
        <v>0.52459999999999996</v>
      </c>
      <c r="E2071" s="2" t="s">
        <v>664</v>
      </c>
    </row>
    <row r="2072" spans="1:5" ht="20.25" customHeight="1" x14ac:dyDescent="0.15">
      <c r="A2072" s="2" t="s">
        <v>4332</v>
      </c>
      <c r="B2072" s="2" t="s">
        <v>4333</v>
      </c>
      <c r="C2072" s="2">
        <v>1.0900000000000001</v>
      </c>
      <c r="D2072" s="2">
        <v>0.8679</v>
      </c>
      <c r="E2072" s="2" t="s">
        <v>630</v>
      </c>
    </row>
    <row r="2073" spans="1:5" ht="20.25" customHeight="1" x14ac:dyDescent="0.15">
      <c r="A2073" s="2" t="s">
        <v>4652</v>
      </c>
      <c r="B2073" s="2" t="s">
        <v>4653</v>
      </c>
      <c r="C2073" s="2">
        <v>1.0900000000000001</v>
      </c>
      <c r="D2073" s="2">
        <v>3.2122999999999999</v>
      </c>
      <c r="E2073" s="2" t="s">
        <v>140</v>
      </c>
    </row>
    <row r="2074" spans="1:5" ht="20.25" customHeight="1" x14ac:dyDescent="0.15">
      <c r="A2074" s="2" t="s">
        <v>5186</v>
      </c>
      <c r="B2074" s="2" t="s">
        <v>5187</v>
      </c>
      <c r="C2074" s="2">
        <v>1.0900000000000001</v>
      </c>
      <c r="D2074" s="2">
        <v>1.4950000000000001</v>
      </c>
      <c r="E2074" s="2" t="s">
        <v>1102</v>
      </c>
    </row>
    <row r="2075" spans="1:5" ht="20.25" customHeight="1" x14ac:dyDescent="0.15">
      <c r="A2075" s="2" t="s">
        <v>5724</v>
      </c>
      <c r="B2075" s="2" t="s">
        <v>5725</v>
      </c>
      <c r="C2075" s="2">
        <v>1.0900000000000001</v>
      </c>
      <c r="D2075" s="2">
        <v>8.6644000000000005</v>
      </c>
      <c r="E2075" s="2" t="s">
        <v>371</v>
      </c>
    </row>
    <row r="2076" spans="1:5" ht="20.25" customHeight="1" x14ac:dyDescent="0.15">
      <c r="A2076" s="2" t="s">
        <v>5814</v>
      </c>
      <c r="B2076" s="2" t="s">
        <v>5815</v>
      </c>
      <c r="C2076" s="2">
        <v>1.0900000000000001</v>
      </c>
      <c r="D2076" s="2">
        <v>2.3169</v>
      </c>
      <c r="E2076" s="2" t="s">
        <v>704</v>
      </c>
    </row>
    <row r="2077" spans="1:5" ht="20.25" customHeight="1" x14ac:dyDescent="0.15">
      <c r="A2077" s="2" t="s">
        <v>6594</v>
      </c>
      <c r="B2077" s="2" t="s">
        <v>6595</v>
      </c>
      <c r="C2077" s="2">
        <v>1.0900000000000001</v>
      </c>
      <c r="D2077" s="2">
        <v>0.51649999999999996</v>
      </c>
      <c r="E2077" s="2" t="s">
        <v>1712</v>
      </c>
    </row>
    <row r="2078" spans="1:5" ht="20.25" customHeight="1" x14ac:dyDescent="0.15">
      <c r="A2078" s="2" t="s">
        <v>7233</v>
      </c>
      <c r="B2078" s="2" t="s">
        <v>7234</v>
      </c>
      <c r="C2078" s="2">
        <v>1.0900000000000001</v>
      </c>
      <c r="D2078" s="2">
        <v>1.4705999999999999</v>
      </c>
      <c r="E2078" s="2" t="s">
        <v>2898</v>
      </c>
    </row>
    <row r="2079" spans="1:5" ht="20.25" customHeight="1" x14ac:dyDescent="0.15">
      <c r="A2079" s="2" t="s">
        <v>7877</v>
      </c>
      <c r="B2079" s="2" t="s">
        <v>7878</v>
      </c>
      <c r="C2079" s="2">
        <v>1.0900000000000001</v>
      </c>
      <c r="D2079" s="2">
        <v>15.196099999999999</v>
      </c>
      <c r="E2079" s="2" t="s">
        <v>10</v>
      </c>
    </row>
    <row r="2080" spans="1:5" ht="20.25" customHeight="1" x14ac:dyDescent="0.15">
      <c r="A2080" s="2" t="s">
        <v>4448</v>
      </c>
      <c r="B2080" s="2" t="s">
        <v>4449</v>
      </c>
      <c r="C2080" s="2">
        <v>1.085</v>
      </c>
      <c r="D2080" s="2">
        <v>1.6753</v>
      </c>
      <c r="E2080" s="2" t="s">
        <v>787</v>
      </c>
    </row>
    <row r="2081" spans="1:5" ht="20.25" customHeight="1" x14ac:dyDescent="0.15">
      <c r="A2081" s="2" t="s">
        <v>759</v>
      </c>
      <c r="B2081" s="2" t="s">
        <v>760</v>
      </c>
      <c r="C2081" s="2">
        <v>1.08</v>
      </c>
      <c r="D2081" s="2">
        <v>90.376499999999993</v>
      </c>
      <c r="E2081" s="2" t="s">
        <v>750</v>
      </c>
    </row>
    <row r="2082" spans="1:5" ht="20.25" customHeight="1" x14ac:dyDescent="0.15">
      <c r="A2082" s="2" t="s">
        <v>5202</v>
      </c>
      <c r="B2082" s="2" t="s">
        <v>5203</v>
      </c>
      <c r="C2082" s="2">
        <v>1.08</v>
      </c>
      <c r="D2082" s="2">
        <v>0.54720000000000002</v>
      </c>
      <c r="E2082" s="2" t="s">
        <v>152</v>
      </c>
    </row>
    <row r="2083" spans="1:5" ht="20.25" customHeight="1" x14ac:dyDescent="0.15">
      <c r="A2083" s="2" t="s">
        <v>5816</v>
      </c>
      <c r="B2083" s="2" t="s">
        <v>5817</v>
      </c>
      <c r="C2083" s="2">
        <v>1.08</v>
      </c>
      <c r="D2083" s="2">
        <v>125.66800000000001</v>
      </c>
      <c r="E2083" s="2" t="s">
        <v>633</v>
      </c>
    </row>
    <row r="2084" spans="1:5" ht="20.25" customHeight="1" x14ac:dyDescent="0.15">
      <c r="A2084" s="2" t="s">
        <v>7797</v>
      </c>
      <c r="B2084" s="2" t="s">
        <v>7798</v>
      </c>
      <c r="C2084" s="2">
        <v>1.08</v>
      </c>
      <c r="D2084" s="2">
        <v>0.36659999999999998</v>
      </c>
      <c r="E2084" s="2" t="s">
        <v>1056</v>
      </c>
    </row>
    <row r="2085" spans="1:5" ht="20.25" customHeight="1" x14ac:dyDescent="0.15">
      <c r="A2085" s="2" t="s">
        <v>7893</v>
      </c>
      <c r="B2085" s="2" t="s">
        <v>7894</v>
      </c>
      <c r="C2085" s="2">
        <v>1.08</v>
      </c>
      <c r="D2085" s="2">
        <v>0.64970000000000006</v>
      </c>
      <c r="E2085" s="2" t="s">
        <v>86</v>
      </c>
    </row>
    <row r="2086" spans="1:5" ht="20.25" customHeight="1" x14ac:dyDescent="0.15">
      <c r="A2086" s="2" t="s">
        <v>129</v>
      </c>
      <c r="B2086" s="2" t="s">
        <v>130</v>
      </c>
      <c r="C2086" s="2">
        <v>1.07</v>
      </c>
      <c r="D2086" s="2">
        <v>1.1052</v>
      </c>
      <c r="E2086" s="2" t="s">
        <v>131</v>
      </c>
    </row>
    <row r="2087" spans="1:5" ht="20.25" customHeight="1" x14ac:dyDescent="0.15">
      <c r="A2087" s="2" t="s">
        <v>585</v>
      </c>
      <c r="B2087" s="2" t="s">
        <v>586</v>
      </c>
      <c r="C2087" s="2">
        <v>1.07</v>
      </c>
      <c r="D2087" s="2">
        <v>0.2974</v>
      </c>
      <c r="E2087" s="2" t="s">
        <v>471</v>
      </c>
    </row>
    <row r="2088" spans="1:5" ht="20.25" customHeight="1" x14ac:dyDescent="0.15">
      <c r="A2088" s="2" t="s">
        <v>1318</v>
      </c>
      <c r="B2088" s="2" t="s">
        <v>1319</v>
      </c>
      <c r="C2088" s="2">
        <v>1.07</v>
      </c>
      <c r="D2088" s="2">
        <v>0.58160000000000001</v>
      </c>
      <c r="E2088" s="2" t="s">
        <v>322</v>
      </c>
    </row>
    <row r="2089" spans="1:5" ht="20.25" customHeight="1" x14ac:dyDescent="0.15">
      <c r="A2089" s="2" t="s">
        <v>1505</v>
      </c>
      <c r="B2089" s="2" t="s">
        <v>1506</v>
      </c>
      <c r="C2089" s="2">
        <v>1.07</v>
      </c>
      <c r="D2089" s="2">
        <v>1.9222999999999999</v>
      </c>
      <c r="E2089" s="2" t="s">
        <v>459</v>
      </c>
    </row>
    <row r="2090" spans="1:5" ht="20.25" customHeight="1" x14ac:dyDescent="0.15">
      <c r="A2090" s="2" t="s">
        <v>3032</v>
      </c>
      <c r="B2090" s="2" t="s">
        <v>3033</v>
      </c>
      <c r="C2090" s="2">
        <v>1.07</v>
      </c>
      <c r="D2090" s="2">
        <v>1.1516999999999999</v>
      </c>
      <c r="E2090" s="2" t="s">
        <v>1420</v>
      </c>
    </row>
    <row r="2091" spans="1:5" ht="20.25" customHeight="1" x14ac:dyDescent="0.15">
      <c r="A2091" s="2" t="s">
        <v>3256</v>
      </c>
      <c r="B2091" s="2" t="s">
        <v>3257</v>
      </c>
      <c r="C2091" s="2">
        <v>1.07</v>
      </c>
      <c r="D2091" s="2">
        <v>6.4707999999999997</v>
      </c>
      <c r="E2091" s="2" t="s">
        <v>220</v>
      </c>
    </row>
    <row r="2092" spans="1:5" ht="20.25" customHeight="1" x14ac:dyDescent="0.15">
      <c r="A2092" s="2" t="s">
        <v>3368</v>
      </c>
      <c r="B2092" s="2" t="s">
        <v>3369</v>
      </c>
      <c r="C2092" s="2">
        <v>1.07</v>
      </c>
      <c r="D2092" s="2">
        <v>27.560700000000001</v>
      </c>
      <c r="E2092" s="2" t="s">
        <v>747</v>
      </c>
    </row>
    <row r="2093" spans="1:5" ht="20.25" customHeight="1" x14ac:dyDescent="0.15">
      <c r="A2093" s="2" t="s">
        <v>4650</v>
      </c>
      <c r="B2093" s="2" t="s">
        <v>4651</v>
      </c>
      <c r="C2093" s="2">
        <v>1.07</v>
      </c>
      <c r="D2093" s="2">
        <v>0.31219999999999998</v>
      </c>
      <c r="E2093" s="2" t="s">
        <v>299</v>
      </c>
    </row>
    <row r="2094" spans="1:5" ht="20.25" customHeight="1" x14ac:dyDescent="0.15">
      <c r="A2094" s="2" t="s">
        <v>4984</v>
      </c>
      <c r="B2094" s="2" t="s">
        <v>4985</v>
      </c>
      <c r="C2094" s="2">
        <v>1.07</v>
      </c>
      <c r="D2094" s="2">
        <v>2.3008000000000002</v>
      </c>
      <c r="E2094" s="2" t="s">
        <v>3971</v>
      </c>
    </row>
    <row r="2095" spans="1:5" ht="20.25" customHeight="1" x14ac:dyDescent="0.15">
      <c r="A2095" s="2" t="s">
        <v>6022</v>
      </c>
      <c r="B2095" s="2" t="s">
        <v>6023</v>
      </c>
      <c r="C2095" s="2">
        <v>1.07</v>
      </c>
      <c r="D2095" s="2">
        <v>1.2119</v>
      </c>
      <c r="E2095" s="2" t="s">
        <v>1420</v>
      </c>
    </row>
    <row r="2096" spans="1:5" ht="20.25" customHeight="1" x14ac:dyDescent="0.15">
      <c r="A2096" s="2" t="s">
        <v>6544</v>
      </c>
      <c r="B2096" s="2" t="s">
        <v>6545</v>
      </c>
      <c r="C2096" s="2">
        <v>1.07</v>
      </c>
      <c r="D2096" s="2">
        <v>3.3472</v>
      </c>
      <c r="E2096" s="2" t="s">
        <v>339</v>
      </c>
    </row>
    <row r="2097" spans="1:5" ht="20.25" customHeight="1" x14ac:dyDescent="0.15">
      <c r="A2097" s="2" t="s">
        <v>6554</v>
      </c>
      <c r="B2097" s="2" t="s">
        <v>6555</v>
      </c>
      <c r="C2097" s="2">
        <v>1.07</v>
      </c>
      <c r="D2097" s="2">
        <v>30.277100000000001</v>
      </c>
      <c r="E2097" s="2" t="s">
        <v>44</v>
      </c>
    </row>
    <row r="2098" spans="1:5" ht="20.25" customHeight="1" x14ac:dyDescent="0.15">
      <c r="A2098" s="2" t="s">
        <v>7331</v>
      </c>
      <c r="B2098" s="2" t="s">
        <v>7332</v>
      </c>
      <c r="C2098" s="2">
        <v>1.07</v>
      </c>
      <c r="D2098" s="2">
        <v>2.5920000000000001</v>
      </c>
      <c r="E2098" s="2" t="s">
        <v>4127</v>
      </c>
    </row>
    <row r="2099" spans="1:5" ht="20.25" customHeight="1" x14ac:dyDescent="0.15">
      <c r="A2099" s="2" t="s">
        <v>7347</v>
      </c>
      <c r="B2099" s="2" t="s">
        <v>7348</v>
      </c>
      <c r="C2099" s="2">
        <v>1.07</v>
      </c>
      <c r="D2099" s="2">
        <v>0.2137</v>
      </c>
      <c r="E2099" s="2" t="s">
        <v>664</v>
      </c>
    </row>
    <row r="2100" spans="1:5" ht="20.25" customHeight="1" x14ac:dyDescent="0.15">
      <c r="A2100" s="2" t="s">
        <v>7371</v>
      </c>
      <c r="B2100" s="2" t="s">
        <v>7372</v>
      </c>
      <c r="C2100" s="2">
        <v>1.07</v>
      </c>
      <c r="D2100" s="2">
        <v>34.491799999999998</v>
      </c>
      <c r="E2100" s="2" t="s">
        <v>1774</v>
      </c>
    </row>
    <row r="2101" spans="1:5" ht="20.25" customHeight="1" x14ac:dyDescent="0.15">
      <c r="A2101" s="2" t="s">
        <v>8007</v>
      </c>
      <c r="B2101" s="2" t="s">
        <v>8008</v>
      </c>
      <c r="C2101" s="2">
        <v>1.07</v>
      </c>
      <c r="D2101" s="2">
        <v>13.460699999999999</v>
      </c>
      <c r="E2101" s="2" t="s">
        <v>44</v>
      </c>
    </row>
    <row r="2102" spans="1:5" ht="20.25" customHeight="1" x14ac:dyDescent="0.15">
      <c r="A2102" s="2" t="s">
        <v>8103</v>
      </c>
      <c r="B2102" s="2" t="s">
        <v>8104</v>
      </c>
      <c r="C2102" s="2">
        <v>1.07</v>
      </c>
      <c r="D2102" s="2">
        <v>0.41320000000000001</v>
      </c>
      <c r="E2102" s="2" t="s">
        <v>1061</v>
      </c>
    </row>
    <row r="2103" spans="1:5" ht="20.25" customHeight="1" x14ac:dyDescent="0.15">
      <c r="A2103" s="2" t="s">
        <v>340</v>
      </c>
      <c r="B2103" s="2" t="s">
        <v>341</v>
      </c>
      <c r="C2103" s="2">
        <v>1.06</v>
      </c>
      <c r="D2103" s="2">
        <v>0.81469999999999998</v>
      </c>
      <c r="E2103" s="2" t="s">
        <v>18</v>
      </c>
    </row>
    <row r="2104" spans="1:5" ht="20.25" customHeight="1" x14ac:dyDescent="0.15">
      <c r="A2104" s="2" t="s">
        <v>1171</v>
      </c>
      <c r="B2104" s="2" t="s">
        <v>1172</v>
      </c>
      <c r="C2104" s="2">
        <v>1.06</v>
      </c>
      <c r="D2104" s="2">
        <v>5.8719000000000001</v>
      </c>
      <c r="E2104" s="2" t="s">
        <v>1173</v>
      </c>
    </row>
    <row r="2105" spans="1:5" ht="20.25" customHeight="1" x14ac:dyDescent="0.15">
      <c r="A2105" s="2" t="s">
        <v>1178</v>
      </c>
      <c r="B2105" s="2" t="s">
        <v>1179</v>
      </c>
      <c r="C2105" s="2">
        <v>1.06</v>
      </c>
      <c r="D2105" s="2">
        <v>1.1393</v>
      </c>
      <c r="E2105" s="2" t="s">
        <v>315</v>
      </c>
    </row>
    <row r="2106" spans="1:5" ht="20.25" customHeight="1" x14ac:dyDescent="0.15">
      <c r="A2106" s="2" t="s">
        <v>1365</v>
      </c>
      <c r="B2106" s="2" t="s">
        <v>1366</v>
      </c>
      <c r="C2106" s="2">
        <v>1.06</v>
      </c>
      <c r="D2106" s="2">
        <v>8.7900000000000006E-2</v>
      </c>
      <c r="E2106" s="2" t="s">
        <v>38</v>
      </c>
    </row>
    <row r="2107" spans="1:5" ht="20.25" customHeight="1" x14ac:dyDescent="0.15">
      <c r="A2107" s="2" t="s">
        <v>2302</v>
      </c>
      <c r="B2107" s="2" t="s">
        <v>2303</v>
      </c>
      <c r="C2107" s="2">
        <v>1.06</v>
      </c>
      <c r="D2107" s="2">
        <v>0.29809999999999998</v>
      </c>
      <c r="E2107" s="2" t="s">
        <v>1034</v>
      </c>
    </row>
    <row r="2108" spans="1:5" ht="20.25" customHeight="1" x14ac:dyDescent="0.15">
      <c r="A2108" s="2" t="s">
        <v>2866</v>
      </c>
      <c r="B2108" s="2" t="s">
        <v>2867</v>
      </c>
      <c r="C2108" s="2">
        <v>1.06</v>
      </c>
      <c r="D2108" s="2">
        <v>0.86629999999999996</v>
      </c>
      <c r="E2108" s="2" t="s">
        <v>1248</v>
      </c>
    </row>
    <row r="2109" spans="1:5" ht="20.25" customHeight="1" x14ac:dyDescent="0.15">
      <c r="A2109" s="2" t="s">
        <v>2874</v>
      </c>
      <c r="B2109" s="2" t="s">
        <v>2875</v>
      </c>
      <c r="C2109" s="2">
        <v>1.06</v>
      </c>
      <c r="D2109" s="2">
        <v>2.2564000000000002</v>
      </c>
      <c r="E2109" s="2" t="s">
        <v>1774</v>
      </c>
    </row>
    <row r="2110" spans="1:5" ht="20.25" customHeight="1" x14ac:dyDescent="0.15">
      <c r="A2110" s="2" t="s">
        <v>4160</v>
      </c>
      <c r="B2110" s="2" t="s">
        <v>4161</v>
      </c>
      <c r="C2110" s="2">
        <v>1.06</v>
      </c>
      <c r="D2110" s="2">
        <v>2.7995000000000001</v>
      </c>
      <c r="E2110" s="2" t="s">
        <v>1173</v>
      </c>
    </row>
    <row r="2111" spans="1:5" ht="20.25" customHeight="1" x14ac:dyDescent="0.15">
      <c r="A2111" s="2" t="s">
        <v>4282</v>
      </c>
      <c r="B2111" s="2" t="s">
        <v>4283</v>
      </c>
      <c r="C2111" s="2">
        <v>1.06</v>
      </c>
      <c r="D2111" s="2">
        <v>9.1876999999999995</v>
      </c>
      <c r="E2111" s="2" t="s">
        <v>1515</v>
      </c>
    </row>
    <row r="2112" spans="1:5" ht="20.25" customHeight="1" x14ac:dyDescent="0.15">
      <c r="A2112" s="2" t="s">
        <v>4592</v>
      </c>
      <c r="B2112" s="2" t="s">
        <v>4593</v>
      </c>
      <c r="C2112" s="2">
        <v>1.06</v>
      </c>
      <c r="D2112" s="2">
        <v>1.2791999999999999</v>
      </c>
      <c r="E2112" s="2" t="s">
        <v>501</v>
      </c>
    </row>
    <row r="2113" spans="1:5" ht="20.25" customHeight="1" x14ac:dyDescent="0.15">
      <c r="A2113" s="2" t="s">
        <v>5108</v>
      </c>
      <c r="B2113" s="2" t="s">
        <v>5109</v>
      </c>
      <c r="C2113" s="2">
        <v>1.06</v>
      </c>
      <c r="D2113" s="2">
        <v>22.283899999999999</v>
      </c>
      <c r="E2113" s="2" t="s">
        <v>638</v>
      </c>
    </row>
    <row r="2114" spans="1:5" ht="20.25" customHeight="1" x14ac:dyDescent="0.15">
      <c r="A2114" s="2" t="s">
        <v>5495</v>
      </c>
      <c r="B2114" s="2" t="s">
        <v>5496</v>
      </c>
      <c r="C2114" s="2">
        <v>1.06</v>
      </c>
      <c r="D2114" s="2">
        <v>3.6374</v>
      </c>
      <c r="E2114" s="2" t="s">
        <v>1275</v>
      </c>
    </row>
    <row r="2115" spans="1:5" ht="20.25" customHeight="1" x14ac:dyDescent="0.15">
      <c r="A2115" s="2" t="s">
        <v>5754</v>
      </c>
      <c r="B2115" s="2" t="s">
        <v>5755</v>
      </c>
      <c r="C2115" s="2">
        <v>1.06</v>
      </c>
      <c r="D2115" s="2">
        <v>0.83320000000000005</v>
      </c>
      <c r="E2115" s="2" t="s">
        <v>2038</v>
      </c>
    </row>
    <row r="2116" spans="1:5" ht="20.25" customHeight="1" x14ac:dyDescent="0.15">
      <c r="A2116" s="2" t="s">
        <v>7291</v>
      </c>
      <c r="B2116" s="2" t="s">
        <v>7292</v>
      </c>
      <c r="C2116" s="2">
        <v>1.06</v>
      </c>
      <c r="D2116" s="2">
        <v>0.747</v>
      </c>
      <c r="E2116" s="2" t="s">
        <v>1425</v>
      </c>
    </row>
    <row r="2117" spans="1:5" ht="20.25" customHeight="1" x14ac:dyDescent="0.15">
      <c r="A2117" s="2" t="s">
        <v>7663</v>
      </c>
      <c r="B2117" s="2" t="s">
        <v>7664</v>
      </c>
      <c r="C2117" s="2">
        <v>1.06</v>
      </c>
      <c r="D2117" s="2">
        <v>11.918900000000001</v>
      </c>
      <c r="E2117" s="2" t="s">
        <v>1820</v>
      </c>
    </row>
    <row r="2118" spans="1:5" ht="20.25" customHeight="1" x14ac:dyDescent="0.15">
      <c r="A2118" s="2" t="s">
        <v>7777</v>
      </c>
      <c r="B2118" s="2" t="s">
        <v>7778</v>
      </c>
      <c r="C2118" s="2">
        <v>1.06</v>
      </c>
      <c r="D2118" s="2">
        <v>3.2928999999999999</v>
      </c>
      <c r="E2118" s="2" t="s">
        <v>371</v>
      </c>
    </row>
    <row r="2119" spans="1:5" ht="20.25" customHeight="1" x14ac:dyDescent="0.15">
      <c r="A2119" s="2" t="s">
        <v>8161</v>
      </c>
      <c r="B2119" s="2" t="s">
        <v>8162</v>
      </c>
      <c r="C2119" s="2">
        <v>1.06</v>
      </c>
      <c r="D2119" s="2">
        <v>39.3157</v>
      </c>
      <c r="E2119" s="2" t="s">
        <v>529</v>
      </c>
    </row>
    <row r="2120" spans="1:5" ht="20.25" customHeight="1" x14ac:dyDescent="0.15">
      <c r="A2120" s="2" t="s">
        <v>854</v>
      </c>
      <c r="B2120" s="2" t="s">
        <v>855</v>
      </c>
      <c r="C2120" s="2">
        <v>1.05</v>
      </c>
      <c r="D2120" s="2">
        <v>0.61150000000000004</v>
      </c>
      <c r="E2120" s="2" t="s">
        <v>220</v>
      </c>
    </row>
    <row r="2121" spans="1:5" ht="20.25" customHeight="1" x14ac:dyDescent="0.15">
      <c r="A2121" s="2" t="s">
        <v>2034</v>
      </c>
      <c r="B2121" s="2" t="s">
        <v>2035</v>
      </c>
      <c r="C2121" s="2">
        <v>1.05</v>
      </c>
      <c r="D2121" s="2">
        <v>44.0563</v>
      </c>
      <c r="E2121" s="2" t="s">
        <v>1094</v>
      </c>
    </row>
    <row r="2122" spans="1:5" ht="20.25" customHeight="1" x14ac:dyDescent="0.15">
      <c r="A2122" s="2" t="s">
        <v>2135</v>
      </c>
      <c r="B2122" s="2" t="s">
        <v>2136</v>
      </c>
      <c r="C2122" s="2">
        <v>1.05</v>
      </c>
      <c r="D2122" s="2">
        <v>0.67330000000000001</v>
      </c>
      <c r="E2122" s="2" t="s">
        <v>916</v>
      </c>
    </row>
    <row r="2123" spans="1:5" ht="20.25" customHeight="1" x14ac:dyDescent="0.15">
      <c r="A2123" s="2" t="s">
        <v>2417</v>
      </c>
      <c r="B2123" s="2" t="s">
        <v>2418</v>
      </c>
      <c r="C2123" s="2">
        <v>1.05</v>
      </c>
      <c r="D2123" s="2">
        <v>4.1656000000000004</v>
      </c>
      <c r="E2123" s="2" t="s">
        <v>374</v>
      </c>
    </row>
    <row r="2124" spans="1:5" ht="20.25" customHeight="1" x14ac:dyDescent="0.15">
      <c r="A2124" s="2" t="s">
        <v>2909</v>
      </c>
      <c r="B2124" s="2" t="s">
        <v>2910</v>
      </c>
      <c r="C2124" s="2">
        <v>1.05</v>
      </c>
      <c r="D2124" s="2">
        <v>1.9373</v>
      </c>
      <c r="E2124" s="2" t="s">
        <v>1801</v>
      </c>
    </row>
    <row r="2125" spans="1:5" ht="20.25" customHeight="1" x14ac:dyDescent="0.15">
      <c r="A2125" s="2" t="s">
        <v>3415</v>
      </c>
      <c r="B2125" s="2" t="s">
        <v>3416</v>
      </c>
      <c r="C2125" s="2">
        <v>1.05</v>
      </c>
      <c r="D2125" s="2">
        <v>1.4300999999999999</v>
      </c>
      <c r="E2125" s="2" t="s">
        <v>501</v>
      </c>
    </row>
    <row r="2126" spans="1:5" ht="20.25" customHeight="1" x14ac:dyDescent="0.15">
      <c r="A2126" s="2" t="s">
        <v>3863</v>
      </c>
      <c r="B2126" s="2" t="s">
        <v>3864</v>
      </c>
      <c r="C2126" s="2">
        <v>1.05</v>
      </c>
      <c r="D2126" s="2">
        <v>12.951599999999999</v>
      </c>
      <c r="E2126" s="2" t="s">
        <v>299</v>
      </c>
    </row>
    <row r="2127" spans="1:5" ht="20.25" customHeight="1" x14ac:dyDescent="0.15">
      <c r="A2127" s="2" t="s">
        <v>4294</v>
      </c>
      <c r="B2127" s="2" t="s">
        <v>4295</v>
      </c>
      <c r="C2127" s="2">
        <v>1.05</v>
      </c>
      <c r="D2127" s="2">
        <v>0.53080000000000005</v>
      </c>
      <c r="E2127" s="2" t="s">
        <v>310</v>
      </c>
    </row>
    <row r="2128" spans="1:5" ht="20.25" customHeight="1" x14ac:dyDescent="0.15">
      <c r="A2128" s="2" t="s">
        <v>5046</v>
      </c>
      <c r="B2128" s="2" t="s">
        <v>5047</v>
      </c>
      <c r="C2128" s="2">
        <v>1.05</v>
      </c>
      <c r="D2128" s="2">
        <v>0.1198</v>
      </c>
      <c r="E2128" s="2" t="s">
        <v>201</v>
      </c>
    </row>
    <row r="2129" spans="1:5" ht="20.25" customHeight="1" x14ac:dyDescent="0.15">
      <c r="A2129" s="2" t="s">
        <v>5555</v>
      </c>
      <c r="B2129" s="2" t="s">
        <v>5556</v>
      </c>
      <c r="C2129" s="2">
        <v>1.05</v>
      </c>
      <c r="D2129" s="2">
        <v>1.6907000000000001</v>
      </c>
      <c r="E2129" s="2" t="s">
        <v>741</v>
      </c>
    </row>
    <row r="2130" spans="1:5" ht="20.25" customHeight="1" x14ac:dyDescent="0.15">
      <c r="A2130" s="2" t="s">
        <v>5673</v>
      </c>
      <c r="B2130" s="2" t="s">
        <v>5674</v>
      </c>
      <c r="C2130" s="2">
        <v>1.05</v>
      </c>
      <c r="D2130" s="2">
        <v>0.30409999999999998</v>
      </c>
      <c r="E2130" s="2" t="s">
        <v>713</v>
      </c>
    </row>
    <row r="2131" spans="1:5" ht="20.25" customHeight="1" x14ac:dyDescent="0.15">
      <c r="A2131" s="2" t="s">
        <v>6070</v>
      </c>
      <c r="B2131" s="2" t="s">
        <v>6071</v>
      </c>
      <c r="C2131" s="2">
        <v>1.05</v>
      </c>
      <c r="D2131" s="2">
        <v>0.81540000000000001</v>
      </c>
      <c r="E2131" s="2" t="s">
        <v>794</v>
      </c>
    </row>
    <row r="2132" spans="1:5" ht="20.25" customHeight="1" x14ac:dyDescent="0.15">
      <c r="A2132" s="2" t="s">
        <v>6474</v>
      </c>
      <c r="B2132" s="2" t="s">
        <v>6475</v>
      </c>
      <c r="C2132" s="2">
        <v>1.05</v>
      </c>
      <c r="D2132" s="2">
        <v>1.0903</v>
      </c>
      <c r="E2132" s="2" t="s">
        <v>3102</v>
      </c>
    </row>
    <row r="2133" spans="1:5" ht="20.25" customHeight="1" x14ac:dyDescent="0.15">
      <c r="A2133" s="2" t="s">
        <v>7591</v>
      </c>
      <c r="B2133" s="2" t="s">
        <v>7592</v>
      </c>
      <c r="C2133" s="2">
        <v>1.05</v>
      </c>
      <c r="D2133" s="2">
        <v>0.82350000000000001</v>
      </c>
      <c r="E2133" s="2" t="s">
        <v>664</v>
      </c>
    </row>
    <row r="2134" spans="1:5" ht="20.25" customHeight="1" x14ac:dyDescent="0.15">
      <c r="A2134" s="2" t="s">
        <v>7719</v>
      </c>
      <c r="B2134" s="2" t="s">
        <v>7720</v>
      </c>
      <c r="C2134" s="2">
        <v>1.05</v>
      </c>
      <c r="D2134" s="2">
        <v>3.2734000000000001</v>
      </c>
      <c r="E2134" s="2" t="s">
        <v>3048</v>
      </c>
    </row>
    <row r="2135" spans="1:5" ht="20.25" customHeight="1" x14ac:dyDescent="0.15">
      <c r="A2135" s="2" t="s">
        <v>7823</v>
      </c>
      <c r="B2135" s="2" t="s">
        <v>7824</v>
      </c>
      <c r="C2135" s="2">
        <v>1.05</v>
      </c>
      <c r="D2135" s="2">
        <v>1.5293000000000001</v>
      </c>
      <c r="E2135" s="2" t="s">
        <v>44</v>
      </c>
    </row>
    <row r="2136" spans="1:5" ht="20.25" customHeight="1" x14ac:dyDescent="0.15">
      <c r="A2136" s="2" t="s">
        <v>683</v>
      </c>
      <c r="B2136" s="2" t="s">
        <v>684</v>
      </c>
      <c r="C2136" s="2">
        <v>1.04</v>
      </c>
      <c r="D2136" s="2">
        <v>0.37569999999999998</v>
      </c>
      <c r="E2136" s="2" t="s">
        <v>685</v>
      </c>
    </row>
    <row r="2137" spans="1:5" ht="20.25" customHeight="1" x14ac:dyDescent="0.15">
      <c r="A2137" s="2" t="s">
        <v>1202</v>
      </c>
      <c r="B2137" s="2" t="s">
        <v>1203</v>
      </c>
      <c r="C2137" s="2">
        <v>1.04</v>
      </c>
      <c r="D2137" s="2">
        <v>0.85309999999999997</v>
      </c>
      <c r="E2137" s="2" t="s">
        <v>134</v>
      </c>
    </row>
    <row r="2138" spans="1:5" ht="20.25" customHeight="1" x14ac:dyDescent="0.15">
      <c r="A2138" s="2" t="s">
        <v>1345</v>
      </c>
      <c r="B2138" s="2" t="s">
        <v>1346</v>
      </c>
      <c r="C2138" s="2">
        <v>1.04</v>
      </c>
      <c r="D2138" s="2">
        <v>74.802400000000006</v>
      </c>
      <c r="E2138" s="2" t="s">
        <v>299</v>
      </c>
    </row>
    <row r="2139" spans="1:5" ht="20.25" customHeight="1" x14ac:dyDescent="0.15">
      <c r="A2139" s="2" t="s">
        <v>2482</v>
      </c>
      <c r="B2139" s="2" t="s">
        <v>2483</v>
      </c>
      <c r="C2139" s="2">
        <v>1.04</v>
      </c>
      <c r="D2139" s="2">
        <v>1.5013000000000001</v>
      </c>
      <c r="E2139" s="2" t="s">
        <v>225</v>
      </c>
    </row>
    <row r="2140" spans="1:5" ht="20.25" customHeight="1" x14ac:dyDescent="0.15">
      <c r="A2140" s="2" t="s">
        <v>2787</v>
      </c>
      <c r="B2140" s="2" t="s">
        <v>2788</v>
      </c>
      <c r="C2140" s="2">
        <v>1.04</v>
      </c>
      <c r="D2140" s="2">
        <v>30.9238</v>
      </c>
      <c r="E2140" s="2" t="s">
        <v>1608</v>
      </c>
    </row>
    <row r="2141" spans="1:5" ht="20.25" customHeight="1" x14ac:dyDescent="0.15">
      <c r="A2141" s="2" t="s">
        <v>3124</v>
      </c>
      <c r="B2141" s="2" t="s">
        <v>3125</v>
      </c>
      <c r="C2141" s="2">
        <v>1.04</v>
      </c>
      <c r="D2141" s="2">
        <v>3.1198999999999999</v>
      </c>
      <c r="E2141" s="2" t="s">
        <v>299</v>
      </c>
    </row>
    <row r="2142" spans="1:5" ht="20.25" customHeight="1" x14ac:dyDescent="0.15">
      <c r="A2142" s="2" t="s">
        <v>3354</v>
      </c>
      <c r="B2142" s="2" t="s">
        <v>3355</v>
      </c>
      <c r="C2142" s="2">
        <v>1.04</v>
      </c>
      <c r="D2142" s="2">
        <v>0.83789999999999998</v>
      </c>
      <c r="E2142" s="2" t="s">
        <v>2374</v>
      </c>
    </row>
    <row r="2143" spans="1:5" ht="20.25" customHeight="1" x14ac:dyDescent="0.15">
      <c r="A2143" s="2" t="s">
        <v>4737</v>
      </c>
      <c r="B2143" s="2" t="s">
        <v>4738</v>
      </c>
      <c r="C2143" s="2">
        <v>1.04</v>
      </c>
      <c r="D2143" s="2">
        <v>79.181899999999999</v>
      </c>
      <c r="E2143" s="2" t="s">
        <v>682</v>
      </c>
    </row>
    <row r="2144" spans="1:5" ht="20.25" customHeight="1" x14ac:dyDescent="0.15">
      <c r="A2144" s="2" t="s">
        <v>4869</v>
      </c>
      <c r="B2144" s="2" t="s">
        <v>4870</v>
      </c>
      <c r="C2144" s="2">
        <v>1.04</v>
      </c>
      <c r="D2144" s="2">
        <v>0.1216</v>
      </c>
      <c r="E2144" s="2" t="s">
        <v>44</v>
      </c>
    </row>
    <row r="2145" spans="1:5" ht="20.25" customHeight="1" x14ac:dyDescent="0.15">
      <c r="A2145" s="2" t="s">
        <v>5312</v>
      </c>
      <c r="B2145" s="2" t="s">
        <v>5313</v>
      </c>
      <c r="C2145" s="2">
        <v>1.04</v>
      </c>
      <c r="D2145" s="2">
        <v>0.14149999999999999</v>
      </c>
      <c r="E2145" s="2" t="s">
        <v>784</v>
      </c>
    </row>
    <row r="2146" spans="1:5" ht="20.25" customHeight="1" x14ac:dyDescent="0.15">
      <c r="A2146" s="2" t="s">
        <v>5583</v>
      </c>
      <c r="B2146" s="2" t="s">
        <v>5584</v>
      </c>
      <c r="C2146" s="2">
        <v>1.04</v>
      </c>
      <c r="D2146" s="2">
        <v>25.535799999999998</v>
      </c>
      <c r="E2146" s="2" t="s">
        <v>529</v>
      </c>
    </row>
    <row r="2147" spans="1:5" ht="20.25" customHeight="1" x14ac:dyDescent="0.15">
      <c r="A2147" s="2" t="s">
        <v>7655</v>
      </c>
      <c r="B2147" s="2" t="s">
        <v>7656</v>
      </c>
      <c r="C2147" s="2">
        <v>1.04</v>
      </c>
      <c r="D2147" s="2">
        <v>1.1261000000000001</v>
      </c>
      <c r="E2147" s="2" t="s">
        <v>359</v>
      </c>
    </row>
    <row r="2148" spans="1:5" ht="20.25" customHeight="1" x14ac:dyDescent="0.15">
      <c r="A2148" s="2" t="s">
        <v>316</v>
      </c>
      <c r="B2148" s="2" t="s">
        <v>317</v>
      </c>
      <c r="C2148" s="2">
        <v>1.03</v>
      </c>
      <c r="D2148" s="2">
        <v>0.83660000000000001</v>
      </c>
      <c r="E2148" s="2" t="s">
        <v>171</v>
      </c>
    </row>
    <row r="2149" spans="1:5" ht="20.25" customHeight="1" x14ac:dyDescent="0.15">
      <c r="A2149" s="2" t="s">
        <v>1449</v>
      </c>
      <c r="B2149" s="2" t="s">
        <v>1450</v>
      </c>
      <c r="C2149" s="2">
        <v>1.03</v>
      </c>
      <c r="D2149" s="2">
        <v>0.219</v>
      </c>
      <c r="E2149" s="2" t="s">
        <v>750</v>
      </c>
    </row>
    <row r="2150" spans="1:5" ht="20.25" customHeight="1" x14ac:dyDescent="0.15">
      <c r="A2150" s="2" t="s">
        <v>1560</v>
      </c>
      <c r="B2150" s="2" t="s">
        <v>1561</v>
      </c>
      <c r="C2150" s="2">
        <v>1.03</v>
      </c>
      <c r="D2150" s="2">
        <v>4.1632999999999996</v>
      </c>
      <c r="E2150" s="2" t="s">
        <v>542</v>
      </c>
    </row>
    <row r="2151" spans="1:5" ht="20.25" customHeight="1" x14ac:dyDescent="0.15">
      <c r="A2151" s="2" t="s">
        <v>3030</v>
      </c>
      <c r="B2151" s="2" t="s">
        <v>3031</v>
      </c>
      <c r="C2151" s="2">
        <v>1.03</v>
      </c>
      <c r="D2151" s="2">
        <v>1.6800999999999999</v>
      </c>
      <c r="E2151" s="2" t="s">
        <v>140</v>
      </c>
    </row>
    <row r="2152" spans="1:5" ht="20.25" customHeight="1" x14ac:dyDescent="0.15">
      <c r="A2152" s="2" t="s">
        <v>3453</v>
      </c>
      <c r="B2152" s="2" t="s">
        <v>3454</v>
      </c>
      <c r="C2152" s="2">
        <v>1.03</v>
      </c>
      <c r="D2152" s="2">
        <v>4.1300000000000003E-2</v>
      </c>
      <c r="E2152" s="2" t="s">
        <v>339</v>
      </c>
    </row>
    <row r="2153" spans="1:5" ht="20.25" customHeight="1" x14ac:dyDescent="0.15">
      <c r="A2153" s="2" t="s">
        <v>4074</v>
      </c>
      <c r="B2153" s="2" t="s">
        <v>4075</v>
      </c>
      <c r="C2153" s="2">
        <v>1.03</v>
      </c>
      <c r="D2153" s="2">
        <v>0.67820000000000003</v>
      </c>
      <c r="E2153" s="2" t="s">
        <v>664</v>
      </c>
    </row>
    <row r="2154" spans="1:5" ht="20.25" customHeight="1" x14ac:dyDescent="0.15">
      <c r="A2154" s="2" t="s">
        <v>4911</v>
      </c>
      <c r="B2154" s="2" t="s">
        <v>4912</v>
      </c>
      <c r="C2154" s="2">
        <v>1.03</v>
      </c>
      <c r="D2154" s="2">
        <v>1.5103</v>
      </c>
      <c r="E2154" s="2" t="s">
        <v>359</v>
      </c>
    </row>
    <row r="2155" spans="1:5" ht="20.25" customHeight="1" x14ac:dyDescent="0.15">
      <c r="A2155" s="2" t="s">
        <v>5780</v>
      </c>
      <c r="B2155" s="2" t="s">
        <v>5781</v>
      </c>
      <c r="C2155" s="2">
        <v>1.03</v>
      </c>
      <c r="D2155" s="2">
        <v>1.7724</v>
      </c>
      <c r="E2155" s="2" t="s">
        <v>1041</v>
      </c>
    </row>
    <row r="2156" spans="1:5" ht="20.25" customHeight="1" x14ac:dyDescent="0.15">
      <c r="A2156" s="2" t="s">
        <v>6378</v>
      </c>
      <c r="B2156" s="2" t="s">
        <v>6379</v>
      </c>
      <c r="C2156" s="2">
        <v>1.03</v>
      </c>
      <c r="D2156" s="2">
        <v>1.1819</v>
      </c>
      <c r="E2156" s="2" t="s">
        <v>704</v>
      </c>
    </row>
    <row r="2157" spans="1:5" ht="20.25" customHeight="1" x14ac:dyDescent="0.15">
      <c r="A2157" s="2" t="s">
        <v>7793</v>
      </c>
      <c r="B2157" s="2" t="s">
        <v>7794</v>
      </c>
      <c r="C2157" s="2">
        <v>1.03</v>
      </c>
      <c r="D2157" s="2">
        <v>9.0601000000000003</v>
      </c>
      <c r="E2157" s="2" t="s">
        <v>1102</v>
      </c>
    </row>
    <row r="2158" spans="1:5" ht="20.25" customHeight="1" x14ac:dyDescent="0.15">
      <c r="A2158" s="2" t="s">
        <v>8071</v>
      </c>
      <c r="B2158" s="2" t="s">
        <v>8072</v>
      </c>
      <c r="C2158" s="2">
        <v>1.03</v>
      </c>
      <c r="D2158" s="2">
        <v>1.052</v>
      </c>
      <c r="E2158" s="2" t="s">
        <v>713</v>
      </c>
    </row>
    <row r="2159" spans="1:5" ht="20.25" customHeight="1" x14ac:dyDescent="0.15">
      <c r="A2159" s="2" t="s">
        <v>7141</v>
      </c>
      <c r="B2159" s="2" t="s">
        <v>7142</v>
      </c>
      <c r="C2159" s="2">
        <v>1.0249999999999999</v>
      </c>
      <c r="D2159" s="2">
        <v>3.4796</v>
      </c>
      <c r="E2159" s="2" t="s">
        <v>68</v>
      </c>
    </row>
    <row r="2160" spans="1:5" ht="20.25" customHeight="1" x14ac:dyDescent="0.15">
      <c r="A2160" s="2" t="s">
        <v>334</v>
      </c>
      <c r="B2160" s="2" t="s">
        <v>335</v>
      </c>
      <c r="C2160" s="2">
        <v>1.02</v>
      </c>
      <c r="D2160" s="2">
        <v>0.32040000000000002</v>
      </c>
      <c r="E2160" s="2" t="s">
        <v>336</v>
      </c>
    </row>
    <row r="2161" spans="1:5" ht="20.25" customHeight="1" x14ac:dyDescent="0.15">
      <c r="A2161" s="2" t="s">
        <v>999</v>
      </c>
      <c r="B2161" s="2" t="s">
        <v>1000</v>
      </c>
      <c r="C2161" s="2">
        <v>1.02</v>
      </c>
      <c r="D2161" s="2">
        <v>1.0665</v>
      </c>
      <c r="E2161" s="2" t="s">
        <v>185</v>
      </c>
    </row>
    <row r="2162" spans="1:5" ht="20.25" customHeight="1" x14ac:dyDescent="0.15">
      <c r="A2162" s="2" t="s">
        <v>2857</v>
      </c>
      <c r="B2162" s="2" t="s">
        <v>2858</v>
      </c>
      <c r="C2162" s="2">
        <v>1.02</v>
      </c>
      <c r="D2162" s="2">
        <v>5.3994</v>
      </c>
      <c r="E2162" s="2" t="s">
        <v>621</v>
      </c>
    </row>
    <row r="2163" spans="1:5" ht="20.25" customHeight="1" x14ac:dyDescent="0.15">
      <c r="A2163" s="2" t="s">
        <v>2967</v>
      </c>
      <c r="B2163" s="2" t="s">
        <v>2968</v>
      </c>
      <c r="C2163" s="2">
        <v>1.02</v>
      </c>
      <c r="D2163" s="2">
        <v>1.3222</v>
      </c>
      <c r="E2163" s="2" t="s">
        <v>724</v>
      </c>
    </row>
    <row r="2164" spans="1:5" ht="20.25" customHeight="1" x14ac:dyDescent="0.15">
      <c r="A2164" s="2" t="s">
        <v>3168</v>
      </c>
      <c r="B2164" s="2" t="s">
        <v>3169</v>
      </c>
      <c r="C2164" s="2">
        <v>1.02</v>
      </c>
      <c r="D2164" s="2">
        <v>0.71250000000000002</v>
      </c>
      <c r="E2164" s="2" t="s">
        <v>322</v>
      </c>
    </row>
    <row r="2165" spans="1:5" ht="20.25" customHeight="1" x14ac:dyDescent="0.15">
      <c r="A2165" s="2" t="s">
        <v>4298</v>
      </c>
      <c r="B2165" s="2" t="s">
        <v>4299</v>
      </c>
      <c r="C2165" s="2">
        <v>1.02</v>
      </c>
      <c r="D2165" s="2">
        <v>0.85619999999999996</v>
      </c>
      <c r="E2165" s="2" t="s">
        <v>52</v>
      </c>
    </row>
    <row r="2166" spans="1:5" ht="20.25" customHeight="1" x14ac:dyDescent="0.15">
      <c r="A2166" s="2" t="s">
        <v>5134</v>
      </c>
      <c r="B2166" s="2" t="s">
        <v>5135</v>
      </c>
      <c r="C2166" s="2">
        <v>1.02</v>
      </c>
      <c r="D2166" s="2">
        <v>1.1293</v>
      </c>
      <c r="E2166" s="2" t="s">
        <v>123</v>
      </c>
    </row>
    <row r="2167" spans="1:5" ht="20.25" customHeight="1" x14ac:dyDescent="0.15">
      <c r="A2167" s="2" t="s">
        <v>5419</v>
      </c>
      <c r="B2167" s="2" t="s">
        <v>5420</v>
      </c>
      <c r="C2167" s="2">
        <v>1.02</v>
      </c>
      <c r="D2167" s="2">
        <v>8.48E-2</v>
      </c>
      <c r="E2167" s="2" t="s">
        <v>339</v>
      </c>
    </row>
    <row r="2168" spans="1:5" ht="20.25" customHeight="1" x14ac:dyDescent="0.15">
      <c r="A2168" s="2" t="s">
        <v>5557</v>
      </c>
      <c r="B2168" s="2" t="s">
        <v>5558</v>
      </c>
      <c r="C2168" s="2">
        <v>1.02</v>
      </c>
      <c r="D2168" s="2">
        <v>0.6986</v>
      </c>
      <c r="E2168" s="2" t="s">
        <v>201</v>
      </c>
    </row>
    <row r="2169" spans="1:5" ht="20.25" customHeight="1" x14ac:dyDescent="0.15">
      <c r="A2169" s="2" t="s">
        <v>6220</v>
      </c>
      <c r="B2169" s="2" t="s">
        <v>6221</v>
      </c>
      <c r="C2169" s="2">
        <v>1.02</v>
      </c>
      <c r="D2169" s="2">
        <v>0.96599999999999997</v>
      </c>
      <c r="E2169" s="2" t="s">
        <v>744</v>
      </c>
    </row>
    <row r="2170" spans="1:5" ht="20.25" customHeight="1" x14ac:dyDescent="0.15">
      <c r="A2170" s="2" t="s">
        <v>7231</v>
      </c>
      <c r="B2170" s="2" t="s">
        <v>7232</v>
      </c>
      <c r="C2170" s="2">
        <v>1.02</v>
      </c>
      <c r="D2170" s="2">
        <v>10.285500000000001</v>
      </c>
      <c r="E2170" s="2" t="s">
        <v>724</v>
      </c>
    </row>
    <row r="2171" spans="1:5" ht="20.25" customHeight="1" x14ac:dyDescent="0.15">
      <c r="A2171" s="2" t="s">
        <v>7869</v>
      </c>
      <c r="B2171" s="2" t="s">
        <v>7870</v>
      </c>
      <c r="C2171" s="2">
        <v>1.02</v>
      </c>
      <c r="D2171" s="2">
        <v>0.75060000000000004</v>
      </c>
      <c r="E2171" s="2" t="s">
        <v>2344</v>
      </c>
    </row>
    <row r="2172" spans="1:5" ht="20.25" customHeight="1" x14ac:dyDescent="0.15">
      <c r="A2172" s="2" t="s">
        <v>3188</v>
      </c>
      <c r="B2172" s="2" t="s">
        <v>3189</v>
      </c>
      <c r="C2172" s="2">
        <v>1.0149999999999999</v>
      </c>
      <c r="D2172" s="2">
        <v>5.0694999999999997</v>
      </c>
      <c r="E2172" s="2" t="s">
        <v>3190</v>
      </c>
    </row>
    <row r="2173" spans="1:5" ht="20.25" customHeight="1" x14ac:dyDescent="0.15">
      <c r="A2173" s="2" t="s">
        <v>205</v>
      </c>
      <c r="B2173" s="2" t="s">
        <v>206</v>
      </c>
      <c r="C2173" s="2">
        <v>1.01</v>
      </c>
      <c r="D2173" s="2">
        <v>0.68940000000000001</v>
      </c>
      <c r="E2173" s="2" t="s">
        <v>207</v>
      </c>
    </row>
    <row r="2174" spans="1:5" ht="20.25" customHeight="1" x14ac:dyDescent="0.15">
      <c r="A2174" s="2" t="s">
        <v>1326</v>
      </c>
      <c r="B2174" s="2" t="s">
        <v>1327</v>
      </c>
      <c r="C2174" s="2">
        <v>1.01</v>
      </c>
      <c r="D2174" s="2">
        <v>0.45600000000000002</v>
      </c>
      <c r="E2174" s="2" t="s">
        <v>299</v>
      </c>
    </row>
    <row r="2175" spans="1:5" ht="20.25" customHeight="1" x14ac:dyDescent="0.15">
      <c r="A2175" s="2" t="s">
        <v>2572</v>
      </c>
      <c r="B2175" s="2" t="s">
        <v>2573</v>
      </c>
      <c r="C2175" s="2">
        <v>1.01</v>
      </c>
      <c r="D2175" s="2">
        <v>1.5385</v>
      </c>
      <c r="E2175" s="2" t="s">
        <v>299</v>
      </c>
    </row>
    <row r="2176" spans="1:5" ht="20.25" customHeight="1" x14ac:dyDescent="0.15">
      <c r="A2176" s="2" t="s">
        <v>4118</v>
      </c>
      <c r="B2176" s="2" t="s">
        <v>4119</v>
      </c>
      <c r="C2176" s="2">
        <v>1.01</v>
      </c>
      <c r="D2176" s="2">
        <v>2.9557000000000002</v>
      </c>
      <c r="E2176" s="2" t="s">
        <v>1248</v>
      </c>
    </row>
    <row r="2177" spans="1:5" ht="20.25" customHeight="1" x14ac:dyDescent="0.15">
      <c r="A2177" s="2" t="s">
        <v>4202</v>
      </c>
      <c r="B2177" s="2" t="s">
        <v>4203</v>
      </c>
      <c r="C2177" s="2">
        <v>1.01</v>
      </c>
      <c r="D2177" s="2">
        <v>16.0349</v>
      </c>
      <c r="E2177" s="2" t="s">
        <v>44</v>
      </c>
    </row>
    <row r="2178" spans="1:5" ht="20.25" customHeight="1" x14ac:dyDescent="0.15">
      <c r="A2178" s="2" t="s">
        <v>4875</v>
      </c>
      <c r="B2178" s="2" t="s">
        <v>4876</v>
      </c>
      <c r="C2178" s="2">
        <v>1.01</v>
      </c>
      <c r="D2178" s="2">
        <v>14.2529</v>
      </c>
      <c r="E2178" s="2" t="s">
        <v>385</v>
      </c>
    </row>
    <row r="2179" spans="1:5" ht="20.25" customHeight="1" x14ac:dyDescent="0.15">
      <c r="A2179" s="2" t="s">
        <v>5742</v>
      </c>
      <c r="B2179" s="2" t="s">
        <v>5743</v>
      </c>
      <c r="C2179" s="2">
        <v>1.01</v>
      </c>
      <c r="D2179" s="2">
        <v>0.3332</v>
      </c>
      <c r="E2179" s="2" t="s">
        <v>3971</v>
      </c>
    </row>
    <row r="2180" spans="1:5" ht="20.25" customHeight="1" x14ac:dyDescent="0.15">
      <c r="A2180" s="2" t="s">
        <v>5854</v>
      </c>
      <c r="B2180" s="2" t="s">
        <v>5855</v>
      </c>
      <c r="C2180" s="2">
        <v>1.01</v>
      </c>
      <c r="D2180" s="2">
        <v>0.71399999999999997</v>
      </c>
      <c r="E2180" s="2" t="s">
        <v>201</v>
      </c>
    </row>
    <row r="2181" spans="1:5" ht="20.25" customHeight="1" x14ac:dyDescent="0.15">
      <c r="A2181" s="2" t="s">
        <v>6298</v>
      </c>
      <c r="B2181" s="2" t="s">
        <v>6299</v>
      </c>
      <c r="C2181" s="2">
        <v>1.01</v>
      </c>
      <c r="D2181" s="2">
        <v>0.1676</v>
      </c>
      <c r="E2181" s="2" t="s">
        <v>188</v>
      </c>
    </row>
    <row r="2182" spans="1:5" ht="20.25" customHeight="1" x14ac:dyDescent="0.15">
      <c r="A2182" s="2" t="s">
        <v>6975</v>
      </c>
      <c r="B2182" s="2" t="s">
        <v>6976</v>
      </c>
      <c r="C2182" s="2">
        <v>1.01</v>
      </c>
      <c r="D2182" s="2">
        <v>8.2537000000000003</v>
      </c>
      <c r="E2182" s="2" t="s">
        <v>690</v>
      </c>
    </row>
    <row r="2183" spans="1:5" ht="20.25" customHeight="1" x14ac:dyDescent="0.15">
      <c r="A2183" s="2" t="s">
        <v>7783</v>
      </c>
      <c r="B2183" s="2" t="s">
        <v>7784</v>
      </c>
      <c r="C2183" s="2">
        <v>1.01</v>
      </c>
      <c r="D2183" s="2">
        <v>4.9984000000000002</v>
      </c>
      <c r="E2183" s="2" t="s">
        <v>630</v>
      </c>
    </row>
    <row r="2184" spans="1:5" ht="20.25" customHeight="1" x14ac:dyDescent="0.15">
      <c r="A2184" s="2" t="s">
        <v>1737</v>
      </c>
      <c r="B2184" s="2" t="s">
        <v>1738</v>
      </c>
      <c r="C2184" s="2">
        <v>1.0049999999999999</v>
      </c>
      <c r="D2184" s="2">
        <v>1.177</v>
      </c>
      <c r="E2184" s="2" t="s">
        <v>571</v>
      </c>
    </row>
    <row r="2185" spans="1:5" ht="20.25" customHeight="1" x14ac:dyDescent="0.15">
      <c r="A2185" s="2" t="s">
        <v>6957</v>
      </c>
      <c r="B2185" s="2" t="s">
        <v>6958</v>
      </c>
      <c r="C2185" s="2">
        <v>1.0049999999999999</v>
      </c>
      <c r="D2185" s="2">
        <v>2.1686999999999999</v>
      </c>
      <c r="E2185" s="2" t="s">
        <v>529</v>
      </c>
    </row>
    <row r="2186" spans="1:5" ht="20.25" customHeight="1" x14ac:dyDescent="0.15">
      <c r="A2186" s="2" t="s">
        <v>232</v>
      </c>
      <c r="B2186" s="2" t="s">
        <v>233</v>
      </c>
      <c r="C2186" s="2">
        <v>1</v>
      </c>
      <c r="D2186" s="2">
        <v>6.1899999999999997E-2</v>
      </c>
      <c r="E2186" s="2" t="s">
        <v>152</v>
      </c>
    </row>
    <row r="2187" spans="1:5" ht="20.25" customHeight="1" x14ac:dyDescent="0.15">
      <c r="A2187" s="2" t="s">
        <v>2478</v>
      </c>
      <c r="B2187" s="2" t="s">
        <v>2479</v>
      </c>
      <c r="C2187" s="2">
        <v>1</v>
      </c>
      <c r="D2187" s="2">
        <v>3.3258000000000001</v>
      </c>
      <c r="E2187" s="2" t="s">
        <v>35</v>
      </c>
    </row>
    <row r="2188" spans="1:5" ht="20.25" customHeight="1" x14ac:dyDescent="0.15">
      <c r="A2188" s="2" t="s">
        <v>2718</v>
      </c>
      <c r="B2188" s="2" t="s">
        <v>2719</v>
      </c>
      <c r="C2188" s="2">
        <v>1</v>
      </c>
      <c r="D2188" s="2">
        <v>0.21990000000000001</v>
      </c>
      <c r="E2188" s="2" t="s">
        <v>344</v>
      </c>
    </row>
    <row r="2189" spans="1:5" ht="20.25" customHeight="1" x14ac:dyDescent="0.15">
      <c r="A2189" s="2" t="s">
        <v>4138</v>
      </c>
      <c r="B2189" s="2" t="s">
        <v>4139</v>
      </c>
      <c r="C2189" s="2">
        <v>1</v>
      </c>
      <c r="D2189" s="2">
        <v>6.8199999999999997E-2</v>
      </c>
      <c r="E2189" s="2" t="s">
        <v>89</v>
      </c>
    </row>
    <row r="2190" spans="1:5" ht="20.25" customHeight="1" x14ac:dyDescent="0.15">
      <c r="A2190" s="2" t="s">
        <v>4302</v>
      </c>
      <c r="B2190" s="2" t="s">
        <v>4303</v>
      </c>
      <c r="C2190" s="2">
        <v>1</v>
      </c>
      <c r="D2190" s="2">
        <v>3.1013999999999999</v>
      </c>
      <c r="E2190" s="2" t="s">
        <v>1243</v>
      </c>
    </row>
    <row r="2191" spans="1:5" ht="20.25" customHeight="1" x14ac:dyDescent="0.15">
      <c r="A2191" s="2" t="s">
        <v>4466</v>
      </c>
      <c r="B2191" s="2" t="s">
        <v>4467</v>
      </c>
      <c r="C2191" s="2">
        <v>1</v>
      </c>
      <c r="D2191" s="2">
        <v>0.20930000000000001</v>
      </c>
      <c r="E2191" s="2" t="s">
        <v>1757</v>
      </c>
    </row>
    <row r="2192" spans="1:5" ht="20.25" customHeight="1" x14ac:dyDescent="0.15">
      <c r="A2192" s="2" t="s">
        <v>4954</v>
      </c>
      <c r="B2192" s="2" t="s">
        <v>4955</v>
      </c>
      <c r="C2192" s="2">
        <v>1</v>
      </c>
      <c r="D2192" s="2">
        <v>13.3271</v>
      </c>
      <c r="E2192" s="2" t="s">
        <v>1099</v>
      </c>
    </row>
    <row r="2193" spans="1:5" ht="20.25" customHeight="1" x14ac:dyDescent="0.15">
      <c r="A2193" s="2" t="s">
        <v>5613</v>
      </c>
      <c r="B2193" s="2" t="s">
        <v>5614</v>
      </c>
      <c r="C2193" s="2">
        <v>1</v>
      </c>
      <c r="D2193" s="2">
        <v>2.4832999999999998</v>
      </c>
      <c r="E2193" s="2" t="s">
        <v>741</v>
      </c>
    </row>
    <row r="2194" spans="1:5" ht="20.25" customHeight="1" x14ac:dyDescent="0.15">
      <c r="A2194" s="2" t="s">
        <v>7919</v>
      </c>
      <c r="B2194" s="2" t="s">
        <v>7920</v>
      </c>
      <c r="C2194" s="2">
        <v>1</v>
      </c>
      <c r="D2194" s="2">
        <v>0.20030000000000001</v>
      </c>
      <c r="E2194" s="2" t="s">
        <v>1403</v>
      </c>
    </row>
    <row r="2195" spans="1:5" ht="20.25" customHeight="1" x14ac:dyDescent="0.15">
      <c r="A2195" s="2" t="s">
        <v>8357</v>
      </c>
      <c r="B2195" s="2" t="s">
        <v>8358</v>
      </c>
      <c r="C2195" s="2">
        <v>1</v>
      </c>
      <c r="D2195" s="2">
        <v>1.0515000000000001</v>
      </c>
      <c r="E2195" s="2" t="s">
        <v>374</v>
      </c>
    </row>
    <row r="2196" spans="1:5" ht="20.25" customHeight="1" x14ac:dyDescent="0.15">
      <c r="A2196" s="2" t="s">
        <v>377</v>
      </c>
      <c r="B2196" s="2" t="s">
        <v>378</v>
      </c>
      <c r="C2196" s="2">
        <v>0.99</v>
      </c>
      <c r="D2196" s="2">
        <v>0.12609999999999999</v>
      </c>
      <c r="E2196" s="2" t="s">
        <v>38</v>
      </c>
    </row>
    <row r="2197" spans="1:5" ht="20.25" customHeight="1" x14ac:dyDescent="0.15">
      <c r="A2197" s="2" t="s">
        <v>442</v>
      </c>
      <c r="B2197" s="2" t="s">
        <v>443</v>
      </c>
      <c r="C2197" s="2">
        <v>0.99</v>
      </c>
      <c r="D2197" s="2">
        <v>0.92190000000000005</v>
      </c>
      <c r="E2197" s="2" t="s">
        <v>24</v>
      </c>
    </row>
    <row r="2198" spans="1:5" ht="20.25" customHeight="1" x14ac:dyDescent="0.15">
      <c r="A2198" s="2" t="s">
        <v>748</v>
      </c>
      <c r="B2198" s="2" t="s">
        <v>749</v>
      </c>
      <c r="C2198" s="2">
        <v>0.99</v>
      </c>
      <c r="D2198" s="2">
        <v>0.85450000000000004</v>
      </c>
      <c r="E2198" s="2" t="s">
        <v>750</v>
      </c>
    </row>
    <row r="2199" spans="1:5" ht="20.25" customHeight="1" x14ac:dyDescent="0.15">
      <c r="A2199" s="2" t="s">
        <v>1050</v>
      </c>
      <c r="B2199" s="2" t="s">
        <v>1051</v>
      </c>
      <c r="C2199" s="2">
        <v>0.99</v>
      </c>
      <c r="D2199" s="2">
        <v>23.518999999999998</v>
      </c>
      <c r="E2199" s="2" t="s">
        <v>44</v>
      </c>
    </row>
    <row r="2200" spans="1:5" ht="20.25" customHeight="1" x14ac:dyDescent="0.15">
      <c r="A2200" s="2" t="s">
        <v>1156</v>
      </c>
      <c r="B2200" s="2" t="s">
        <v>1157</v>
      </c>
      <c r="C2200" s="2">
        <v>0.99</v>
      </c>
      <c r="D2200" s="2">
        <v>0.52049999999999996</v>
      </c>
      <c r="E2200" s="2" t="s">
        <v>1158</v>
      </c>
    </row>
    <row r="2201" spans="1:5" ht="20.25" customHeight="1" x14ac:dyDescent="0.15">
      <c r="A2201" s="2" t="s">
        <v>1791</v>
      </c>
      <c r="B2201" s="2" t="s">
        <v>1792</v>
      </c>
      <c r="C2201" s="2">
        <v>0.99</v>
      </c>
      <c r="D2201" s="2">
        <v>0.34239999999999998</v>
      </c>
      <c r="E2201" s="2" t="s">
        <v>89</v>
      </c>
    </row>
    <row r="2202" spans="1:5" ht="20.25" customHeight="1" x14ac:dyDescent="0.15">
      <c r="A2202" s="2" t="s">
        <v>1825</v>
      </c>
      <c r="B2202" s="2" t="s">
        <v>1826</v>
      </c>
      <c r="C2202" s="2">
        <v>0.99</v>
      </c>
      <c r="D2202" s="2">
        <v>0.21579999999999999</v>
      </c>
      <c r="E2202" s="2" t="s">
        <v>134</v>
      </c>
    </row>
    <row r="2203" spans="1:5" ht="20.25" customHeight="1" x14ac:dyDescent="0.15">
      <c r="A2203" s="2" t="s">
        <v>2184</v>
      </c>
      <c r="B2203" s="2" t="s">
        <v>2185</v>
      </c>
      <c r="C2203" s="2">
        <v>0.99</v>
      </c>
      <c r="D2203" s="2">
        <v>1.2484</v>
      </c>
      <c r="E2203" s="2" t="s">
        <v>1680</v>
      </c>
    </row>
    <row r="2204" spans="1:5" ht="20.25" customHeight="1" x14ac:dyDescent="0.15">
      <c r="A2204" s="2" t="s">
        <v>2775</v>
      </c>
      <c r="B2204" s="2" t="s">
        <v>2776</v>
      </c>
      <c r="C2204" s="2">
        <v>0.99</v>
      </c>
      <c r="D2204" s="2">
        <v>124.62479999999999</v>
      </c>
      <c r="E2204" s="2" t="s">
        <v>260</v>
      </c>
    </row>
    <row r="2205" spans="1:5" ht="20.25" customHeight="1" x14ac:dyDescent="0.15">
      <c r="A2205" s="2" t="s">
        <v>2920</v>
      </c>
      <c r="B2205" s="2" t="s">
        <v>2921</v>
      </c>
      <c r="C2205" s="2">
        <v>0.99</v>
      </c>
      <c r="D2205" s="2">
        <v>1.3213999999999999</v>
      </c>
      <c r="E2205" s="2" t="s">
        <v>1224</v>
      </c>
    </row>
    <row r="2206" spans="1:5" ht="20.25" customHeight="1" x14ac:dyDescent="0.15">
      <c r="A2206" s="2" t="s">
        <v>6148</v>
      </c>
      <c r="B2206" s="2" t="s">
        <v>6149</v>
      </c>
      <c r="C2206" s="2">
        <v>0.99</v>
      </c>
      <c r="D2206" s="2">
        <v>6.3E-2</v>
      </c>
      <c r="E2206" s="2" t="s">
        <v>134</v>
      </c>
    </row>
    <row r="2207" spans="1:5" ht="20.25" customHeight="1" x14ac:dyDescent="0.15">
      <c r="A2207" s="2" t="s">
        <v>6382</v>
      </c>
      <c r="B2207" s="2" t="s">
        <v>6383</v>
      </c>
      <c r="C2207" s="2">
        <v>0.99</v>
      </c>
      <c r="D2207" s="2">
        <v>4.8899999999999999E-2</v>
      </c>
      <c r="E2207" s="2" t="s">
        <v>1102</v>
      </c>
    </row>
    <row r="2208" spans="1:5" ht="20.25" customHeight="1" x14ac:dyDescent="0.15">
      <c r="A2208" s="2" t="s">
        <v>7235</v>
      </c>
      <c r="B2208" s="2" t="s">
        <v>7236</v>
      </c>
      <c r="C2208" s="2">
        <v>0.99</v>
      </c>
      <c r="D2208" s="2">
        <v>0.53849999999999998</v>
      </c>
      <c r="E2208" s="2" t="s">
        <v>1403</v>
      </c>
    </row>
    <row r="2209" spans="1:5" ht="20.25" customHeight="1" x14ac:dyDescent="0.15">
      <c r="A2209" s="2" t="s">
        <v>7299</v>
      </c>
      <c r="B2209" s="2" t="s">
        <v>7300</v>
      </c>
      <c r="C2209" s="2">
        <v>0.99</v>
      </c>
      <c r="D2209" s="2">
        <v>25424.427800000001</v>
      </c>
      <c r="E2209" s="2" t="s">
        <v>1712</v>
      </c>
    </row>
    <row r="2210" spans="1:5" ht="20.25" customHeight="1" x14ac:dyDescent="0.15">
      <c r="A2210" s="2" t="s">
        <v>7911</v>
      </c>
      <c r="B2210" s="2" t="s">
        <v>7912</v>
      </c>
      <c r="C2210" s="2">
        <v>0.99</v>
      </c>
      <c r="D2210" s="2">
        <v>5.9806999999999997</v>
      </c>
      <c r="E2210" s="2" t="s">
        <v>1139</v>
      </c>
    </row>
    <row r="2211" spans="1:5" ht="20.25" customHeight="1" x14ac:dyDescent="0.15">
      <c r="A2211" s="2" t="s">
        <v>7917</v>
      </c>
      <c r="B2211" s="2" t="s">
        <v>7918</v>
      </c>
      <c r="C2211" s="2">
        <v>0.99</v>
      </c>
      <c r="D2211" s="2">
        <v>0.7026</v>
      </c>
      <c r="E2211" s="2" t="s">
        <v>862</v>
      </c>
    </row>
    <row r="2212" spans="1:5" ht="20.25" customHeight="1" x14ac:dyDescent="0.15">
      <c r="A2212" s="2" t="s">
        <v>8093</v>
      </c>
      <c r="B2212" s="2" t="s">
        <v>8094</v>
      </c>
      <c r="C2212" s="2">
        <v>0.98499999999999999</v>
      </c>
      <c r="D2212" s="2">
        <v>0.77129999999999999</v>
      </c>
      <c r="E2212" s="2" t="s">
        <v>589</v>
      </c>
    </row>
    <row r="2213" spans="1:5" ht="20.25" customHeight="1" x14ac:dyDescent="0.15">
      <c r="A2213" s="2" t="s">
        <v>77</v>
      </c>
      <c r="B2213" s="2" t="s">
        <v>78</v>
      </c>
      <c r="C2213" s="2">
        <v>0.98</v>
      </c>
      <c r="D2213" s="2">
        <v>0.44119999999999998</v>
      </c>
      <c r="E2213" s="2" t="s">
        <v>24</v>
      </c>
    </row>
    <row r="2214" spans="1:5" ht="20.25" customHeight="1" x14ac:dyDescent="0.15">
      <c r="A2214" s="2" t="s">
        <v>304</v>
      </c>
      <c r="B2214" s="2" t="s">
        <v>305</v>
      </c>
      <c r="C2214" s="2">
        <v>0.98</v>
      </c>
      <c r="D2214" s="2">
        <v>2.1916000000000002</v>
      </c>
      <c r="E2214" s="2" t="s">
        <v>220</v>
      </c>
    </row>
    <row r="2215" spans="1:5" ht="20.25" customHeight="1" x14ac:dyDescent="0.15">
      <c r="A2215" s="2" t="s">
        <v>714</v>
      </c>
      <c r="B2215" s="2" t="s">
        <v>715</v>
      </c>
      <c r="C2215" s="2">
        <v>0.98</v>
      </c>
      <c r="D2215" s="2">
        <v>363.27140000000003</v>
      </c>
      <c r="E2215" s="2" t="s">
        <v>204</v>
      </c>
    </row>
    <row r="2216" spans="1:5" ht="20.25" customHeight="1" x14ac:dyDescent="0.15">
      <c r="A2216" s="2" t="s">
        <v>1105</v>
      </c>
      <c r="B2216" s="2" t="s">
        <v>1106</v>
      </c>
      <c r="C2216" s="2">
        <v>0.98</v>
      </c>
      <c r="D2216" s="2">
        <v>0.51990000000000003</v>
      </c>
      <c r="E2216" s="2" t="s">
        <v>137</v>
      </c>
    </row>
    <row r="2217" spans="1:5" ht="20.25" customHeight="1" x14ac:dyDescent="0.15">
      <c r="A2217" s="2" t="s">
        <v>1785</v>
      </c>
      <c r="B2217" s="2" t="s">
        <v>1786</v>
      </c>
      <c r="C2217" s="2">
        <v>0.98</v>
      </c>
      <c r="D2217" s="2">
        <v>0.27689999999999998</v>
      </c>
      <c r="E2217" s="2" t="s">
        <v>146</v>
      </c>
    </row>
    <row r="2218" spans="1:5" ht="20.25" customHeight="1" x14ac:dyDescent="0.15">
      <c r="A2218" s="2" t="s">
        <v>3633</v>
      </c>
      <c r="B2218" s="2" t="s">
        <v>3634</v>
      </c>
      <c r="C2218" s="2">
        <v>0.98</v>
      </c>
      <c r="D2218" s="2">
        <v>1.4710000000000001</v>
      </c>
      <c r="E2218" s="2" t="s">
        <v>459</v>
      </c>
    </row>
    <row r="2219" spans="1:5" ht="20.25" customHeight="1" x14ac:dyDescent="0.15">
      <c r="A2219" s="2" t="s">
        <v>3907</v>
      </c>
      <c r="B2219" s="2" t="s">
        <v>3908</v>
      </c>
      <c r="C2219" s="2">
        <v>0.98</v>
      </c>
      <c r="D2219" s="2">
        <v>0.19839999999999999</v>
      </c>
      <c r="E2219" s="2" t="s">
        <v>339</v>
      </c>
    </row>
    <row r="2220" spans="1:5" ht="20.25" customHeight="1" x14ac:dyDescent="0.15">
      <c r="A2220" s="2" t="s">
        <v>4606</v>
      </c>
      <c r="B2220" s="2" t="s">
        <v>4607</v>
      </c>
      <c r="C2220" s="2">
        <v>0.98</v>
      </c>
      <c r="D2220" s="2">
        <v>9.9850999999999992</v>
      </c>
      <c r="E2220" s="2" t="s">
        <v>396</v>
      </c>
    </row>
    <row r="2221" spans="1:5" ht="20.25" customHeight="1" x14ac:dyDescent="0.15">
      <c r="A2221" s="2" t="s">
        <v>4741</v>
      </c>
      <c r="B2221" s="2" t="s">
        <v>4742</v>
      </c>
      <c r="C2221" s="2">
        <v>0.98</v>
      </c>
      <c r="D2221" s="2">
        <v>2.3658000000000001</v>
      </c>
      <c r="E2221" s="2" t="s">
        <v>60</v>
      </c>
    </row>
    <row r="2222" spans="1:5" ht="20.25" customHeight="1" x14ac:dyDescent="0.15">
      <c r="A2222" s="2" t="s">
        <v>5270</v>
      </c>
      <c r="B2222" s="2" t="s">
        <v>5271</v>
      </c>
      <c r="C2222" s="2">
        <v>0.98</v>
      </c>
      <c r="D2222" s="2">
        <v>0.186</v>
      </c>
      <c r="E2222" s="2" t="s">
        <v>1870</v>
      </c>
    </row>
    <row r="2223" spans="1:5" ht="20.25" customHeight="1" x14ac:dyDescent="0.15">
      <c r="A2223" s="2" t="s">
        <v>5804</v>
      </c>
      <c r="B2223" s="2" t="s">
        <v>5805</v>
      </c>
      <c r="C2223" s="2">
        <v>0.98</v>
      </c>
      <c r="D2223" s="2">
        <v>1.4081999999999999</v>
      </c>
      <c r="E2223" s="2" t="s">
        <v>1139</v>
      </c>
    </row>
    <row r="2224" spans="1:5" ht="20.25" customHeight="1" x14ac:dyDescent="0.15">
      <c r="A2224" s="2" t="s">
        <v>5832</v>
      </c>
      <c r="B2224" s="2" t="s">
        <v>5833</v>
      </c>
      <c r="C2224" s="2">
        <v>0.98</v>
      </c>
      <c r="D2224" s="2">
        <v>4.4755000000000003</v>
      </c>
      <c r="E2224" s="2" t="s">
        <v>459</v>
      </c>
    </row>
    <row r="2225" spans="1:5" ht="20.25" customHeight="1" x14ac:dyDescent="0.15">
      <c r="A2225" s="2" t="s">
        <v>6254</v>
      </c>
      <c r="B2225" s="2" t="s">
        <v>6255</v>
      </c>
      <c r="C2225" s="2">
        <v>0.98</v>
      </c>
      <c r="D2225" s="2">
        <v>4.1158000000000001</v>
      </c>
      <c r="E2225" s="2" t="s">
        <v>35</v>
      </c>
    </row>
    <row r="2226" spans="1:5" ht="20.25" customHeight="1" x14ac:dyDescent="0.15">
      <c r="A2226" s="2" t="s">
        <v>6436</v>
      </c>
      <c r="B2226" s="2" t="s">
        <v>6437</v>
      </c>
      <c r="C2226" s="2">
        <v>0.98</v>
      </c>
      <c r="D2226" s="2">
        <v>3.1526000000000001</v>
      </c>
      <c r="E2226" s="2" t="s">
        <v>41</v>
      </c>
    </row>
    <row r="2227" spans="1:5" ht="20.25" customHeight="1" x14ac:dyDescent="0.15">
      <c r="A2227" s="2" t="s">
        <v>7555</v>
      </c>
      <c r="B2227" s="2" t="s">
        <v>7556</v>
      </c>
      <c r="C2227" s="2">
        <v>0.98</v>
      </c>
      <c r="D2227" s="2">
        <v>21.242100000000001</v>
      </c>
      <c r="E2227" s="2" t="s">
        <v>1338</v>
      </c>
    </row>
    <row r="2228" spans="1:5" ht="20.25" customHeight="1" x14ac:dyDescent="0.15">
      <c r="A2228" s="2" t="s">
        <v>8165</v>
      </c>
      <c r="B2228" s="2" t="s">
        <v>8166</v>
      </c>
      <c r="C2228" s="2">
        <v>0.98</v>
      </c>
      <c r="D2228" s="2">
        <v>1.5003</v>
      </c>
      <c r="E2228" s="2" t="s">
        <v>406</v>
      </c>
    </row>
    <row r="2229" spans="1:5" ht="20.25" customHeight="1" x14ac:dyDescent="0.15">
      <c r="A2229" s="2" t="s">
        <v>8369</v>
      </c>
      <c r="B2229" s="2" t="s">
        <v>8370</v>
      </c>
      <c r="C2229" s="2">
        <v>0.98</v>
      </c>
      <c r="D2229" s="2">
        <v>6.5688000000000004</v>
      </c>
      <c r="E2229" s="2" t="s">
        <v>1099</v>
      </c>
    </row>
    <row r="2230" spans="1:5" ht="20.25" customHeight="1" x14ac:dyDescent="0.15">
      <c r="A2230" s="2" t="s">
        <v>2698</v>
      </c>
      <c r="B2230" s="2" t="s">
        <v>2699</v>
      </c>
      <c r="C2230" s="2">
        <v>0.97499999999999998</v>
      </c>
      <c r="D2230" s="2">
        <v>1.532</v>
      </c>
      <c r="E2230" s="2" t="s">
        <v>146</v>
      </c>
    </row>
    <row r="2231" spans="1:5" ht="20.25" customHeight="1" x14ac:dyDescent="0.15">
      <c r="A2231" s="2" t="s">
        <v>707</v>
      </c>
      <c r="B2231" s="2" t="s">
        <v>708</v>
      </c>
      <c r="C2231" s="2">
        <v>0.97</v>
      </c>
      <c r="D2231" s="2">
        <v>0.80879999999999996</v>
      </c>
      <c r="E2231" s="2" t="s">
        <v>13</v>
      </c>
    </row>
    <row r="2232" spans="1:5" ht="20.25" customHeight="1" x14ac:dyDescent="0.15">
      <c r="A2232" s="2" t="s">
        <v>709</v>
      </c>
      <c r="B2232" s="2" t="s">
        <v>710</v>
      </c>
      <c r="C2232" s="2">
        <v>0.97</v>
      </c>
      <c r="D2232" s="2">
        <v>4.2518000000000002</v>
      </c>
      <c r="E2232" s="2" t="s">
        <v>682</v>
      </c>
    </row>
    <row r="2233" spans="1:5" ht="20.25" customHeight="1" x14ac:dyDescent="0.15">
      <c r="A2233" s="2" t="s">
        <v>885</v>
      </c>
      <c r="B2233" s="2" t="s">
        <v>886</v>
      </c>
      <c r="C2233" s="2">
        <v>0.97</v>
      </c>
      <c r="D2233" s="2">
        <v>0.72209999999999996</v>
      </c>
      <c r="E2233" s="2" t="s">
        <v>388</v>
      </c>
    </row>
    <row r="2234" spans="1:5" ht="20.25" customHeight="1" x14ac:dyDescent="0.15">
      <c r="A2234" s="2" t="s">
        <v>1032</v>
      </c>
      <c r="B2234" s="2" t="s">
        <v>1033</v>
      </c>
      <c r="C2234" s="2">
        <v>0.97</v>
      </c>
      <c r="D2234" s="2">
        <v>0.85860000000000003</v>
      </c>
      <c r="E2234" s="2" t="s">
        <v>1034</v>
      </c>
    </row>
    <row r="2235" spans="1:5" ht="20.25" customHeight="1" x14ac:dyDescent="0.15">
      <c r="A2235" s="2" t="s">
        <v>1692</v>
      </c>
      <c r="B2235" s="2" t="s">
        <v>1693</v>
      </c>
      <c r="C2235" s="2">
        <v>0.97</v>
      </c>
      <c r="D2235" s="2">
        <v>4.1429999999999998</v>
      </c>
      <c r="E2235" s="2" t="s">
        <v>614</v>
      </c>
    </row>
    <row r="2236" spans="1:5" ht="20.25" customHeight="1" x14ac:dyDescent="0.15">
      <c r="A2236" s="2" t="s">
        <v>2765</v>
      </c>
      <c r="B2236" s="2" t="s">
        <v>2766</v>
      </c>
      <c r="C2236" s="2">
        <v>0.97</v>
      </c>
      <c r="D2236" s="2">
        <v>0.71160000000000001</v>
      </c>
      <c r="E2236" s="2" t="s">
        <v>38</v>
      </c>
    </row>
    <row r="2237" spans="1:5" ht="20.25" customHeight="1" x14ac:dyDescent="0.15">
      <c r="A2237" s="2" t="s">
        <v>3139</v>
      </c>
      <c r="B2237" s="2" t="s">
        <v>3140</v>
      </c>
      <c r="C2237" s="2">
        <v>0.97</v>
      </c>
      <c r="D2237" s="2">
        <v>1.5592999999999999</v>
      </c>
      <c r="E2237" s="2" t="s">
        <v>3141</v>
      </c>
    </row>
    <row r="2238" spans="1:5" ht="20.25" customHeight="1" x14ac:dyDescent="0.15">
      <c r="A2238" s="2" t="s">
        <v>4116</v>
      </c>
      <c r="B2238" s="2" t="s">
        <v>4117</v>
      </c>
      <c r="C2238" s="2">
        <v>0.97</v>
      </c>
      <c r="D2238" s="2">
        <v>10.0265</v>
      </c>
      <c r="E2238" s="2" t="s">
        <v>1570</v>
      </c>
    </row>
    <row r="2239" spans="1:5" ht="20.25" customHeight="1" x14ac:dyDescent="0.15">
      <c r="A2239" s="2" t="s">
        <v>4793</v>
      </c>
      <c r="B2239" s="2" t="s">
        <v>4794</v>
      </c>
      <c r="C2239" s="2">
        <v>0.97</v>
      </c>
      <c r="D2239" s="2">
        <v>1.8402000000000001</v>
      </c>
      <c r="E2239" s="2" t="s">
        <v>35</v>
      </c>
    </row>
    <row r="2240" spans="1:5" ht="20.25" customHeight="1" x14ac:dyDescent="0.15">
      <c r="A2240" s="2" t="s">
        <v>5314</v>
      </c>
      <c r="B2240" s="2" t="s">
        <v>5315</v>
      </c>
      <c r="C2240" s="2">
        <v>0.97</v>
      </c>
      <c r="D2240" s="2">
        <v>0.98140000000000005</v>
      </c>
      <c r="E2240" s="2" t="s">
        <v>260</v>
      </c>
    </row>
    <row r="2241" spans="1:5" ht="20.25" customHeight="1" x14ac:dyDescent="0.15">
      <c r="A2241" s="2" t="s">
        <v>5399</v>
      </c>
      <c r="B2241" s="2" t="s">
        <v>5400</v>
      </c>
      <c r="C2241" s="2">
        <v>0.97</v>
      </c>
      <c r="D2241" s="2">
        <v>0.23330000000000001</v>
      </c>
      <c r="E2241" s="2" t="s">
        <v>406</v>
      </c>
    </row>
    <row r="2242" spans="1:5" ht="20.25" customHeight="1" x14ac:dyDescent="0.15">
      <c r="A2242" s="2" t="s">
        <v>5603</v>
      </c>
      <c r="B2242" s="2" t="s">
        <v>5604</v>
      </c>
      <c r="C2242" s="2">
        <v>0.97</v>
      </c>
      <c r="D2242" s="2">
        <v>0.40179999999999999</v>
      </c>
      <c r="E2242" s="2" t="s">
        <v>1061</v>
      </c>
    </row>
    <row r="2243" spans="1:5" ht="20.25" customHeight="1" x14ac:dyDescent="0.15">
      <c r="A2243" s="2" t="s">
        <v>7539</v>
      </c>
      <c r="B2243" s="2" t="s">
        <v>7540</v>
      </c>
      <c r="C2243" s="2">
        <v>0.97</v>
      </c>
      <c r="D2243" s="2">
        <v>1.0165</v>
      </c>
      <c r="E2243" s="2" t="s">
        <v>1099</v>
      </c>
    </row>
    <row r="2244" spans="1:5" ht="20.25" customHeight="1" x14ac:dyDescent="0.15">
      <c r="A2244" s="2" t="s">
        <v>7761</v>
      </c>
      <c r="B2244" s="2" t="s">
        <v>7762</v>
      </c>
      <c r="C2244" s="2">
        <v>0.97</v>
      </c>
      <c r="D2244" s="2">
        <v>2.3050000000000002</v>
      </c>
      <c r="E2244" s="2" t="s">
        <v>2344</v>
      </c>
    </row>
    <row r="2245" spans="1:5" ht="20.25" customHeight="1" x14ac:dyDescent="0.15">
      <c r="A2245" s="2" t="s">
        <v>7929</v>
      </c>
      <c r="B2245" s="2" t="s">
        <v>7930</v>
      </c>
      <c r="C2245" s="2">
        <v>0.97</v>
      </c>
      <c r="D2245" s="2">
        <v>4.2911999999999999</v>
      </c>
      <c r="E2245" s="2" t="s">
        <v>1403</v>
      </c>
    </row>
    <row r="2246" spans="1:5" ht="20.25" customHeight="1" x14ac:dyDescent="0.15">
      <c r="A2246" s="2" t="s">
        <v>7961</v>
      </c>
      <c r="B2246" s="2" t="s">
        <v>7962</v>
      </c>
      <c r="C2246" s="2">
        <v>0.97</v>
      </c>
      <c r="D2246" s="2">
        <v>0.13719999999999999</v>
      </c>
      <c r="E2246" s="2" t="s">
        <v>1613</v>
      </c>
    </row>
    <row r="2247" spans="1:5" ht="20.25" customHeight="1" x14ac:dyDescent="0.15">
      <c r="A2247" s="2" t="s">
        <v>8229</v>
      </c>
      <c r="B2247" s="2" t="s">
        <v>8230</v>
      </c>
      <c r="C2247" s="2">
        <v>0.96499999999999997</v>
      </c>
      <c r="D2247" s="2">
        <v>1.2595000000000001</v>
      </c>
      <c r="E2247" s="2" t="s">
        <v>1102</v>
      </c>
    </row>
    <row r="2248" spans="1:5" ht="20.25" customHeight="1" x14ac:dyDescent="0.15">
      <c r="A2248" s="2" t="s">
        <v>250</v>
      </c>
      <c r="B2248" s="2" t="s">
        <v>251</v>
      </c>
      <c r="C2248" s="2">
        <v>0.96</v>
      </c>
      <c r="D2248" s="2">
        <v>0.65469999999999995</v>
      </c>
      <c r="E2248" s="2" t="s">
        <v>10</v>
      </c>
    </row>
    <row r="2249" spans="1:5" ht="20.25" customHeight="1" x14ac:dyDescent="0.15">
      <c r="A2249" s="2" t="s">
        <v>428</v>
      </c>
      <c r="B2249" s="2" t="s">
        <v>429</v>
      </c>
      <c r="C2249" s="2">
        <v>0.96</v>
      </c>
      <c r="D2249" s="2">
        <v>0.56950000000000001</v>
      </c>
      <c r="E2249" s="2" t="s">
        <v>430</v>
      </c>
    </row>
    <row r="2250" spans="1:5" ht="20.25" customHeight="1" x14ac:dyDescent="0.15">
      <c r="A2250" s="2" t="s">
        <v>1562</v>
      </c>
      <c r="B2250" s="2" t="s">
        <v>1563</v>
      </c>
      <c r="C2250" s="2">
        <v>0.96</v>
      </c>
      <c r="D2250" s="2">
        <v>17.836400000000001</v>
      </c>
      <c r="E2250" s="2" t="s">
        <v>371</v>
      </c>
    </row>
    <row r="2251" spans="1:5" ht="20.25" customHeight="1" x14ac:dyDescent="0.15">
      <c r="A2251" s="2" t="s">
        <v>2270</v>
      </c>
      <c r="B2251" s="2" t="s">
        <v>2271</v>
      </c>
      <c r="C2251" s="2">
        <v>0.96</v>
      </c>
      <c r="D2251" s="2">
        <v>0.43880000000000002</v>
      </c>
      <c r="E2251" s="2" t="s">
        <v>2068</v>
      </c>
    </row>
    <row r="2252" spans="1:5" ht="20.25" customHeight="1" x14ac:dyDescent="0.15">
      <c r="A2252" s="2" t="s">
        <v>2370</v>
      </c>
      <c r="B2252" s="2" t="s">
        <v>2371</v>
      </c>
      <c r="C2252" s="2">
        <v>0.96</v>
      </c>
      <c r="D2252" s="2">
        <v>0.89839999999999998</v>
      </c>
      <c r="E2252" s="2" t="s">
        <v>916</v>
      </c>
    </row>
    <row r="2253" spans="1:5" ht="20.25" customHeight="1" x14ac:dyDescent="0.15">
      <c r="A2253" s="2" t="s">
        <v>2427</v>
      </c>
      <c r="B2253" s="2" t="s">
        <v>2428</v>
      </c>
      <c r="C2253" s="2">
        <v>0.96</v>
      </c>
      <c r="D2253" s="2">
        <v>0.2044</v>
      </c>
      <c r="E2253" s="2" t="s">
        <v>339</v>
      </c>
    </row>
    <row r="2254" spans="1:5" ht="20.25" customHeight="1" x14ac:dyDescent="0.15">
      <c r="A2254" s="2" t="s">
        <v>2969</v>
      </c>
      <c r="B2254" s="2" t="s">
        <v>2970</v>
      </c>
      <c r="C2254" s="2">
        <v>0.96</v>
      </c>
      <c r="D2254" s="2">
        <v>2.7919</v>
      </c>
      <c r="E2254" s="2" t="s">
        <v>897</v>
      </c>
    </row>
    <row r="2255" spans="1:5" ht="20.25" customHeight="1" x14ac:dyDescent="0.15">
      <c r="A2255" s="2" t="s">
        <v>3186</v>
      </c>
      <c r="B2255" s="2" t="s">
        <v>3187</v>
      </c>
      <c r="C2255" s="2">
        <v>0.96</v>
      </c>
      <c r="D2255" s="2">
        <v>0.5282</v>
      </c>
      <c r="E2255" s="2" t="s">
        <v>589</v>
      </c>
    </row>
    <row r="2256" spans="1:5" ht="20.25" customHeight="1" x14ac:dyDescent="0.15">
      <c r="A2256" s="2" t="s">
        <v>3197</v>
      </c>
      <c r="B2256" s="2" t="s">
        <v>3198</v>
      </c>
      <c r="C2256" s="2">
        <v>0.96</v>
      </c>
      <c r="D2256" s="2">
        <v>0.18540000000000001</v>
      </c>
      <c r="E2256" s="2" t="s">
        <v>1034</v>
      </c>
    </row>
    <row r="2257" spans="1:5" ht="20.25" customHeight="1" x14ac:dyDescent="0.15">
      <c r="A2257" s="2" t="s">
        <v>3781</v>
      </c>
      <c r="B2257" s="2" t="s">
        <v>3782</v>
      </c>
      <c r="C2257" s="2">
        <v>0.96</v>
      </c>
      <c r="D2257" s="2">
        <v>36.252099999999999</v>
      </c>
      <c r="E2257" s="2" t="s">
        <v>265</v>
      </c>
    </row>
    <row r="2258" spans="1:5" ht="20.25" customHeight="1" x14ac:dyDescent="0.15">
      <c r="A2258" s="2" t="s">
        <v>4066</v>
      </c>
      <c r="B2258" s="2" t="s">
        <v>4067</v>
      </c>
      <c r="C2258" s="2">
        <v>0.96</v>
      </c>
      <c r="D2258" s="2">
        <v>2.2214999999999998</v>
      </c>
      <c r="E2258" s="2" t="s">
        <v>171</v>
      </c>
    </row>
    <row r="2259" spans="1:5" ht="20.25" customHeight="1" x14ac:dyDescent="0.15">
      <c r="A2259" s="2" t="s">
        <v>5547</v>
      </c>
      <c r="B2259" s="2" t="s">
        <v>5548</v>
      </c>
      <c r="C2259" s="2">
        <v>0.96</v>
      </c>
      <c r="D2259" s="2">
        <v>2.9091</v>
      </c>
      <c r="E2259" s="2" t="s">
        <v>605</v>
      </c>
    </row>
    <row r="2260" spans="1:5" ht="20.25" customHeight="1" x14ac:dyDescent="0.15">
      <c r="A2260" s="2" t="s">
        <v>5830</v>
      </c>
      <c r="B2260" s="2" t="s">
        <v>5831</v>
      </c>
      <c r="C2260" s="2">
        <v>0.96</v>
      </c>
      <c r="D2260" s="2">
        <v>30.685300000000002</v>
      </c>
      <c r="E2260" s="2" t="s">
        <v>374</v>
      </c>
    </row>
    <row r="2261" spans="1:5" ht="20.25" customHeight="1" x14ac:dyDescent="0.15">
      <c r="A2261" s="2" t="s">
        <v>6178</v>
      </c>
      <c r="B2261" s="2" t="s">
        <v>6179</v>
      </c>
      <c r="C2261" s="2">
        <v>0.96</v>
      </c>
      <c r="D2261" s="2">
        <v>0.60150000000000003</v>
      </c>
      <c r="E2261" s="2" t="s">
        <v>605</v>
      </c>
    </row>
    <row r="2262" spans="1:5" ht="20.25" customHeight="1" x14ac:dyDescent="0.15">
      <c r="A2262" s="2" t="s">
        <v>6616</v>
      </c>
      <c r="B2262" s="2" t="s">
        <v>6617</v>
      </c>
      <c r="C2262" s="2">
        <v>0.96</v>
      </c>
      <c r="D2262" s="2">
        <v>384.19260000000003</v>
      </c>
      <c r="E2262" s="2" t="s">
        <v>633</v>
      </c>
    </row>
    <row r="2263" spans="1:5" ht="20.25" customHeight="1" x14ac:dyDescent="0.15">
      <c r="A2263" s="2" t="s">
        <v>7429</v>
      </c>
      <c r="B2263" s="2" t="s">
        <v>7430</v>
      </c>
      <c r="C2263" s="2">
        <v>0.96</v>
      </c>
      <c r="D2263" s="2">
        <v>911.34590000000003</v>
      </c>
      <c r="E2263" s="2" t="s">
        <v>2681</v>
      </c>
    </row>
    <row r="2264" spans="1:5" ht="20.25" customHeight="1" x14ac:dyDescent="0.15">
      <c r="A2264" s="2" t="s">
        <v>7465</v>
      </c>
      <c r="B2264" s="2" t="s">
        <v>7466</v>
      </c>
      <c r="C2264" s="2">
        <v>0.96</v>
      </c>
      <c r="D2264" s="2">
        <v>0.44180000000000003</v>
      </c>
      <c r="E2264" s="2" t="s">
        <v>630</v>
      </c>
    </row>
    <row r="2265" spans="1:5" ht="20.25" customHeight="1" x14ac:dyDescent="0.15">
      <c r="A2265" s="2" t="s">
        <v>8273</v>
      </c>
      <c r="B2265" s="2" t="s">
        <v>8274</v>
      </c>
      <c r="C2265" s="2">
        <v>0.96</v>
      </c>
      <c r="D2265" s="2">
        <v>2.6772</v>
      </c>
      <c r="E2265" s="2" t="s">
        <v>551</v>
      </c>
    </row>
    <row r="2266" spans="1:5" ht="20.25" customHeight="1" x14ac:dyDescent="0.15">
      <c r="A2266" s="2" t="s">
        <v>8341</v>
      </c>
      <c r="B2266" s="2" t="s">
        <v>8342</v>
      </c>
      <c r="C2266" s="2">
        <v>0.96</v>
      </c>
      <c r="D2266" s="2">
        <v>4.9522000000000004</v>
      </c>
      <c r="E2266" s="2" t="s">
        <v>1820</v>
      </c>
    </row>
    <row r="2267" spans="1:5" ht="20.25" customHeight="1" x14ac:dyDescent="0.15">
      <c r="A2267" s="2" t="s">
        <v>7071</v>
      </c>
      <c r="B2267" s="2" t="s">
        <v>7072</v>
      </c>
      <c r="C2267" s="2">
        <v>0.95499999999999996</v>
      </c>
      <c r="D2267" s="2">
        <v>1.8805000000000001</v>
      </c>
      <c r="E2267" s="2" t="s">
        <v>207</v>
      </c>
    </row>
    <row r="2268" spans="1:5" ht="20.25" customHeight="1" x14ac:dyDescent="0.15">
      <c r="A2268" s="2" t="s">
        <v>79</v>
      </c>
      <c r="B2268" s="2" t="s">
        <v>80</v>
      </c>
      <c r="C2268" s="2">
        <v>0.95</v>
      </c>
      <c r="D2268" s="2">
        <v>9.0399999999999994E-2</v>
      </c>
      <c r="E2268" s="2" t="s">
        <v>81</v>
      </c>
    </row>
    <row r="2269" spans="1:5" ht="20.25" customHeight="1" x14ac:dyDescent="0.15">
      <c r="A2269" s="2" t="s">
        <v>2206</v>
      </c>
      <c r="B2269" s="2" t="s">
        <v>2207</v>
      </c>
      <c r="C2269" s="2">
        <v>0.95</v>
      </c>
      <c r="D2269" s="2">
        <v>1.0971</v>
      </c>
      <c r="E2269" s="2" t="s">
        <v>140</v>
      </c>
    </row>
    <row r="2270" spans="1:5" ht="20.25" customHeight="1" x14ac:dyDescent="0.15">
      <c r="A2270" s="2" t="s">
        <v>2284</v>
      </c>
      <c r="B2270" s="2" t="s">
        <v>2285</v>
      </c>
      <c r="C2270" s="2">
        <v>0.95</v>
      </c>
      <c r="D2270" s="2">
        <v>6.6750999999999996</v>
      </c>
      <c r="E2270" s="2" t="s">
        <v>371</v>
      </c>
    </row>
    <row r="2271" spans="1:5" ht="20.25" customHeight="1" x14ac:dyDescent="0.15">
      <c r="A2271" s="2" t="s">
        <v>3008</v>
      </c>
      <c r="B2271" s="2" t="s">
        <v>3009</v>
      </c>
      <c r="C2271" s="2">
        <v>0.95</v>
      </c>
      <c r="D2271" s="2">
        <v>0.16700000000000001</v>
      </c>
      <c r="E2271" s="2" t="s">
        <v>111</v>
      </c>
    </row>
    <row r="2272" spans="1:5" ht="20.25" customHeight="1" x14ac:dyDescent="0.15">
      <c r="A2272" s="2" t="s">
        <v>3182</v>
      </c>
      <c r="B2272" s="2" t="s">
        <v>3183</v>
      </c>
      <c r="C2272" s="2">
        <v>0.95</v>
      </c>
      <c r="D2272" s="2">
        <v>60.136600000000001</v>
      </c>
      <c r="E2272" s="2" t="s">
        <v>111</v>
      </c>
    </row>
    <row r="2273" spans="1:5" ht="20.25" customHeight="1" x14ac:dyDescent="0.15">
      <c r="A2273" s="2" t="s">
        <v>3791</v>
      </c>
      <c r="B2273" s="2" t="s">
        <v>3792</v>
      </c>
      <c r="C2273" s="2">
        <v>0.95</v>
      </c>
      <c r="D2273" s="2">
        <v>7.7618</v>
      </c>
      <c r="E2273" s="2" t="s">
        <v>286</v>
      </c>
    </row>
    <row r="2274" spans="1:5" ht="20.25" customHeight="1" x14ac:dyDescent="0.15">
      <c r="A2274" s="2" t="s">
        <v>3859</v>
      </c>
      <c r="B2274" s="2" t="s">
        <v>3860</v>
      </c>
      <c r="C2274" s="2">
        <v>0.95</v>
      </c>
      <c r="D2274" s="2">
        <v>0.1883</v>
      </c>
      <c r="E2274" s="2" t="s">
        <v>713</v>
      </c>
    </row>
    <row r="2275" spans="1:5" ht="20.25" customHeight="1" x14ac:dyDescent="0.15">
      <c r="A2275" s="2" t="s">
        <v>4747</v>
      </c>
      <c r="B2275" s="2" t="s">
        <v>4748</v>
      </c>
      <c r="C2275" s="2">
        <v>0.95</v>
      </c>
      <c r="D2275" s="2">
        <v>2.7031999999999998</v>
      </c>
      <c r="E2275" s="2" t="s">
        <v>123</v>
      </c>
    </row>
    <row r="2276" spans="1:5" ht="20.25" customHeight="1" x14ac:dyDescent="0.15">
      <c r="A2276" s="2" t="s">
        <v>8197</v>
      </c>
      <c r="B2276" s="2" t="s">
        <v>8198</v>
      </c>
      <c r="C2276" s="2">
        <v>0.95</v>
      </c>
      <c r="D2276" s="2">
        <v>2.4257</v>
      </c>
      <c r="E2276" s="2" t="s">
        <v>286</v>
      </c>
    </row>
    <row r="2277" spans="1:5" ht="20.25" customHeight="1" x14ac:dyDescent="0.15">
      <c r="A2277" s="2" t="s">
        <v>116</v>
      </c>
      <c r="B2277" s="2" t="s">
        <v>117</v>
      </c>
      <c r="C2277" s="2">
        <v>0.94</v>
      </c>
      <c r="D2277" s="2">
        <v>0.14899999999999999</v>
      </c>
      <c r="E2277" s="2" t="s">
        <v>27</v>
      </c>
    </row>
    <row r="2278" spans="1:5" ht="20.25" customHeight="1" x14ac:dyDescent="0.15">
      <c r="A2278" s="2" t="s">
        <v>507</v>
      </c>
      <c r="B2278" s="2" t="s">
        <v>508</v>
      </c>
      <c r="C2278" s="2">
        <v>0.94</v>
      </c>
      <c r="D2278" s="2">
        <v>57.314799999999998</v>
      </c>
      <c r="E2278" s="2" t="s">
        <v>409</v>
      </c>
    </row>
    <row r="2279" spans="1:5" ht="20.25" customHeight="1" x14ac:dyDescent="0.15">
      <c r="A2279" s="2" t="s">
        <v>519</v>
      </c>
      <c r="B2279" s="2" t="s">
        <v>520</v>
      </c>
      <c r="C2279" s="2">
        <v>0.94</v>
      </c>
      <c r="D2279" s="2">
        <v>0.46260000000000001</v>
      </c>
      <c r="E2279" s="2" t="s">
        <v>171</v>
      </c>
    </row>
    <row r="2280" spans="1:5" ht="20.25" customHeight="1" x14ac:dyDescent="0.15">
      <c r="A2280" s="2" t="s">
        <v>1775</v>
      </c>
      <c r="B2280" s="2" t="s">
        <v>1776</v>
      </c>
      <c r="C2280" s="2">
        <v>0.94</v>
      </c>
      <c r="D2280" s="2">
        <v>8.6501000000000001</v>
      </c>
      <c r="E2280" s="2" t="s">
        <v>299</v>
      </c>
    </row>
    <row r="2281" spans="1:5" ht="20.25" customHeight="1" x14ac:dyDescent="0.15">
      <c r="A2281" s="2" t="s">
        <v>2246</v>
      </c>
      <c r="B2281" s="2" t="s">
        <v>2247</v>
      </c>
      <c r="C2281" s="2">
        <v>0.94</v>
      </c>
      <c r="D2281" s="2">
        <v>5.5065</v>
      </c>
      <c r="E2281" s="2" t="s">
        <v>406</v>
      </c>
    </row>
    <row r="2282" spans="1:5" ht="20.25" customHeight="1" x14ac:dyDescent="0.15">
      <c r="A2282" s="2" t="s">
        <v>2278</v>
      </c>
      <c r="B2282" s="2" t="s">
        <v>2279</v>
      </c>
      <c r="C2282" s="2">
        <v>0.94</v>
      </c>
      <c r="D2282" s="2">
        <v>39.457500000000003</v>
      </c>
      <c r="E2282" s="2" t="s">
        <v>1338</v>
      </c>
    </row>
    <row r="2283" spans="1:5" ht="20.25" customHeight="1" x14ac:dyDescent="0.15">
      <c r="A2283" s="2" t="s">
        <v>2496</v>
      </c>
      <c r="B2283" s="2" t="s">
        <v>2497</v>
      </c>
      <c r="C2283" s="2">
        <v>0.94</v>
      </c>
      <c r="D2283" s="2">
        <v>0.20610000000000001</v>
      </c>
      <c r="E2283" s="2" t="s">
        <v>339</v>
      </c>
    </row>
    <row r="2284" spans="1:5" ht="20.25" customHeight="1" x14ac:dyDescent="0.15">
      <c r="A2284" s="2" t="s">
        <v>3613</v>
      </c>
      <c r="B2284" s="2" t="s">
        <v>3614</v>
      </c>
      <c r="C2284" s="2">
        <v>0.94</v>
      </c>
      <c r="D2284" s="2">
        <v>0.58030000000000004</v>
      </c>
      <c r="E2284" s="2" t="s">
        <v>140</v>
      </c>
    </row>
    <row r="2285" spans="1:5" ht="20.25" customHeight="1" x14ac:dyDescent="0.15">
      <c r="A2285" s="2" t="s">
        <v>4684</v>
      </c>
      <c r="B2285" s="2" t="s">
        <v>4685</v>
      </c>
      <c r="C2285" s="2">
        <v>0.94</v>
      </c>
      <c r="D2285" s="2">
        <v>3.0449999999999999</v>
      </c>
      <c r="E2285" s="2" t="s">
        <v>2681</v>
      </c>
    </row>
    <row r="2286" spans="1:5" ht="20.25" customHeight="1" x14ac:dyDescent="0.15">
      <c r="A2286" s="2" t="s">
        <v>5122</v>
      </c>
      <c r="B2286" s="2" t="s">
        <v>5123</v>
      </c>
      <c r="C2286" s="2">
        <v>0.94</v>
      </c>
      <c r="D2286" s="2">
        <v>0.73719999999999997</v>
      </c>
      <c r="E2286" s="2" t="s">
        <v>92</v>
      </c>
    </row>
    <row r="2287" spans="1:5" ht="20.25" customHeight="1" x14ac:dyDescent="0.15">
      <c r="A2287" s="2" t="s">
        <v>5373</v>
      </c>
      <c r="B2287" s="2" t="s">
        <v>5374</v>
      </c>
      <c r="C2287" s="2">
        <v>0.94</v>
      </c>
      <c r="D2287" s="2">
        <v>0.69740000000000002</v>
      </c>
      <c r="E2287" s="2" t="s">
        <v>44</v>
      </c>
    </row>
    <row r="2288" spans="1:5" ht="20.25" customHeight="1" x14ac:dyDescent="0.15">
      <c r="A2288" s="2" t="s">
        <v>6552</v>
      </c>
      <c r="B2288" s="2" t="s">
        <v>6553</v>
      </c>
      <c r="C2288" s="2">
        <v>0.94</v>
      </c>
      <c r="D2288" s="2">
        <v>1.7593000000000001</v>
      </c>
      <c r="E2288" s="2" t="s">
        <v>391</v>
      </c>
    </row>
    <row r="2289" spans="1:5" ht="20.25" customHeight="1" x14ac:dyDescent="0.15">
      <c r="A2289" s="2" t="s">
        <v>6797</v>
      </c>
      <c r="B2289" s="2" t="s">
        <v>6798</v>
      </c>
      <c r="C2289" s="2">
        <v>0.94</v>
      </c>
      <c r="D2289" s="2">
        <v>2.3738000000000001</v>
      </c>
      <c r="E2289" s="2" t="s">
        <v>391</v>
      </c>
    </row>
    <row r="2290" spans="1:5" ht="20.25" customHeight="1" x14ac:dyDescent="0.15">
      <c r="A2290" s="2" t="s">
        <v>7933</v>
      </c>
      <c r="B2290" s="2" t="s">
        <v>7934</v>
      </c>
      <c r="C2290" s="2">
        <v>0.94</v>
      </c>
      <c r="D2290" s="2">
        <v>0.43280000000000002</v>
      </c>
      <c r="E2290" s="2" t="s">
        <v>201</v>
      </c>
    </row>
    <row r="2291" spans="1:5" ht="20.25" customHeight="1" x14ac:dyDescent="0.15">
      <c r="A2291" s="2" t="s">
        <v>3687</v>
      </c>
      <c r="B2291" s="2" t="s">
        <v>3688</v>
      </c>
      <c r="C2291" s="2">
        <v>0.93</v>
      </c>
      <c r="D2291" s="2">
        <v>3.8338000000000001</v>
      </c>
      <c r="E2291" s="2" t="s">
        <v>123</v>
      </c>
    </row>
    <row r="2292" spans="1:5" ht="20.25" customHeight="1" x14ac:dyDescent="0.15">
      <c r="A2292" s="2" t="s">
        <v>3754</v>
      </c>
      <c r="B2292" s="2" t="s">
        <v>3755</v>
      </c>
      <c r="C2292" s="2">
        <v>0.93</v>
      </c>
      <c r="D2292" s="2">
        <v>0.16439999999999999</v>
      </c>
      <c r="E2292" s="2" t="s">
        <v>2038</v>
      </c>
    </row>
    <row r="2293" spans="1:5" ht="20.25" customHeight="1" x14ac:dyDescent="0.15">
      <c r="A2293" s="2" t="s">
        <v>4771</v>
      </c>
      <c r="B2293" s="2" t="s">
        <v>4772</v>
      </c>
      <c r="C2293" s="2">
        <v>0.93</v>
      </c>
      <c r="D2293" s="2">
        <v>0.1651</v>
      </c>
      <c r="E2293" s="2" t="s">
        <v>74</v>
      </c>
    </row>
    <row r="2294" spans="1:5" ht="20.25" customHeight="1" x14ac:dyDescent="0.15">
      <c r="A2294" s="2" t="s">
        <v>4827</v>
      </c>
      <c r="B2294" s="2" t="s">
        <v>4828</v>
      </c>
      <c r="C2294" s="2">
        <v>0.93</v>
      </c>
      <c r="D2294" s="2">
        <v>0.64119999999999999</v>
      </c>
      <c r="E2294" s="2" t="s">
        <v>81</v>
      </c>
    </row>
    <row r="2295" spans="1:5" ht="20.25" customHeight="1" x14ac:dyDescent="0.15">
      <c r="A2295" s="2" t="s">
        <v>5222</v>
      </c>
      <c r="B2295" s="2" t="s">
        <v>5223</v>
      </c>
      <c r="C2295" s="2">
        <v>0.93</v>
      </c>
      <c r="D2295" s="2">
        <v>21.1539</v>
      </c>
      <c r="E2295" s="2" t="s">
        <v>670</v>
      </c>
    </row>
    <row r="2296" spans="1:5" ht="20.25" customHeight="1" x14ac:dyDescent="0.15">
      <c r="A2296" s="2" t="s">
        <v>8363</v>
      </c>
      <c r="B2296" s="2" t="s">
        <v>8364</v>
      </c>
      <c r="C2296" s="2">
        <v>0.93</v>
      </c>
      <c r="D2296" s="2">
        <v>1.6879999999999999</v>
      </c>
      <c r="E2296" s="2" t="s">
        <v>371</v>
      </c>
    </row>
    <row r="2297" spans="1:5" ht="20.25" customHeight="1" x14ac:dyDescent="0.15">
      <c r="A2297" s="2" t="s">
        <v>5328</v>
      </c>
      <c r="B2297" s="2" t="s">
        <v>5329</v>
      </c>
      <c r="C2297" s="2">
        <v>0.92500000000000004</v>
      </c>
      <c r="D2297" s="2">
        <v>3.5771999999999999</v>
      </c>
      <c r="E2297" s="2" t="s">
        <v>299</v>
      </c>
    </row>
    <row r="2298" spans="1:5" ht="20.25" customHeight="1" x14ac:dyDescent="0.15">
      <c r="A2298" s="2" t="s">
        <v>287</v>
      </c>
      <c r="B2298" s="2" t="s">
        <v>288</v>
      </c>
      <c r="C2298" s="2">
        <v>0.92</v>
      </c>
      <c r="D2298" s="2">
        <v>2.1440000000000001</v>
      </c>
      <c r="E2298" s="2" t="s">
        <v>225</v>
      </c>
    </row>
    <row r="2299" spans="1:5" ht="20.25" customHeight="1" x14ac:dyDescent="0.15">
      <c r="A2299" s="2" t="s">
        <v>819</v>
      </c>
      <c r="B2299" s="2" t="s">
        <v>820</v>
      </c>
      <c r="C2299" s="2">
        <v>0.92</v>
      </c>
      <c r="D2299" s="2">
        <v>1.1138999999999999</v>
      </c>
      <c r="E2299" s="2" t="s">
        <v>225</v>
      </c>
    </row>
    <row r="2300" spans="1:5" ht="20.25" customHeight="1" x14ac:dyDescent="0.15">
      <c r="A2300" s="2" t="s">
        <v>1071</v>
      </c>
      <c r="B2300" s="2" t="s">
        <v>1072</v>
      </c>
      <c r="C2300" s="2">
        <v>0.92</v>
      </c>
      <c r="D2300" s="2">
        <v>0.1961</v>
      </c>
      <c r="E2300" s="2" t="s">
        <v>35</v>
      </c>
    </row>
    <row r="2301" spans="1:5" ht="20.25" customHeight="1" x14ac:dyDescent="0.15">
      <c r="A2301" s="2" t="s">
        <v>1235</v>
      </c>
      <c r="B2301" s="2" t="s">
        <v>1236</v>
      </c>
      <c r="C2301" s="2">
        <v>0.92</v>
      </c>
      <c r="D2301" s="2">
        <v>5.3174999999999999</v>
      </c>
      <c r="E2301" s="2" t="s">
        <v>916</v>
      </c>
    </row>
    <row r="2302" spans="1:5" ht="20.25" customHeight="1" x14ac:dyDescent="0.15">
      <c r="A2302" s="2" t="s">
        <v>1353</v>
      </c>
      <c r="B2302" s="2" t="s">
        <v>1354</v>
      </c>
      <c r="C2302" s="2">
        <v>0.92</v>
      </c>
      <c r="D2302" s="2">
        <v>1.1484000000000001</v>
      </c>
      <c r="E2302" s="2" t="s">
        <v>430</v>
      </c>
    </row>
    <row r="2303" spans="1:5" ht="20.25" customHeight="1" x14ac:dyDescent="0.15">
      <c r="A2303" s="2" t="s">
        <v>2028</v>
      </c>
      <c r="B2303" s="2" t="s">
        <v>2029</v>
      </c>
      <c r="C2303" s="2">
        <v>0.92</v>
      </c>
      <c r="D2303" s="2">
        <v>0.1411</v>
      </c>
      <c r="E2303" s="2" t="s">
        <v>89</v>
      </c>
    </row>
    <row r="2304" spans="1:5" ht="20.25" customHeight="1" x14ac:dyDescent="0.15">
      <c r="A2304" s="2" t="s">
        <v>2522</v>
      </c>
      <c r="B2304" s="2" t="s">
        <v>2523</v>
      </c>
      <c r="C2304" s="2">
        <v>0.92</v>
      </c>
      <c r="D2304" s="2">
        <v>2.1694</v>
      </c>
      <c r="E2304" s="2" t="s">
        <v>13</v>
      </c>
    </row>
    <row r="2305" spans="1:5" ht="20.25" customHeight="1" x14ac:dyDescent="0.15">
      <c r="A2305" s="2" t="s">
        <v>2604</v>
      </c>
      <c r="B2305" s="2" t="s">
        <v>2605</v>
      </c>
      <c r="C2305" s="2">
        <v>0.92</v>
      </c>
      <c r="D2305" s="2">
        <v>1.0347999999999999</v>
      </c>
      <c r="E2305" s="2" t="s">
        <v>207</v>
      </c>
    </row>
    <row r="2306" spans="1:5" ht="20.25" customHeight="1" x14ac:dyDescent="0.15">
      <c r="A2306" s="2" t="s">
        <v>3010</v>
      </c>
      <c r="B2306" s="2" t="s">
        <v>3011</v>
      </c>
      <c r="C2306" s="2">
        <v>0.92</v>
      </c>
      <c r="D2306" s="2">
        <v>0.38109999999999999</v>
      </c>
      <c r="E2306" s="2" t="s">
        <v>81</v>
      </c>
    </row>
    <row r="2307" spans="1:5" ht="20.25" customHeight="1" x14ac:dyDescent="0.15">
      <c r="A2307" s="2" t="s">
        <v>3280</v>
      </c>
      <c r="B2307" s="2" t="s">
        <v>3281</v>
      </c>
      <c r="C2307" s="2">
        <v>0.92</v>
      </c>
      <c r="D2307" s="2">
        <v>0.33260000000000001</v>
      </c>
      <c r="E2307" s="2" t="s">
        <v>916</v>
      </c>
    </row>
    <row r="2308" spans="1:5" ht="20.25" customHeight="1" x14ac:dyDescent="0.15">
      <c r="A2308" s="2" t="s">
        <v>3346</v>
      </c>
      <c r="B2308" s="2" t="s">
        <v>3347</v>
      </c>
      <c r="C2308" s="2">
        <v>0.92</v>
      </c>
      <c r="D2308" s="2">
        <v>1.1006</v>
      </c>
      <c r="E2308" s="2" t="s">
        <v>690</v>
      </c>
    </row>
    <row r="2309" spans="1:5" ht="20.25" customHeight="1" x14ac:dyDescent="0.15">
      <c r="A2309" s="2" t="s">
        <v>3477</v>
      </c>
      <c r="B2309" s="2" t="s">
        <v>3478</v>
      </c>
      <c r="C2309" s="2">
        <v>0.92</v>
      </c>
      <c r="D2309" s="2">
        <v>2.5533999999999999</v>
      </c>
      <c r="E2309" s="2" t="s">
        <v>421</v>
      </c>
    </row>
    <row r="2310" spans="1:5" ht="20.25" customHeight="1" x14ac:dyDescent="0.15">
      <c r="A2310" s="2" t="s">
        <v>4666</v>
      </c>
      <c r="B2310" s="2" t="s">
        <v>4667</v>
      </c>
      <c r="C2310" s="2">
        <v>0.92</v>
      </c>
      <c r="D2310" s="2">
        <v>1.004</v>
      </c>
      <c r="E2310" s="2" t="s">
        <v>89</v>
      </c>
    </row>
    <row r="2311" spans="1:5" ht="20.25" customHeight="1" x14ac:dyDescent="0.15">
      <c r="A2311" s="2" t="s">
        <v>4940</v>
      </c>
      <c r="B2311" s="2" t="s">
        <v>4941</v>
      </c>
      <c r="C2311" s="2">
        <v>0.92</v>
      </c>
      <c r="D2311" s="2">
        <v>1.0953999999999999</v>
      </c>
      <c r="E2311" s="2" t="s">
        <v>2374</v>
      </c>
    </row>
    <row r="2312" spans="1:5" ht="20.25" customHeight="1" x14ac:dyDescent="0.15">
      <c r="A2312" s="2" t="s">
        <v>5387</v>
      </c>
      <c r="B2312" s="2" t="s">
        <v>5388</v>
      </c>
      <c r="C2312" s="2">
        <v>0.92</v>
      </c>
      <c r="D2312" s="2">
        <v>1.9791000000000001</v>
      </c>
      <c r="E2312" s="2" t="s">
        <v>704</v>
      </c>
    </row>
    <row r="2313" spans="1:5" ht="20.25" customHeight="1" x14ac:dyDescent="0.15">
      <c r="A2313" s="2" t="s">
        <v>5952</v>
      </c>
      <c r="B2313" s="2" t="s">
        <v>5953</v>
      </c>
      <c r="C2313" s="2">
        <v>0.92</v>
      </c>
      <c r="D2313" s="2">
        <v>0.58340000000000003</v>
      </c>
      <c r="E2313" s="2" t="s">
        <v>3048</v>
      </c>
    </row>
    <row r="2314" spans="1:5" ht="20.25" customHeight="1" x14ac:dyDescent="0.15">
      <c r="A2314" s="2" t="s">
        <v>6604</v>
      </c>
      <c r="B2314" s="2" t="s">
        <v>6605</v>
      </c>
      <c r="C2314" s="2">
        <v>0.92</v>
      </c>
      <c r="D2314" s="2">
        <v>1.0482</v>
      </c>
      <c r="E2314" s="2" t="s">
        <v>1533</v>
      </c>
    </row>
    <row r="2315" spans="1:5" ht="20.25" customHeight="1" x14ac:dyDescent="0.15">
      <c r="A2315" s="2" t="s">
        <v>6995</v>
      </c>
      <c r="B2315" s="2" t="s">
        <v>6996</v>
      </c>
      <c r="C2315" s="2">
        <v>0.92</v>
      </c>
      <c r="D2315" s="2">
        <v>1.1306</v>
      </c>
      <c r="E2315" s="2" t="s">
        <v>3005</v>
      </c>
    </row>
    <row r="2316" spans="1:5" ht="20.25" customHeight="1" x14ac:dyDescent="0.15">
      <c r="A2316" s="2" t="s">
        <v>7075</v>
      </c>
      <c r="B2316" s="2" t="s">
        <v>7076</v>
      </c>
      <c r="C2316" s="2">
        <v>0.92</v>
      </c>
      <c r="D2316" s="2">
        <v>7.1499999999999994E-2</v>
      </c>
      <c r="E2316" s="2" t="s">
        <v>140</v>
      </c>
    </row>
    <row r="2317" spans="1:5" ht="20.25" customHeight="1" x14ac:dyDescent="0.15">
      <c r="A2317" s="2" t="s">
        <v>7743</v>
      </c>
      <c r="B2317" s="2" t="s">
        <v>7744</v>
      </c>
      <c r="C2317" s="2">
        <v>0.92</v>
      </c>
      <c r="D2317" s="2">
        <v>2.4828000000000001</v>
      </c>
      <c r="E2317" s="2" t="s">
        <v>1338</v>
      </c>
    </row>
    <row r="2318" spans="1:5" ht="20.25" customHeight="1" x14ac:dyDescent="0.15">
      <c r="A2318" s="2" t="s">
        <v>5100</v>
      </c>
      <c r="B2318" s="2" t="s">
        <v>5101</v>
      </c>
      <c r="C2318" s="2">
        <v>0.91500000000000004</v>
      </c>
      <c r="D2318" s="2">
        <v>0.92649999999999999</v>
      </c>
      <c r="E2318" s="2" t="s">
        <v>207</v>
      </c>
    </row>
    <row r="2319" spans="1:5" ht="20.25" customHeight="1" x14ac:dyDescent="0.15">
      <c r="A2319" s="2" t="s">
        <v>7373</v>
      </c>
      <c r="B2319" s="2" t="s">
        <v>7374</v>
      </c>
      <c r="C2319" s="2">
        <v>0.91500000000000004</v>
      </c>
      <c r="D2319" s="2">
        <v>1.4026000000000001</v>
      </c>
      <c r="E2319" s="2" t="s">
        <v>339</v>
      </c>
    </row>
    <row r="2320" spans="1:5" ht="20.25" customHeight="1" x14ac:dyDescent="0.15">
      <c r="A2320" s="2" t="s">
        <v>272</v>
      </c>
      <c r="B2320" s="2" t="s">
        <v>273</v>
      </c>
      <c r="C2320" s="2">
        <v>0.91</v>
      </c>
      <c r="D2320" s="2">
        <v>3.3871000000000002</v>
      </c>
      <c r="E2320" s="2" t="s">
        <v>245</v>
      </c>
    </row>
    <row r="2321" spans="1:5" ht="20.25" customHeight="1" x14ac:dyDescent="0.15">
      <c r="A2321" s="2" t="s">
        <v>865</v>
      </c>
      <c r="B2321" s="2" t="s">
        <v>866</v>
      </c>
      <c r="C2321" s="2">
        <v>0.91</v>
      </c>
      <c r="D2321" s="2">
        <v>1.0048999999999999</v>
      </c>
      <c r="E2321" s="2" t="s">
        <v>225</v>
      </c>
    </row>
    <row r="2322" spans="1:5" ht="20.25" customHeight="1" x14ac:dyDescent="0.15">
      <c r="A2322" s="2" t="s">
        <v>1375</v>
      </c>
      <c r="B2322" s="2" t="s">
        <v>1376</v>
      </c>
      <c r="C2322" s="2">
        <v>0.91</v>
      </c>
      <c r="D2322" s="2">
        <v>0.18</v>
      </c>
      <c r="E2322" s="2" t="s">
        <v>81</v>
      </c>
    </row>
    <row r="2323" spans="1:5" ht="20.25" customHeight="1" x14ac:dyDescent="0.15">
      <c r="A2323" s="2" t="s">
        <v>1818</v>
      </c>
      <c r="B2323" s="2" t="s">
        <v>1819</v>
      </c>
      <c r="C2323" s="2">
        <v>0.91</v>
      </c>
      <c r="D2323" s="2">
        <v>0.52580000000000005</v>
      </c>
      <c r="E2323" s="2" t="s">
        <v>1820</v>
      </c>
    </row>
    <row r="2324" spans="1:5" ht="20.25" customHeight="1" x14ac:dyDescent="0.15">
      <c r="A2324" s="2" t="s">
        <v>2666</v>
      </c>
      <c r="B2324" s="2" t="s">
        <v>2667</v>
      </c>
      <c r="C2324" s="2">
        <v>0.91</v>
      </c>
      <c r="D2324" s="2">
        <v>5.5E-2</v>
      </c>
      <c r="E2324" s="2" t="s">
        <v>638</v>
      </c>
    </row>
    <row r="2325" spans="1:5" ht="20.25" customHeight="1" x14ac:dyDescent="0.15">
      <c r="A2325" s="2" t="s">
        <v>2939</v>
      </c>
      <c r="B2325" s="2" t="s">
        <v>2940</v>
      </c>
      <c r="C2325" s="2">
        <v>0.91</v>
      </c>
      <c r="D2325" s="2">
        <v>0.41489999999999999</v>
      </c>
      <c r="E2325" s="2" t="s">
        <v>630</v>
      </c>
    </row>
    <row r="2326" spans="1:5" ht="20.25" customHeight="1" x14ac:dyDescent="0.15">
      <c r="A2326" s="2" t="s">
        <v>3775</v>
      </c>
      <c r="B2326" s="2" t="s">
        <v>3776</v>
      </c>
      <c r="C2326" s="2">
        <v>0.91</v>
      </c>
      <c r="D2326" s="2">
        <v>14.5778</v>
      </c>
      <c r="E2326" s="2" t="s">
        <v>299</v>
      </c>
    </row>
    <row r="2327" spans="1:5" ht="20.25" customHeight="1" x14ac:dyDescent="0.15">
      <c r="A2327" s="2" t="s">
        <v>6008</v>
      </c>
      <c r="B2327" s="2" t="s">
        <v>6009</v>
      </c>
      <c r="C2327" s="2">
        <v>0.91</v>
      </c>
      <c r="D2327" s="2">
        <v>0.182</v>
      </c>
      <c r="E2327" s="2" t="s">
        <v>157</v>
      </c>
    </row>
    <row r="2328" spans="1:5" ht="20.25" customHeight="1" x14ac:dyDescent="0.15">
      <c r="A2328" s="2" t="s">
        <v>6825</v>
      </c>
      <c r="B2328" s="2" t="s">
        <v>6826</v>
      </c>
      <c r="C2328" s="2">
        <v>0.91</v>
      </c>
      <c r="D2328" s="2">
        <v>2.3544999999999998</v>
      </c>
      <c r="E2328" s="2" t="s">
        <v>1091</v>
      </c>
    </row>
    <row r="2329" spans="1:5" ht="20.25" customHeight="1" x14ac:dyDescent="0.15">
      <c r="A2329" s="2" t="s">
        <v>6875</v>
      </c>
      <c r="B2329" s="2" t="s">
        <v>6876</v>
      </c>
      <c r="C2329" s="2">
        <v>0.91</v>
      </c>
      <c r="D2329" s="2">
        <v>0.76970000000000005</v>
      </c>
      <c r="E2329" s="2" t="s">
        <v>589</v>
      </c>
    </row>
    <row r="2330" spans="1:5" ht="20.25" customHeight="1" x14ac:dyDescent="0.15">
      <c r="A2330" s="2" t="s">
        <v>7037</v>
      </c>
      <c r="B2330" s="2" t="s">
        <v>7038</v>
      </c>
      <c r="C2330" s="2">
        <v>0.91</v>
      </c>
      <c r="D2330" s="2">
        <v>2.6939000000000002</v>
      </c>
      <c r="E2330" s="2" t="s">
        <v>1338</v>
      </c>
    </row>
    <row r="2331" spans="1:5" ht="20.25" customHeight="1" x14ac:dyDescent="0.15">
      <c r="A2331" s="2" t="s">
        <v>7735</v>
      </c>
      <c r="B2331" s="2" t="s">
        <v>7736</v>
      </c>
      <c r="C2331" s="2">
        <v>0.91</v>
      </c>
      <c r="D2331" s="2">
        <v>0.9446</v>
      </c>
      <c r="E2331" s="2" t="s">
        <v>1608</v>
      </c>
    </row>
    <row r="2332" spans="1:5" ht="20.25" customHeight="1" x14ac:dyDescent="0.15">
      <c r="A2332" s="2" t="s">
        <v>7927</v>
      </c>
      <c r="B2332" s="2" t="s">
        <v>7928</v>
      </c>
      <c r="C2332" s="2">
        <v>0.91</v>
      </c>
      <c r="D2332" s="2">
        <v>8.6074999999999999</v>
      </c>
      <c r="E2332" s="2" t="s">
        <v>171</v>
      </c>
    </row>
    <row r="2333" spans="1:5" ht="20.25" customHeight="1" x14ac:dyDescent="0.15">
      <c r="A2333" s="2" t="s">
        <v>2453</v>
      </c>
      <c r="B2333" s="2" t="s">
        <v>2454</v>
      </c>
      <c r="C2333" s="2">
        <v>0.9</v>
      </c>
      <c r="D2333" s="2">
        <v>2.8346</v>
      </c>
      <c r="E2333" s="2" t="s">
        <v>60</v>
      </c>
    </row>
    <row r="2334" spans="1:5" ht="20.25" customHeight="1" x14ac:dyDescent="0.15">
      <c r="A2334" s="2" t="s">
        <v>4060</v>
      </c>
      <c r="B2334" s="2" t="s">
        <v>4061</v>
      </c>
      <c r="C2334" s="2">
        <v>0.9</v>
      </c>
      <c r="D2334" s="2">
        <v>0.48820000000000002</v>
      </c>
      <c r="E2334" s="2" t="s">
        <v>1420</v>
      </c>
    </row>
    <row r="2335" spans="1:5" ht="20.25" customHeight="1" x14ac:dyDescent="0.15">
      <c r="A2335" s="2" t="s">
        <v>4456</v>
      </c>
      <c r="B2335" s="2" t="s">
        <v>4457</v>
      </c>
      <c r="C2335" s="2">
        <v>0.9</v>
      </c>
      <c r="D2335" s="2">
        <v>0.14960000000000001</v>
      </c>
      <c r="E2335" s="2" t="s">
        <v>134</v>
      </c>
    </row>
    <row r="2336" spans="1:5" ht="20.25" customHeight="1" x14ac:dyDescent="0.15">
      <c r="A2336" s="2" t="s">
        <v>881</v>
      </c>
      <c r="B2336" s="2" t="s">
        <v>882</v>
      </c>
      <c r="C2336" s="2">
        <v>0.89</v>
      </c>
      <c r="D2336" s="2">
        <v>0.55279999999999996</v>
      </c>
      <c r="E2336" s="2" t="s">
        <v>336</v>
      </c>
    </row>
    <row r="2337" spans="1:5" ht="20.25" customHeight="1" x14ac:dyDescent="0.15">
      <c r="A2337" s="2" t="s">
        <v>950</v>
      </c>
      <c r="B2337" s="2" t="s">
        <v>951</v>
      </c>
      <c r="C2337" s="2">
        <v>0.89</v>
      </c>
      <c r="D2337" s="2">
        <v>4.8800000000000003E-2</v>
      </c>
      <c r="E2337" s="2" t="s">
        <v>134</v>
      </c>
    </row>
    <row r="2338" spans="1:5" ht="20.25" customHeight="1" x14ac:dyDescent="0.15">
      <c r="A2338" s="2" t="s">
        <v>1764</v>
      </c>
      <c r="B2338" s="2" t="s">
        <v>1765</v>
      </c>
      <c r="C2338" s="2">
        <v>0.89</v>
      </c>
      <c r="D2338" s="2">
        <v>0.4254</v>
      </c>
      <c r="E2338" s="2" t="s">
        <v>750</v>
      </c>
    </row>
    <row r="2339" spans="1:5" ht="20.25" customHeight="1" x14ac:dyDescent="0.15">
      <c r="A2339" s="2" t="s">
        <v>1978</v>
      </c>
      <c r="B2339" s="2" t="s">
        <v>1979</v>
      </c>
      <c r="C2339" s="2">
        <v>0.89</v>
      </c>
      <c r="D2339" s="2">
        <v>0.22969999999999999</v>
      </c>
      <c r="E2339" s="2" t="s">
        <v>1870</v>
      </c>
    </row>
    <row r="2340" spans="1:5" ht="20.25" customHeight="1" x14ac:dyDescent="0.15">
      <c r="A2340" s="2" t="s">
        <v>2413</v>
      </c>
      <c r="B2340" s="2" t="s">
        <v>2414</v>
      </c>
      <c r="C2340" s="2">
        <v>0.89</v>
      </c>
      <c r="D2340" s="2">
        <v>4.1870000000000003</v>
      </c>
      <c r="E2340" s="2" t="s">
        <v>44</v>
      </c>
    </row>
    <row r="2341" spans="1:5" ht="20.25" customHeight="1" x14ac:dyDescent="0.15">
      <c r="A2341" s="2" t="s">
        <v>7273</v>
      </c>
      <c r="B2341" s="2" t="s">
        <v>7274</v>
      </c>
      <c r="C2341" s="2">
        <v>0.89</v>
      </c>
      <c r="D2341" s="2">
        <v>0.72119999999999995</v>
      </c>
      <c r="E2341" s="2" t="s">
        <v>257</v>
      </c>
    </row>
    <row r="2342" spans="1:5" ht="20.25" customHeight="1" x14ac:dyDescent="0.15">
      <c r="A2342" s="2" t="s">
        <v>7673</v>
      </c>
      <c r="B2342" s="2" t="s">
        <v>7674</v>
      </c>
      <c r="C2342" s="2">
        <v>0.89</v>
      </c>
      <c r="D2342" s="2">
        <v>7.0231000000000003</v>
      </c>
      <c r="E2342" s="2" t="s">
        <v>344</v>
      </c>
    </row>
    <row r="2343" spans="1:5" ht="20.25" customHeight="1" x14ac:dyDescent="0.15">
      <c r="A2343" s="2" t="s">
        <v>7745</v>
      </c>
      <c r="B2343" s="2" t="s">
        <v>7746</v>
      </c>
      <c r="C2343" s="2">
        <v>0.89</v>
      </c>
      <c r="D2343" s="2">
        <v>5.7104999999999997</v>
      </c>
      <c r="E2343" s="2" t="s">
        <v>257</v>
      </c>
    </row>
    <row r="2344" spans="1:5" ht="20.25" customHeight="1" x14ac:dyDescent="0.15">
      <c r="A2344" s="2" t="s">
        <v>7995</v>
      </c>
      <c r="B2344" s="2" t="s">
        <v>7996</v>
      </c>
      <c r="C2344" s="2">
        <v>0.89</v>
      </c>
      <c r="D2344" s="2">
        <v>1.6148</v>
      </c>
      <c r="E2344" s="2" t="s">
        <v>630</v>
      </c>
    </row>
    <row r="2345" spans="1:5" ht="20.25" customHeight="1" x14ac:dyDescent="0.15">
      <c r="A2345" s="2" t="s">
        <v>153</v>
      </c>
      <c r="B2345" s="2" t="s">
        <v>154</v>
      </c>
      <c r="C2345" s="2">
        <v>0.88</v>
      </c>
      <c r="D2345" s="2">
        <v>9.7100000000000006E-2</v>
      </c>
      <c r="E2345" s="2" t="s">
        <v>81</v>
      </c>
    </row>
    <row r="2346" spans="1:5" ht="20.25" customHeight="1" x14ac:dyDescent="0.15">
      <c r="A2346" s="2" t="s">
        <v>1606</v>
      </c>
      <c r="B2346" s="2" t="s">
        <v>1607</v>
      </c>
      <c r="C2346" s="2">
        <v>0.88</v>
      </c>
      <c r="D2346" s="2">
        <v>1.2010000000000001</v>
      </c>
      <c r="E2346" s="2" t="s">
        <v>1608</v>
      </c>
    </row>
    <row r="2347" spans="1:5" ht="20.25" customHeight="1" x14ac:dyDescent="0.15">
      <c r="A2347" s="2" t="s">
        <v>2429</v>
      </c>
      <c r="B2347" s="2" t="s">
        <v>2430</v>
      </c>
      <c r="C2347" s="2">
        <v>0.88</v>
      </c>
      <c r="D2347" s="2">
        <v>49.44</v>
      </c>
      <c r="E2347" s="2" t="s">
        <v>1381</v>
      </c>
    </row>
    <row r="2348" spans="1:5" ht="20.25" customHeight="1" x14ac:dyDescent="0.15">
      <c r="A2348" s="2" t="s">
        <v>3210</v>
      </c>
      <c r="B2348" s="2" t="s">
        <v>3211</v>
      </c>
      <c r="C2348" s="2">
        <v>0.88</v>
      </c>
      <c r="D2348" s="2">
        <v>0.74519999999999997</v>
      </c>
      <c r="E2348" s="2" t="s">
        <v>276</v>
      </c>
    </row>
    <row r="2349" spans="1:5" ht="20.25" customHeight="1" x14ac:dyDescent="0.15">
      <c r="A2349" s="2" t="s">
        <v>5758</v>
      </c>
      <c r="B2349" s="2" t="s">
        <v>5759</v>
      </c>
      <c r="C2349" s="2">
        <v>0.88</v>
      </c>
      <c r="D2349" s="2">
        <v>3.0787</v>
      </c>
      <c r="E2349" s="2" t="s">
        <v>750</v>
      </c>
    </row>
    <row r="2350" spans="1:5" ht="20.25" customHeight="1" x14ac:dyDescent="0.15">
      <c r="A2350" s="2" t="s">
        <v>5876</v>
      </c>
      <c r="B2350" s="2" t="s">
        <v>5877</v>
      </c>
      <c r="C2350" s="2">
        <v>0.88</v>
      </c>
      <c r="D2350" s="2">
        <v>4.4800000000000004</v>
      </c>
      <c r="E2350" s="2" t="s">
        <v>621</v>
      </c>
    </row>
    <row r="2351" spans="1:5" ht="20.25" customHeight="1" x14ac:dyDescent="0.15">
      <c r="A2351" s="2" t="s">
        <v>6102</v>
      </c>
      <c r="B2351" s="2" t="s">
        <v>6103</v>
      </c>
      <c r="C2351" s="2">
        <v>0.88</v>
      </c>
      <c r="D2351" s="2">
        <v>1.5358000000000001</v>
      </c>
      <c r="E2351" s="2" t="s">
        <v>388</v>
      </c>
    </row>
    <row r="2352" spans="1:5" ht="20.25" customHeight="1" x14ac:dyDescent="0.15">
      <c r="A2352" s="2" t="s">
        <v>6166</v>
      </c>
      <c r="B2352" s="2" t="s">
        <v>6167</v>
      </c>
      <c r="C2352" s="2">
        <v>0.88</v>
      </c>
      <c r="D2352" s="2">
        <v>1.6306</v>
      </c>
      <c r="E2352" s="2" t="s">
        <v>406</v>
      </c>
    </row>
    <row r="2353" spans="1:5" ht="20.25" customHeight="1" x14ac:dyDescent="0.15">
      <c r="A2353" s="2" t="s">
        <v>7159</v>
      </c>
      <c r="B2353" s="2" t="s">
        <v>7160</v>
      </c>
      <c r="C2353" s="2">
        <v>0.88</v>
      </c>
      <c r="D2353" s="2">
        <v>4.2766999999999999</v>
      </c>
      <c r="E2353" s="2" t="s">
        <v>143</v>
      </c>
    </row>
    <row r="2354" spans="1:5" ht="20.25" customHeight="1" x14ac:dyDescent="0.15">
      <c r="A2354" s="2" t="s">
        <v>7667</v>
      </c>
      <c r="B2354" s="2" t="s">
        <v>7668</v>
      </c>
      <c r="C2354" s="2">
        <v>0.88</v>
      </c>
      <c r="D2354" s="2">
        <v>17.175999999999998</v>
      </c>
      <c r="E2354" s="2" t="s">
        <v>368</v>
      </c>
    </row>
    <row r="2355" spans="1:5" ht="20.25" customHeight="1" x14ac:dyDescent="0.15">
      <c r="A2355" s="2" t="s">
        <v>2542</v>
      </c>
      <c r="B2355" s="2" t="s">
        <v>2543</v>
      </c>
      <c r="C2355" s="2">
        <v>0.875</v>
      </c>
      <c r="D2355" s="2">
        <v>10.6717</v>
      </c>
      <c r="E2355" s="2" t="s">
        <v>371</v>
      </c>
    </row>
    <row r="2356" spans="1:5" ht="20.25" customHeight="1" x14ac:dyDescent="0.15">
      <c r="A2356" s="2" t="s">
        <v>5024</v>
      </c>
      <c r="B2356" s="2" t="s">
        <v>5025</v>
      </c>
      <c r="C2356" s="2">
        <v>0.875</v>
      </c>
      <c r="D2356" s="2">
        <v>2.0175000000000001</v>
      </c>
      <c r="E2356" s="2" t="s">
        <v>1820</v>
      </c>
    </row>
    <row r="2357" spans="1:5" ht="20.25" customHeight="1" x14ac:dyDescent="0.15">
      <c r="A2357" s="2" t="s">
        <v>6276</v>
      </c>
      <c r="B2357" s="2" t="s">
        <v>6277</v>
      </c>
      <c r="C2357" s="2">
        <v>0.875</v>
      </c>
      <c r="D2357" s="2">
        <v>0.18179999999999999</v>
      </c>
      <c r="E2357" s="2" t="s">
        <v>667</v>
      </c>
    </row>
    <row r="2358" spans="1:5" ht="20.25" customHeight="1" x14ac:dyDescent="0.15">
      <c r="A2358" s="2" t="s">
        <v>1509</v>
      </c>
      <c r="B2358" s="2" t="s">
        <v>1510</v>
      </c>
      <c r="C2358" s="2">
        <v>0.87</v>
      </c>
      <c r="D2358" s="2">
        <v>1.3268</v>
      </c>
      <c r="E2358" s="2" t="s">
        <v>299</v>
      </c>
    </row>
    <row r="2359" spans="1:5" ht="20.25" customHeight="1" x14ac:dyDescent="0.15">
      <c r="A2359" s="2" t="s">
        <v>2087</v>
      </c>
      <c r="B2359" s="2" t="s">
        <v>2088</v>
      </c>
      <c r="C2359" s="2">
        <v>0.87</v>
      </c>
      <c r="D2359" s="2">
        <v>7.0404</v>
      </c>
      <c r="E2359" s="2" t="s">
        <v>385</v>
      </c>
    </row>
    <row r="2360" spans="1:5" ht="20.25" customHeight="1" x14ac:dyDescent="0.15">
      <c r="A2360" s="2" t="s">
        <v>2455</v>
      </c>
      <c r="B2360" s="2" t="s">
        <v>2456</v>
      </c>
      <c r="C2360" s="2">
        <v>0.87</v>
      </c>
      <c r="D2360" s="2">
        <v>0.32</v>
      </c>
      <c r="E2360" s="2" t="s">
        <v>1997</v>
      </c>
    </row>
    <row r="2361" spans="1:5" ht="20.25" customHeight="1" x14ac:dyDescent="0.15">
      <c r="A2361" s="2" t="s">
        <v>2789</v>
      </c>
      <c r="B2361" s="2" t="s">
        <v>2790</v>
      </c>
      <c r="C2361" s="2">
        <v>0.87</v>
      </c>
      <c r="D2361" s="2">
        <v>0.55420000000000003</v>
      </c>
      <c r="E2361" s="2" t="s">
        <v>1403</v>
      </c>
    </row>
    <row r="2362" spans="1:5" ht="20.25" customHeight="1" x14ac:dyDescent="0.15">
      <c r="A2362" s="2" t="s">
        <v>2971</v>
      </c>
      <c r="B2362" s="2" t="s">
        <v>2972</v>
      </c>
      <c r="C2362" s="2">
        <v>0.87</v>
      </c>
      <c r="D2362" s="2">
        <v>0.104</v>
      </c>
      <c r="E2362" s="2" t="s">
        <v>713</v>
      </c>
    </row>
    <row r="2363" spans="1:5" ht="20.25" customHeight="1" x14ac:dyDescent="0.15">
      <c r="A2363" s="2" t="s">
        <v>4320</v>
      </c>
      <c r="B2363" s="2" t="s">
        <v>4321</v>
      </c>
      <c r="C2363" s="2">
        <v>0.87</v>
      </c>
      <c r="D2363" s="2">
        <v>10.124499999999999</v>
      </c>
      <c r="E2363" s="2" t="s">
        <v>1757</v>
      </c>
    </row>
    <row r="2364" spans="1:5" ht="20.25" customHeight="1" x14ac:dyDescent="0.15">
      <c r="A2364" s="2" t="s">
        <v>4837</v>
      </c>
      <c r="B2364" s="2" t="s">
        <v>4838</v>
      </c>
      <c r="C2364" s="2">
        <v>0.87</v>
      </c>
      <c r="D2364" s="2">
        <v>0.73650000000000004</v>
      </c>
      <c r="E2364" s="2" t="s">
        <v>1870</v>
      </c>
    </row>
    <row r="2365" spans="1:5" ht="20.25" customHeight="1" x14ac:dyDescent="0.15">
      <c r="A2365" s="2" t="s">
        <v>4925</v>
      </c>
      <c r="B2365" s="2" t="s">
        <v>4926</v>
      </c>
      <c r="C2365" s="2">
        <v>0.87</v>
      </c>
      <c r="D2365" s="2">
        <v>4.4001999999999999</v>
      </c>
      <c r="E2365" s="2" t="s">
        <v>176</v>
      </c>
    </row>
    <row r="2366" spans="1:5" ht="20.25" customHeight="1" x14ac:dyDescent="0.15">
      <c r="A2366" s="2" t="s">
        <v>5178</v>
      </c>
      <c r="B2366" s="2" t="s">
        <v>5179</v>
      </c>
      <c r="C2366" s="2">
        <v>0.87</v>
      </c>
      <c r="D2366" s="2">
        <v>1.7681</v>
      </c>
      <c r="E2366" s="2" t="s">
        <v>286</v>
      </c>
    </row>
    <row r="2367" spans="1:5" ht="20.25" customHeight="1" x14ac:dyDescent="0.15">
      <c r="A2367" s="2" t="s">
        <v>5268</v>
      </c>
      <c r="B2367" s="2" t="s">
        <v>5269</v>
      </c>
      <c r="C2367" s="2">
        <v>0.87</v>
      </c>
      <c r="D2367" s="2">
        <v>6.9165000000000001</v>
      </c>
      <c r="E2367" s="2" t="s">
        <v>299</v>
      </c>
    </row>
    <row r="2368" spans="1:5" ht="20.25" customHeight="1" x14ac:dyDescent="0.15">
      <c r="A2368" s="2" t="s">
        <v>5543</v>
      </c>
      <c r="B2368" s="2" t="s">
        <v>5544</v>
      </c>
      <c r="C2368" s="2">
        <v>0.87</v>
      </c>
      <c r="D2368" s="2">
        <v>3.5047000000000001</v>
      </c>
      <c r="E2368" s="2" t="s">
        <v>201</v>
      </c>
    </row>
    <row r="2369" spans="1:5" ht="20.25" customHeight="1" x14ac:dyDescent="0.15">
      <c r="A2369" s="2" t="s">
        <v>6096</v>
      </c>
      <c r="B2369" s="2" t="s">
        <v>6097</v>
      </c>
      <c r="C2369" s="2">
        <v>0.87</v>
      </c>
      <c r="D2369" s="2">
        <v>2.7942999999999998</v>
      </c>
      <c r="E2369" s="2" t="s">
        <v>35</v>
      </c>
    </row>
    <row r="2370" spans="1:5" ht="20.25" customHeight="1" x14ac:dyDescent="0.15">
      <c r="A2370" s="2" t="s">
        <v>6230</v>
      </c>
      <c r="B2370" s="2" t="s">
        <v>6231</v>
      </c>
      <c r="C2370" s="2">
        <v>0.87</v>
      </c>
      <c r="D2370" s="2">
        <v>287.6651</v>
      </c>
      <c r="E2370" s="2" t="s">
        <v>633</v>
      </c>
    </row>
    <row r="2371" spans="1:5" ht="20.25" customHeight="1" x14ac:dyDescent="0.15">
      <c r="A2371" s="2" t="s">
        <v>6478</v>
      </c>
      <c r="B2371" s="2" t="s">
        <v>6479</v>
      </c>
      <c r="C2371" s="2">
        <v>0.87</v>
      </c>
      <c r="D2371" s="2">
        <v>105.48090000000001</v>
      </c>
      <c r="E2371" s="2" t="s">
        <v>1381</v>
      </c>
    </row>
    <row r="2372" spans="1:5" ht="20.25" customHeight="1" x14ac:dyDescent="0.15">
      <c r="A2372" s="2" t="s">
        <v>6532</v>
      </c>
      <c r="B2372" s="2" t="s">
        <v>6533</v>
      </c>
      <c r="C2372" s="2">
        <v>0.87</v>
      </c>
      <c r="D2372" s="2">
        <v>0.50560000000000005</v>
      </c>
      <c r="E2372" s="2" t="s">
        <v>704</v>
      </c>
    </row>
    <row r="2373" spans="1:5" ht="20.25" customHeight="1" x14ac:dyDescent="0.15">
      <c r="A2373" s="2" t="s">
        <v>7237</v>
      </c>
      <c r="B2373" s="2" t="s">
        <v>7238</v>
      </c>
      <c r="C2373" s="2">
        <v>0.87</v>
      </c>
      <c r="D2373" s="2">
        <v>0.42809999999999998</v>
      </c>
      <c r="E2373" s="2" t="s">
        <v>862</v>
      </c>
    </row>
    <row r="2374" spans="1:5" ht="20.25" customHeight="1" x14ac:dyDescent="0.15">
      <c r="A2374" s="2" t="s">
        <v>7553</v>
      </c>
      <c r="B2374" s="2" t="s">
        <v>7554</v>
      </c>
      <c r="C2374" s="2">
        <v>0.87</v>
      </c>
      <c r="D2374" s="2">
        <v>2.4842</v>
      </c>
      <c r="E2374" s="2" t="s">
        <v>385</v>
      </c>
    </row>
    <row r="2375" spans="1:5" ht="20.25" customHeight="1" x14ac:dyDescent="0.15">
      <c r="A2375" s="2" t="s">
        <v>8101</v>
      </c>
      <c r="B2375" s="2" t="s">
        <v>8102</v>
      </c>
      <c r="C2375" s="2">
        <v>0.87</v>
      </c>
      <c r="D2375" s="2">
        <v>1.3278000000000001</v>
      </c>
      <c r="E2375" s="2" t="s">
        <v>257</v>
      </c>
    </row>
    <row r="2376" spans="1:5" ht="20.25" customHeight="1" x14ac:dyDescent="0.15">
      <c r="A2376" s="2" t="s">
        <v>127</v>
      </c>
      <c r="B2376" s="2" t="s">
        <v>128</v>
      </c>
      <c r="C2376" s="2">
        <v>0.86</v>
      </c>
      <c r="D2376" s="2">
        <v>0.1807</v>
      </c>
      <c r="E2376" s="2" t="s">
        <v>18</v>
      </c>
    </row>
    <row r="2377" spans="1:5" ht="20.25" customHeight="1" x14ac:dyDescent="0.15">
      <c r="A2377" s="2" t="s">
        <v>2073</v>
      </c>
      <c r="B2377" s="2" t="s">
        <v>2074</v>
      </c>
      <c r="C2377" s="2">
        <v>0.86</v>
      </c>
      <c r="D2377" s="2">
        <v>0.89329999999999998</v>
      </c>
      <c r="E2377" s="2" t="s">
        <v>421</v>
      </c>
    </row>
    <row r="2378" spans="1:5" ht="20.25" customHeight="1" x14ac:dyDescent="0.15">
      <c r="A2378" s="2" t="s">
        <v>2518</v>
      </c>
      <c r="B2378" s="2" t="s">
        <v>2519</v>
      </c>
      <c r="C2378" s="2">
        <v>0.86</v>
      </c>
      <c r="D2378" s="2">
        <v>17.614599999999999</v>
      </c>
      <c r="E2378" s="2" t="s">
        <v>667</v>
      </c>
    </row>
    <row r="2379" spans="1:5" ht="20.25" customHeight="1" x14ac:dyDescent="0.15">
      <c r="A2379" s="2" t="s">
        <v>2582</v>
      </c>
      <c r="B2379" s="2" t="s">
        <v>2583</v>
      </c>
      <c r="C2379" s="2">
        <v>0.86</v>
      </c>
      <c r="D2379" s="2">
        <v>0.1464</v>
      </c>
      <c r="E2379" s="2" t="s">
        <v>134</v>
      </c>
    </row>
    <row r="2380" spans="1:5" ht="20.25" customHeight="1" x14ac:dyDescent="0.15">
      <c r="A2380" s="2" t="s">
        <v>2825</v>
      </c>
      <c r="B2380" s="2" t="s">
        <v>2826</v>
      </c>
      <c r="C2380" s="2">
        <v>0.86</v>
      </c>
      <c r="D2380" s="2">
        <v>89.885099999999994</v>
      </c>
      <c r="E2380" s="2" t="s">
        <v>605</v>
      </c>
    </row>
    <row r="2381" spans="1:5" ht="20.25" customHeight="1" x14ac:dyDescent="0.15">
      <c r="A2381" s="2" t="s">
        <v>2922</v>
      </c>
      <c r="B2381" s="2" t="s">
        <v>2923</v>
      </c>
      <c r="C2381" s="2">
        <v>0.86</v>
      </c>
      <c r="D2381" s="2">
        <v>1.5253000000000001</v>
      </c>
      <c r="E2381" s="2" t="s">
        <v>589</v>
      </c>
    </row>
    <row r="2382" spans="1:5" ht="20.25" customHeight="1" x14ac:dyDescent="0.15">
      <c r="A2382" s="2" t="s">
        <v>3072</v>
      </c>
      <c r="B2382" s="2" t="s">
        <v>3073</v>
      </c>
      <c r="C2382" s="2">
        <v>0.86</v>
      </c>
      <c r="D2382" s="2">
        <v>0.1414</v>
      </c>
      <c r="E2382" s="2" t="s">
        <v>699</v>
      </c>
    </row>
    <row r="2383" spans="1:5" ht="20.25" customHeight="1" x14ac:dyDescent="0.15">
      <c r="A2383" s="2" t="s">
        <v>4206</v>
      </c>
      <c r="B2383" s="2" t="s">
        <v>4207</v>
      </c>
      <c r="C2383" s="2">
        <v>0.86</v>
      </c>
      <c r="D2383" s="2">
        <v>0.91210000000000002</v>
      </c>
      <c r="E2383" s="2" t="s">
        <v>299</v>
      </c>
    </row>
    <row r="2384" spans="1:5" ht="20.25" customHeight="1" x14ac:dyDescent="0.15">
      <c r="A2384" s="2" t="s">
        <v>5140</v>
      </c>
      <c r="B2384" s="2" t="s">
        <v>5141</v>
      </c>
      <c r="C2384" s="2">
        <v>0.86</v>
      </c>
      <c r="D2384" s="2">
        <v>1.1191</v>
      </c>
      <c r="E2384" s="2" t="s">
        <v>982</v>
      </c>
    </row>
    <row r="2385" spans="1:5" ht="20.25" customHeight="1" x14ac:dyDescent="0.15">
      <c r="A2385" s="2" t="s">
        <v>5258</v>
      </c>
      <c r="B2385" s="2" t="s">
        <v>5259</v>
      </c>
      <c r="C2385" s="2">
        <v>0.86</v>
      </c>
      <c r="D2385" s="2">
        <v>3.2121</v>
      </c>
      <c r="E2385" s="2" t="s">
        <v>1061</v>
      </c>
    </row>
    <row r="2386" spans="1:5" ht="20.25" customHeight="1" x14ac:dyDescent="0.15">
      <c r="A2386" s="2" t="s">
        <v>5264</v>
      </c>
      <c r="B2386" s="2" t="s">
        <v>5265</v>
      </c>
      <c r="C2386" s="2">
        <v>0.86</v>
      </c>
      <c r="D2386" s="2">
        <v>50.615900000000003</v>
      </c>
      <c r="E2386" s="2" t="s">
        <v>1593</v>
      </c>
    </row>
    <row r="2387" spans="1:5" ht="20.25" customHeight="1" x14ac:dyDescent="0.15">
      <c r="A2387" s="2" t="s">
        <v>5449</v>
      </c>
      <c r="B2387" s="2" t="s">
        <v>5450</v>
      </c>
      <c r="C2387" s="2">
        <v>0.86</v>
      </c>
      <c r="D2387" s="2">
        <v>15.2128</v>
      </c>
      <c r="E2387" s="2" t="s">
        <v>713</v>
      </c>
    </row>
    <row r="2388" spans="1:5" ht="20.25" customHeight="1" x14ac:dyDescent="0.15">
      <c r="A2388" s="2" t="s">
        <v>6662</v>
      </c>
      <c r="B2388" s="2" t="s">
        <v>6663</v>
      </c>
      <c r="C2388" s="2">
        <v>0.86</v>
      </c>
      <c r="D2388" s="2">
        <v>0.90310000000000001</v>
      </c>
      <c r="E2388" s="2" t="s">
        <v>391</v>
      </c>
    </row>
    <row r="2389" spans="1:5" ht="20.25" customHeight="1" x14ac:dyDescent="0.15">
      <c r="A2389" s="2" t="s">
        <v>7079</v>
      </c>
      <c r="B2389" s="2" t="s">
        <v>7080</v>
      </c>
      <c r="C2389" s="2">
        <v>0.86</v>
      </c>
      <c r="D2389" s="2">
        <v>1.2387999999999999</v>
      </c>
      <c r="E2389" s="2" t="s">
        <v>605</v>
      </c>
    </row>
    <row r="2390" spans="1:5" ht="20.25" customHeight="1" x14ac:dyDescent="0.15">
      <c r="A2390" s="2" t="s">
        <v>7423</v>
      </c>
      <c r="B2390" s="2" t="s">
        <v>7424</v>
      </c>
      <c r="C2390" s="2">
        <v>0.86</v>
      </c>
      <c r="D2390" s="2">
        <v>1.4838</v>
      </c>
      <c r="E2390" s="2" t="s">
        <v>1338</v>
      </c>
    </row>
    <row r="2391" spans="1:5" ht="20.25" customHeight="1" x14ac:dyDescent="0.15">
      <c r="A2391" s="2" t="s">
        <v>7531</v>
      </c>
      <c r="B2391" s="2" t="s">
        <v>7532</v>
      </c>
      <c r="C2391" s="2">
        <v>0.86</v>
      </c>
      <c r="D2391" s="2">
        <v>6.8738999999999999</v>
      </c>
      <c r="E2391" s="2" t="s">
        <v>713</v>
      </c>
    </row>
    <row r="2392" spans="1:5" ht="20.25" customHeight="1" x14ac:dyDescent="0.15">
      <c r="A2392" s="2" t="s">
        <v>7661</v>
      </c>
      <c r="B2392" s="2" t="s">
        <v>7662</v>
      </c>
      <c r="C2392" s="2">
        <v>0.86</v>
      </c>
      <c r="D2392" s="2">
        <v>0.51129999999999998</v>
      </c>
      <c r="E2392" s="2" t="s">
        <v>1712</v>
      </c>
    </row>
    <row r="2393" spans="1:5" ht="20.25" customHeight="1" x14ac:dyDescent="0.15">
      <c r="A2393" s="2" t="s">
        <v>8031</v>
      </c>
      <c r="B2393" s="2" t="s">
        <v>8032</v>
      </c>
      <c r="C2393" s="2">
        <v>0.86</v>
      </c>
      <c r="D2393" s="2">
        <v>3.3449</v>
      </c>
      <c r="E2393" s="2" t="s">
        <v>862</v>
      </c>
    </row>
    <row r="2394" spans="1:5" ht="20.25" customHeight="1" x14ac:dyDescent="0.15">
      <c r="A2394" s="2" t="s">
        <v>3481</v>
      </c>
      <c r="B2394" s="2" t="s">
        <v>3482</v>
      </c>
      <c r="C2394" s="2">
        <v>0.85499999999999998</v>
      </c>
      <c r="D2394" s="2">
        <v>1.3949</v>
      </c>
      <c r="E2394" s="2" t="s">
        <v>605</v>
      </c>
    </row>
    <row r="2395" spans="1:5" ht="20.25" customHeight="1" x14ac:dyDescent="0.15">
      <c r="A2395" s="2" t="s">
        <v>4312</v>
      </c>
      <c r="B2395" s="2" t="s">
        <v>4313</v>
      </c>
      <c r="C2395" s="2">
        <v>0.85499999999999998</v>
      </c>
      <c r="D2395" s="2">
        <v>2.5859000000000001</v>
      </c>
      <c r="E2395" s="2" t="s">
        <v>1243</v>
      </c>
    </row>
    <row r="2396" spans="1:5" ht="20.25" customHeight="1" x14ac:dyDescent="0.15">
      <c r="A2396" s="2" t="s">
        <v>1546</v>
      </c>
      <c r="B2396" s="2" t="s">
        <v>1547</v>
      </c>
      <c r="C2396" s="2">
        <v>0.85</v>
      </c>
      <c r="D2396" s="2">
        <v>3.7797999999999998</v>
      </c>
      <c r="E2396" s="2" t="s">
        <v>35</v>
      </c>
    </row>
    <row r="2397" spans="1:5" ht="20.25" customHeight="1" x14ac:dyDescent="0.15">
      <c r="A2397" s="2" t="s">
        <v>2202</v>
      </c>
      <c r="B2397" s="2" t="s">
        <v>2203</v>
      </c>
      <c r="C2397" s="2">
        <v>0.85</v>
      </c>
      <c r="D2397" s="2">
        <v>6.9820000000000002</v>
      </c>
      <c r="E2397" s="2" t="s">
        <v>185</v>
      </c>
    </row>
    <row r="2398" spans="1:5" ht="20.25" customHeight="1" x14ac:dyDescent="0.15">
      <c r="A2398" s="2" t="s">
        <v>2419</v>
      </c>
      <c r="B2398" s="2" t="s">
        <v>2420</v>
      </c>
      <c r="C2398" s="2">
        <v>0.85</v>
      </c>
      <c r="D2398" s="2">
        <v>1.1194</v>
      </c>
      <c r="E2398" s="2" t="s">
        <v>542</v>
      </c>
    </row>
    <row r="2399" spans="1:5" ht="20.25" customHeight="1" x14ac:dyDescent="0.15">
      <c r="A2399" s="2" t="s">
        <v>2692</v>
      </c>
      <c r="B2399" s="2" t="s">
        <v>2693</v>
      </c>
      <c r="C2399" s="2">
        <v>0.85</v>
      </c>
      <c r="D2399" s="2">
        <v>0.91600000000000004</v>
      </c>
      <c r="E2399" s="2" t="s">
        <v>81</v>
      </c>
    </row>
    <row r="2400" spans="1:5" ht="20.25" customHeight="1" x14ac:dyDescent="0.15">
      <c r="A2400" s="2" t="s">
        <v>3135</v>
      </c>
      <c r="B2400" s="2" t="s">
        <v>3136</v>
      </c>
      <c r="C2400" s="2">
        <v>0.85</v>
      </c>
      <c r="D2400" s="2">
        <v>1.7891999999999999</v>
      </c>
      <c r="E2400" s="2" t="s">
        <v>1680</v>
      </c>
    </row>
    <row r="2401" spans="1:5" ht="20.25" customHeight="1" x14ac:dyDescent="0.15">
      <c r="A2401" s="2" t="s">
        <v>4366</v>
      </c>
      <c r="B2401" s="2" t="s">
        <v>4367</v>
      </c>
      <c r="C2401" s="2">
        <v>0.85</v>
      </c>
      <c r="D2401" s="2">
        <v>0.71989999999999998</v>
      </c>
      <c r="E2401" s="2" t="s">
        <v>418</v>
      </c>
    </row>
    <row r="2402" spans="1:5" ht="20.25" customHeight="1" x14ac:dyDescent="0.15">
      <c r="A2402" s="2" t="s">
        <v>4416</v>
      </c>
      <c r="B2402" s="2" t="s">
        <v>4417</v>
      </c>
      <c r="C2402" s="2">
        <v>0.85</v>
      </c>
      <c r="D2402" s="2">
        <v>2.6215000000000002</v>
      </c>
      <c r="E2402" s="2" t="s">
        <v>220</v>
      </c>
    </row>
    <row r="2403" spans="1:5" ht="20.25" customHeight="1" x14ac:dyDescent="0.15">
      <c r="A2403" s="2" t="s">
        <v>4524</v>
      </c>
      <c r="B2403" s="2" t="s">
        <v>4525</v>
      </c>
      <c r="C2403" s="2">
        <v>0.85</v>
      </c>
      <c r="D2403" s="2">
        <v>0.87419999999999998</v>
      </c>
      <c r="E2403" s="2" t="s">
        <v>2898</v>
      </c>
    </row>
    <row r="2404" spans="1:5" ht="20.25" customHeight="1" x14ac:dyDescent="0.15">
      <c r="A2404" s="2" t="s">
        <v>4853</v>
      </c>
      <c r="B2404" s="2" t="s">
        <v>4854</v>
      </c>
      <c r="C2404" s="2">
        <v>0.85</v>
      </c>
      <c r="D2404" s="2">
        <v>5.2809999999999997</v>
      </c>
      <c r="E2404" s="2" t="s">
        <v>299</v>
      </c>
    </row>
    <row r="2405" spans="1:5" ht="20.25" customHeight="1" x14ac:dyDescent="0.15">
      <c r="A2405" s="2" t="s">
        <v>5479</v>
      </c>
      <c r="B2405" s="2" t="s">
        <v>5480</v>
      </c>
      <c r="C2405" s="2">
        <v>0.85</v>
      </c>
      <c r="D2405" s="2">
        <v>5.1925999999999997</v>
      </c>
      <c r="E2405" s="2" t="s">
        <v>2681</v>
      </c>
    </row>
    <row r="2406" spans="1:5" ht="20.25" customHeight="1" x14ac:dyDescent="0.15">
      <c r="A2406" s="2" t="s">
        <v>5960</v>
      </c>
      <c r="B2406" s="2" t="s">
        <v>5961</v>
      </c>
      <c r="C2406" s="2">
        <v>0.85</v>
      </c>
      <c r="D2406" s="2">
        <v>3.9384000000000001</v>
      </c>
      <c r="E2406" s="2" t="s">
        <v>286</v>
      </c>
    </row>
    <row r="2407" spans="1:5" ht="20.25" customHeight="1" x14ac:dyDescent="0.15">
      <c r="A2407" s="2" t="s">
        <v>6909</v>
      </c>
      <c r="B2407" s="2" t="s">
        <v>6910</v>
      </c>
      <c r="C2407" s="2">
        <v>0.85</v>
      </c>
      <c r="D2407" s="2">
        <v>2.5815999999999999</v>
      </c>
      <c r="E2407" s="2" t="s">
        <v>2374</v>
      </c>
    </row>
    <row r="2408" spans="1:5" ht="20.25" customHeight="1" x14ac:dyDescent="0.15">
      <c r="A2408" s="2" t="s">
        <v>5898</v>
      </c>
      <c r="B2408" s="2" t="s">
        <v>5899</v>
      </c>
      <c r="C2408" s="2">
        <v>0.84499999999999997</v>
      </c>
      <c r="D2408" s="2">
        <v>5.8772000000000002</v>
      </c>
      <c r="E2408" s="2" t="s">
        <v>418</v>
      </c>
    </row>
    <row r="2409" spans="1:5" ht="20.25" customHeight="1" x14ac:dyDescent="0.15">
      <c r="A2409" s="2" t="s">
        <v>7625</v>
      </c>
      <c r="B2409" s="2" t="s">
        <v>7626</v>
      </c>
      <c r="C2409" s="2">
        <v>0.84499999999999997</v>
      </c>
      <c r="D2409" s="2">
        <v>0.6472</v>
      </c>
      <c r="E2409" s="2" t="s">
        <v>1268</v>
      </c>
    </row>
    <row r="2410" spans="1:5" ht="20.25" customHeight="1" x14ac:dyDescent="0.15">
      <c r="A2410" s="2" t="s">
        <v>1288</v>
      </c>
      <c r="B2410" s="2" t="s">
        <v>1289</v>
      </c>
      <c r="C2410" s="2">
        <v>0.84</v>
      </c>
      <c r="D2410" s="2">
        <v>9.2299999999999993E-2</v>
      </c>
      <c r="E2410" s="2" t="s">
        <v>81</v>
      </c>
    </row>
    <row r="2411" spans="1:5" ht="20.25" customHeight="1" x14ac:dyDescent="0.15">
      <c r="A2411" s="2" t="s">
        <v>4092</v>
      </c>
      <c r="B2411" s="2" t="s">
        <v>4093</v>
      </c>
      <c r="C2411" s="2">
        <v>0.84</v>
      </c>
      <c r="D2411" s="2">
        <v>14.755100000000001</v>
      </c>
      <c r="E2411" s="2" t="s">
        <v>931</v>
      </c>
    </row>
    <row r="2412" spans="1:5" ht="20.25" customHeight="1" x14ac:dyDescent="0.15">
      <c r="A2412" s="2" t="s">
        <v>4360</v>
      </c>
      <c r="B2412" s="2" t="s">
        <v>4361</v>
      </c>
      <c r="C2412" s="2">
        <v>0.84</v>
      </c>
      <c r="D2412" s="2">
        <v>0.9496</v>
      </c>
      <c r="E2412" s="2" t="s">
        <v>418</v>
      </c>
    </row>
    <row r="2413" spans="1:5" ht="20.25" customHeight="1" x14ac:dyDescent="0.15">
      <c r="A2413" s="2" t="s">
        <v>4855</v>
      </c>
      <c r="B2413" s="2" t="s">
        <v>4856</v>
      </c>
      <c r="C2413" s="2">
        <v>0.84</v>
      </c>
      <c r="D2413" s="2">
        <v>1.1062000000000001</v>
      </c>
      <c r="E2413" s="2" t="s">
        <v>35</v>
      </c>
    </row>
    <row r="2414" spans="1:5" ht="20.25" customHeight="1" x14ac:dyDescent="0.15">
      <c r="A2414" s="2" t="s">
        <v>5756</v>
      </c>
      <c r="B2414" s="2" t="s">
        <v>5757</v>
      </c>
      <c r="C2414" s="2">
        <v>0.84</v>
      </c>
      <c r="D2414" s="2">
        <v>30.744499999999999</v>
      </c>
      <c r="E2414" s="2" t="s">
        <v>630</v>
      </c>
    </row>
    <row r="2415" spans="1:5" ht="20.25" customHeight="1" x14ac:dyDescent="0.15">
      <c r="A2415" s="2" t="s">
        <v>6374</v>
      </c>
      <c r="B2415" s="2" t="s">
        <v>6375</v>
      </c>
      <c r="C2415" s="2">
        <v>0.84</v>
      </c>
      <c r="D2415" s="2">
        <v>23.5961</v>
      </c>
      <c r="E2415" s="2" t="s">
        <v>1436</v>
      </c>
    </row>
    <row r="2416" spans="1:5" ht="20.25" customHeight="1" x14ac:dyDescent="0.15">
      <c r="A2416" s="2" t="s">
        <v>6464</v>
      </c>
      <c r="B2416" s="2" t="s">
        <v>6465</v>
      </c>
      <c r="C2416" s="2">
        <v>0.84</v>
      </c>
      <c r="D2416" s="2">
        <v>4.5732999999999997</v>
      </c>
      <c r="E2416" s="2" t="s">
        <v>630</v>
      </c>
    </row>
    <row r="2417" spans="1:5" ht="20.25" customHeight="1" x14ac:dyDescent="0.15">
      <c r="A2417" s="2" t="s">
        <v>6937</v>
      </c>
      <c r="B2417" s="2" t="s">
        <v>6938</v>
      </c>
      <c r="C2417" s="2">
        <v>0.84</v>
      </c>
      <c r="D2417" s="2">
        <v>1.9531000000000001</v>
      </c>
      <c r="E2417" s="2" t="s">
        <v>1820</v>
      </c>
    </row>
    <row r="2418" spans="1:5" ht="20.25" customHeight="1" x14ac:dyDescent="0.15">
      <c r="A2418" s="2" t="s">
        <v>8217</v>
      </c>
      <c r="B2418" s="2" t="s">
        <v>8218</v>
      </c>
      <c r="C2418" s="2">
        <v>0.84</v>
      </c>
      <c r="D2418" s="2">
        <v>0.2331</v>
      </c>
      <c r="E2418" s="2" t="s">
        <v>690</v>
      </c>
    </row>
    <row r="2419" spans="1:5" ht="20.25" customHeight="1" x14ac:dyDescent="0.15">
      <c r="A2419" s="2" t="s">
        <v>6028</v>
      </c>
      <c r="B2419" s="2" t="s">
        <v>6029</v>
      </c>
      <c r="C2419" s="2">
        <v>0.83499999999999996</v>
      </c>
      <c r="D2419" s="2">
        <v>47.322299999999998</v>
      </c>
      <c r="E2419" s="2" t="s">
        <v>657</v>
      </c>
    </row>
    <row r="2420" spans="1:5" ht="20.25" customHeight="1" x14ac:dyDescent="0.15">
      <c r="A2420" s="2" t="s">
        <v>6204</v>
      </c>
      <c r="B2420" s="2" t="s">
        <v>6205</v>
      </c>
      <c r="C2420" s="2">
        <v>0.83499999999999996</v>
      </c>
      <c r="D2420" s="2">
        <v>2.9428999999999998</v>
      </c>
      <c r="E2420" s="2" t="s">
        <v>744</v>
      </c>
    </row>
    <row r="2421" spans="1:5" ht="20.25" customHeight="1" x14ac:dyDescent="0.15">
      <c r="A2421" s="2" t="s">
        <v>7839</v>
      </c>
      <c r="B2421" s="2" t="s">
        <v>7840</v>
      </c>
      <c r="C2421" s="2">
        <v>0.83499999999999996</v>
      </c>
      <c r="D2421" s="2">
        <v>7.7962999999999996</v>
      </c>
      <c r="E2421" s="2" t="s">
        <v>1593</v>
      </c>
    </row>
    <row r="2422" spans="1:5" ht="20.25" customHeight="1" x14ac:dyDescent="0.15">
      <c r="A2422" s="2" t="s">
        <v>210</v>
      </c>
      <c r="B2422" s="2" t="s">
        <v>211</v>
      </c>
      <c r="C2422" s="2">
        <v>0.83</v>
      </c>
      <c r="D2422" s="2">
        <v>0.30819999999999997</v>
      </c>
      <c r="E2422" s="2" t="s">
        <v>171</v>
      </c>
    </row>
    <row r="2423" spans="1:5" ht="20.25" customHeight="1" x14ac:dyDescent="0.15">
      <c r="A2423" s="2" t="s">
        <v>502</v>
      </c>
      <c r="B2423" s="2" t="s">
        <v>503</v>
      </c>
      <c r="C2423" s="2">
        <v>0.83</v>
      </c>
      <c r="D2423" s="2">
        <v>0.15079999999999999</v>
      </c>
      <c r="E2423" s="2" t="s">
        <v>276</v>
      </c>
    </row>
    <row r="2424" spans="1:5" ht="20.25" customHeight="1" x14ac:dyDescent="0.15">
      <c r="A2424" s="2" t="s">
        <v>1408</v>
      </c>
      <c r="B2424" s="2" t="s">
        <v>1409</v>
      </c>
      <c r="C2424" s="2">
        <v>0.83</v>
      </c>
      <c r="D2424" s="2">
        <v>0.54920000000000002</v>
      </c>
      <c r="E2424" s="2" t="s">
        <v>1011</v>
      </c>
    </row>
    <row r="2425" spans="1:5" ht="20.25" customHeight="1" x14ac:dyDescent="0.15">
      <c r="A2425" s="2" t="s">
        <v>1743</v>
      </c>
      <c r="B2425" s="2" t="s">
        <v>1744</v>
      </c>
      <c r="C2425" s="2">
        <v>0.83</v>
      </c>
      <c r="D2425" s="2">
        <v>2.9319999999999999</v>
      </c>
      <c r="E2425" s="2" t="s">
        <v>44</v>
      </c>
    </row>
    <row r="2426" spans="1:5" ht="20.25" customHeight="1" x14ac:dyDescent="0.15">
      <c r="A2426" s="2" t="s">
        <v>2662</v>
      </c>
      <c r="B2426" s="2" t="s">
        <v>2663</v>
      </c>
      <c r="C2426" s="2">
        <v>0.83</v>
      </c>
      <c r="D2426" s="2">
        <v>0.17469999999999999</v>
      </c>
      <c r="E2426" s="2" t="s">
        <v>621</v>
      </c>
    </row>
    <row r="2427" spans="1:5" ht="20.25" customHeight="1" x14ac:dyDescent="0.15">
      <c r="A2427" s="2" t="s">
        <v>2849</v>
      </c>
      <c r="B2427" s="2" t="s">
        <v>2850</v>
      </c>
      <c r="C2427" s="2">
        <v>0.83</v>
      </c>
      <c r="D2427" s="2">
        <v>0.31159999999999999</v>
      </c>
      <c r="E2427" s="2" t="s">
        <v>38</v>
      </c>
    </row>
    <row r="2428" spans="1:5" ht="20.25" customHeight="1" x14ac:dyDescent="0.15">
      <c r="A2428" s="2" t="s">
        <v>3720</v>
      </c>
      <c r="B2428" s="2" t="s">
        <v>3721</v>
      </c>
      <c r="C2428" s="2">
        <v>0.83</v>
      </c>
      <c r="D2428" s="2">
        <v>27.639399999999998</v>
      </c>
      <c r="E2428" s="2" t="s">
        <v>143</v>
      </c>
    </row>
    <row r="2429" spans="1:5" ht="20.25" customHeight="1" x14ac:dyDescent="0.15">
      <c r="A2429" s="2" t="s">
        <v>4672</v>
      </c>
      <c r="B2429" s="2" t="s">
        <v>4673</v>
      </c>
      <c r="C2429" s="2">
        <v>0.83</v>
      </c>
      <c r="D2429" s="2">
        <v>1.6011</v>
      </c>
      <c r="E2429" s="2" t="s">
        <v>44</v>
      </c>
    </row>
    <row r="2430" spans="1:5" ht="20.25" customHeight="1" x14ac:dyDescent="0.15">
      <c r="A2430" s="2" t="s">
        <v>5379</v>
      </c>
      <c r="B2430" s="2" t="s">
        <v>5380</v>
      </c>
      <c r="C2430" s="2">
        <v>0.83</v>
      </c>
      <c r="D2430" s="2">
        <v>0.24490000000000001</v>
      </c>
      <c r="E2430" s="2" t="s">
        <v>1173</v>
      </c>
    </row>
    <row r="2431" spans="1:5" ht="20.25" customHeight="1" x14ac:dyDescent="0.15">
      <c r="A2431" s="2" t="s">
        <v>5671</v>
      </c>
      <c r="B2431" s="2" t="s">
        <v>5672</v>
      </c>
      <c r="C2431" s="2">
        <v>0.83</v>
      </c>
      <c r="D2431" s="2">
        <v>0.89570000000000005</v>
      </c>
      <c r="E2431" s="2" t="s">
        <v>799</v>
      </c>
    </row>
    <row r="2432" spans="1:5" ht="20.25" customHeight="1" x14ac:dyDescent="0.15">
      <c r="A2432" s="2" t="s">
        <v>5720</v>
      </c>
      <c r="B2432" s="2" t="s">
        <v>5721</v>
      </c>
      <c r="C2432" s="2">
        <v>0.83</v>
      </c>
      <c r="D2432" s="2">
        <v>9.3531999999999993</v>
      </c>
      <c r="E2432" s="2" t="s">
        <v>421</v>
      </c>
    </row>
    <row r="2433" spans="1:5" ht="20.25" customHeight="1" x14ac:dyDescent="0.15">
      <c r="A2433" s="2" t="s">
        <v>6162</v>
      </c>
      <c r="B2433" s="2" t="s">
        <v>6163</v>
      </c>
      <c r="C2433" s="2">
        <v>0.83</v>
      </c>
      <c r="D2433" s="2">
        <v>3.9E-2</v>
      </c>
      <c r="E2433" s="2" t="s">
        <v>396</v>
      </c>
    </row>
    <row r="2434" spans="1:5" ht="20.25" customHeight="1" x14ac:dyDescent="0.15">
      <c r="A2434" s="2" t="s">
        <v>7047</v>
      </c>
      <c r="B2434" s="2" t="s">
        <v>7048</v>
      </c>
      <c r="C2434" s="2">
        <v>0.83</v>
      </c>
      <c r="D2434" s="2">
        <v>7.1501999999999999</v>
      </c>
      <c r="E2434" s="2" t="s">
        <v>1853</v>
      </c>
    </row>
    <row r="2435" spans="1:5" ht="20.25" customHeight="1" x14ac:dyDescent="0.15">
      <c r="A2435" s="2" t="s">
        <v>7381</v>
      </c>
      <c r="B2435" s="2" t="s">
        <v>7382</v>
      </c>
      <c r="C2435" s="2">
        <v>0.83</v>
      </c>
      <c r="D2435" s="2">
        <v>7.3599999999999999E-2</v>
      </c>
      <c r="E2435" s="2" t="s">
        <v>1102</v>
      </c>
    </row>
    <row r="2436" spans="1:5" ht="20.25" customHeight="1" x14ac:dyDescent="0.15">
      <c r="A2436" s="2" t="s">
        <v>1081</v>
      </c>
      <c r="B2436" s="2" t="s">
        <v>1082</v>
      </c>
      <c r="C2436" s="2">
        <v>0.82</v>
      </c>
      <c r="D2436" s="2">
        <v>0.26869999999999999</v>
      </c>
      <c r="E2436" s="2" t="s">
        <v>769</v>
      </c>
    </row>
    <row r="2437" spans="1:5" ht="20.25" customHeight="1" x14ac:dyDescent="0.15">
      <c r="A2437" s="2" t="s">
        <v>3535</v>
      </c>
      <c r="B2437" s="2" t="s">
        <v>3536</v>
      </c>
      <c r="C2437" s="2">
        <v>0.82</v>
      </c>
      <c r="D2437" s="2">
        <v>2.0291999999999999</v>
      </c>
      <c r="E2437" s="2" t="s">
        <v>371</v>
      </c>
    </row>
    <row r="2438" spans="1:5" ht="20.25" customHeight="1" x14ac:dyDescent="0.15">
      <c r="A2438" s="2" t="s">
        <v>4204</v>
      </c>
      <c r="B2438" s="2" t="s">
        <v>4205</v>
      </c>
      <c r="C2438" s="2">
        <v>0.82</v>
      </c>
      <c r="D2438" s="2">
        <v>6.2141000000000002</v>
      </c>
      <c r="E2438" s="2" t="s">
        <v>286</v>
      </c>
    </row>
    <row r="2439" spans="1:5" ht="20.25" customHeight="1" x14ac:dyDescent="0.15">
      <c r="A2439" s="2" t="s">
        <v>4386</v>
      </c>
      <c r="B2439" s="2" t="s">
        <v>4387</v>
      </c>
      <c r="C2439" s="2">
        <v>0.82</v>
      </c>
      <c r="D2439" s="2">
        <v>1.0316000000000001</v>
      </c>
      <c r="E2439" s="2" t="s">
        <v>1757</v>
      </c>
    </row>
    <row r="2440" spans="1:5" ht="20.25" customHeight="1" x14ac:dyDescent="0.15">
      <c r="A2440" s="2" t="s">
        <v>4958</v>
      </c>
      <c r="B2440" s="2" t="s">
        <v>4959</v>
      </c>
      <c r="C2440" s="2">
        <v>0.82</v>
      </c>
      <c r="D2440" s="2">
        <v>1.9294</v>
      </c>
      <c r="E2440" s="2" t="s">
        <v>450</v>
      </c>
    </row>
    <row r="2441" spans="1:5" ht="20.25" customHeight="1" x14ac:dyDescent="0.15">
      <c r="A2441" s="2" t="s">
        <v>5052</v>
      </c>
      <c r="B2441" s="2" t="s">
        <v>5053</v>
      </c>
      <c r="C2441" s="2">
        <v>0.82</v>
      </c>
      <c r="D2441" s="2">
        <v>0.38169999999999998</v>
      </c>
      <c r="E2441" s="2" t="s">
        <v>2898</v>
      </c>
    </row>
    <row r="2442" spans="1:5" ht="20.25" customHeight="1" x14ac:dyDescent="0.15">
      <c r="A2442" s="2" t="s">
        <v>6366</v>
      </c>
      <c r="B2442" s="2" t="s">
        <v>6367</v>
      </c>
      <c r="C2442" s="2">
        <v>0.82</v>
      </c>
      <c r="D2442" s="2">
        <v>14.610900000000001</v>
      </c>
      <c r="E2442" s="2" t="s">
        <v>7</v>
      </c>
    </row>
    <row r="2443" spans="1:5" ht="20.25" customHeight="1" x14ac:dyDescent="0.15">
      <c r="A2443" s="2" t="s">
        <v>6907</v>
      </c>
      <c r="B2443" s="2" t="s">
        <v>6908</v>
      </c>
      <c r="C2443" s="2">
        <v>0.82</v>
      </c>
      <c r="D2443" s="2">
        <v>0.22839999999999999</v>
      </c>
      <c r="E2443" s="2" t="s">
        <v>140</v>
      </c>
    </row>
    <row r="2444" spans="1:5" ht="20.25" customHeight="1" x14ac:dyDescent="0.15">
      <c r="A2444" s="2" t="s">
        <v>7087</v>
      </c>
      <c r="B2444" s="2" t="s">
        <v>7088</v>
      </c>
      <c r="C2444" s="2">
        <v>0.82</v>
      </c>
      <c r="D2444" s="2">
        <v>1.1084000000000001</v>
      </c>
      <c r="E2444" s="2" t="s">
        <v>276</v>
      </c>
    </row>
    <row r="2445" spans="1:5" ht="20.25" customHeight="1" x14ac:dyDescent="0.15">
      <c r="A2445" s="2" t="s">
        <v>1064</v>
      </c>
      <c r="B2445" s="2" t="s">
        <v>1065</v>
      </c>
      <c r="C2445" s="2">
        <v>0.81</v>
      </c>
      <c r="D2445" s="2">
        <v>0.77059999999999995</v>
      </c>
      <c r="E2445" s="2" t="s">
        <v>1066</v>
      </c>
    </row>
    <row r="2446" spans="1:5" ht="20.25" customHeight="1" x14ac:dyDescent="0.15">
      <c r="A2446" s="2" t="s">
        <v>1632</v>
      </c>
      <c r="B2446" s="2" t="s">
        <v>1633</v>
      </c>
      <c r="C2446" s="2">
        <v>0.81</v>
      </c>
      <c r="D2446" s="2">
        <v>22.564699999999998</v>
      </c>
      <c r="E2446" s="2" t="s">
        <v>260</v>
      </c>
    </row>
    <row r="2447" spans="1:5" ht="20.25" customHeight="1" x14ac:dyDescent="0.15">
      <c r="A2447" s="2" t="s">
        <v>1781</v>
      </c>
      <c r="B2447" s="2" t="s">
        <v>1782</v>
      </c>
      <c r="C2447" s="2">
        <v>0.81</v>
      </c>
      <c r="D2447" s="2">
        <v>10.7026</v>
      </c>
      <c r="E2447" s="2" t="s">
        <v>265</v>
      </c>
    </row>
    <row r="2448" spans="1:5" ht="20.25" customHeight="1" x14ac:dyDescent="0.15">
      <c r="A2448" s="2" t="s">
        <v>2166</v>
      </c>
      <c r="B2448" s="2" t="s">
        <v>2167</v>
      </c>
      <c r="C2448" s="2">
        <v>0.81</v>
      </c>
      <c r="D2448" s="2">
        <v>6.9885999999999999</v>
      </c>
      <c r="E2448" s="2" t="s">
        <v>409</v>
      </c>
    </row>
    <row r="2449" spans="1:5" ht="20.25" customHeight="1" x14ac:dyDescent="0.15">
      <c r="A2449" s="2" t="s">
        <v>3433</v>
      </c>
      <c r="B2449" s="2" t="s">
        <v>3434</v>
      </c>
      <c r="C2449" s="2">
        <v>0.81</v>
      </c>
      <c r="D2449" s="2">
        <v>3.3782999999999999</v>
      </c>
      <c r="E2449" s="2" t="s">
        <v>220</v>
      </c>
    </row>
    <row r="2450" spans="1:5" ht="20.25" customHeight="1" x14ac:dyDescent="0.15">
      <c r="A2450" s="2" t="s">
        <v>4314</v>
      </c>
      <c r="B2450" s="2" t="s">
        <v>4315</v>
      </c>
      <c r="C2450" s="2">
        <v>0.81</v>
      </c>
      <c r="D2450" s="2">
        <v>3.9887000000000001</v>
      </c>
      <c r="E2450" s="2" t="s">
        <v>3048</v>
      </c>
    </row>
    <row r="2451" spans="1:5" ht="20.25" customHeight="1" x14ac:dyDescent="0.15">
      <c r="A2451" s="2" t="s">
        <v>4843</v>
      </c>
      <c r="B2451" s="2" t="s">
        <v>4844</v>
      </c>
      <c r="C2451" s="2">
        <v>0.81</v>
      </c>
      <c r="D2451" s="2">
        <v>0.1835</v>
      </c>
      <c r="E2451" s="2" t="s">
        <v>126</v>
      </c>
    </row>
    <row r="2452" spans="1:5" ht="20.25" customHeight="1" x14ac:dyDescent="0.15">
      <c r="A2452" s="2" t="s">
        <v>5990</v>
      </c>
      <c r="B2452" s="2" t="s">
        <v>5991</v>
      </c>
      <c r="C2452" s="2">
        <v>0.81</v>
      </c>
      <c r="D2452" s="2">
        <v>1.738</v>
      </c>
      <c r="E2452" s="2" t="s">
        <v>1969</v>
      </c>
    </row>
    <row r="2453" spans="1:5" ht="20.25" customHeight="1" x14ac:dyDescent="0.15">
      <c r="A2453" s="2" t="s">
        <v>6524</v>
      </c>
      <c r="B2453" s="2" t="s">
        <v>6525</v>
      </c>
      <c r="C2453" s="2">
        <v>0.81</v>
      </c>
      <c r="D2453" s="2">
        <v>1.8740000000000001</v>
      </c>
      <c r="E2453" s="2" t="s">
        <v>2344</v>
      </c>
    </row>
    <row r="2454" spans="1:5" ht="20.25" customHeight="1" x14ac:dyDescent="0.15">
      <c r="A2454" s="2" t="s">
        <v>1835</v>
      </c>
      <c r="B2454" s="2" t="s">
        <v>1836</v>
      </c>
      <c r="C2454" s="2">
        <v>0.8</v>
      </c>
      <c r="D2454" s="2">
        <v>8.6938999999999993</v>
      </c>
      <c r="E2454" s="2" t="s">
        <v>140</v>
      </c>
    </row>
    <row r="2455" spans="1:5" ht="20.25" customHeight="1" x14ac:dyDescent="0.15">
      <c r="A2455" s="2" t="s">
        <v>2196</v>
      </c>
      <c r="B2455" s="2" t="s">
        <v>2197</v>
      </c>
      <c r="C2455" s="2">
        <v>0.8</v>
      </c>
      <c r="D2455" s="2">
        <v>0.13170000000000001</v>
      </c>
      <c r="E2455" s="2" t="s">
        <v>699</v>
      </c>
    </row>
    <row r="2456" spans="1:5" ht="20.25" customHeight="1" x14ac:dyDescent="0.15">
      <c r="A2456" s="2" t="s">
        <v>3366</v>
      </c>
      <c r="B2456" s="2" t="s">
        <v>3367</v>
      </c>
      <c r="C2456" s="2">
        <v>0.8</v>
      </c>
      <c r="D2456" s="2">
        <v>2.0232999999999999</v>
      </c>
      <c r="E2456" s="2" t="s">
        <v>329</v>
      </c>
    </row>
    <row r="2457" spans="1:5" ht="20.25" customHeight="1" x14ac:dyDescent="0.15">
      <c r="A2457" s="2" t="s">
        <v>3627</v>
      </c>
      <c r="B2457" s="2" t="s">
        <v>3628</v>
      </c>
      <c r="C2457" s="2">
        <v>0.8</v>
      </c>
      <c r="D2457" s="2">
        <v>1.5512999999999999</v>
      </c>
      <c r="E2457" s="2" t="s">
        <v>3130</v>
      </c>
    </row>
    <row r="2458" spans="1:5" ht="20.25" customHeight="1" x14ac:dyDescent="0.15">
      <c r="A2458" s="2" t="s">
        <v>4496</v>
      </c>
      <c r="B2458" s="2" t="s">
        <v>4497</v>
      </c>
      <c r="C2458" s="2">
        <v>0.8</v>
      </c>
      <c r="D2458" s="2">
        <v>2.8529</v>
      </c>
      <c r="E2458" s="2" t="s">
        <v>344</v>
      </c>
    </row>
    <row r="2459" spans="1:5" ht="20.25" customHeight="1" x14ac:dyDescent="0.15">
      <c r="A2459" s="2" t="s">
        <v>4516</v>
      </c>
      <c r="B2459" s="2" t="s">
        <v>4517</v>
      </c>
      <c r="C2459" s="2">
        <v>0.8</v>
      </c>
      <c r="D2459" s="2">
        <v>1.5441</v>
      </c>
      <c r="E2459" s="2" t="s">
        <v>111</v>
      </c>
    </row>
    <row r="2460" spans="1:5" ht="20.25" customHeight="1" x14ac:dyDescent="0.15">
      <c r="A2460" s="2" t="s">
        <v>4783</v>
      </c>
      <c r="B2460" s="2" t="s">
        <v>4784</v>
      </c>
      <c r="C2460" s="2">
        <v>0.8</v>
      </c>
      <c r="D2460" s="2">
        <v>7.22E-2</v>
      </c>
      <c r="E2460" s="2" t="s">
        <v>1102</v>
      </c>
    </row>
    <row r="2461" spans="1:5" ht="20.25" customHeight="1" x14ac:dyDescent="0.15">
      <c r="A2461" s="2" t="s">
        <v>4915</v>
      </c>
      <c r="B2461" s="2" t="s">
        <v>4916</v>
      </c>
      <c r="C2461" s="2">
        <v>0.8</v>
      </c>
      <c r="D2461" s="2">
        <v>0.67769999999999997</v>
      </c>
      <c r="E2461" s="2" t="s">
        <v>201</v>
      </c>
    </row>
    <row r="2462" spans="1:5" ht="20.25" customHeight="1" x14ac:dyDescent="0.15">
      <c r="A2462" s="2" t="s">
        <v>5048</v>
      </c>
      <c r="B2462" s="2" t="s">
        <v>5049</v>
      </c>
      <c r="C2462" s="2">
        <v>0.8</v>
      </c>
      <c r="D2462" s="2">
        <v>0.9254</v>
      </c>
      <c r="E2462" s="2" t="s">
        <v>1390</v>
      </c>
    </row>
    <row r="2463" spans="1:5" ht="20.25" customHeight="1" x14ac:dyDescent="0.15">
      <c r="A2463" s="2" t="s">
        <v>5284</v>
      </c>
      <c r="B2463" s="2" t="s">
        <v>5285</v>
      </c>
      <c r="C2463" s="2">
        <v>0.8</v>
      </c>
      <c r="D2463" s="2">
        <v>5.9200000000000003E-2</v>
      </c>
      <c r="E2463" s="2" t="s">
        <v>1570</v>
      </c>
    </row>
    <row r="2464" spans="1:5" ht="20.25" customHeight="1" x14ac:dyDescent="0.15">
      <c r="A2464" s="2" t="s">
        <v>5924</v>
      </c>
      <c r="B2464" s="2" t="s">
        <v>5925</v>
      </c>
      <c r="C2464" s="2">
        <v>0.8</v>
      </c>
      <c r="D2464" s="2">
        <v>0.33679999999999999</v>
      </c>
      <c r="E2464" s="2" t="s">
        <v>529</v>
      </c>
    </row>
    <row r="2465" spans="1:5" ht="20.25" customHeight="1" x14ac:dyDescent="0.15">
      <c r="A2465" s="2" t="s">
        <v>6086</v>
      </c>
      <c r="B2465" s="2" t="s">
        <v>6087</v>
      </c>
      <c r="C2465" s="2">
        <v>0.8</v>
      </c>
      <c r="D2465" s="2">
        <v>59.438299999999998</v>
      </c>
      <c r="E2465" s="2" t="s">
        <v>1608</v>
      </c>
    </row>
    <row r="2466" spans="1:5" ht="20.25" customHeight="1" x14ac:dyDescent="0.15">
      <c r="A2466" s="2" t="s">
        <v>7359</v>
      </c>
      <c r="B2466" s="2" t="s">
        <v>7360</v>
      </c>
      <c r="C2466" s="2">
        <v>0.8</v>
      </c>
      <c r="D2466" s="2">
        <v>4.3894000000000002</v>
      </c>
      <c r="E2466" s="2" t="s">
        <v>794</v>
      </c>
    </row>
    <row r="2467" spans="1:5" ht="20.25" customHeight="1" x14ac:dyDescent="0.15">
      <c r="A2467" s="2" t="s">
        <v>7295</v>
      </c>
      <c r="B2467" s="2" t="s">
        <v>7296</v>
      </c>
      <c r="C2467" s="2">
        <v>0.79500000000000004</v>
      </c>
      <c r="D2467" s="2">
        <v>1.3976999999999999</v>
      </c>
      <c r="E2467" s="2" t="s">
        <v>2865</v>
      </c>
    </row>
    <row r="2468" spans="1:5" ht="20.25" customHeight="1" x14ac:dyDescent="0.15">
      <c r="A2468" s="2" t="s">
        <v>1620</v>
      </c>
      <c r="B2468" s="2" t="s">
        <v>1621</v>
      </c>
      <c r="C2468" s="2">
        <v>0.79</v>
      </c>
      <c r="D2468" s="2">
        <v>0.68379999999999996</v>
      </c>
      <c r="E2468" s="2" t="s">
        <v>704</v>
      </c>
    </row>
    <row r="2469" spans="1:5" ht="20.25" customHeight="1" x14ac:dyDescent="0.15">
      <c r="A2469" s="2" t="s">
        <v>4468</v>
      </c>
      <c r="B2469" s="2" t="s">
        <v>4469</v>
      </c>
      <c r="C2469" s="2">
        <v>0.79</v>
      </c>
      <c r="D2469" s="2">
        <v>20587.1312</v>
      </c>
      <c r="E2469" s="2" t="s">
        <v>699</v>
      </c>
    </row>
    <row r="2470" spans="1:5" ht="20.25" customHeight="1" x14ac:dyDescent="0.15">
      <c r="A2470" s="2" t="s">
        <v>4526</v>
      </c>
      <c r="B2470" s="2" t="s">
        <v>4527</v>
      </c>
      <c r="C2470" s="2">
        <v>0.79</v>
      </c>
      <c r="D2470" s="2">
        <v>1.2576000000000001</v>
      </c>
      <c r="E2470" s="2" t="s">
        <v>2678</v>
      </c>
    </row>
    <row r="2471" spans="1:5" ht="20.25" customHeight="1" x14ac:dyDescent="0.15">
      <c r="A2471" s="2" t="s">
        <v>4775</v>
      </c>
      <c r="B2471" s="2" t="s">
        <v>4776</v>
      </c>
      <c r="C2471" s="2">
        <v>0.79</v>
      </c>
      <c r="D2471" s="2">
        <v>1.2718</v>
      </c>
      <c r="E2471" s="2" t="s">
        <v>44</v>
      </c>
    </row>
    <row r="2472" spans="1:5" ht="20.25" customHeight="1" x14ac:dyDescent="0.15">
      <c r="A2472" s="2" t="s">
        <v>4877</v>
      </c>
      <c r="B2472" s="2" t="s">
        <v>4878</v>
      </c>
      <c r="C2472" s="2">
        <v>0.79</v>
      </c>
      <c r="D2472" s="2">
        <v>1.0911999999999999</v>
      </c>
      <c r="E2472" s="2" t="s">
        <v>3130</v>
      </c>
    </row>
    <row r="2473" spans="1:5" ht="20.25" customHeight="1" x14ac:dyDescent="0.15">
      <c r="A2473" s="2" t="s">
        <v>4972</v>
      </c>
      <c r="B2473" s="2" t="s">
        <v>4973</v>
      </c>
      <c r="C2473" s="2">
        <v>0.79</v>
      </c>
      <c r="D2473" s="2">
        <v>6.8421000000000003</v>
      </c>
      <c r="E2473" s="2" t="s">
        <v>24</v>
      </c>
    </row>
    <row r="2474" spans="1:5" ht="20.25" customHeight="1" x14ac:dyDescent="0.15">
      <c r="A2474" s="2" t="s">
        <v>5896</v>
      </c>
      <c r="B2474" s="2" t="s">
        <v>5897</v>
      </c>
      <c r="C2474" s="2">
        <v>0.79</v>
      </c>
      <c r="D2474" s="2">
        <v>6.8148999999999997</v>
      </c>
      <c r="E2474" s="2" t="s">
        <v>1691</v>
      </c>
    </row>
    <row r="2475" spans="1:5" ht="20.25" customHeight="1" x14ac:dyDescent="0.15">
      <c r="A2475" s="2" t="s">
        <v>6712</v>
      </c>
      <c r="B2475" s="2" t="s">
        <v>6713</v>
      </c>
      <c r="C2475" s="2">
        <v>0.79</v>
      </c>
      <c r="D2475" s="2">
        <v>1.2778</v>
      </c>
      <c r="E2475" s="2" t="s">
        <v>1268</v>
      </c>
    </row>
    <row r="2476" spans="1:5" ht="20.25" customHeight="1" x14ac:dyDescent="0.15">
      <c r="A2476" s="2" t="s">
        <v>7207</v>
      </c>
      <c r="B2476" s="2" t="s">
        <v>7208</v>
      </c>
      <c r="C2476" s="2">
        <v>0.79</v>
      </c>
      <c r="D2476" s="2">
        <v>3.6069</v>
      </c>
      <c r="E2476" s="2" t="s">
        <v>44</v>
      </c>
    </row>
    <row r="2477" spans="1:5" ht="20.25" customHeight="1" x14ac:dyDescent="0.15">
      <c r="A2477" s="2" t="s">
        <v>7317</v>
      </c>
      <c r="B2477" s="2" t="s">
        <v>7318</v>
      </c>
      <c r="C2477" s="2">
        <v>0.79</v>
      </c>
      <c r="D2477" s="2">
        <v>2.6031</v>
      </c>
      <c r="E2477" s="2" t="s">
        <v>257</v>
      </c>
    </row>
    <row r="2478" spans="1:5" ht="20.25" customHeight="1" x14ac:dyDescent="0.15">
      <c r="A2478" s="2" t="s">
        <v>7391</v>
      </c>
      <c r="B2478" s="2" t="s">
        <v>7392</v>
      </c>
      <c r="C2478" s="2">
        <v>0.79</v>
      </c>
      <c r="D2478" s="2">
        <v>0.30180000000000001</v>
      </c>
      <c r="E2478" s="2" t="s">
        <v>3760</v>
      </c>
    </row>
    <row r="2479" spans="1:5" ht="20.25" customHeight="1" x14ac:dyDescent="0.15">
      <c r="A2479" s="2" t="s">
        <v>7637</v>
      </c>
      <c r="B2479" s="2" t="s">
        <v>7638</v>
      </c>
      <c r="C2479" s="2">
        <v>0.79</v>
      </c>
      <c r="D2479" s="2">
        <v>0.89800000000000002</v>
      </c>
      <c r="E2479" s="2" t="s">
        <v>501</v>
      </c>
    </row>
    <row r="2480" spans="1:5" ht="20.25" customHeight="1" x14ac:dyDescent="0.15">
      <c r="A2480" s="2" t="s">
        <v>8055</v>
      </c>
      <c r="B2480" s="2" t="s">
        <v>8056</v>
      </c>
      <c r="C2480" s="2">
        <v>0.79</v>
      </c>
      <c r="D2480" s="2">
        <v>0.41320000000000001</v>
      </c>
      <c r="E2480" s="2" t="s">
        <v>1997</v>
      </c>
    </row>
    <row r="2481" spans="1:5" ht="20.25" customHeight="1" x14ac:dyDescent="0.15">
      <c r="A2481" s="2" t="s">
        <v>5204</v>
      </c>
      <c r="B2481" s="2" t="s">
        <v>5205</v>
      </c>
      <c r="C2481" s="2">
        <v>0.78500000000000003</v>
      </c>
      <c r="D2481" s="2">
        <v>31.140499999999999</v>
      </c>
      <c r="E2481" s="2" t="s">
        <v>371</v>
      </c>
    </row>
    <row r="2482" spans="1:5" ht="20.25" customHeight="1" x14ac:dyDescent="0.15">
      <c r="A2482" s="2" t="s">
        <v>477</v>
      </c>
      <c r="B2482" s="2" t="s">
        <v>478</v>
      </c>
      <c r="C2482" s="2">
        <v>0.78</v>
      </c>
      <c r="D2482" s="2">
        <v>9.5699999999999993E-2</v>
      </c>
      <c r="E2482" s="2" t="s">
        <v>134</v>
      </c>
    </row>
    <row r="2483" spans="1:5" ht="20.25" customHeight="1" x14ac:dyDescent="0.15">
      <c r="A2483" s="2" t="s">
        <v>1020</v>
      </c>
      <c r="B2483" s="2" t="s">
        <v>1021</v>
      </c>
      <c r="C2483" s="2">
        <v>0.78</v>
      </c>
      <c r="D2483" s="2">
        <v>0.49020000000000002</v>
      </c>
      <c r="E2483" s="2" t="s">
        <v>38</v>
      </c>
    </row>
    <row r="2484" spans="1:5" ht="20.25" customHeight="1" x14ac:dyDescent="0.15">
      <c r="A2484" s="2" t="s">
        <v>1426</v>
      </c>
      <c r="B2484" s="2" t="s">
        <v>1427</v>
      </c>
      <c r="C2484" s="2">
        <v>0.78</v>
      </c>
      <c r="D2484" s="2">
        <v>2.0950000000000002</v>
      </c>
      <c r="E2484" s="2" t="s">
        <v>362</v>
      </c>
    </row>
    <row r="2485" spans="1:5" ht="20.25" customHeight="1" x14ac:dyDescent="0.15">
      <c r="A2485" s="2" t="s">
        <v>2178</v>
      </c>
      <c r="B2485" s="2" t="s">
        <v>2179</v>
      </c>
      <c r="C2485" s="2">
        <v>0.78</v>
      </c>
      <c r="D2485" s="2">
        <v>0.3876</v>
      </c>
      <c r="E2485" s="2" t="s">
        <v>276</v>
      </c>
    </row>
    <row r="2486" spans="1:5" ht="20.25" customHeight="1" x14ac:dyDescent="0.15">
      <c r="A2486" s="2" t="s">
        <v>2256</v>
      </c>
      <c r="B2486" s="2" t="s">
        <v>2257</v>
      </c>
      <c r="C2486" s="2">
        <v>0.78</v>
      </c>
      <c r="D2486" s="2">
        <v>12.6716</v>
      </c>
      <c r="E2486" s="2" t="s">
        <v>1139</v>
      </c>
    </row>
    <row r="2487" spans="1:5" ht="20.25" customHeight="1" x14ac:dyDescent="0.15">
      <c r="A2487" s="2" t="s">
        <v>2330</v>
      </c>
      <c r="B2487" s="2" t="s">
        <v>2331</v>
      </c>
      <c r="C2487" s="2">
        <v>0.78</v>
      </c>
      <c r="D2487" s="2">
        <v>2.5066000000000002</v>
      </c>
      <c r="E2487" s="2" t="s">
        <v>713</v>
      </c>
    </row>
    <row r="2488" spans="1:5" ht="20.25" customHeight="1" x14ac:dyDescent="0.15">
      <c r="A2488" s="2" t="s">
        <v>2947</v>
      </c>
      <c r="B2488" s="2" t="s">
        <v>2948</v>
      </c>
      <c r="C2488" s="2">
        <v>0.78</v>
      </c>
      <c r="D2488" s="2">
        <v>16.402999999999999</v>
      </c>
      <c r="E2488" s="2" t="s">
        <v>633</v>
      </c>
    </row>
    <row r="2489" spans="1:5" ht="20.25" customHeight="1" x14ac:dyDescent="0.15">
      <c r="A2489" s="2" t="s">
        <v>3266</v>
      </c>
      <c r="B2489" s="2" t="s">
        <v>3267</v>
      </c>
      <c r="C2489" s="2">
        <v>0.78</v>
      </c>
      <c r="D2489" s="2">
        <v>0.68830000000000002</v>
      </c>
      <c r="E2489" s="2" t="s">
        <v>44</v>
      </c>
    </row>
    <row r="2490" spans="1:5" ht="20.25" customHeight="1" x14ac:dyDescent="0.15">
      <c r="A2490" s="2" t="s">
        <v>4398</v>
      </c>
      <c r="B2490" s="2" t="s">
        <v>4399</v>
      </c>
      <c r="C2490" s="2">
        <v>0.78</v>
      </c>
      <c r="D2490" s="2">
        <v>0.2384</v>
      </c>
      <c r="E2490" s="2" t="s">
        <v>704</v>
      </c>
    </row>
    <row r="2491" spans="1:5" ht="20.25" customHeight="1" x14ac:dyDescent="0.15">
      <c r="A2491" s="2" t="s">
        <v>4712</v>
      </c>
      <c r="B2491" s="2" t="s">
        <v>4713</v>
      </c>
      <c r="C2491" s="2">
        <v>0.78</v>
      </c>
      <c r="D2491" s="2">
        <v>3.8677999999999999</v>
      </c>
      <c r="E2491" s="2" t="s">
        <v>1515</v>
      </c>
    </row>
    <row r="2492" spans="1:5" ht="20.25" customHeight="1" x14ac:dyDescent="0.15">
      <c r="A2492" s="2" t="s">
        <v>6150</v>
      </c>
      <c r="B2492" s="2" t="s">
        <v>6151</v>
      </c>
      <c r="C2492" s="2">
        <v>0.78</v>
      </c>
      <c r="D2492" s="2">
        <v>2.1985000000000001</v>
      </c>
      <c r="E2492" s="2" t="s">
        <v>1139</v>
      </c>
    </row>
    <row r="2493" spans="1:5" ht="20.25" customHeight="1" x14ac:dyDescent="0.15">
      <c r="A2493" s="2" t="s">
        <v>6266</v>
      </c>
      <c r="B2493" s="2" t="s">
        <v>6267</v>
      </c>
      <c r="C2493" s="2">
        <v>0.78</v>
      </c>
      <c r="D2493" s="2">
        <v>1.8019000000000001</v>
      </c>
      <c r="E2493" s="2" t="s">
        <v>140</v>
      </c>
    </row>
    <row r="2494" spans="1:5" ht="20.25" customHeight="1" x14ac:dyDescent="0.15">
      <c r="A2494" s="2" t="s">
        <v>6803</v>
      </c>
      <c r="B2494" s="2" t="s">
        <v>6804</v>
      </c>
      <c r="C2494" s="2">
        <v>0.78</v>
      </c>
      <c r="D2494" s="2">
        <v>19.077500000000001</v>
      </c>
      <c r="E2494" s="2" t="s">
        <v>690</v>
      </c>
    </row>
    <row r="2495" spans="1:5" ht="20.25" customHeight="1" x14ac:dyDescent="0.15">
      <c r="A2495" s="2" t="s">
        <v>7341</v>
      </c>
      <c r="B2495" s="2" t="s">
        <v>7342</v>
      </c>
      <c r="C2495" s="2">
        <v>0.78</v>
      </c>
      <c r="D2495" s="2">
        <v>1.0054000000000001</v>
      </c>
      <c r="E2495" s="2" t="s">
        <v>406</v>
      </c>
    </row>
    <row r="2496" spans="1:5" ht="20.25" customHeight="1" x14ac:dyDescent="0.15">
      <c r="A2496" s="2" t="s">
        <v>7993</v>
      </c>
      <c r="B2496" s="2" t="s">
        <v>7994</v>
      </c>
      <c r="C2496" s="2">
        <v>0.78</v>
      </c>
      <c r="D2496" s="2">
        <v>4.2629000000000001</v>
      </c>
      <c r="E2496" s="2" t="s">
        <v>699</v>
      </c>
    </row>
    <row r="2497" spans="1:5" ht="20.25" customHeight="1" x14ac:dyDescent="0.15">
      <c r="A2497" s="2" t="s">
        <v>8115</v>
      </c>
      <c r="B2497" s="2" t="s">
        <v>8116</v>
      </c>
      <c r="C2497" s="2">
        <v>0.78</v>
      </c>
      <c r="D2497" s="2">
        <v>1.8156000000000001</v>
      </c>
      <c r="E2497" s="2" t="s">
        <v>140</v>
      </c>
    </row>
    <row r="2498" spans="1:5" ht="20.25" customHeight="1" x14ac:dyDescent="0.15">
      <c r="A2498" s="2" t="s">
        <v>1970</v>
      </c>
      <c r="B2498" s="2" t="s">
        <v>1971</v>
      </c>
      <c r="C2498" s="2">
        <v>0.77500000000000002</v>
      </c>
      <c r="D2498" s="2">
        <v>2.2517</v>
      </c>
      <c r="E2498" s="2" t="s">
        <v>396</v>
      </c>
    </row>
    <row r="2499" spans="1:5" ht="20.25" customHeight="1" x14ac:dyDescent="0.15">
      <c r="A2499" s="2" t="s">
        <v>648</v>
      </c>
      <c r="B2499" s="2" t="s">
        <v>649</v>
      </c>
      <c r="C2499" s="2">
        <v>0.77</v>
      </c>
      <c r="D2499" s="2">
        <v>0.68079999999999996</v>
      </c>
      <c r="E2499" s="2" t="s">
        <v>271</v>
      </c>
    </row>
    <row r="2500" spans="1:5" ht="20.25" customHeight="1" x14ac:dyDescent="0.15">
      <c r="A2500" s="2" t="s">
        <v>1146</v>
      </c>
      <c r="B2500" s="2" t="s">
        <v>1147</v>
      </c>
      <c r="C2500" s="2">
        <v>0.77</v>
      </c>
      <c r="D2500" s="2">
        <v>1.3036000000000001</v>
      </c>
      <c r="E2500" s="2" t="s">
        <v>459</v>
      </c>
    </row>
    <row r="2501" spans="1:5" ht="20.25" customHeight="1" x14ac:dyDescent="0.15">
      <c r="A2501" s="2" t="s">
        <v>2578</v>
      </c>
      <c r="B2501" s="2" t="s">
        <v>2579</v>
      </c>
      <c r="C2501" s="2">
        <v>0.77</v>
      </c>
      <c r="D2501" s="2">
        <v>0.55769999999999997</v>
      </c>
      <c r="E2501" s="2" t="s">
        <v>44</v>
      </c>
    </row>
    <row r="2502" spans="1:5" ht="20.25" customHeight="1" x14ac:dyDescent="0.15">
      <c r="A2502" s="2" t="s">
        <v>3228</v>
      </c>
      <c r="B2502" s="2" t="s">
        <v>3229</v>
      </c>
      <c r="C2502" s="2">
        <v>0.77</v>
      </c>
      <c r="D2502" s="2">
        <v>0.87680000000000002</v>
      </c>
      <c r="E2502" s="2" t="s">
        <v>596</v>
      </c>
    </row>
    <row r="2503" spans="1:5" ht="20.25" customHeight="1" x14ac:dyDescent="0.15">
      <c r="A2503" s="2" t="s">
        <v>3276</v>
      </c>
      <c r="B2503" s="2" t="s">
        <v>3277</v>
      </c>
      <c r="C2503" s="2">
        <v>0.77</v>
      </c>
      <c r="D2503" s="2">
        <v>104.51090000000001</v>
      </c>
      <c r="E2503" s="2" t="s">
        <v>143</v>
      </c>
    </row>
    <row r="2504" spans="1:5" ht="20.25" customHeight="1" x14ac:dyDescent="0.15">
      <c r="A2504" s="2" t="s">
        <v>3625</v>
      </c>
      <c r="B2504" s="2" t="s">
        <v>3626</v>
      </c>
      <c r="C2504" s="2">
        <v>0.77</v>
      </c>
      <c r="D2504" s="2">
        <v>10.7852</v>
      </c>
      <c r="E2504" s="2" t="s">
        <v>359</v>
      </c>
    </row>
    <row r="2505" spans="1:5" ht="20.25" customHeight="1" x14ac:dyDescent="0.15">
      <c r="A2505" s="2" t="s">
        <v>4799</v>
      </c>
      <c r="B2505" s="2" t="s">
        <v>4800</v>
      </c>
      <c r="C2505" s="2">
        <v>0.77</v>
      </c>
      <c r="D2505" s="2">
        <v>1.9772000000000001</v>
      </c>
      <c r="E2505" s="2" t="s">
        <v>1774</v>
      </c>
    </row>
    <row r="2506" spans="1:5" ht="20.25" customHeight="1" x14ac:dyDescent="0.15">
      <c r="A2506" s="2" t="s">
        <v>4879</v>
      </c>
      <c r="B2506" s="2" t="s">
        <v>4880</v>
      </c>
      <c r="C2506" s="2">
        <v>0.77</v>
      </c>
      <c r="D2506" s="2">
        <v>0.43140000000000001</v>
      </c>
      <c r="E2506" s="2" t="s">
        <v>220</v>
      </c>
    </row>
    <row r="2507" spans="1:5" ht="20.25" customHeight="1" x14ac:dyDescent="0.15">
      <c r="A2507" s="2" t="s">
        <v>5415</v>
      </c>
      <c r="B2507" s="2" t="s">
        <v>5416</v>
      </c>
      <c r="C2507" s="2">
        <v>0.77</v>
      </c>
      <c r="D2507" s="2">
        <v>19.032</v>
      </c>
      <c r="E2507" s="2" t="s">
        <v>260</v>
      </c>
    </row>
    <row r="2508" spans="1:5" ht="20.25" customHeight="1" x14ac:dyDescent="0.15">
      <c r="A2508" s="2" t="s">
        <v>6164</v>
      </c>
      <c r="B2508" s="2" t="s">
        <v>6165</v>
      </c>
      <c r="C2508" s="2">
        <v>0.77</v>
      </c>
      <c r="D2508" s="2">
        <v>1.5238</v>
      </c>
      <c r="E2508" s="2" t="s">
        <v>68</v>
      </c>
    </row>
    <row r="2509" spans="1:5" ht="20.25" customHeight="1" x14ac:dyDescent="0.15">
      <c r="A2509" s="2" t="s">
        <v>6827</v>
      </c>
      <c r="B2509" s="2" t="s">
        <v>6828</v>
      </c>
      <c r="C2509" s="2">
        <v>0.77</v>
      </c>
      <c r="D2509" s="2">
        <v>4.9225000000000003</v>
      </c>
      <c r="E2509" s="2" t="s">
        <v>827</v>
      </c>
    </row>
    <row r="2510" spans="1:5" ht="20.25" customHeight="1" x14ac:dyDescent="0.15">
      <c r="A2510" s="2" t="s">
        <v>6963</v>
      </c>
      <c r="B2510" s="2" t="s">
        <v>6964</v>
      </c>
      <c r="C2510" s="2">
        <v>0.77</v>
      </c>
      <c r="D2510" s="2">
        <v>1.5044999999999999</v>
      </c>
      <c r="E2510" s="2" t="s">
        <v>89</v>
      </c>
    </row>
    <row r="2511" spans="1:5" ht="20.25" customHeight="1" x14ac:dyDescent="0.15">
      <c r="A2511" s="2" t="s">
        <v>7543</v>
      </c>
      <c r="B2511" s="2" t="s">
        <v>7544</v>
      </c>
      <c r="C2511" s="2">
        <v>0.77</v>
      </c>
      <c r="D2511" s="2">
        <v>16.588000000000001</v>
      </c>
      <c r="E2511" s="2" t="s">
        <v>690</v>
      </c>
    </row>
    <row r="2512" spans="1:5" ht="20.25" customHeight="1" x14ac:dyDescent="0.15">
      <c r="A2512" s="2" t="s">
        <v>7697</v>
      </c>
      <c r="B2512" s="2" t="s">
        <v>7698</v>
      </c>
      <c r="C2512" s="2">
        <v>0.77</v>
      </c>
      <c r="D2512" s="2">
        <v>2.7928999999999999</v>
      </c>
      <c r="E2512" s="2" t="s">
        <v>201</v>
      </c>
    </row>
    <row r="2513" spans="1:5" ht="20.25" customHeight="1" x14ac:dyDescent="0.15">
      <c r="A2513" s="2" t="s">
        <v>8137</v>
      </c>
      <c r="B2513" s="2" t="s">
        <v>8138</v>
      </c>
      <c r="C2513" s="2">
        <v>0.76500000000000001</v>
      </c>
      <c r="D2513" s="2">
        <v>9.4366000000000003</v>
      </c>
      <c r="E2513" s="2" t="s">
        <v>2151</v>
      </c>
    </row>
    <row r="2514" spans="1:5" ht="20.25" customHeight="1" x14ac:dyDescent="0.15">
      <c r="A2514" s="2" t="s">
        <v>763</v>
      </c>
      <c r="B2514" s="2" t="s">
        <v>764</v>
      </c>
      <c r="C2514" s="2">
        <v>0.76</v>
      </c>
      <c r="D2514" s="2">
        <v>0.31019999999999998</v>
      </c>
      <c r="E2514" s="2" t="s">
        <v>388</v>
      </c>
    </row>
    <row r="2515" spans="1:5" ht="20.25" customHeight="1" x14ac:dyDescent="0.15">
      <c r="A2515" s="2" t="s">
        <v>1457</v>
      </c>
      <c r="B2515" s="2" t="s">
        <v>1458</v>
      </c>
      <c r="C2515" s="2">
        <v>0.76</v>
      </c>
      <c r="D2515" s="2">
        <v>18.4754</v>
      </c>
      <c r="E2515" s="2" t="s">
        <v>1459</v>
      </c>
    </row>
    <row r="2516" spans="1:5" ht="20.25" customHeight="1" x14ac:dyDescent="0.15">
      <c r="A2516" s="2" t="s">
        <v>1854</v>
      </c>
      <c r="B2516" s="2" t="s">
        <v>1855</v>
      </c>
      <c r="C2516" s="2">
        <v>0.76</v>
      </c>
      <c r="D2516" s="2">
        <v>0.48459999999999998</v>
      </c>
      <c r="E2516" s="2" t="s">
        <v>322</v>
      </c>
    </row>
    <row r="2517" spans="1:5" ht="20.25" customHeight="1" x14ac:dyDescent="0.15">
      <c r="A2517" s="2" t="s">
        <v>4418</v>
      </c>
      <c r="B2517" s="2" t="s">
        <v>4419</v>
      </c>
      <c r="C2517" s="2">
        <v>0.76</v>
      </c>
      <c r="D2517" s="2">
        <v>310.62020000000001</v>
      </c>
      <c r="E2517" s="2" t="s">
        <v>1774</v>
      </c>
    </row>
    <row r="2518" spans="1:5" ht="20.25" customHeight="1" x14ac:dyDescent="0.15">
      <c r="A2518" s="2" t="s">
        <v>5000</v>
      </c>
      <c r="B2518" s="2" t="s">
        <v>5001</v>
      </c>
      <c r="C2518" s="2">
        <v>0.76</v>
      </c>
      <c r="D2518" s="2">
        <v>0.44519999999999998</v>
      </c>
      <c r="E2518" s="2" t="s">
        <v>690</v>
      </c>
    </row>
    <row r="2519" spans="1:5" ht="20.25" customHeight="1" x14ac:dyDescent="0.15">
      <c r="A2519" s="2" t="s">
        <v>5176</v>
      </c>
      <c r="B2519" s="2" t="s">
        <v>5177</v>
      </c>
      <c r="C2519" s="2">
        <v>0.76</v>
      </c>
      <c r="D2519" s="2">
        <v>0.20799999999999999</v>
      </c>
      <c r="E2519" s="2" t="s">
        <v>1820</v>
      </c>
    </row>
    <row r="2520" spans="1:5" ht="20.25" customHeight="1" x14ac:dyDescent="0.15">
      <c r="A2520" s="2" t="s">
        <v>7481</v>
      </c>
      <c r="B2520" s="2" t="s">
        <v>7482</v>
      </c>
      <c r="C2520" s="2">
        <v>0.76</v>
      </c>
      <c r="D2520" s="2">
        <v>0.1153</v>
      </c>
      <c r="E2520" s="2" t="s">
        <v>2724</v>
      </c>
    </row>
    <row r="2521" spans="1:5" ht="20.25" customHeight="1" x14ac:dyDescent="0.15">
      <c r="A2521" s="2" t="s">
        <v>7497</v>
      </c>
      <c r="B2521" s="2" t="s">
        <v>7498</v>
      </c>
      <c r="C2521" s="2">
        <v>0.76</v>
      </c>
      <c r="D2521" s="2">
        <v>0.13450000000000001</v>
      </c>
      <c r="E2521" s="2" t="s">
        <v>3693</v>
      </c>
    </row>
    <row r="2522" spans="1:5" ht="20.25" customHeight="1" x14ac:dyDescent="0.15">
      <c r="A2522" s="2" t="s">
        <v>8151</v>
      </c>
      <c r="B2522" s="2" t="s">
        <v>8152</v>
      </c>
      <c r="C2522" s="2">
        <v>0.76</v>
      </c>
      <c r="D2522" s="2">
        <v>0.72899999999999998</v>
      </c>
      <c r="E2522" s="2" t="s">
        <v>1403</v>
      </c>
    </row>
    <row r="2523" spans="1:5" ht="20.25" customHeight="1" x14ac:dyDescent="0.15">
      <c r="A2523" s="2" t="s">
        <v>8399</v>
      </c>
      <c r="B2523" s="2" t="s">
        <v>8400</v>
      </c>
      <c r="C2523" s="2">
        <v>0.76</v>
      </c>
      <c r="D2523" s="2">
        <v>9.9266000000000005</v>
      </c>
      <c r="E2523" s="2" t="s">
        <v>699</v>
      </c>
    </row>
    <row r="2524" spans="1:5" ht="20.25" customHeight="1" x14ac:dyDescent="0.15">
      <c r="A2524" s="2" t="s">
        <v>830</v>
      </c>
      <c r="B2524" s="2" t="s">
        <v>831</v>
      </c>
      <c r="C2524" s="2">
        <v>0.75</v>
      </c>
      <c r="D2524" s="2">
        <v>0.31669999999999998</v>
      </c>
      <c r="E2524" s="2" t="s">
        <v>134</v>
      </c>
    </row>
    <row r="2525" spans="1:5" ht="20.25" customHeight="1" x14ac:dyDescent="0.15">
      <c r="A2525" s="2" t="s">
        <v>921</v>
      </c>
      <c r="B2525" s="2" t="s">
        <v>922</v>
      </c>
      <c r="C2525" s="2">
        <v>0.75</v>
      </c>
      <c r="D2525" s="2">
        <v>8.0500000000000002E-2</v>
      </c>
      <c r="E2525" s="2" t="s">
        <v>336</v>
      </c>
    </row>
    <row r="2526" spans="1:5" ht="20.25" customHeight="1" x14ac:dyDescent="0.15">
      <c r="A2526" s="2" t="s">
        <v>1117</v>
      </c>
      <c r="B2526" s="2" t="s">
        <v>1118</v>
      </c>
      <c r="C2526" s="2">
        <v>0.75</v>
      </c>
      <c r="D2526" s="2">
        <v>0.43059999999999998</v>
      </c>
      <c r="E2526" s="2" t="s">
        <v>747</v>
      </c>
    </row>
    <row r="2527" spans="1:5" ht="20.25" customHeight="1" x14ac:dyDescent="0.15">
      <c r="A2527" s="2" t="s">
        <v>1391</v>
      </c>
      <c r="B2527" s="2" t="s">
        <v>1392</v>
      </c>
      <c r="C2527" s="2">
        <v>0.75</v>
      </c>
      <c r="D2527" s="2">
        <v>29.356300000000001</v>
      </c>
      <c r="E2527" s="2" t="s">
        <v>245</v>
      </c>
    </row>
    <row r="2528" spans="1:5" ht="20.25" customHeight="1" x14ac:dyDescent="0.15">
      <c r="A2528" s="2" t="s">
        <v>2123</v>
      </c>
      <c r="B2528" s="2" t="s">
        <v>2124</v>
      </c>
      <c r="C2528" s="2">
        <v>0.75</v>
      </c>
      <c r="D2528" s="2">
        <v>3.7267000000000001</v>
      </c>
      <c r="E2528" s="2" t="s">
        <v>220</v>
      </c>
    </row>
    <row r="2529" spans="1:5" ht="20.25" customHeight="1" x14ac:dyDescent="0.15">
      <c r="A2529" s="2" t="s">
        <v>3224</v>
      </c>
      <c r="B2529" s="2" t="s">
        <v>3225</v>
      </c>
      <c r="C2529" s="2">
        <v>0.75</v>
      </c>
      <c r="D2529" s="2">
        <v>113.7026</v>
      </c>
      <c r="E2529" s="2" t="s">
        <v>260</v>
      </c>
    </row>
    <row r="2530" spans="1:5" ht="20.25" customHeight="1" x14ac:dyDescent="0.15">
      <c r="A2530" s="2" t="s">
        <v>3887</v>
      </c>
      <c r="B2530" s="2" t="s">
        <v>3888</v>
      </c>
      <c r="C2530" s="2">
        <v>0.75</v>
      </c>
      <c r="D2530" s="2">
        <v>7.1544999999999996</v>
      </c>
      <c r="E2530" s="2" t="s">
        <v>529</v>
      </c>
    </row>
    <row r="2531" spans="1:5" ht="20.25" customHeight="1" x14ac:dyDescent="0.15">
      <c r="A2531" s="2" t="s">
        <v>4412</v>
      </c>
      <c r="B2531" s="2" t="s">
        <v>4413</v>
      </c>
      <c r="C2531" s="2">
        <v>0.75</v>
      </c>
      <c r="D2531" s="2">
        <v>2.6749999999999998</v>
      </c>
      <c r="E2531" s="2" t="s">
        <v>630</v>
      </c>
    </row>
    <row r="2532" spans="1:5" ht="20.25" customHeight="1" x14ac:dyDescent="0.15">
      <c r="A2532" s="2" t="s">
        <v>4414</v>
      </c>
      <c r="B2532" s="2" t="s">
        <v>4415</v>
      </c>
      <c r="C2532" s="2">
        <v>0.75</v>
      </c>
      <c r="D2532" s="2">
        <v>53.104700000000001</v>
      </c>
      <c r="E2532" s="2" t="s">
        <v>385</v>
      </c>
    </row>
    <row r="2533" spans="1:5" ht="20.25" customHeight="1" x14ac:dyDescent="0.15">
      <c r="A2533" s="2" t="s">
        <v>4980</v>
      </c>
      <c r="B2533" s="2" t="s">
        <v>4981</v>
      </c>
      <c r="C2533" s="2">
        <v>0.75</v>
      </c>
      <c r="D2533" s="2">
        <v>5.7003000000000004</v>
      </c>
      <c r="E2533" s="2" t="s">
        <v>231</v>
      </c>
    </row>
    <row r="2534" spans="1:5" ht="20.25" customHeight="1" x14ac:dyDescent="0.15">
      <c r="A2534" s="2" t="s">
        <v>6092</v>
      </c>
      <c r="B2534" s="2" t="s">
        <v>6093</v>
      </c>
      <c r="C2534" s="2">
        <v>0.75</v>
      </c>
      <c r="D2534" s="2">
        <v>74.601900000000001</v>
      </c>
      <c r="E2534" s="2" t="s">
        <v>542</v>
      </c>
    </row>
    <row r="2535" spans="1:5" ht="20.25" customHeight="1" x14ac:dyDescent="0.15">
      <c r="A2535" s="2" t="s">
        <v>7403</v>
      </c>
      <c r="B2535" s="2" t="s">
        <v>7404</v>
      </c>
      <c r="C2535" s="2">
        <v>0.75</v>
      </c>
      <c r="D2535" s="2">
        <v>0.62670000000000003</v>
      </c>
      <c r="E2535" s="2" t="s">
        <v>630</v>
      </c>
    </row>
    <row r="2536" spans="1:5" ht="20.25" customHeight="1" x14ac:dyDescent="0.15">
      <c r="A2536" s="2" t="s">
        <v>3358</v>
      </c>
      <c r="B2536" s="2" t="s">
        <v>3359</v>
      </c>
      <c r="C2536" s="2">
        <v>0.745</v>
      </c>
      <c r="D2536" s="2">
        <v>14.8507</v>
      </c>
      <c r="E2536" s="2" t="s">
        <v>1878</v>
      </c>
    </row>
    <row r="2537" spans="1:5" ht="20.25" customHeight="1" x14ac:dyDescent="0.15">
      <c r="A2537" s="2" t="s">
        <v>1314</v>
      </c>
      <c r="B2537" s="2" t="s">
        <v>1315</v>
      </c>
      <c r="C2537" s="2">
        <v>0.74</v>
      </c>
      <c r="D2537" s="2">
        <v>0.38590000000000002</v>
      </c>
      <c r="E2537" s="2" t="s">
        <v>152</v>
      </c>
    </row>
    <row r="2538" spans="1:5" ht="20.25" customHeight="1" x14ac:dyDescent="0.15">
      <c r="A2538" s="2" t="s">
        <v>1806</v>
      </c>
      <c r="B2538" s="2" t="s">
        <v>1807</v>
      </c>
      <c r="C2538" s="2">
        <v>0.74</v>
      </c>
      <c r="D2538" s="2">
        <v>1.3569</v>
      </c>
      <c r="E2538" s="2" t="s">
        <v>231</v>
      </c>
    </row>
    <row r="2539" spans="1:5" ht="20.25" customHeight="1" x14ac:dyDescent="0.15">
      <c r="A2539" s="2" t="s">
        <v>3969</v>
      </c>
      <c r="B2539" s="2" t="s">
        <v>3970</v>
      </c>
      <c r="C2539" s="2">
        <v>0.74</v>
      </c>
      <c r="D2539" s="2">
        <v>0.35759999999999997</v>
      </c>
      <c r="E2539" s="2" t="s">
        <v>3971</v>
      </c>
    </row>
    <row r="2540" spans="1:5" ht="20.25" customHeight="1" x14ac:dyDescent="0.15">
      <c r="A2540" s="2" t="s">
        <v>4334</v>
      </c>
      <c r="B2540" s="2" t="s">
        <v>4335</v>
      </c>
      <c r="C2540" s="2">
        <v>0.74</v>
      </c>
      <c r="D2540" s="2">
        <v>21.057400000000001</v>
      </c>
      <c r="E2540" s="2" t="s">
        <v>982</v>
      </c>
    </row>
    <row r="2541" spans="1:5" ht="20.25" customHeight="1" x14ac:dyDescent="0.15">
      <c r="A2541" s="2" t="s">
        <v>4384</v>
      </c>
      <c r="B2541" s="2" t="s">
        <v>4385</v>
      </c>
      <c r="C2541" s="2">
        <v>0.74</v>
      </c>
      <c r="D2541" s="2">
        <v>1.5281</v>
      </c>
      <c r="E2541" s="2" t="s">
        <v>371</v>
      </c>
    </row>
    <row r="2542" spans="1:5" ht="20.25" customHeight="1" x14ac:dyDescent="0.15">
      <c r="A2542" s="2" t="s">
        <v>4396</v>
      </c>
      <c r="B2542" s="2" t="s">
        <v>4397</v>
      </c>
      <c r="C2542" s="2">
        <v>0.74</v>
      </c>
      <c r="D2542" s="2">
        <v>41.919699999999999</v>
      </c>
      <c r="E2542" s="2" t="s">
        <v>1969</v>
      </c>
    </row>
    <row r="2543" spans="1:5" ht="20.25" customHeight="1" x14ac:dyDescent="0.15">
      <c r="A2543" s="2" t="s">
        <v>5579</v>
      </c>
      <c r="B2543" s="2" t="s">
        <v>5580</v>
      </c>
      <c r="C2543" s="2">
        <v>0.74</v>
      </c>
      <c r="D2543" s="2">
        <v>5.3517000000000001</v>
      </c>
      <c r="E2543" s="2" t="s">
        <v>574</v>
      </c>
    </row>
    <row r="2544" spans="1:5" ht="20.25" customHeight="1" x14ac:dyDescent="0.15">
      <c r="A2544" s="2" t="s">
        <v>5976</v>
      </c>
      <c r="B2544" s="2" t="s">
        <v>5977</v>
      </c>
      <c r="C2544" s="2">
        <v>0.74</v>
      </c>
      <c r="D2544" s="2">
        <v>0.73660000000000003</v>
      </c>
      <c r="E2544" s="2" t="s">
        <v>667</v>
      </c>
    </row>
    <row r="2545" spans="1:5" ht="20.25" customHeight="1" x14ac:dyDescent="0.15">
      <c r="A2545" s="2" t="s">
        <v>6843</v>
      </c>
      <c r="B2545" s="2" t="s">
        <v>6844</v>
      </c>
      <c r="C2545" s="2">
        <v>0.74</v>
      </c>
      <c r="D2545" s="2">
        <v>1.6187</v>
      </c>
      <c r="E2545" s="2" t="s">
        <v>140</v>
      </c>
    </row>
    <row r="2546" spans="1:5" ht="20.25" customHeight="1" x14ac:dyDescent="0.15">
      <c r="A2546" s="2" t="s">
        <v>6971</v>
      </c>
      <c r="B2546" s="2" t="s">
        <v>6972</v>
      </c>
      <c r="C2546" s="2">
        <v>0.74</v>
      </c>
      <c r="D2546" s="2">
        <v>4.7412999999999998</v>
      </c>
      <c r="E2546" s="2" t="s">
        <v>92</v>
      </c>
    </row>
    <row r="2547" spans="1:5" ht="20.25" customHeight="1" x14ac:dyDescent="0.15">
      <c r="A2547" s="2" t="s">
        <v>7499</v>
      </c>
      <c r="B2547" s="2" t="s">
        <v>7500</v>
      </c>
      <c r="C2547" s="2">
        <v>0.74</v>
      </c>
      <c r="D2547" s="2">
        <v>29.153600000000001</v>
      </c>
      <c r="E2547" s="2" t="s">
        <v>13</v>
      </c>
    </row>
    <row r="2548" spans="1:5" ht="20.25" customHeight="1" x14ac:dyDescent="0.15">
      <c r="A2548" s="2" t="s">
        <v>7527</v>
      </c>
      <c r="B2548" s="2" t="s">
        <v>7528</v>
      </c>
      <c r="C2548" s="2">
        <v>0.74</v>
      </c>
      <c r="D2548" s="2">
        <v>1.2468999999999999</v>
      </c>
      <c r="E2548" s="2" t="s">
        <v>418</v>
      </c>
    </row>
    <row r="2549" spans="1:5" ht="20.25" customHeight="1" x14ac:dyDescent="0.15">
      <c r="A2549" s="2" t="s">
        <v>8395</v>
      </c>
      <c r="B2549" s="2" t="s">
        <v>8396</v>
      </c>
      <c r="C2549" s="2">
        <v>0.74</v>
      </c>
      <c r="D2549" s="2">
        <v>1.4233</v>
      </c>
      <c r="E2549" s="2" t="s">
        <v>1403</v>
      </c>
    </row>
    <row r="2550" spans="1:5" ht="20.25" customHeight="1" x14ac:dyDescent="0.15">
      <c r="A2550" s="2" t="s">
        <v>6989</v>
      </c>
      <c r="B2550" s="2" t="s">
        <v>6990</v>
      </c>
      <c r="C2550" s="2">
        <v>0.73499999999999999</v>
      </c>
      <c r="D2550" s="2">
        <v>1.2373000000000001</v>
      </c>
      <c r="E2550" s="2" t="s">
        <v>3190</v>
      </c>
    </row>
    <row r="2551" spans="1:5" ht="20.25" customHeight="1" x14ac:dyDescent="0.15">
      <c r="A2551" s="2" t="s">
        <v>983</v>
      </c>
      <c r="B2551" s="2" t="s">
        <v>984</v>
      </c>
      <c r="C2551" s="2">
        <v>0.73</v>
      </c>
      <c r="D2551" s="2">
        <v>6.5119999999999996</v>
      </c>
      <c r="E2551" s="2" t="s">
        <v>271</v>
      </c>
    </row>
    <row r="2552" spans="1:5" ht="20.25" customHeight="1" x14ac:dyDescent="0.15">
      <c r="A2552" s="2" t="s">
        <v>1150</v>
      </c>
      <c r="B2552" s="2" t="s">
        <v>1151</v>
      </c>
      <c r="C2552" s="2">
        <v>0.73</v>
      </c>
      <c r="D2552" s="2">
        <v>0.35809999999999997</v>
      </c>
      <c r="E2552" s="2" t="s">
        <v>344</v>
      </c>
    </row>
    <row r="2553" spans="1:5" ht="20.25" customHeight="1" x14ac:dyDescent="0.15">
      <c r="A2553" s="2" t="s">
        <v>1165</v>
      </c>
      <c r="B2553" s="2" t="s">
        <v>1166</v>
      </c>
      <c r="C2553" s="2">
        <v>0.73</v>
      </c>
      <c r="D2553" s="2">
        <v>1.5697000000000001</v>
      </c>
      <c r="E2553" s="2" t="s">
        <v>220</v>
      </c>
    </row>
    <row r="2554" spans="1:5" ht="20.25" customHeight="1" x14ac:dyDescent="0.15">
      <c r="A2554" s="2" t="s">
        <v>1753</v>
      </c>
      <c r="B2554" s="2" t="s">
        <v>1754</v>
      </c>
      <c r="C2554" s="2">
        <v>0.73</v>
      </c>
      <c r="D2554" s="2">
        <v>3.9887999999999999</v>
      </c>
      <c r="E2554" s="2" t="s">
        <v>44</v>
      </c>
    </row>
    <row r="2555" spans="1:5" ht="20.25" customHeight="1" x14ac:dyDescent="0.15">
      <c r="A2555" s="2" t="s">
        <v>1982</v>
      </c>
      <c r="B2555" s="2" t="s">
        <v>1983</v>
      </c>
      <c r="C2555" s="2">
        <v>0.73</v>
      </c>
      <c r="D2555" s="2">
        <v>0.85029999999999994</v>
      </c>
      <c r="E2555" s="2" t="s">
        <v>1248</v>
      </c>
    </row>
    <row r="2556" spans="1:5" ht="20.25" customHeight="1" x14ac:dyDescent="0.15">
      <c r="A2556" s="2" t="s">
        <v>2381</v>
      </c>
      <c r="B2556" s="2" t="s">
        <v>2382</v>
      </c>
      <c r="C2556" s="2">
        <v>0.73</v>
      </c>
      <c r="D2556" s="2">
        <v>31.8569</v>
      </c>
      <c r="E2556" s="2" t="s">
        <v>1459</v>
      </c>
    </row>
    <row r="2557" spans="1:5" ht="20.25" customHeight="1" x14ac:dyDescent="0.15">
      <c r="A2557" s="2" t="s">
        <v>2708</v>
      </c>
      <c r="B2557" s="2" t="s">
        <v>2709</v>
      </c>
      <c r="C2557" s="2">
        <v>0.73</v>
      </c>
      <c r="D2557" s="2">
        <v>6.7794999999999996</v>
      </c>
      <c r="E2557" s="2" t="s">
        <v>501</v>
      </c>
    </row>
    <row r="2558" spans="1:5" ht="20.25" customHeight="1" x14ac:dyDescent="0.15">
      <c r="A2558" s="2" t="s">
        <v>3133</v>
      </c>
      <c r="B2558" s="2" t="s">
        <v>3134</v>
      </c>
      <c r="C2558" s="2">
        <v>0.73</v>
      </c>
      <c r="D2558" s="2">
        <v>1.0759000000000001</v>
      </c>
      <c r="E2558" s="2" t="s">
        <v>44</v>
      </c>
    </row>
    <row r="2559" spans="1:5" ht="20.25" customHeight="1" x14ac:dyDescent="0.15">
      <c r="A2559" s="2" t="s">
        <v>3238</v>
      </c>
      <c r="B2559" s="2" t="s">
        <v>3239</v>
      </c>
      <c r="C2559" s="2">
        <v>0.73</v>
      </c>
      <c r="D2559" s="2">
        <v>6.8817000000000004</v>
      </c>
      <c r="E2559" s="2" t="s">
        <v>551</v>
      </c>
    </row>
    <row r="2560" spans="1:5" ht="20.25" customHeight="1" x14ac:dyDescent="0.15">
      <c r="A2560" s="2" t="s">
        <v>3417</v>
      </c>
      <c r="B2560" s="2" t="s">
        <v>3418</v>
      </c>
      <c r="C2560" s="2">
        <v>0.73</v>
      </c>
      <c r="D2560" s="2">
        <v>2.2932999999999999</v>
      </c>
      <c r="E2560" s="2" t="s">
        <v>1158</v>
      </c>
    </row>
    <row r="2561" spans="1:5" ht="20.25" customHeight="1" x14ac:dyDescent="0.15">
      <c r="A2561" s="2" t="s">
        <v>4056</v>
      </c>
      <c r="B2561" s="2" t="s">
        <v>4057</v>
      </c>
      <c r="C2561" s="2">
        <v>0.73</v>
      </c>
      <c r="D2561" s="2">
        <v>2.7496999999999998</v>
      </c>
      <c r="E2561" s="2" t="s">
        <v>3053</v>
      </c>
    </row>
    <row r="2562" spans="1:5" ht="20.25" customHeight="1" x14ac:dyDescent="0.15">
      <c r="A2562" s="2" t="s">
        <v>5128</v>
      </c>
      <c r="B2562" s="2" t="s">
        <v>5129</v>
      </c>
      <c r="C2562" s="2">
        <v>0.73</v>
      </c>
      <c r="D2562" s="2">
        <v>1.3576999999999999</v>
      </c>
      <c r="E2562" s="2" t="s">
        <v>506</v>
      </c>
    </row>
    <row r="2563" spans="1:5" ht="20.25" customHeight="1" x14ac:dyDescent="0.15">
      <c r="A2563" s="2" t="s">
        <v>5433</v>
      </c>
      <c r="B2563" s="2" t="s">
        <v>5434</v>
      </c>
      <c r="C2563" s="2">
        <v>0.73</v>
      </c>
      <c r="D2563" s="2">
        <v>1.5403</v>
      </c>
      <c r="E2563" s="2" t="s">
        <v>2063</v>
      </c>
    </row>
    <row r="2564" spans="1:5" ht="20.25" customHeight="1" x14ac:dyDescent="0.15">
      <c r="A2564" s="2" t="s">
        <v>5443</v>
      </c>
      <c r="B2564" s="2" t="s">
        <v>5444</v>
      </c>
      <c r="C2564" s="2">
        <v>0.73</v>
      </c>
      <c r="D2564" s="2">
        <v>7.2446999999999999</v>
      </c>
      <c r="E2564" s="2" t="s">
        <v>2068</v>
      </c>
    </row>
    <row r="2565" spans="1:5" ht="20.25" customHeight="1" x14ac:dyDescent="0.15">
      <c r="A2565" s="2" t="s">
        <v>5874</v>
      </c>
      <c r="B2565" s="2" t="s">
        <v>5875</v>
      </c>
      <c r="C2565" s="2">
        <v>0.73</v>
      </c>
      <c r="D2565" s="2">
        <v>1.0921000000000001</v>
      </c>
      <c r="E2565" s="2" t="s">
        <v>176</v>
      </c>
    </row>
    <row r="2566" spans="1:5" ht="20.25" customHeight="1" x14ac:dyDescent="0.15">
      <c r="A2566" s="2" t="s">
        <v>5914</v>
      </c>
      <c r="B2566" s="2" t="s">
        <v>5915</v>
      </c>
      <c r="C2566" s="2">
        <v>0.73</v>
      </c>
      <c r="D2566" s="2">
        <v>15.743399999999999</v>
      </c>
      <c r="E2566" s="2" t="s">
        <v>1099</v>
      </c>
    </row>
    <row r="2567" spans="1:5" ht="20.25" customHeight="1" x14ac:dyDescent="0.15">
      <c r="A2567" s="2" t="s">
        <v>6402</v>
      </c>
      <c r="B2567" s="2" t="s">
        <v>6403</v>
      </c>
      <c r="C2567" s="2">
        <v>0.73</v>
      </c>
      <c r="D2567" s="2">
        <v>31.649899999999999</v>
      </c>
      <c r="E2567" s="2" t="s">
        <v>260</v>
      </c>
    </row>
    <row r="2568" spans="1:5" ht="20.25" customHeight="1" x14ac:dyDescent="0.15">
      <c r="A2568" s="2" t="s">
        <v>5497</v>
      </c>
      <c r="B2568" s="2" t="s">
        <v>5498</v>
      </c>
      <c r="C2568" s="2">
        <v>0.72499999999999998</v>
      </c>
      <c r="D2568" s="2">
        <v>2.8130999999999999</v>
      </c>
      <c r="E2568" s="2" t="s">
        <v>958</v>
      </c>
    </row>
    <row r="2569" spans="1:5" ht="20.25" customHeight="1" x14ac:dyDescent="0.15">
      <c r="A2569" s="2" t="s">
        <v>1988</v>
      </c>
      <c r="B2569" s="2" t="s">
        <v>1989</v>
      </c>
      <c r="C2569" s="2">
        <v>0.72</v>
      </c>
      <c r="D2569" s="2">
        <v>3.8691</v>
      </c>
      <c r="E2569" s="2" t="s">
        <v>225</v>
      </c>
    </row>
    <row r="2570" spans="1:5" ht="20.25" customHeight="1" x14ac:dyDescent="0.15">
      <c r="A2570" s="2" t="s">
        <v>2274</v>
      </c>
      <c r="B2570" s="2" t="s">
        <v>2275</v>
      </c>
      <c r="C2570" s="2">
        <v>0.72</v>
      </c>
      <c r="D2570" s="2">
        <v>0.73260000000000003</v>
      </c>
      <c r="E2570" s="2" t="s">
        <v>89</v>
      </c>
    </row>
    <row r="2571" spans="1:5" ht="20.25" customHeight="1" x14ac:dyDescent="0.15">
      <c r="A2571" s="2" t="s">
        <v>3465</v>
      </c>
      <c r="B2571" s="2" t="s">
        <v>3466</v>
      </c>
      <c r="C2571" s="2">
        <v>0.72</v>
      </c>
      <c r="D2571" s="2">
        <v>3.0034999999999998</v>
      </c>
      <c r="E2571" s="2" t="s">
        <v>201</v>
      </c>
    </row>
    <row r="2572" spans="1:5" ht="20.25" customHeight="1" x14ac:dyDescent="0.15">
      <c r="A2572" s="2" t="s">
        <v>3919</v>
      </c>
      <c r="B2572" s="2" t="s">
        <v>3920</v>
      </c>
      <c r="C2572" s="2">
        <v>0.72</v>
      </c>
      <c r="D2572" s="2">
        <v>0.27610000000000001</v>
      </c>
      <c r="E2572" s="2" t="s">
        <v>276</v>
      </c>
    </row>
    <row r="2573" spans="1:5" ht="20.25" customHeight="1" x14ac:dyDescent="0.15">
      <c r="A2573" s="2" t="s">
        <v>4624</v>
      </c>
      <c r="B2573" s="2" t="s">
        <v>4625</v>
      </c>
      <c r="C2573" s="2">
        <v>0.72</v>
      </c>
      <c r="D2573" s="2">
        <v>0.31530000000000002</v>
      </c>
      <c r="E2573" s="2" t="s">
        <v>664</v>
      </c>
    </row>
    <row r="2574" spans="1:5" ht="20.25" customHeight="1" x14ac:dyDescent="0.15">
      <c r="A2574" s="2" t="s">
        <v>6138</v>
      </c>
      <c r="B2574" s="2" t="s">
        <v>6139</v>
      </c>
      <c r="C2574" s="2">
        <v>0.72</v>
      </c>
      <c r="D2574" s="2">
        <v>3.2728000000000002</v>
      </c>
      <c r="E2574" s="2" t="s">
        <v>371</v>
      </c>
    </row>
    <row r="2575" spans="1:5" ht="20.25" customHeight="1" x14ac:dyDescent="0.15">
      <c r="A2575" s="2" t="s">
        <v>6196</v>
      </c>
      <c r="B2575" s="2" t="s">
        <v>6197</v>
      </c>
      <c r="C2575" s="2">
        <v>0.72</v>
      </c>
      <c r="D2575" s="2">
        <v>1.2849999999999999</v>
      </c>
      <c r="E2575" s="2" t="s">
        <v>1061</v>
      </c>
    </row>
    <row r="2576" spans="1:5" ht="20.25" customHeight="1" x14ac:dyDescent="0.15">
      <c r="A2576" s="2" t="s">
        <v>6280</v>
      </c>
      <c r="B2576" s="2" t="s">
        <v>6281</v>
      </c>
      <c r="C2576" s="2">
        <v>0.72</v>
      </c>
      <c r="D2576" s="2">
        <v>0.92259999999999998</v>
      </c>
      <c r="E2576" s="2" t="s">
        <v>1515</v>
      </c>
    </row>
    <row r="2577" spans="1:5" ht="20.25" customHeight="1" x14ac:dyDescent="0.15">
      <c r="A2577" s="2" t="s">
        <v>6807</v>
      </c>
      <c r="B2577" s="2" t="s">
        <v>6808</v>
      </c>
      <c r="C2577" s="2">
        <v>0.72</v>
      </c>
      <c r="D2577" s="2">
        <v>0.62109999999999999</v>
      </c>
      <c r="E2577" s="2" t="s">
        <v>736</v>
      </c>
    </row>
    <row r="2578" spans="1:5" ht="20.25" customHeight="1" x14ac:dyDescent="0.15">
      <c r="A2578" s="2" t="s">
        <v>6917</v>
      </c>
      <c r="B2578" s="2" t="s">
        <v>6918</v>
      </c>
      <c r="C2578" s="2">
        <v>0.72</v>
      </c>
      <c r="D2578" s="2">
        <v>1004.8117</v>
      </c>
      <c r="E2578" s="2" t="s">
        <v>713</v>
      </c>
    </row>
    <row r="2579" spans="1:5" ht="20.25" customHeight="1" x14ac:dyDescent="0.15">
      <c r="A2579" s="2" t="s">
        <v>745</v>
      </c>
      <c r="B2579" s="2" t="s">
        <v>746</v>
      </c>
      <c r="C2579" s="2">
        <v>0.71</v>
      </c>
      <c r="D2579" s="2">
        <v>8.5199999999999998E-2</v>
      </c>
      <c r="E2579" s="2" t="s">
        <v>747</v>
      </c>
    </row>
    <row r="2580" spans="1:5" ht="20.25" customHeight="1" x14ac:dyDescent="0.15">
      <c r="A2580" s="2" t="s">
        <v>1121</v>
      </c>
      <c r="B2580" s="2" t="s">
        <v>1122</v>
      </c>
      <c r="C2580" s="2">
        <v>0.71</v>
      </c>
      <c r="D2580" s="2">
        <v>11.847899999999999</v>
      </c>
      <c r="E2580" s="2" t="s">
        <v>1094</v>
      </c>
    </row>
    <row r="2581" spans="1:5" ht="20.25" customHeight="1" x14ac:dyDescent="0.15">
      <c r="A2581" s="2" t="s">
        <v>1140</v>
      </c>
      <c r="B2581" s="2" t="s">
        <v>1141</v>
      </c>
      <c r="C2581" s="2">
        <v>0.71</v>
      </c>
      <c r="D2581" s="2">
        <v>34.959600000000002</v>
      </c>
      <c r="E2581" s="2" t="s">
        <v>1142</v>
      </c>
    </row>
    <row r="2582" spans="1:5" ht="20.25" customHeight="1" x14ac:dyDescent="0.15">
      <c r="A2582" s="2" t="s">
        <v>3308</v>
      </c>
      <c r="B2582" s="2" t="s">
        <v>3309</v>
      </c>
      <c r="C2582" s="2">
        <v>0.71</v>
      </c>
      <c r="D2582" s="2">
        <v>0.14560000000000001</v>
      </c>
      <c r="E2582" s="2" t="s">
        <v>140</v>
      </c>
    </row>
    <row r="2583" spans="1:5" ht="20.25" customHeight="1" x14ac:dyDescent="0.15">
      <c r="A2583" s="2" t="s">
        <v>3740</v>
      </c>
      <c r="B2583" s="2" t="s">
        <v>3741</v>
      </c>
      <c r="C2583" s="2">
        <v>0.71</v>
      </c>
      <c r="D2583" s="2">
        <v>1.5551999999999999</v>
      </c>
      <c r="E2583" s="2" t="s">
        <v>1224</v>
      </c>
    </row>
    <row r="2584" spans="1:5" ht="20.25" customHeight="1" x14ac:dyDescent="0.15">
      <c r="A2584" s="2" t="s">
        <v>3967</v>
      </c>
      <c r="B2584" s="2" t="s">
        <v>3968</v>
      </c>
      <c r="C2584" s="2">
        <v>0.71</v>
      </c>
      <c r="D2584" s="2">
        <v>46.7761</v>
      </c>
      <c r="E2584" s="2" t="s">
        <v>542</v>
      </c>
    </row>
    <row r="2585" spans="1:5" ht="20.25" customHeight="1" x14ac:dyDescent="0.15">
      <c r="A2585" s="2" t="s">
        <v>4102</v>
      </c>
      <c r="B2585" s="2" t="s">
        <v>4103</v>
      </c>
      <c r="C2585" s="2">
        <v>0.71</v>
      </c>
      <c r="D2585" s="2">
        <v>0.67510000000000003</v>
      </c>
      <c r="E2585" s="2" t="s">
        <v>1061</v>
      </c>
    </row>
    <row r="2586" spans="1:5" ht="20.25" customHeight="1" x14ac:dyDescent="0.15">
      <c r="A2586" s="2" t="s">
        <v>4410</v>
      </c>
      <c r="B2586" s="2" t="s">
        <v>4411</v>
      </c>
      <c r="C2586" s="2">
        <v>0.71</v>
      </c>
      <c r="D2586" s="2">
        <v>5.9036999999999997</v>
      </c>
      <c r="E2586" s="2" t="s">
        <v>571</v>
      </c>
    </row>
    <row r="2587" spans="1:5" ht="20.25" customHeight="1" x14ac:dyDescent="0.15">
      <c r="A2587" s="2" t="s">
        <v>4644</v>
      </c>
      <c r="B2587" s="2" t="s">
        <v>4645</v>
      </c>
      <c r="C2587" s="2">
        <v>0.71</v>
      </c>
      <c r="D2587" s="2">
        <v>0.1144</v>
      </c>
      <c r="E2587" s="2" t="s">
        <v>35</v>
      </c>
    </row>
    <row r="2588" spans="1:5" ht="20.25" customHeight="1" x14ac:dyDescent="0.15">
      <c r="A2588" s="2" t="s">
        <v>5529</v>
      </c>
      <c r="B2588" s="2" t="s">
        <v>5530</v>
      </c>
      <c r="C2588" s="2">
        <v>0.71</v>
      </c>
      <c r="D2588" s="2">
        <v>0.5988</v>
      </c>
      <c r="E2588" s="2" t="s">
        <v>704</v>
      </c>
    </row>
    <row r="2589" spans="1:5" ht="20.25" customHeight="1" x14ac:dyDescent="0.15">
      <c r="A2589" s="2" t="s">
        <v>5643</v>
      </c>
      <c r="B2589" s="2" t="s">
        <v>5644</v>
      </c>
      <c r="C2589" s="2">
        <v>0.71</v>
      </c>
      <c r="D2589" s="2">
        <v>0.44779999999999998</v>
      </c>
      <c r="E2589" s="2" t="s">
        <v>1403</v>
      </c>
    </row>
    <row r="2590" spans="1:5" ht="20.25" customHeight="1" x14ac:dyDescent="0.15">
      <c r="A2590" s="2" t="s">
        <v>6736</v>
      </c>
      <c r="B2590" s="2" t="s">
        <v>6737</v>
      </c>
      <c r="C2590" s="2">
        <v>0.71</v>
      </c>
      <c r="D2590" s="2">
        <v>17.1889</v>
      </c>
      <c r="E2590" s="2" t="s">
        <v>670</v>
      </c>
    </row>
    <row r="2591" spans="1:5" ht="20.25" customHeight="1" x14ac:dyDescent="0.15">
      <c r="A2591" s="2" t="s">
        <v>7529</v>
      </c>
      <c r="B2591" s="2" t="s">
        <v>7530</v>
      </c>
      <c r="C2591" s="2">
        <v>0.71</v>
      </c>
      <c r="D2591" s="2">
        <v>2.3997999999999999</v>
      </c>
      <c r="E2591" s="2" t="s">
        <v>359</v>
      </c>
    </row>
    <row r="2592" spans="1:5" ht="20.25" customHeight="1" x14ac:dyDescent="0.15">
      <c r="A2592" s="2" t="s">
        <v>8241</v>
      </c>
      <c r="B2592" s="2" t="s">
        <v>8242</v>
      </c>
      <c r="C2592" s="2">
        <v>0.71</v>
      </c>
      <c r="D2592" s="2">
        <v>12.3627</v>
      </c>
      <c r="E2592" s="2" t="s">
        <v>1173</v>
      </c>
    </row>
    <row r="2593" spans="1:5" ht="20.25" customHeight="1" x14ac:dyDescent="0.15">
      <c r="A2593" s="2" t="s">
        <v>8415</v>
      </c>
      <c r="B2593" s="2" t="s">
        <v>8416</v>
      </c>
      <c r="C2593" s="2">
        <v>0.71</v>
      </c>
      <c r="D2593" s="2">
        <v>3.6846000000000001</v>
      </c>
      <c r="E2593" s="2" t="s">
        <v>1338</v>
      </c>
    </row>
    <row r="2594" spans="1:5" ht="20.25" customHeight="1" x14ac:dyDescent="0.15">
      <c r="A2594" s="2" t="s">
        <v>1127</v>
      </c>
      <c r="B2594" s="2" t="s">
        <v>1128</v>
      </c>
      <c r="C2594" s="2">
        <v>0.7</v>
      </c>
      <c r="D2594" s="2">
        <v>7.8095999999999997</v>
      </c>
      <c r="E2594" s="2" t="s">
        <v>396</v>
      </c>
    </row>
    <row r="2595" spans="1:5" ht="20.25" customHeight="1" x14ac:dyDescent="0.15">
      <c r="A2595" s="2" t="s">
        <v>1200</v>
      </c>
      <c r="B2595" s="2" t="s">
        <v>1201</v>
      </c>
      <c r="C2595" s="2">
        <v>0.7</v>
      </c>
      <c r="D2595" s="2">
        <v>36.411900000000003</v>
      </c>
      <c r="E2595" s="2" t="s">
        <v>437</v>
      </c>
    </row>
    <row r="2596" spans="1:5" ht="20.25" customHeight="1" x14ac:dyDescent="0.15">
      <c r="A2596" s="2" t="s">
        <v>1320</v>
      </c>
      <c r="B2596" s="2" t="s">
        <v>1321</v>
      </c>
      <c r="C2596" s="2">
        <v>0.7</v>
      </c>
      <c r="D2596" s="2">
        <v>1.5513999999999999</v>
      </c>
      <c r="E2596" s="2" t="s">
        <v>220</v>
      </c>
    </row>
    <row r="2597" spans="1:5" ht="20.25" customHeight="1" x14ac:dyDescent="0.15">
      <c r="A2597" s="2" t="s">
        <v>2069</v>
      </c>
      <c r="B2597" s="2" t="s">
        <v>2070</v>
      </c>
      <c r="C2597" s="2">
        <v>0.7</v>
      </c>
      <c r="D2597" s="2">
        <v>0.28000000000000003</v>
      </c>
      <c r="E2597" s="2" t="s">
        <v>1515</v>
      </c>
    </row>
    <row r="2598" spans="1:5" ht="20.25" customHeight="1" x14ac:dyDescent="0.15">
      <c r="A2598" s="2" t="s">
        <v>2264</v>
      </c>
      <c r="B2598" s="2" t="s">
        <v>2265</v>
      </c>
      <c r="C2598" s="2">
        <v>0.7</v>
      </c>
      <c r="D2598" s="2">
        <v>2.6185999999999998</v>
      </c>
      <c r="E2598" s="2" t="s">
        <v>769</v>
      </c>
    </row>
    <row r="2599" spans="1:5" ht="20.25" customHeight="1" x14ac:dyDescent="0.15">
      <c r="A2599" s="2" t="s">
        <v>3042</v>
      </c>
      <c r="B2599" s="2" t="s">
        <v>3043</v>
      </c>
      <c r="C2599" s="2">
        <v>0.7</v>
      </c>
      <c r="D2599" s="2">
        <v>2.2951000000000001</v>
      </c>
      <c r="E2599" s="2" t="s">
        <v>630</v>
      </c>
    </row>
    <row r="2600" spans="1:5" ht="20.25" customHeight="1" x14ac:dyDescent="0.15">
      <c r="A2600" s="2" t="s">
        <v>4893</v>
      </c>
      <c r="B2600" s="2" t="s">
        <v>4894</v>
      </c>
      <c r="C2600" s="2">
        <v>0.7</v>
      </c>
      <c r="D2600" s="2">
        <v>0.193</v>
      </c>
      <c r="E2600" s="2" t="s">
        <v>418</v>
      </c>
    </row>
    <row r="2601" spans="1:5" ht="20.25" customHeight="1" x14ac:dyDescent="0.15">
      <c r="A2601" s="2" t="s">
        <v>5681</v>
      </c>
      <c r="B2601" s="2" t="s">
        <v>5682</v>
      </c>
      <c r="C2601" s="2">
        <v>0.7</v>
      </c>
      <c r="D2601" s="2">
        <v>0.3624</v>
      </c>
      <c r="E2601" s="2" t="s">
        <v>310</v>
      </c>
    </row>
    <row r="2602" spans="1:5" ht="20.25" customHeight="1" x14ac:dyDescent="0.15">
      <c r="A2602" s="2" t="s">
        <v>5802</v>
      </c>
      <c r="B2602" s="2" t="s">
        <v>5803</v>
      </c>
      <c r="C2602" s="2">
        <v>0.7</v>
      </c>
      <c r="D2602" s="2">
        <v>1.3867</v>
      </c>
      <c r="E2602" s="2" t="s">
        <v>1608</v>
      </c>
    </row>
    <row r="2603" spans="1:5" ht="20.25" customHeight="1" x14ac:dyDescent="0.15">
      <c r="A2603" s="2" t="s">
        <v>5880</v>
      </c>
      <c r="B2603" s="2" t="s">
        <v>5881</v>
      </c>
      <c r="C2603" s="2">
        <v>0.7</v>
      </c>
      <c r="D2603" s="2">
        <v>12.861800000000001</v>
      </c>
      <c r="E2603" s="2" t="s">
        <v>385</v>
      </c>
    </row>
    <row r="2604" spans="1:5" ht="20.25" customHeight="1" x14ac:dyDescent="0.15">
      <c r="A2604" s="2" t="s">
        <v>7517</v>
      </c>
      <c r="B2604" s="2" t="s">
        <v>7518</v>
      </c>
      <c r="C2604" s="2">
        <v>0.7</v>
      </c>
      <c r="D2604" s="2">
        <v>0.95679999999999998</v>
      </c>
      <c r="E2604" s="2" t="s">
        <v>1608</v>
      </c>
    </row>
    <row r="2605" spans="1:5" ht="20.25" customHeight="1" x14ac:dyDescent="0.15">
      <c r="A2605" s="2" t="s">
        <v>7519</v>
      </c>
      <c r="B2605" s="2" t="s">
        <v>7520</v>
      </c>
      <c r="C2605" s="2">
        <v>0.7</v>
      </c>
      <c r="D2605" s="2">
        <v>8.0820000000000007</v>
      </c>
      <c r="E2605" s="2" t="s">
        <v>3190</v>
      </c>
    </row>
    <row r="2606" spans="1:5" ht="20.25" customHeight="1" x14ac:dyDescent="0.15">
      <c r="A2606" s="2" t="s">
        <v>5573</v>
      </c>
      <c r="B2606" s="2" t="s">
        <v>5574</v>
      </c>
      <c r="C2606" s="2">
        <v>0.69499999999999995</v>
      </c>
      <c r="D2606" s="2">
        <v>2.9651999999999998</v>
      </c>
      <c r="E2606" s="2" t="s">
        <v>630</v>
      </c>
    </row>
    <row r="2607" spans="1:5" ht="20.25" customHeight="1" x14ac:dyDescent="0.15">
      <c r="A2607" s="2" t="s">
        <v>8043</v>
      </c>
      <c r="B2607" s="2" t="s">
        <v>8044</v>
      </c>
      <c r="C2607" s="2">
        <v>0.69499999999999995</v>
      </c>
      <c r="D2607" s="2">
        <v>0.30359999999999998</v>
      </c>
      <c r="E2607" s="2" t="s">
        <v>1061</v>
      </c>
    </row>
    <row r="2608" spans="1:5" ht="20.25" customHeight="1" x14ac:dyDescent="0.15">
      <c r="A2608" s="2" t="s">
        <v>1874</v>
      </c>
      <c r="B2608" s="2" t="s">
        <v>1875</v>
      </c>
      <c r="C2608" s="2">
        <v>0.69</v>
      </c>
      <c r="D2608" s="2">
        <v>0.69179999999999997</v>
      </c>
      <c r="E2608" s="2" t="s">
        <v>92</v>
      </c>
    </row>
    <row r="2609" spans="1:5" ht="20.25" customHeight="1" x14ac:dyDescent="0.15">
      <c r="A2609" s="2" t="s">
        <v>3659</v>
      </c>
      <c r="B2609" s="2" t="s">
        <v>3660</v>
      </c>
      <c r="C2609" s="2">
        <v>0.69</v>
      </c>
      <c r="D2609" s="2">
        <v>19.284600000000001</v>
      </c>
      <c r="E2609" s="2" t="s">
        <v>322</v>
      </c>
    </row>
    <row r="2610" spans="1:5" ht="20.25" customHeight="1" x14ac:dyDescent="0.15">
      <c r="A2610" s="2" t="s">
        <v>3761</v>
      </c>
      <c r="B2610" s="2" t="s">
        <v>3762</v>
      </c>
      <c r="C2610" s="2">
        <v>0.69</v>
      </c>
      <c r="D2610" s="2">
        <v>5.0366</v>
      </c>
      <c r="E2610" s="2" t="s">
        <v>704</v>
      </c>
    </row>
    <row r="2611" spans="1:5" ht="20.25" customHeight="1" x14ac:dyDescent="0.15">
      <c r="A2611" s="2" t="s">
        <v>4042</v>
      </c>
      <c r="B2611" s="2" t="s">
        <v>4043</v>
      </c>
      <c r="C2611" s="2">
        <v>0.69</v>
      </c>
      <c r="D2611" s="2">
        <v>3.7553000000000001</v>
      </c>
      <c r="E2611" s="2" t="s">
        <v>143</v>
      </c>
    </row>
    <row r="2612" spans="1:5" ht="20.25" customHeight="1" x14ac:dyDescent="0.15">
      <c r="A2612" s="2" t="s">
        <v>4992</v>
      </c>
      <c r="B2612" s="2" t="s">
        <v>4993</v>
      </c>
      <c r="C2612" s="2">
        <v>0.69</v>
      </c>
      <c r="D2612" s="2">
        <v>0.58919999999999995</v>
      </c>
      <c r="E2612" s="2" t="s">
        <v>396</v>
      </c>
    </row>
    <row r="2613" spans="1:5" ht="20.25" customHeight="1" x14ac:dyDescent="0.15">
      <c r="A2613" s="2" t="s">
        <v>7575</v>
      </c>
      <c r="B2613" s="2" t="s">
        <v>7576</v>
      </c>
      <c r="C2613" s="2">
        <v>0.69</v>
      </c>
      <c r="D2613" s="2">
        <v>1.3127</v>
      </c>
      <c r="E2613" s="2" t="s">
        <v>201</v>
      </c>
    </row>
    <row r="2614" spans="1:5" ht="20.25" customHeight="1" x14ac:dyDescent="0.15">
      <c r="A2614" s="2" t="s">
        <v>7675</v>
      </c>
      <c r="B2614" s="2" t="s">
        <v>7676</v>
      </c>
      <c r="C2614" s="2">
        <v>0.69</v>
      </c>
      <c r="D2614" s="2">
        <v>2.1208999999999998</v>
      </c>
      <c r="E2614" s="2" t="s">
        <v>1613</v>
      </c>
    </row>
    <row r="2615" spans="1:5" ht="20.25" customHeight="1" x14ac:dyDescent="0.15">
      <c r="A2615" s="2" t="s">
        <v>7887</v>
      </c>
      <c r="B2615" s="2" t="s">
        <v>7888</v>
      </c>
      <c r="C2615" s="2">
        <v>0.69</v>
      </c>
      <c r="D2615" s="2">
        <v>5.1391999999999998</v>
      </c>
      <c r="E2615" s="2" t="s">
        <v>41</v>
      </c>
    </row>
    <row r="2616" spans="1:5" ht="20.25" customHeight="1" x14ac:dyDescent="0.15">
      <c r="A2616" s="2" t="s">
        <v>8319</v>
      </c>
      <c r="B2616" s="2" t="s">
        <v>8320</v>
      </c>
      <c r="C2616" s="2">
        <v>0.69</v>
      </c>
      <c r="D2616" s="2">
        <v>6.9138999999999999</v>
      </c>
      <c r="E2616" s="2" t="s">
        <v>41</v>
      </c>
    </row>
    <row r="2617" spans="1:5" ht="20.25" customHeight="1" x14ac:dyDescent="0.15">
      <c r="A2617" s="2" t="s">
        <v>162</v>
      </c>
      <c r="B2617" s="2" t="s">
        <v>163</v>
      </c>
      <c r="C2617" s="2">
        <v>0.68</v>
      </c>
      <c r="D2617" s="2">
        <v>0.18820000000000001</v>
      </c>
      <c r="E2617" s="2" t="s">
        <v>24</v>
      </c>
    </row>
    <row r="2618" spans="1:5" ht="20.25" customHeight="1" x14ac:dyDescent="0.15">
      <c r="A2618" s="2" t="s">
        <v>2672</v>
      </c>
      <c r="B2618" s="2" t="s">
        <v>2673</v>
      </c>
      <c r="C2618" s="2">
        <v>0.68</v>
      </c>
      <c r="D2618" s="2">
        <v>1.3022</v>
      </c>
      <c r="E2618" s="2" t="s">
        <v>152</v>
      </c>
    </row>
    <row r="2619" spans="1:5" ht="20.25" customHeight="1" x14ac:dyDescent="0.15">
      <c r="A2619" s="2" t="s">
        <v>2797</v>
      </c>
      <c r="B2619" s="2" t="s">
        <v>2798</v>
      </c>
      <c r="C2619" s="2">
        <v>0.68</v>
      </c>
      <c r="D2619" s="2">
        <v>0.98980000000000001</v>
      </c>
      <c r="E2619" s="2" t="s">
        <v>699</v>
      </c>
    </row>
    <row r="2620" spans="1:5" ht="20.25" customHeight="1" x14ac:dyDescent="0.15">
      <c r="A2620" s="2" t="s">
        <v>4080</v>
      </c>
      <c r="B2620" s="2" t="s">
        <v>4081</v>
      </c>
      <c r="C2620" s="2">
        <v>0.68</v>
      </c>
      <c r="D2620" s="2">
        <v>2.0053000000000001</v>
      </c>
      <c r="E2620" s="2" t="s">
        <v>664</v>
      </c>
    </row>
    <row r="2621" spans="1:5" ht="20.25" customHeight="1" x14ac:dyDescent="0.15">
      <c r="A2621" s="2" t="s">
        <v>4268</v>
      </c>
      <c r="B2621" s="2" t="s">
        <v>4269</v>
      </c>
      <c r="C2621" s="2">
        <v>0.68</v>
      </c>
      <c r="D2621" s="2">
        <v>0.63680000000000003</v>
      </c>
      <c r="E2621" s="2" t="s">
        <v>44</v>
      </c>
    </row>
    <row r="2622" spans="1:5" ht="20.25" customHeight="1" x14ac:dyDescent="0.15">
      <c r="A2622" s="2" t="s">
        <v>4310</v>
      </c>
      <c r="B2622" s="2" t="s">
        <v>4311</v>
      </c>
      <c r="C2622" s="2">
        <v>0.68</v>
      </c>
      <c r="D2622" s="2">
        <v>0.43469999999999998</v>
      </c>
      <c r="E2622" s="2" t="s">
        <v>421</v>
      </c>
    </row>
    <row r="2623" spans="1:5" ht="20.25" customHeight="1" x14ac:dyDescent="0.15">
      <c r="A2623" s="2" t="s">
        <v>4578</v>
      </c>
      <c r="B2623" s="2" t="s">
        <v>4579</v>
      </c>
      <c r="C2623" s="2">
        <v>0.68</v>
      </c>
      <c r="D2623" s="2">
        <v>1.2949999999999999</v>
      </c>
      <c r="E2623" s="2" t="s">
        <v>368</v>
      </c>
    </row>
    <row r="2624" spans="1:5" ht="20.25" customHeight="1" x14ac:dyDescent="0.15">
      <c r="A2624" s="2" t="s">
        <v>5308</v>
      </c>
      <c r="B2624" s="2" t="s">
        <v>5309</v>
      </c>
      <c r="C2624" s="2">
        <v>0.68</v>
      </c>
      <c r="D2624" s="2">
        <v>0.41110000000000002</v>
      </c>
      <c r="E2624" s="2" t="s">
        <v>664</v>
      </c>
    </row>
    <row r="2625" spans="1:5" ht="20.25" customHeight="1" x14ac:dyDescent="0.15">
      <c r="A2625" s="2" t="s">
        <v>5425</v>
      </c>
      <c r="B2625" s="2" t="s">
        <v>5426</v>
      </c>
      <c r="C2625" s="2">
        <v>0.68</v>
      </c>
      <c r="D2625" s="2">
        <v>17.345099999999999</v>
      </c>
      <c r="E2625" s="2" t="s">
        <v>140</v>
      </c>
    </row>
    <row r="2626" spans="1:5" ht="20.25" customHeight="1" x14ac:dyDescent="0.15">
      <c r="A2626" s="2" t="s">
        <v>5882</v>
      </c>
      <c r="B2626" s="2" t="s">
        <v>5883</v>
      </c>
      <c r="C2626" s="2">
        <v>0.68</v>
      </c>
      <c r="D2626" s="2">
        <v>489.13350000000003</v>
      </c>
      <c r="E2626" s="2" t="s">
        <v>1056</v>
      </c>
    </row>
    <row r="2627" spans="1:5" ht="20.25" customHeight="1" x14ac:dyDescent="0.15">
      <c r="A2627" s="2" t="s">
        <v>6064</v>
      </c>
      <c r="B2627" s="2" t="s">
        <v>6065</v>
      </c>
      <c r="C2627" s="2">
        <v>0.68</v>
      </c>
      <c r="D2627" s="2">
        <v>0.82889999999999997</v>
      </c>
      <c r="E2627" s="2" t="s">
        <v>406</v>
      </c>
    </row>
    <row r="2628" spans="1:5" ht="20.25" customHeight="1" x14ac:dyDescent="0.15">
      <c r="A2628" s="2" t="s">
        <v>7045</v>
      </c>
      <c r="B2628" s="2" t="s">
        <v>7046</v>
      </c>
      <c r="C2628" s="2">
        <v>0.68</v>
      </c>
      <c r="D2628" s="2">
        <v>1.8431</v>
      </c>
      <c r="E2628" s="2" t="s">
        <v>371</v>
      </c>
    </row>
    <row r="2629" spans="1:5" ht="20.25" customHeight="1" x14ac:dyDescent="0.15">
      <c r="A2629" s="2" t="s">
        <v>5405</v>
      </c>
      <c r="B2629" s="2" t="s">
        <v>5406</v>
      </c>
      <c r="C2629" s="2">
        <v>0.67500000000000004</v>
      </c>
      <c r="D2629" s="2">
        <v>0.95430000000000004</v>
      </c>
      <c r="E2629" s="2" t="s">
        <v>699</v>
      </c>
    </row>
    <row r="2630" spans="1:5" ht="20.25" customHeight="1" x14ac:dyDescent="0.15">
      <c r="A2630" s="2" t="s">
        <v>392</v>
      </c>
      <c r="B2630" s="2" t="s">
        <v>393</v>
      </c>
      <c r="C2630" s="2">
        <v>0.67</v>
      </c>
      <c r="D2630" s="2">
        <v>6.8080999999999996</v>
      </c>
      <c r="E2630" s="2" t="s">
        <v>92</v>
      </c>
    </row>
    <row r="2631" spans="1:5" ht="20.25" customHeight="1" x14ac:dyDescent="0.15">
      <c r="A2631" s="2" t="s">
        <v>1447</v>
      </c>
      <c r="B2631" s="2" t="s">
        <v>1448</v>
      </c>
      <c r="C2631" s="2">
        <v>0.67</v>
      </c>
      <c r="D2631" s="2">
        <v>0.79310000000000003</v>
      </c>
      <c r="E2631" s="2" t="s">
        <v>818</v>
      </c>
    </row>
    <row r="2632" spans="1:5" ht="20.25" customHeight="1" x14ac:dyDescent="0.15">
      <c r="A2632" s="2" t="s">
        <v>1804</v>
      </c>
      <c r="B2632" s="2" t="s">
        <v>1805</v>
      </c>
      <c r="C2632" s="2">
        <v>0.67</v>
      </c>
      <c r="D2632" s="2">
        <v>0.43309999999999998</v>
      </c>
      <c r="E2632" s="2" t="s">
        <v>276</v>
      </c>
    </row>
    <row r="2633" spans="1:5" ht="20.25" customHeight="1" x14ac:dyDescent="0.15">
      <c r="A2633" s="2" t="s">
        <v>1860</v>
      </c>
      <c r="B2633" s="2" t="s">
        <v>1861</v>
      </c>
      <c r="C2633" s="2">
        <v>0.67</v>
      </c>
      <c r="D2633" s="2">
        <v>127.00360000000001</v>
      </c>
      <c r="E2633" s="2" t="s">
        <v>1436</v>
      </c>
    </row>
    <row r="2634" spans="1:5" ht="20.25" customHeight="1" x14ac:dyDescent="0.15">
      <c r="A2634" s="2" t="s">
        <v>3268</v>
      </c>
      <c r="B2634" s="2" t="s">
        <v>3269</v>
      </c>
      <c r="C2634" s="2">
        <v>0.67</v>
      </c>
      <c r="D2634" s="2">
        <v>4.4767000000000001</v>
      </c>
      <c r="E2634" s="2" t="s">
        <v>198</v>
      </c>
    </row>
    <row r="2635" spans="1:5" ht="20.25" customHeight="1" x14ac:dyDescent="0.15">
      <c r="A2635" s="2" t="s">
        <v>3382</v>
      </c>
      <c r="B2635" s="2" t="s">
        <v>3383</v>
      </c>
      <c r="C2635" s="2">
        <v>0.67</v>
      </c>
      <c r="D2635" s="2">
        <v>1.82</v>
      </c>
      <c r="E2635" s="2" t="s">
        <v>149</v>
      </c>
    </row>
    <row r="2636" spans="1:5" ht="20.25" customHeight="1" x14ac:dyDescent="0.15">
      <c r="A2636" s="2" t="s">
        <v>3563</v>
      </c>
      <c r="B2636" s="2" t="s">
        <v>3564</v>
      </c>
      <c r="C2636" s="2">
        <v>0.67</v>
      </c>
      <c r="D2636" s="2">
        <v>2.3784999999999998</v>
      </c>
      <c r="E2636" s="2" t="s">
        <v>81</v>
      </c>
    </row>
    <row r="2637" spans="1:5" ht="20.25" customHeight="1" x14ac:dyDescent="0.15">
      <c r="A2637" s="2" t="s">
        <v>4255</v>
      </c>
      <c r="B2637" s="2" t="s">
        <v>4256</v>
      </c>
      <c r="C2637" s="2">
        <v>0.67</v>
      </c>
      <c r="D2637" s="2">
        <v>7.431</v>
      </c>
      <c r="E2637" s="2" t="s">
        <v>2678</v>
      </c>
    </row>
    <row r="2638" spans="1:5" ht="20.25" customHeight="1" x14ac:dyDescent="0.15">
      <c r="A2638" s="2" t="s">
        <v>4326</v>
      </c>
      <c r="B2638" s="2" t="s">
        <v>4327</v>
      </c>
      <c r="C2638" s="2">
        <v>0.67</v>
      </c>
      <c r="D2638" s="2">
        <v>17.396999999999998</v>
      </c>
      <c r="E2638" s="2" t="s">
        <v>371</v>
      </c>
    </row>
    <row r="2639" spans="1:5" ht="20.25" customHeight="1" x14ac:dyDescent="0.15">
      <c r="A2639" s="2" t="s">
        <v>4454</v>
      </c>
      <c r="B2639" s="2" t="s">
        <v>4455</v>
      </c>
      <c r="C2639" s="2">
        <v>0.67</v>
      </c>
      <c r="D2639" s="2">
        <v>1.6921999999999999</v>
      </c>
      <c r="E2639" s="2" t="s">
        <v>406</v>
      </c>
    </row>
    <row r="2640" spans="1:5" ht="20.25" customHeight="1" x14ac:dyDescent="0.15">
      <c r="A2640" s="2" t="s">
        <v>4576</v>
      </c>
      <c r="B2640" s="2" t="s">
        <v>4577</v>
      </c>
      <c r="C2640" s="2">
        <v>0.67</v>
      </c>
      <c r="D2640" s="2">
        <v>13.734500000000001</v>
      </c>
      <c r="E2640" s="2" t="s">
        <v>638</v>
      </c>
    </row>
    <row r="2641" spans="1:5" ht="20.25" customHeight="1" x14ac:dyDescent="0.15">
      <c r="A2641" s="2" t="s">
        <v>4962</v>
      </c>
      <c r="B2641" s="2" t="s">
        <v>4963</v>
      </c>
      <c r="C2641" s="2">
        <v>0.67</v>
      </c>
      <c r="D2641" s="2">
        <v>6.9241000000000001</v>
      </c>
      <c r="E2641" s="2" t="s">
        <v>1420</v>
      </c>
    </row>
    <row r="2642" spans="1:5" ht="20.25" customHeight="1" x14ac:dyDescent="0.15">
      <c r="A2642" s="2" t="s">
        <v>5525</v>
      </c>
      <c r="B2642" s="2" t="s">
        <v>5526</v>
      </c>
      <c r="C2642" s="2">
        <v>0.67</v>
      </c>
      <c r="D2642" s="2">
        <v>3.8561999999999999</v>
      </c>
      <c r="E2642" s="2" t="s">
        <v>647</v>
      </c>
    </row>
    <row r="2643" spans="1:5" ht="20.25" customHeight="1" x14ac:dyDescent="0.15">
      <c r="A2643" s="2" t="s">
        <v>5611</v>
      </c>
      <c r="B2643" s="2" t="s">
        <v>5612</v>
      </c>
      <c r="C2643" s="2">
        <v>0.67</v>
      </c>
      <c r="D2643" s="2">
        <v>0.32279999999999998</v>
      </c>
      <c r="E2643" s="2" t="s">
        <v>667</v>
      </c>
    </row>
    <row r="2644" spans="1:5" ht="20.25" customHeight="1" x14ac:dyDescent="0.15">
      <c r="A2644" s="2" t="s">
        <v>5824</v>
      </c>
      <c r="B2644" s="2" t="s">
        <v>5825</v>
      </c>
      <c r="C2644" s="2">
        <v>0.67</v>
      </c>
      <c r="D2644" s="2">
        <v>2.0663999999999998</v>
      </c>
      <c r="E2644" s="2" t="s">
        <v>359</v>
      </c>
    </row>
    <row r="2645" spans="1:5" ht="20.25" customHeight="1" x14ac:dyDescent="0.15">
      <c r="A2645" s="2" t="s">
        <v>5950</v>
      </c>
      <c r="B2645" s="2" t="s">
        <v>5951</v>
      </c>
      <c r="C2645" s="2">
        <v>0.67</v>
      </c>
      <c r="D2645" s="2">
        <v>1.7827999999999999</v>
      </c>
      <c r="E2645" s="2" t="s">
        <v>630</v>
      </c>
    </row>
    <row r="2646" spans="1:5" ht="20.25" customHeight="1" x14ac:dyDescent="0.15">
      <c r="A2646" s="2" t="s">
        <v>6979</v>
      </c>
      <c r="B2646" s="2" t="s">
        <v>6980</v>
      </c>
      <c r="C2646" s="2">
        <v>0.67</v>
      </c>
      <c r="D2646" s="2">
        <v>0.6623</v>
      </c>
      <c r="E2646" s="2" t="s">
        <v>391</v>
      </c>
    </row>
    <row r="2647" spans="1:5" ht="20.25" customHeight="1" x14ac:dyDescent="0.15">
      <c r="A2647" s="2" t="s">
        <v>7021</v>
      </c>
      <c r="B2647" s="2" t="s">
        <v>7022</v>
      </c>
      <c r="C2647" s="2">
        <v>0.67</v>
      </c>
      <c r="D2647" s="2">
        <v>4.2377000000000002</v>
      </c>
      <c r="E2647" s="2" t="s">
        <v>1608</v>
      </c>
    </row>
    <row r="2648" spans="1:5" ht="20.25" customHeight="1" x14ac:dyDescent="0.15">
      <c r="A2648" s="2" t="s">
        <v>218</v>
      </c>
      <c r="B2648" s="2" t="s">
        <v>219</v>
      </c>
      <c r="C2648" s="2">
        <v>0.66</v>
      </c>
      <c r="D2648" s="2">
        <v>1.0670999999999999</v>
      </c>
      <c r="E2648" s="2" t="s">
        <v>220</v>
      </c>
    </row>
    <row r="2649" spans="1:5" ht="20.25" customHeight="1" x14ac:dyDescent="0.15">
      <c r="A2649" s="2" t="s">
        <v>810</v>
      </c>
      <c r="B2649" s="2" t="s">
        <v>811</v>
      </c>
      <c r="C2649" s="2">
        <v>0.66</v>
      </c>
      <c r="D2649" s="2">
        <v>5.2431999999999999</v>
      </c>
      <c r="E2649" s="2" t="s">
        <v>315</v>
      </c>
    </row>
    <row r="2650" spans="1:5" ht="20.25" customHeight="1" x14ac:dyDescent="0.15">
      <c r="A2650" s="2" t="s">
        <v>1257</v>
      </c>
      <c r="B2650" s="2" t="s">
        <v>1258</v>
      </c>
      <c r="C2650" s="2">
        <v>0.66</v>
      </c>
      <c r="D2650" s="2">
        <v>0.1555</v>
      </c>
      <c r="E2650" s="2" t="s">
        <v>322</v>
      </c>
    </row>
    <row r="2651" spans="1:5" ht="20.25" customHeight="1" x14ac:dyDescent="0.15">
      <c r="A2651" s="2" t="s">
        <v>2101</v>
      </c>
      <c r="B2651" s="2" t="s">
        <v>2102</v>
      </c>
      <c r="C2651" s="2">
        <v>0.66</v>
      </c>
      <c r="D2651" s="2">
        <v>2.1000000000000001E-2</v>
      </c>
      <c r="E2651" s="2" t="s">
        <v>193</v>
      </c>
    </row>
    <row r="2652" spans="1:5" ht="20.25" customHeight="1" x14ac:dyDescent="0.15">
      <c r="A2652" s="2" t="s">
        <v>3064</v>
      </c>
      <c r="B2652" s="2" t="s">
        <v>3065</v>
      </c>
      <c r="C2652" s="2">
        <v>0.66</v>
      </c>
      <c r="D2652" s="2">
        <v>0.88070000000000004</v>
      </c>
      <c r="E2652" s="2" t="s">
        <v>664</v>
      </c>
    </row>
    <row r="2653" spans="1:5" ht="20.25" customHeight="1" x14ac:dyDescent="0.15">
      <c r="A2653" s="2" t="s">
        <v>4210</v>
      </c>
      <c r="B2653" s="2" t="s">
        <v>4211</v>
      </c>
      <c r="C2653" s="2">
        <v>0.66</v>
      </c>
      <c r="D2653" s="2">
        <v>0.87560000000000004</v>
      </c>
      <c r="E2653" s="2" t="s">
        <v>483</v>
      </c>
    </row>
    <row r="2654" spans="1:5" ht="20.25" customHeight="1" x14ac:dyDescent="0.15">
      <c r="A2654" s="2" t="s">
        <v>4990</v>
      </c>
      <c r="B2654" s="2" t="s">
        <v>4991</v>
      </c>
      <c r="C2654" s="2">
        <v>0.66</v>
      </c>
      <c r="D2654" s="2">
        <v>8.9704999999999995</v>
      </c>
      <c r="E2654" s="2" t="s">
        <v>2374</v>
      </c>
    </row>
    <row r="2655" spans="1:5" ht="20.25" customHeight="1" x14ac:dyDescent="0.15">
      <c r="A2655" s="2" t="s">
        <v>5962</v>
      </c>
      <c r="B2655" s="2" t="s">
        <v>5963</v>
      </c>
      <c r="C2655" s="2">
        <v>0.66</v>
      </c>
      <c r="D2655" s="2">
        <v>22.090499999999999</v>
      </c>
      <c r="E2655" s="2" t="s">
        <v>391</v>
      </c>
    </row>
    <row r="2656" spans="1:5" ht="20.25" customHeight="1" x14ac:dyDescent="0.15">
      <c r="A2656" s="2" t="s">
        <v>7275</v>
      </c>
      <c r="B2656" s="2" t="s">
        <v>7276</v>
      </c>
      <c r="C2656" s="2">
        <v>0.66</v>
      </c>
      <c r="D2656" s="2">
        <v>4.5067000000000004</v>
      </c>
      <c r="E2656" s="2" t="s">
        <v>630</v>
      </c>
    </row>
    <row r="2657" spans="1:5" ht="20.25" customHeight="1" x14ac:dyDescent="0.15">
      <c r="A2657" s="2" t="s">
        <v>7455</v>
      </c>
      <c r="B2657" s="2" t="s">
        <v>7456</v>
      </c>
      <c r="C2657" s="2">
        <v>0.66</v>
      </c>
      <c r="D2657" s="2">
        <v>0.90580000000000005</v>
      </c>
      <c r="E2657" s="2" t="s">
        <v>143</v>
      </c>
    </row>
    <row r="2658" spans="1:5" ht="20.25" customHeight="1" x14ac:dyDescent="0.15">
      <c r="A2658" s="2" t="s">
        <v>7461</v>
      </c>
      <c r="B2658" s="2" t="s">
        <v>7462</v>
      </c>
      <c r="C2658" s="2">
        <v>0.66</v>
      </c>
      <c r="D2658" s="2">
        <v>2.4123999999999999</v>
      </c>
      <c r="E2658" s="2" t="s">
        <v>1263</v>
      </c>
    </row>
    <row r="2659" spans="1:5" ht="20.25" customHeight="1" x14ac:dyDescent="0.15">
      <c r="A2659" s="2" t="s">
        <v>7513</v>
      </c>
      <c r="B2659" s="2" t="s">
        <v>7514</v>
      </c>
      <c r="C2659" s="2">
        <v>0.66</v>
      </c>
      <c r="D2659" s="2">
        <v>2.0230999999999999</v>
      </c>
      <c r="E2659" s="2" t="s">
        <v>459</v>
      </c>
    </row>
    <row r="2660" spans="1:5" ht="20.25" customHeight="1" x14ac:dyDescent="0.15">
      <c r="A2660" s="2" t="s">
        <v>7609</v>
      </c>
      <c r="B2660" s="2" t="s">
        <v>7610</v>
      </c>
      <c r="C2660" s="2">
        <v>0.66</v>
      </c>
      <c r="D2660" s="2">
        <v>1.3051999999999999</v>
      </c>
      <c r="E2660" s="2" t="s">
        <v>1608</v>
      </c>
    </row>
    <row r="2661" spans="1:5" ht="20.25" customHeight="1" x14ac:dyDescent="0.15">
      <c r="A2661" s="2" t="s">
        <v>7679</v>
      </c>
      <c r="B2661" s="2" t="s">
        <v>7680</v>
      </c>
      <c r="C2661" s="2">
        <v>0.66</v>
      </c>
      <c r="D2661" s="2">
        <v>2.6145999999999998</v>
      </c>
      <c r="E2661" s="2" t="s">
        <v>1139</v>
      </c>
    </row>
    <row r="2662" spans="1:5" ht="20.25" customHeight="1" x14ac:dyDescent="0.15">
      <c r="A2662" s="2" t="s">
        <v>7789</v>
      </c>
      <c r="B2662" s="2" t="s">
        <v>7790</v>
      </c>
      <c r="C2662" s="2">
        <v>0.66</v>
      </c>
      <c r="D2662" s="2">
        <v>1.1749000000000001</v>
      </c>
      <c r="E2662" s="2" t="s">
        <v>784</v>
      </c>
    </row>
    <row r="2663" spans="1:5" ht="20.25" customHeight="1" x14ac:dyDescent="0.15">
      <c r="A2663" s="2" t="s">
        <v>8017</v>
      </c>
      <c r="B2663" s="2" t="s">
        <v>8018</v>
      </c>
      <c r="C2663" s="2">
        <v>0.65500000000000003</v>
      </c>
      <c r="D2663" s="2">
        <v>2.7254</v>
      </c>
      <c r="E2663" s="2" t="s">
        <v>3048</v>
      </c>
    </row>
    <row r="2664" spans="1:5" ht="20.25" customHeight="1" x14ac:dyDescent="0.15">
      <c r="A2664" s="2" t="s">
        <v>8349</v>
      </c>
      <c r="B2664" s="2" t="s">
        <v>8350</v>
      </c>
      <c r="C2664" s="2">
        <v>0.65500000000000003</v>
      </c>
      <c r="D2664" s="2">
        <v>1.2285999999999999</v>
      </c>
      <c r="E2664" s="2" t="s">
        <v>699</v>
      </c>
    </row>
    <row r="2665" spans="1:5" ht="20.25" customHeight="1" x14ac:dyDescent="0.15">
      <c r="A2665" s="2" t="s">
        <v>82</v>
      </c>
      <c r="B2665" s="2" t="s">
        <v>83</v>
      </c>
      <c r="C2665" s="2">
        <v>0.65</v>
      </c>
      <c r="D2665" s="2">
        <v>3.78E-2</v>
      </c>
      <c r="E2665" s="2" t="s">
        <v>81</v>
      </c>
    </row>
    <row r="2666" spans="1:5" ht="20.25" customHeight="1" x14ac:dyDescent="0.15">
      <c r="A2666" s="2" t="s">
        <v>194</v>
      </c>
      <c r="B2666" s="2" t="s">
        <v>195</v>
      </c>
      <c r="C2666" s="2">
        <v>0.65</v>
      </c>
      <c r="D2666" s="2">
        <v>3.27E-2</v>
      </c>
      <c r="E2666" s="2" t="s">
        <v>152</v>
      </c>
    </row>
    <row r="2667" spans="1:5" ht="20.25" customHeight="1" x14ac:dyDescent="0.15">
      <c r="A2667" s="2" t="s">
        <v>3807</v>
      </c>
      <c r="B2667" s="2" t="s">
        <v>3808</v>
      </c>
      <c r="C2667" s="2">
        <v>0.65</v>
      </c>
      <c r="D2667" s="2">
        <v>2.3351000000000002</v>
      </c>
      <c r="E2667" s="2" t="s">
        <v>204</v>
      </c>
    </row>
    <row r="2668" spans="1:5" ht="20.25" customHeight="1" x14ac:dyDescent="0.15">
      <c r="A2668" s="2" t="s">
        <v>3877</v>
      </c>
      <c r="B2668" s="2" t="s">
        <v>3878</v>
      </c>
      <c r="C2668" s="2">
        <v>0.65</v>
      </c>
      <c r="D2668" s="2">
        <v>0.66659999999999997</v>
      </c>
      <c r="E2668" s="2" t="s">
        <v>862</v>
      </c>
    </row>
    <row r="2669" spans="1:5" ht="20.25" customHeight="1" x14ac:dyDescent="0.15">
      <c r="A2669" s="2" t="s">
        <v>4148</v>
      </c>
      <c r="B2669" s="2" t="s">
        <v>4149</v>
      </c>
      <c r="C2669" s="2">
        <v>0.65</v>
      </c>
      <c r="D2669" s="2">
        <v>0.87770000000000004</v>
      </c>
      <c r="E2669" s="2" t="s">
        <v>704</v>
      </c>
    </row>
    <row r="2670" spans="1:5" ht="20.25" customHeight="1" x14ac:dyDescent="0.15">
      <c r="A2670" s="2" t="s">
        <v>7445</v>
      </c>
      <c r="B2670" s="2" t="s">
        <v>7446</v>
      </c>
      <c r="C2670" s="2">
        <v>0.65</v>
      </c>
      <c r="D2670" s="2">
        <v>5.9470999999999998</v>
      </c>
      <c r="E2670" s="2" t="s">
        <v>677</v>
      </c>
    </row>
    <row r="2671" spans="1:5" ht="20.25" customHeight="1" x14ac:dyDescent="0.15">
      <c r="A2671" s="2" t="s">
        <v>7949</v>
      </c>
      <c r="B2671" s="2" t="s">
        <v>7950</v>
      </c>
      <c r="C2671" s="2">
        <v>0.65</v>
      </c>
      <c r="D2671" s="2">
        <v>8.5650999999999993</v>
      </c>
      <c r="E2671" s="2" t="s">
        <v>1436</v>
      </c>
    </row>
    <row r="2672" spans="1:5" ht="20.25" customHeight="1" x14ac:dyDescent="0.15">
      <c r="A2672" s="2" t="s">
        <v>711</v>
      </c>
      <c r="B2672" s="2" t="s">
        <v>712</v>
      </c>
      <c r="C2672" s="2">
        <v>0.64</v>
      </c>
      <c r="D2672" s="2">
        <v>2.5768</v>
      </c>
      <c r="E2672" s="2" t="s">
        <v>713</v>
      </c>
    </row>
    <row r="2673" spans="1:5" ht="20.25" customHeight="1" x14ac:dyDescent="0.15">
      <c r="A2673" s="2" t="s">
        <v>1330</v>
      </c>
      <c r="B2673" s="2" t="s">
        <v>1331</v>
      </c>
      <c r="C2673" s="2">
        <v>0.64</v>
      </c>
      <c r="D2673" s="2">
        <v>1.2434000000000001</v>
      </c>
      <c r="E2673" s="2" t="s">
        <v>81</v>
      </c>
    </row>
    <row r="2674" spans="1:5" ht="20.25" customHeight="1" x14ac:dyDescent="0.15">
      <c r="A2674" s="2" t="s">
        <v>1974</v>
      </c>
      <c r="B2674" s="2" t="s">
        <v>1975</v>
      </c>
      <c r="C2674" s="2">
        <v>0.64</v>
      </c>
      <c r="D2674" s="2">
        <v>0.3417</v>
      </c>
      <c r="E2674" s="2" t="s">
        <v>1390</v>
      </c>
    </row>
    <row r="2675" spans="1:5" ht="20.25" customHeight="1" x14ac:dyDescent="0.15">
      <c r="A2675" s="2" t="s">
        <v>2347</v>
      </c>
      <c r="B2675" s="2" t="s">
        <v>2348</v>
      </c>
      <c r="C2675" s="2">
        <v>0.64</v>
      </c>
      <c r="D2675" s="2">
        <v>28.168600000000001</v>
      </c>
      <c r="E2675" s="2" t="s">
        <v>371</v>
      </c>
    </row>
    <row r="2676" spans="1:5" ht="20.25" customHeight="1" x14ac:dyDescent="0.15">
      <c r="A2676" s="2" t="s">
        <v>2817</v>
      </c>
      <c r="B2676" s="2" t="s">
        <v>2818</v>
      </c>
      <c r="C2676" s="2">
        <v>0.64</v>
      </c>
      <c r="D2676" s="2">
        <v>3.8287</v>
      </c>
      <c r="E2676" s="2" t="s">
        <v>368</v>
      </c>
    </row>
    <row r="2677" spans="1:5" ht="20.25" customHeight="1" x14ac:dyDescent="0.15">
      <c r="A2677" s="2" t="s">
        <v>3579</v>
      </c>
      <c r="B2677" s="2" t="s">
        <v>3580</v>
      </c>
      <c r="C2677" s="2">
        <v>0.64</v>
      </c>
      <c r="D2677" s="2">
        <v>0.54249999999999998</v>
      </c>
      <c r="E2677" s="2" t="s">
        <v>344</v>
      </c>
    </row>
    <row r="2678" spans="1:5" ht="20.25" customHeight="1" x14ac:dyDescent="0.15">
      <c r="A2678" s="2" t="s">
        <v>4318</v>
      </c>
      <c r="B2678" s="2" t="s">
        <v>4319</v>
      </c>
      <c r="C2678" s="2">
        <v>0.64</v>
      </c>
      <c r="D2678" s="2">
        <v>44.677700000000002</v>
      </c>
      <c r="E2678" s="2" t="s">
        <v>1712</v>
      </c>
    </row>
    <row r="2679" spans="1:5" ht="20.25" customHeight="1" x14ac:dyDescent="0.15">
      <c r="A2679" s="2" t="s">
        <v>4658</v>
      </c>
      <c r="B2679" s="2" t="s">
        <v>4659</v>
      </c>
      <c r="C2679" s="2">
        <v>0.64</v>
      </c>
      <c r="D2679" s="2">
        <v>0.33119999999999999</v>
      </c>
      <c r="E2679" s="2" t="s">
        <v>24</v>
      </c>
    </row>
    <row r="2680" spans="1:5" ht="20.25" customHeight="1" x14ac:dyDescent="0.15">
      <c r="A2680" s="2" t="s">
        <v>5160</v>
      </c>
      <c r="B2680" s="2" t="s">
        <v>5161</v>
      </c>
      <c r="C2680" s="2">
        <v>0.64</v>
      </c>
      <c r="D2680" s="2">
        <v>1.3573</v>
      </c>
      <c r="E2680" s="2" t="s">
        <v>391</v>
      </c>
    </row>
    <row r="2681" spans="1:5" ht="20.25" customHeight="1" x14ac:dyDescent="0.15">
      <c r="A2681" s="2" t="s">
        <v>5932</v>
      </c>
      <c r="B2681" s="2" t="s">
        <v>5933</v>
      </c>
      <c r="C2681" s="2">
        <v>0.64</v>
      </c>
      <c r="D2681" s="2">
        <v>22.540500000000002</v>
      </c>
      <c r="E2681" s="2" t="s">
        <v>862</v>
      </c>
    </row>
    <row r="2682" spans="1:5" ht="20.25" customHeight="1" x14ac:dyDescent="0.15">
      <c r="A2682" s="2" t="s">
        <v>6480</v>
      </c>
      <c r="B2682" s="2" t="s">
        <v>6481</v>
      </c>
      <c r="C2682" s="2">
        <v>0.64</v>
      </c>
      <c r="D2682" s="2">
        <v>0.53029999999999999</v>
      </c>
      <c r="E2682" s="2" t="s">
        <v>958</v>
      </c>
    </row>
    <row r="2683" spans="1:5" ht="20.25" customHeight="1" x14ac:dyDescent="0.15">
      <c r="A2683" s="2" t="s">
        <v>7185</v>
      </c>
      <c r="B2683" s="2" t="s">
        <v>7186</v>
      </c>
      <c r="C2683" s="2">
        <v>0.64</v>
      </c>
      <c r="D2683" s="2">
        <v>1.1528</v>
      </c>
      <c r="E2683" s="2" t="s">
        <v>406</v>
      </c>
    </row>
    <row r="2684" spans="1:5" ht="20.25" customHeight="1" x14ac:dyDescent="0.15">
      <c r="A2684" s="2" t="s">
        <v>7535</v>
      </c>
      <c r="B2684" s="2" t="s">
        <v>7536</v>
      </c>
      <c r="C2684" s="2">
        <v>0.64</v>
      </c>
      <c r="D2684" s="2">
        <v>0.68320000000000003</v>
      </c>
      <c r="E2684" s="2" t="s">
        <v>201</v>
      </c>
    </row>
    <row r="2685" spans="1:5" ht="20.25" customHeight="1" x14ac:dyDescent="0.15">
      <c r="A2685" s="2" t="s">
        <v>7997</v>
      </c>
      <c r="B2685" s="2" t="s">
        <v>7998</v>
      </c>
      <c r="C2685" s="2">
        <v>0.64</v>
      </c>
      <c r="D2685" s="2">
        <v>4.8734999999999999</v>
      </c>
      <c r="E2685" s="2" t="s">
        <v>89</v>
      </c>
    </row>
    <row r="2686" spans="1:5" ht="20.25" customHeight="1" x14ac:dyDescent="0.15">
      <c r="A2686" s="2" t="s">
        <v>8167</v>
      </c>
      <c r="B2686" s="2" t="s">
        <v>8168</v>
      </c>
      <c r="C2686" s="2">
        <v>0.64</v>
      </c>
      <c r="D2686" s="2">
        <v>168.60579999999999</v>
      </c>
      <c r="E2686" s="2" t="s">
        <v>704</v>
      </c>
    </row>
    <row r="2687" spans="1:5" ht="20.25" customHeight="1" x14ac:dyDescent="0.15">
      <c r="A2687" s="2" t="s">
        <v>7315</v>
      </c>
      <c r="B2687" s="2" t="s">
        <v>7316</v>
      </c>
      <c r="C2687" s="2">
        <v>0.63500000000000001</v>
      </c>
      <c r="D2687" s="2">
        <v>0.1983</v>
      </c>
      <c r="E2687" s="2" t="s">
        <v>339</v>
      </c>
    </row>
    <row r="2688" spans="1:5" ht="20.25" customHeight="1" x14ac:dyDescent="0.15">
      <c r="A2688" s="2" t="s">
        <v>7549</v>
      </c>
      <c r="B2688" s="2" t="s">
        <v>7550</v>
      </c>
      <c r="C2688" s="2">
        <v>0.63500000000000001</v>
      </c>
      <c r="D2688" s="2">
        <v>3.2816999999999998</v>
      </c>
      <c r="E2688" s="2" t="s">
        <v>421</v>
      </c>
    </row>
    <row r="2689" spans="1:5" ht="20.25" customHeight="1" x14ac:dyDescent="0.15">
      <c r="A2689" s="2" t="s">
        <v>863</v>
      </c>
      <c r="B2689" s="2" t="s">
        <v>864</v>
      </c>
      <c r="C2689" s="2">
        <v>0.63</v>
      </c>
      <c r="D2689" s="2">
        <v>0.87460000000000004</v>
      </c>
      <c r="E2689" s="2" t="s">
        <v>391</v>
      </c>
    </row>
    <row r="2690" spans="1:5" ht="20.25" customHeight="1" x14ac:dyDescent="0.15">
      <c r="A2690" s="2" t="s">
        <v>1416</v>
      </c>
      <c r="B2690" s="2" t="s">
        <v>1417</v>
      </c>
      <c r="C2690" s="2">
        <v>0.63</v>
      </c>
      <c r="D2690" s="2">
        <v>0.1938</v>
      </c>
      <c r="E2690" s="2" t="s">
        <v>784</v>
      </c>
    </row>
    <row r="2691" spans="1:5" ht="20.25" customHeight="1" x14ac:dyDescent="0.15">
      <c r="A2691" s="2" t="s">
        <v>3006</v>
      </c>
      <c r="B2691" s="2" t="s">
        <v>3007</v>
      </c>
      <c r="C2691" s="2">
        <v>0.63</v>
      </c>
      <c r="D2691" s="2">
        <v>0.43919999999999998</v>
      </c>
      <c r="E2691" s="2" t="s">
        <v>1403</v>
      </c>
    </row>
    <row r="2692" spans="1:5" ht="20.25" customHeight="1" x14ac:dyDescent="0.15">
      <c r="A2692" s="2" t="s">
        <v>3557</v>
      </c>
      <c r="B2692" s="2" t="s">
        <v>3558</v>
      </c>
      <c r="C2692" s="2">
        <v>0.63</v>
      </c>
      <c r="D2692" s="2">
        <v>1.0763</v>
      </c>
      <c r="E2692" s="2" t="s">
        <v>704</v>
      </c>
    </row>
    <row r="2693" spans="1:5" ht="20.25" customHeight="1" x14ac:dyDescent="0.15">
      <c r="A2693" s="2" t="s">
        <v>4008</v>
      </c>
      <c r="B2693" s="2" t="s">
        <v>4009</v>
      </c>
      <c r="C2693" s="2">
        <v>0.63</v>
      </c>
      <c r="D2693" s="2">
        <v>0.75380000000000003</v>
      </c>
      <c r="E2693" s="2" t="s">
        <v>3141</v>
      </c>
    </row>
    <row r="2694" spans="1:5" ht="20.25" customHeight="1" x14ac:dyDescent="0.15">
      <c r="A2694" s="2" t="s">
        <v>4368</v>
      </c>
      <c r="B2694" s="2" t="s">
        <v>4369</v>
      </c>
      <c r="C2694" s="2">
        <v>0.63</v>
      </c>
      <c r="D2694" s="2">
        <v>0.2273</v>
      </c>
      <c r="E2694" s="2" t="s">
        <v>1381</v>
      </c>
    </row>
    <row r="2695" spans="1:5" ht="20.25" customHeight="1" x14ac:dyDescent="0.15">
      <c r="A2695" s="2" t="s">
        <v>4446</v>
      </c>
      <c r="B2695" s="2" t="s">
        <v>4447</v>
      </c>
      <c r="C2695" s="2">
        <v>0.63</v>
      </c>
      <c r="D2695" s="2">
        <v>0.16769999999999999</v>
      </c>
      <c r="E2695" s="2" t="s">
        <v>134</v>
      </c>
    </row>
    <row r="2696" spans="1:5" ht="20.25" customHeight="1" x14ac:dyDescent="0.15">
      <c r="A2696" s="2" t="s">
        <v>5198</v>
      </c>
      <c r="B2696" s="2" t="s">
        <v>5199</v>
      </c>
      <c r="C2696" s="2">
        <v>0.63</v>
      </c>
      <c r="D2696" s="2">
        <v>130.77440000000001</v>
      </c>
      <c r="E2696" s="2" t="s">
        <v>371</v>
      </c>
    </row>
    <row r="2697" spans="1:5" ht="20.25" customHeight="1" x14ac:dyDescent="0.15">
      <c r="A2697" s="2" t="s">
        <v>5389</v>
      </c>
      <c r="B2697" s="2" t="s">
        <v>5390</v>
      </c>
      <c r="C2697" s="2">
        <v>0.63</v>
      </c>
      <c r="D2697" s="2">
        <v>0.90790000000000004</v>
      </c>
      <c r="E2697" s="2" t="s">
        <v>596</v>
      </c>
    </row>
    <row r="2698" spans="1:5" ht="20.25" customHeight="1" x14ac:dyDescent="0.15">
      <c r="A2698" s="2" t="s">
        <v>6294</v>
      </c>
      <c r="B2698" s="2" t="s">
        <v>6295</v>
      </c>
      <c r="C2698" s="2">
        <v>0.63</v>
      </c>
      <c r="D2698" s="2">
        <v>2.3929</v>
      </c>
      <c r="E2698" s="2" t="s">
        <v>214</v>
      </c>
    </row>
    <row r="2699" spans="1:5" ht="20.25" customHeight="1" x14ac:dyDescent="0.15">
      <c r="A2699" s="2" t="s">
        <v>7119</v>
      </c>
      <c r="B2699" s="2" t="s">
        <v>7120</v>
      </c>
      <c r="C2699" s="2">
        <v>0.63</v>
      </c>
      <c r="D2699" s="2">
        <v>2.7330999999999999</v>
      </c>
      <c r="E2699" s="2" t="s">
        <v>201</v>
      </c>
    </row>
    <row r="2700" spans="1:5" ht="20.25" customHeight="1" x14ac:dyDescent="0.15">
      <c r="A2700" s="2" t="s">
        <v>7447</v>
      </c>
      <c r="B2700" s="2" t="s">
        <v>7448</v>
      </c>
      <c r="C2700" s="2">
        <v>0.63</v>
      </c>
      <c r="D2700" s="2">
        <v>1.6291</v>
      </c>
      <c r="E2700" s="2" t="s">
        <v>4127</v>
      </c>
    </row>
    <row r="2701" spans="1:5" ht="20.25" customHeight="1" x14ac:dyDescent="0.15">
      <c r="A2701" s="2" t="s">
        <v>7493</v>
      </c>
      <c r="B2701" s="2" t="s">
        <v>7494</v>
      </c>
      <c r="C2701" s="2">
        <v>0.63</v>
      </c>
      <c r="D2701" s="2">
        <v>0.43130000000000002</v>
      </c>
      <c r="E2701" s="2" t="s">
        <v>1997</v>
      </c>
    </row>
    <row r="2702" spans="1:5" ht="20.25" customHeight="1" x14ac:dyDescent="0.15">
      <c r="A2702" s="2" t="s">
        <v>7551</v>
      </c>
      <c r="B2702" s="2" t="s">
        <v>7552</v>
      </c>
      <c r="C2702" s="2">
        <v>0.63</v>
      </c>
      <c r="D2702" s="2">
        <v>12.1294</v>
      </c>
      <c r="E2702" s="2" t="s">
        <v>1338</v>
      </c>
    </row>
    <row r="2703" spans="1:5" ht="20.25" customHeight="1" x14ac:dyDescent="0.15">
      <c r="A2703" s="2" t="s">
        <v>7695</v>
      </c>
      <c r="B2703" s="2" t="s">
        <v>7696</v>
      </c>
      <c r="C2703" s="2">
        <v>0.63</v>
      </c>
      <c r="D2703" s="2">
        <v>1.7151000000000001</v>
      </c>
      <c r="E2703" s="2" t="s">
        <v>1515</v>
      </c>
    </row>
    <row r="2704" spans="1:5" ht="20.25" customHeight="1" x14ac:dyDescent="0.15">
      <c r="A2704" s="2" t="s">
        <v>7701</v>
      </c>
      <c r="B2704" s="2" t="s">
        <v>7702</v>
      </c>
      <c r="C2704" s="2">
        <v>0.63</v>
      </c>
      <c r="D2704" s="2">
        <v>12.3369</v>
      </c>
      <c r="E2704" s="2" t="s">
        <v>385</v>
      </c>
    </row>
    <row r="2705" spans="1:5" ht="20.25" customHeight="1" x14ac:dyDescent="0.15">
      <c r="A2705" s="2" t="s">
        <v>4590</v>
      </c>
      <c r="B2705" s="2" t="s">
        <v>4591</v>
      </c>
      <c r="C2705" s="2">
        <v>0.625</v>
      </c>
      <c r="D2705" s="2">
        <v>1.3915999999999999</v>
      </c>
      <c r="E2705" s="2" t="s">
        <v>149</v>
      </c>
    </row>
    <row r="2706" spans="1:5" ht="20.25" customHeight="1" x14ac:dyDescent="0.15">
      <c r="A2706" s="2" t="s">
        <v>448</v>
      </c>
      <c r="B2706" s="2" t="s">
        <v>449</v>
      </c>
      <c r="C2706" s="2">
        <v>0.62</v>
      </c>
      <c r="D2706" s="2">
        <v>0.81610000000000005</v>
      </c>
      <c r="E2706" s="2" t="s">
        <v>450</v>
      </c>
    </row>
    <row r="2707" spans="1:5" ht="20.25" customHeight="1" x14ac:dyDescent="0.15">
      <c r="A2707" s="2" t="s">
        <v>1180</v>
      </c>
      <c r="B2707" s="2" t="s">
        <v>1181</v>
      </c>
      <c r="C2707" s="2">
        <v>0.62</v>
      </c>
      <c r="D2707" s="2">
        <v>0.39169999999999999</v>
      </c>
      <c r="E2707" s="2" t="s">
        <v>391</v>
      </c>
    </row>
    <row r="2708" spans="1:5" ht="20.25" customHeight="1" x14ac:dyDescent="0.15">
      <c r="A2708" s="2" t="s">
        <v>1851</v>
      </c>
      <c r="B2708" s="2" t="s">
        <v>1852</v>
      </c>
      <c r="C2708" s="2">
        <v>0.62</v>
      </c>
      <c r="D2708" s="2">
        <v>5.9661999999999997</v>
      </c>
      <c r="E2708" s="2" t="s">
        <v>1853</v>
      </c>
    </row>
    <row r="2709" spans="1:5" ht="20.25" customHeight="1" x14ac:dyDescent="0.15">
      <c r="A2709" s="2" t="s">
        <v>1933</v>
      </c>
      <c r="B2709" s="2" t="s">
        <v>1934</v>
      </c>
      <c r="C2709" s="2">
        <v>0.62</v>
      </c>
      <c r="D2709" s="2">
        <v>3.4874000000000001</v>
      </c>
      <c r="E2709" s="2" t="s">
        <v>204</v>
      </c>
    </row>
    <row r="2710" spans="1:5" ht="20.25" customHeight="1" x14ac:dyDescent="0.15">
      <c r="A2710" s="2" t="s">
        <v>2154</v>
      </c>
      <c r="B2710" s="2" t="s">
        <v>2155</v>
      </c>
      <c r="C2710" s="2">
        <v>0.62</v>
      </c>
      <c r="D2710" s="2">
        <v>1.7563</v>
      </c>
      <c r="E2710" s="2" t="s">
        <v>81</v>
      </c>
    </row>
    <row r="2711" spans="1:5" ht="20.25" customHeight="1" x14ac:dyDescent="0.15">
      <c r="A2711" s="2" t="s">
        <v>2332</v>
      </c>
      <c r="B2711" s="2" t="s">
        <v>2333</v>
      </c>
      <c r="C2711" s="2">
        <v>0.62</v>
      </c>
      <c r="D2711" s="2">
        <v>0.1012</v>
      </c>
      <c r="E2711" s="2" t="s">
        <v>459</v>
      </c>
    </row>
    <row r="2712" spans="1:5" ht="20.25" customHeight="1" x14ac:dyDescent="0.15">
      <c r="A2712" s="2" t="s">
        <v>2795</v>
      </c>
      <c r="B2712" s="2" t="s">
        <v>2796</v>
      </c>
      <c r="C2712" s="2">
        <v>0.62</v>
      </c>
      <c r="D2712" s="2">
        <v>6.6276999999999999</v>
      </c>
      <c r="E2712" s="2" t="s">
        <v>299</v>
      </c>
    </row>
    <row r="2713" spans="1:5" ht="20.25" customHeight="1" x14ac:dyDescent="0.15">
      <c r="A2713" s="2" t="s">
        <v>2805</v>
      </c>
      <c r="B2713" s="2" t="s">
        <v>2806</v>
      </c>
      <c r="C2713" s="2">
        <v>0.62</v>
      </c>
      <c r="D2713" s="2">
        <v>1.3798999999999999</v>
      </c>
      <c r="E2713" s="2" t="s">
        <v>225</v>
      </c>
    </row>
    <row r="2714" spans="1:5" ht="20.25" customHeight="1" x14ac:dyDescent="0.15">
      <c r="A2714" s="2" t="s">
        <v>3092</v>
      </c>
      <c r="B2714" s="2" t="s">
        <v>3093</v>
      </c>
      <c r="C2714" s="2">
        <v>0.62</v>
      </c>
      <c r="D2714" s="2">
        <v>4.8963999999999999</v>
      </c>
      <c r="E2714" s="2" t="s">
        <v>146</v>
      </c>
    </row>
    <row r="2715" spans="1:5" ht="20.25" customHeight="1" x14ac:dyDescent="0.15">
      <c r="A2715" s="2" t="s">
        <v>6384</v>
      </c>
      <c r="B2715" s="2" t="s">
        <v>6385</v>
      </c>
      <c r="C2715" s="2">
        <v>0.62</v>
      </c>
      <c r="D2715" s="2">
        <v>3.9003000000000001</v>
      </c>
      <c r="E2715" s="2" t="s">
        <v>667</v>
      </c>
    </row>
    <row r="2716" spans="1:5" ht="20.25" customHeight="1" x14ac:dyDescent="0.15">
      <c r="A2716" s="2" t="s">
        <v>7773</v>
      </c>
      <c r="B2716" s="2" t="s">
        <v>7774</v>
      </c>
      <c r="C2716" s="2">
        <v>0.62</v>
      </c>
      <c r="D2716" s="2">
        <v>10.6866</v>
      </c>
      <c r="E2716" s="2" t="s">
        <v>44</v>
      </c>
    </row>
    <row r="2717" spans="1:5" ht="20.25" customHeight="1" x14ac:dyDescent="0.15">
      <c r="A2717" s="2" t="s">
        <v>8343</v>
      </c>
      <c r="B2717" s="2" t="s">
        <v>8344</v>
      </c>
      <c r="C2717" s="2">
        <v>0.61499999999999999</v>
      </c>
      <c r="D2717" s="2">
        <v>6.3188000000000004</v>
      </c>
      <c r="E2717" s="2" t="s">
        <v>406</v>
      </c>
    </row>
    <row r="2718" spans="1:5" ht="20.25" customHeight="1" x14ac:dyDescent="0.15">
      <c r="A2718" s="2" t="s">
        <v>191</v>
      </c>
      <c r="B2718" s="2" t="s">
        <v>192</v>
      </c>
      <c r="C2718" s="2">
        <v>0.61</v>
      </c>
      <c r="D2718" s="2">
        <v>0.72970000000000002</v>
      </c>
      <c r="E2718" s="2" t="s">
        <v>193</v>
      </c>
    </row>
    <row r="2719" spans="1:5" ht="20.25" customHeight="1" x14ac:dyDescent="0.15">
      <c r="A2719" s="2" t="s">
        <v>444</v>
      </c>
      <c r="B2719" s="2" t="s">
        <v>445</v>
      </c>
      <c r="C2719" s="2">
        <v>0.61</v>
      </c>
      <c r="D2719" s="2">
        <v>1.2432000000000001</v>
      </c>
      <c r="E2719" s="2" t="s">
        <v>225</v>
      </c>
    </row>
    <row r="2720" spans="1:5" ht="20.25" customHeight="1" x14ac:dyDescent="0.15">
      <c r="A2720" s="2" t="s">
        <v>767</v>
      </c>
      <c r="B2720" s="2" t="s">
        <v>768</v>
      </c>
      <c r="C2720" s="2">
        <v>0.61</v>
      </c>
      <c r="D2720" s="2">
        <v>2.8952</v>
      </c>
      <c r="E2720" s="2" t="s">
        <v>769</v>
      </c>
    </row>
    <row r="2721" spans="1:5" ht="20.25" customHeight="1" x14ac:dyDescent="0.15">
      <c r="A2721" s="2" t="s">
        <v>1770</v>
      </c>
      <c r="B2721" s="2" t="s">
        <v>1771</v>
      </c>
      <c r="C2721" s="2">
        <v>0.61</v>
      </c>
      <c r="D2721" s="2">
        <v>4.1660000000000004</v>
      </c>
      <c r="E2721" s="2" t="s">
        <v>1436</v>
      </c>
    </row>
    <row r="2722" spans="1:5" ht="20.25" customHeight="1" x14ac:dyDescent="0.15">
      <c r="A2722" s="2" t="s">
        <v>1866</v>
      </c>
      <c r="B2722" s="2" t="s">
        <v>1867</v>
      </c>
      <c r="C2722" s="2">
        <v>0.61</v>
      </c>
      <c r="D2722" s="2">
        <v>0.51429999999999998</v>
      </c>
      <c r="E2722" s="2" t="s">
        <v>152</v>
      </c>
    </row>
    <row r="2723" spans="1:5" ht="20.25" customHeight="1" x14ac:dyDescent="0.15">
      <c r="A2723" s="2" t="s">
        <v>2536</v>
      </c>
      <c r="B2723" s="2" t="s">
        <v>2537</v>
      </c>
      <c r="C2723" s="2">
        <v>0.61</v>
      </c>
      <c r="D2723" s="2">
        <v>27.4938</v>
      </c>
      <c r="E2723" s="2" t="s">
        <v>299</v>
      </c>
    </row>
    <row r="2724" spans="1:5" ht="20.25" customHeight="1" x14ac:dyDescent="0.15">
      <c r="A2724" s="2" t="s">
        <v>2759</v>
      </c>
      <c r="B2724" s="2" t="s">
        <v>2760</v>
      </c>
      <c r="C2724" s="2">
        <v>0.61</v>
      </c>
      <c r="D2724" s="2">
        <v>5.2834000000000003</v>
      </c>
      <c r="E2724" s="2" t="s">
        <v>385</v>
      </c>
    </row>
    <row r="2725" spans="1:5" ht="20.25" customHeight="1" x14ac:dyDescent="0.15">
      <c r="A2725" s="2" t="s">
        <v>2957</v>
      </c>
      <c r="B2725" s="2" t="s">
        <v>2958</v>
      </c>
      <c r="C2725" s="2">
        <v>0.61</v>
      </c>
      <c r="D2725" s="2">
        <v>5.9126000000000003</v>
      </c>
      <c r="E2725" s="2" t="s">
        <v>201</v>
      </c>
    </row>
    <row r="2726" spans="1:5" ht="20.25" customHeight="1" x14ac:dyDescent="0.15">
      <c r="A2726" s="2" t="s">
        <v>4662</v>
      </c>
      <c r="B2726" s="2" t="s">
        <v>4663</v>
      </c>
      <c r="C2726" s="2">
        <v>0.61</v>
      </c>
      <c r="D2726" s="2">
        <v>1.3609</v>
      </c>
      <c r="E2726" s="2" t="s">
        <v>86</v>
      </c>
    </row>
    <row r="2727" spans="1:5" ht="20.25" customHeight="1" x14ac:dyDescent="0.15">
      <c r="A2727" s="2" t="s">
        <v>4881</v>
      </c>
      <c r="B2727" s="2" t="s">
        <v>4882</v>
      </c>
      <c r="C2727" s="2">
        <v>0.61</v>
      </c>
      <c r="D2727" s="2">
        <v>34.673499999999997</v>
      </c>
      <c r="E2727" s="2" t="s">
        <v>1969</v>
      </c>
    </row>
    <row r="2728" spans="1:5" ht="20.25" customHeight="1" x14ac:dyDescent="0.15">
      <c r="A2728" s="2" t="s">
        <v>6020</v>
      </c>
      <c r="B2728" s="2" t="s">
        <v>6021</v>
      </c>
      <c r="C2728" s="2">
        <v>0.61</v>
      </c>
      <c r="D2728" s="2">
        <v>0.66700000000000004</v>
      </c>
      <c r="E2728" s="2" t="s">
        <v>391</v>
      </c>
    </row>
    <row r="2729" spans="1:5" ht="20.25" customHeight="1" x14ac:dyDescent="0.15">
      <c r="A2729" s="2" t="s">
        <v>6690</v>
      </c>
      <c r="B2729" s="2" t="s">
        <v>6691</v>
      </c>
      <c r="C2729" s="2">
        <v>0.61</v>
      </c>
      <c r="D2729" s="2">
        <v>10.9702</v>
      </c>
      <c r="E2729" s="2" t="s">
        <v>4939</v>
      </c>
    </row>
    <row r="2730" spans="1:5" ht="20.25" customHeight="1" x14ac:dyDescent="0.15">
      <c r="A2730" s="2" t="s">
        <v>6799</v>
      </c>
      <c r="B2730" s="2" t="s">
        <v>6800</v>
      </c>
      <c r="C2730" s="2">
        <v>0.61</v>
      </c>
      <c r="D2730" s="2">
        <v>81321.854900000006</v>
      </c>
      <c r="E2730" s="2" t="s">
        <v>1608</v>
      </c>
    </row>
    <row r="2731" spans="1:5" ht="20.25" customHeight="1" x14ac:dyDescent="0.15">
      <c r="A2731" s="2" t="s">
        <v>6857</v>
      </c>
      <c r="B2731" s="2" t="s">
        <v>6858</v>
      </c>
      <c r="C2731" s="2">
        <v>0.61</v>
      </c>
      <c r="D2731" s="2">
        <v>0.2727</v>
      </c>
      <c r="E2731" s="2" t="s">
        <v>299</v>
      </c>
    </row>
    <row r="2732" spans="1:5" ht="20.25" customHeight="1" x14ac:dyDescent="0.15">
      <c r="A2732" s="2" t="s">
        <v>7057</v>
      </c>
      <c r="B2732" s="2" t="s">
        <v>7058</v>
      </c>
      <c r="C2732" s="2">
        <v>0.61</v>
      </c>
      <c r="D2732" s="2">
        <v>0.8649</v>
      </c>
      <c r="E2732" s="2" t="s">
        <v>365</v>
      </c>
    </row>
    <row r="2733" spans="1:5" ht="20.25" customHeight="1" x14ac:dyDescent="0.15">
      <c r="A2733" s="2" t="s">
        <v>7421</v>
      </c>
      <c r="B2733" s="2" t="s">
        <v>7422</v>
      </c>
      <c r="C2733" s="2">
        <v>0.61</v>
      </c>
      <c r="D2733" s="2">
        <v>1.24</v>
      </c>
      <c r="E2733" s="2" t="s">
        <v>3130</v>
      </c>
    </row>
    <row r="2734" spans="1:5" ht="20.25" customHeight="1" x14ac:dyDescent="0.15">
      <c r="A2734" s="2" t="s">
        <v>1312</v>
      </c>
      <c r="B2734" s="2" t="s">
        <v>1313</v>
      </c>
      <c r="C2734" s="2">
        <v>0.6</v>
      </c>
      <c r="D2734" s="2">
        <v>0.59960000000000002</v>
      </c>
      <c r="E2734" s="2" t="s">
        <v>149</v>
      </c>
    </row>
    <row r="2735" spans="1:5" ht="20.25" customHeight="1" x14ac:dyDescent="0.15">
      <c r="A2735" s="2" t="s">
        <v>2266</v>
      </c>
      <c r="B2735" s="2" t="s">
        <v>2267</v>
      </c>
      <c r="C2735" s="2">
        <v>0.6</v>
      </c>
      <c r="D2735" s="2">
        <v>20.025300000000001</v>
      </c>
      <c r="E2735" s="2" t="s">
        <v>44</v>
      </c>
    </row>
    <row r="2736" spans="1:5" ht="20.25" customHeight="1" x14ac:dyDescent="0.15">
      <c r="A2736" s="2" t="s">
        <v>2745</v>
      </c>
      <c r="B2736" s="2" t="s">
        <v>2746</v>
      </c>
      <c r="C2736" s="2">
        <v>0.6</v>
      </c>
      <c r="D2736" s="2">
        <v>22.344999999999999</v>
      </c>
      <c r="E2736" s="2" t="s">
        <v>747</v>
      </c>
    </row>
    <row r="2737" spans="1:5" ht="20.25" customHeight="1" x14ac:dyDescent="0.15">
      <c r="A2737" s="2" t="s">
        <v>3304</v>
      </c>
      <c r="B2737" s="2" t="s">
        <v>3305</v>
      </c>
      <c r="C2737" s="2">
        <v>0.6</v>
      </c>
      <c r="D2737" s="2">
        <v>75.319999999999993</v>
      </c>
      <c r="E2737" s="2" t="s">
        <v>299</v>
      </c>
    </row>
    <row r="2738" spans="1:5" ht="20.25" customHeight="1" x14ac:dyDescent="0.15">
      <c r="A2738" s="2" t="s">
        <v>4546</v>
      </c>
      <c r="B2738" s="2" t="s">
        <v>4547</v>
      </c>
      <c r="C2738" s="2">
        <v>0.6</v>
      </c>
      <c r="D2738" s="2">
        <v>4.1203000000000003</v>
      </c>
      <c r="E2738" s="2" t="s">
        <v>55</v>
      </c>
    </row>
    <row r="2739" spans="1:5" ht="20.25" customHeight="1" x14ac:dyDescent="0.15">
      <c r="A2739" s="2" t="s">
        <v>5334</v>
      </c>
      <c r="B2739" s="2" t="s">
        <v>5335</v>
      </c>
      <c r="C2739" s="2">
        <v>0.6</v>
      </c>
      <c r="D2739" s="2">
        <v>0.53959999999999997</v>
      </c>
      <c r="E2739" s="2" t="s">
        <v>704</v>
      </c>
    </row>
    <row r="2740" spans="1:5" ht="20.25" customHeight="1" x14ac:dyDescent="0.15">
      <c r="A2740" s="2" t="s">
        <v>6568</v>
      </c>
      <c r="B2740" s="2" t="s">
        <v>6569</v>
      </c>
      <c r="C2740" s="2">
        <v>0.6</v>
      </c>
      <c r="D2740" s="2">
        <v>1.1259999999999999</v>
      </c>
      <c r="E2740" s="2" t="s">
        <v>1091</v>
      </c>
    </row>
    <row r="2741" spans="1:5" ht="20.25" customHeight="1" x14ac:dyDescent="0.15">
      <c r="A2741" s="2" t="s">
        <v>8355</v>
      </c>
      <c r="B2741" s="2" t="s">
        <v>8356</v>
      </c>
      <c r="C2741" s="2">
        <v>0.6</v>
      </c>
      <c r="D2741" s="2">
        <v>13.5296</v>
      </c>
      <c r="E2741" s="2" t="s">
        <v>1853</v>
      </c>
    </row>
    <row r="2742" spans="1:5" ht="20.25" customHeight="1" x14ac:dyDescent="0.15">
      <c r="A2742" s="2" t="s">
        <v>8173</v>
      </c>
      <c r="B2742" s="2" t="s">
        <v>8174</v>
      </c>
      <c r="C2742" s="2">
        <v>0.59499999999999997</v>
      </c>
      <c r="D2742" s="2">
        <v>1.7665</v>
      </c>
      <c r="E2742" s="2" t="s">
        <v>1173</v>
      </c>
    </row>
    <row r="2743" spans="1:5" ht="20.25" customHeight="1" x14ac:dyDescent="0.15">
      <c r="A2743" s="2" t="s">
        <v>1097</v>
      </c>
      <c r="B2743" s="2" t="s">
        <v>1098</v>
      </c>
      <c r="C2743" s="2">
        <v>0.59</v>
      </c>
      <c r="D2743" s="2">
        <v>0.38059999999999999</v>
      </c>
      <c r="E2743" s="2" t="s">
        <v>1099</v>
      </c>
    </row>
    <row r="2744" spans="1:5" ht="20.25" customHeight="1" x14ac:dyDescent="0.15">
      <c r="A2744" s="2" t="s">
        <v>2566</v>
      </c>
      <c r="B2744" s="2" t="s">
        <v>2567</v>
      </c>
      <c r="C2744" s="2">
        <v>0.59</v>
      </c>
      <c r="D2744" s="2">
        <v>0.68830000000000002</v>
      </c>
      <c r="E2744" s="2" t="s">
        <v>418</v>
      </c>
    </row>
    <row r="2745" spans="1:5" ht="20.25" customHeight="1" x14ac:dyDescent="0.15">
      <c r="A2745" s="2" t="s">
        <v>3184</v>
      </c>
      <c r="B2745" s="2" t="s">
        <v>3185</v>
      </c>
      <c r="C2745" s="2">
        <v>0.59</v>
      </c>
      <c r="D2745" s="2">
        <v>11.3027</v>
      </c>
      <c r="E2745" s="2" t="s">
        <v>371</v>
      </c>
    </row>
    <row r="2746" spans="1:5" ht="20.25" customHeight="1" x14ac:dyDescent="0.15">
      <c r="A2746" s="2" t="s">
        <v>4308</v>
      </c>
      <c r="B2746" s="2" t="s">
        <v>4309</v>
      </c>
      <c r="C2746" s="2">
        <v>0.59</v>
      </c>
      <c r="D2746" s="2">
        <v>0.6784</v>
      </c>
      <c r="E2746" s="2" t="s">
        <v>44</v>
      </c>
    </row>
    <row r="2747" spans="1:5" ht="20.25" customHeight="1" x14ac:dyDescent="0.15">
      <c r="A2747" s="2" t="s">
        <v>4550</v>
      </c>
      <c r="B2747" s="2" t="s">
        <v>4551</v>
      </c>
      <c r="C2747" s="2">
        <v>0.59</v>
      </c>
      <c r="D2747" s="2">
        <v>0.65539999999999998</v>
      </c>
      <c r="E2747" s="2" t="s">
        <v>736</v>
      </c>
    </row>
    <row r="2748" spans="1:5" ht="20.25" customHeight="1" x14ac:dyDescent="0.15">
      <c r="A2748" s="2" t="s">
        <v>5445</v>
      </c>
      <c r="B2748" s="2" t="s">
        <v>5446</v>
      </c>
      <c r="C2748" s="2">
        <v>0.59</v>
      </c>
      <c r="D2748" s="2">
        <v>0.16539999999999999</v>
      </c>
      <c r="E2748" s="2" t="s">
        <v>621</v>
      </c>
    </row>
    <row r="2749" spans="1:5" ht="20.25" customHeight="1" x14ac:dyDescent="0.15">
      <c r="A2749" s="2" t="s">
        <v>6698</v>
      </c>
      <c r="B2749" s="2" t="s">
        <v>6699</v>
      </c>
      <c r="C2749" s="2">
        <v>0.59</v>
      </c>
      <c r="D2749" s="2">
        <v>0.26590000000000003</v>
      </c>
      <c r="E2749" s="2" t="s">
        <v>207</v>
      </c>
    </row>
    <row r="2750" spans="1:5" ht="20.25" customHeight="1" x14ac:dyDescent="0.15">
      <c r="A2750" s="2" t="s">
        <v>6841</v>
      </c>
      <c r="B2750" s="2" t="s">
        <v>6842</v>
      </c>
      <c r="C2750" s="2">
        <v>0.59</v>
      </c>
      <c r="D2750" s="2">
        <v>6.7679999999999998</v>
      </c>
      <c r="E2750" s="2" t="s">
        <v>614</v>
      </c>
    </row>
    <row r="2751" spans="1:5" ht="20.25" customHeight="1" x14ac:dyDescent="0.15">
      <c r="A2751" s="2" t="s">
        <v>7265</v>
      </c>
      <c r="B2751" s="2" t="s">
        <v>7266</v>
      </c>
      <c r="C2751" s="2">
        <v>0.59</v>
      </c>
      <c r="D2751" s="2">
        <v>4.6958000000000002</v>
      </c>
      <c r="E2751" s="2" t="s">
        <v>501</v>
      </c>
    </row>
    <row r="2752" spans="1:5" ht="20.25" customHeight="1" x14ac:dyDescent="0.15">
      <c r="A2752" s="2" t="s">
        <v>7495</v>
      </c>
      <c r="B2752" s="2" t="s">
        <v>7496</v>
      </c>
      <c r="C2752" s="2">
        <v>0.59</v>
      </c>
      <c r="D2752" s="2">
        <v>43.718299999999999</v>
      </c>
      <c r="E2752" s="2" t="s">
        <v>299</v>
      </c>
    </row>
    <row r="2753" spans="1:5" ht="20.25" customHeight="1" x14ac:dyDescent="0.15">
      <c r="A2753" s="2" t="s">
        <v>7753</v>
      </c>
      <c r="B2753" s="2" t="s">
        <v>7754</v>
      </c>
      <c r="C2753" s="2">
        <v>0.59</v>
      </c>
      <c r="D2753" s="2">
        <v>0.16120000000000001</v>
      </c>
      <c r="E2753" s="2" t="s">
        <v>664</v>
      </c>
    </row>
    <row r="2754" spans="1:5" ht="20.25" customHeight="1" x14ac:dyDescent="0.15">
      <c r="A2754" s="2" t="s">
        <v>1237</v>
      </c>
      <c r="B2754" s="2" t="s">
        <v>1238</v>
      </c>
      <c r="C2754" s="2">
        <v>0.57999999999999996</v>
      </c>
      <c r="D2754" s="2">
        <v>7.0999999999999994E-2</v>
      </c>
      <c r="E2754" s="2" t="s">
        <v>784</v>
      </c>
    </row>
    <row r="2755" spans="1:5" ht="20.25" customHeight="1" x14ac:dyDescent="0.15">
      <c r="A2755" s="2" t="s">
        <v>1927</v>
      </c>
      <c r="B2755" s="2" t="s">
        <v>1928</v>
      </c>
      <c r="C2755" s="2">
        <v>0.57999999999999996</v>
      </c>
      <c r="D2755" s="2">
        <v>7.6901000000000002</v>
      </c>
      <c r="E2755" s="2" t="s">
        <v>638</v>
      </c>
    </row>
    <row r="2756" spans="1:5" ht="20.25" customHeight="1" x14ac:dyDescent="0.15">
      <c r="A2756" s="2" t="s">
        <v>3296</v>
      </c>
      <c r="B2756" s="2" t="s">
        <v>3297</v>
      </c>
      <c r="C2756" s="2">
        <v>0.57999999999999996</v>
      </c>
      <c r="D2756" s="2">
        <v>2.2225999999999999</v>
      </c>
      <c r="E2756" s="2" t="s">
        <v>10</v>
      </c>
    </row>
    <row r="2757" spans="1:5" ht="20.25" customHeight="1" x14ac:dyDescent="0.15">
      <c r="A2757" s="2" t="s">
        <v>3992</v>
      </c>
      <c r="B2757" s="2" t="s">
        <v>3993</v>
      </c>
      <c r="C2757" s="2">
        <v>0.57999999999999996</v>
      </c>
      <c r="D2757" s="2">
        <v>0.62680000000000002</v>
      </c>
      <c r="E2757" s="2" t="s">
        <v>1436</v>
      </c>
    </row>
    <row r="2758" spans="1:5" ht="20.25" customHeight="1" x14ac:dyDescent="0.15">
      <c r="A2758" s="2" t="s">
        <v>5338</v>
      </c>
      <c r="B2758" s="2" t="s">
        <v>5339</v>
      </c>
      <c r="C2758" s="2">
        <v>0.57999999999999996</v>
      </c>
      <c r="D2758" s="2">
        <v>7.0235000000000003</v>
      </c>
      <c r="E2758" s="2" t="s">
        <v>704</v>
      </c>
    </row>
    <row r="2759" spans="1:5" ht="20.25" customHeight="1" x14ac:dyDescent="0.15">
      <c r="A2759" s="2" t="s">
        <v>5549</v>
      </c>
      <c r="B2759" s="2" t="s">
        <v>5550</v>
      </c>
      <c r="C2759" s="2">
        <v>0.57999999999999996</v>
      </c>
      <c r="D2759" s="2">
        <v>2.4613999999999998</v>
      </c>
      <c r="E2759" s="2" t="s">
        <v>204</v>
      </c>
    </row>
    <row r="2760" spans="1:5" ht="20.25" customHeight="1" x14ac:dyDescent="0.15">
      <c r="A2760" s="2" t="s">
        <v>5734</v>
      </c>
      <c r="B2760" s="2" t="s">
        <v>5735</v>
      </c>
      <c r="C2760" s="2">
        <v>0.57999999999999996</v>
      </c>
      <c r="D2760" s="2">
        <v>2.6671999999999998</v>
      </c>
      <c r="E2760" s="2" t="s">
        <v>68</v>
      </c>
    </row>
    <row r="2761" spans="1:5" ht="20.25" customHeight="1" x14ac:dyDescent="0.15">
      <c r="A2761" s="2" t="s">
        <v>6274</v>
      </c>
      <c r="B2761" s="2" t="s">
        <v>6275</v>
      </c>
      <c r="C2761" s="2">
        <v>0.57999999999999996</v>
      </c>
      <c r="D2761" s="2">
        <v>1.6193</v>
      </c>
      <c r="E2761" s="2" t="s">
        <v>1969</v>
      </c>
    </row>
    <row r="2762" spans="1:5" ht="20.25" customHeight="1" x14ac:dyDescent="0.15">
      <c r="A2762" s="2" t="s">
        <v>6588</v>
      </c>
      <c r="B2762" s="2" t="s">
        <v>6589</v>
      </c>
      <c r="C2762" s="2">
        <v>0.57999999999999996</v>
      </c>
      <c r="D2762" s="2">
        <v>1.3773</v>
      </c>
      <c r="E2762" s="2" t="s">
        <v>391</v>
      </c>
    </row>
    <row r="2763" spans="1:5" ht="20.25" customHeight="1" x14ac:dyDescent="0.15">
      <c r="A2763" s="2" t="s">
        <v>7069</v>
      </c>
      <c r="B2763" s="2" t="s">
        <v>7070</v>
      </c>
      <c r="C2763" s="2">
        <v>0.57999999999999996</v>
      </c>
      <c r="D2763" s="2">
        <v>5.4329999999999998</v>
      </c>
      <c r="E2763" s="2" t="s">
        <v>1486</v>
      </c>
    </row>
    <row r="2764" spans="1:5" ht="20.25" customHeight="1" x14ac:dyDescent="0.15">
      <c r="A2764" s="2" t="s">
        <v>617</v>
      </c>
      <c r="B2764" s="2" t="s">
        <v>618</v>
      </c>
      <c r="C2764" s="2">
        <v>0.56999999999999995</v>
      </c>
      <c r="D2764" s="2">
        <v>0.1169</v>
      </c>
      <c r="E2764" s="2" t="s">
        <v>391</v>
      </c>
    </row>
    <row r="2765" spans="1:5" ht="20.25" customHeight="1" x14ac:dyDescent="0.15">
      <c r="A2765" s="2" t="s">
        <v>821</v>
      </c>
      <c r="B2765" s="2" t="s">
        <v>822</v>
      </c>
      <c r="C2765" s="2">
        <v>0.56999999999999995</v>
      </c>
      <c r="D2765" s="2">
        <v>0.66410000000000002</v>
      </c>
      <c r="E2765" s="2" t="s">
        <v>225</v>
      </c>
    </row>
    <row r="2766" spans="1:5" ht="20.25" customHeight="1" x14ac:dyDescent="0.15">
      <c r="A2766" s="2" t="s">
        <v>1812</v>
      </c>
      <c r="B2766" s="2" t="s">
        <v>1813</v>
      </c>
      <c r="C2766" s="2">
        <v>0.56999999999999995</v>
      </c>
      <c r="D2766" s="2">
        <v>4.2956000000000003</v>
      </c>
      <c r="E2766" s="2" t="s">
        <v>146</v>
      </c>
    </row>
    <row r="2767" spans="1:5" ht="20.25" customHeight="1" x14ac:dyDescent="0.15">
      <c r="A2767" s="2" t="s">
        <v>2409</v>
      </c>
      <c r="B2767" s="2" t="s">
        <v>2410</v>
      </c>
      <c r="C2767" s="2">
        <v>0.56999999999999995</v>
      </c>
      <c r="D2767" s="2">
        <v>5.8563000000000001</v>
      </c>
      <c r="E2767" s="2" t="s">
        <v>123</v>
      </c>
    </row>
    <row r="2768" spans="1:5" ht="20.25" customHeight="1" x14ac:dyDescent="0.15">
      <c r="A2768" s="2" t="s">
        <v>2686</v>
      </c>
      <c r="B2768" s="2" t="s">
        <v>2687</v>
      </c>
      <c r="C2768" s="2">
        <v>0.56999999999999995</v>
      </c>
      <c r="D2768" s="2">
        <v>0.27139999999999997</v>
      </c>
      <c r="E2768" s="2" t="s">
        <v>784</v>
      </c>
    </row>
    <row r="2769" spans="1:5" ht="20.25" customHeight="1" x14ac:dyDescent="0.15">
      <c r="A2769" s="2" t="s">
        <v>2847</v>
      </c>
      <c r="B2769" s="2" t="s">
        <v>2848</v>
      </c>
      <c r="C2769" s="2">
        <v>0.56999999999999995</v>
      </c>
      <c r="D2769" s="2">
        <v>0.1459</v>
      </c>
      <c r="E2769" s="2" t="s">
        <v>1757</v>
      </c>
    </row>
    <row r="2770" spans="1:5" ht="20.25" customHeight="1" x14ac:dyDescent="0.15">
      <c r="A2770" s="2" t="s">
        <v>4488</v>
      </c>
      <c r="B2770" s="2" t="s">
        <v>4489</v>
      </c>
      <c r="C2770" s="2">
        <v>0.56999999999999995</v>
      </c>
      <c r="D2770" s="2">
        <v>0.99960000000000004</v>
      </c>
      <c r="E2770" s="2" t="s">
        <v>916</v>
      </c>
    </row>
    <row r="2771" spans="1:5" ht="20.25" customHeight="1" x14ac:dyDescent="0.15">
      <c r="A2771" s="2" t="s">
        <v>4899</v>
      </c>
      <c r="B2771" s="2" t="s">
        <v>4900</v>
      </c>
      <c r="C2771" s="2">
        <v>0.56999999999999995</v>
      </c>
      <c r="D2771" s="2">
        <v>0.70789999999999997</v>
      </c>
      <c r="E2771" s="2" t="s">
        <v>385</v>
      </c>
    </row>
    <row r="2772" spans="1:5" ht="20.25" customHeight="1" x14ac:dyDescent="0.15">
      <c r="A2772" s="2" t="s">
        <v>5453</v>
      </c>
      <c r="B2772" s="2" t="s">
        <v>5454</v>
      </c>
      <c r="C2772" s="2">
        <v>0.56999999999999995</v>
      </c>
      <c r="D2772" s="2">
        <v>0.6371</v>
      </c>
      <c r="E2772" s="2" t="s">
        <v>92</v>
      </c>
    </row>
    <row r="2773" spans="1:5" ht="20.25" customHeight="1" x14ac:dyDescent="0.15">
      <c r="A2773" s="2" t="s">
        <v>6624</v>
      </c>
      <c r="B2773" s="2" t="s">
        <v>6625</v>
      </c>
      <c r="C2773" s="2">
        <v>0.56999999999999995</v>
      </c>
      <c r="D2773" s="2">
        <v>0.24129999999999999</v>
      </c>
      <c r="E2773" s="2" t="s">
        <v>667</v>
      </c>
    </row>
    <row r="2774" spans="1:5" ht="20.25" customHeight="1" x14ac:dyDescent="0.15">
      <c r="A2774" s="2" t="s">
        <v>7363</v>
      </c>
      <c r="B2774" s="2" t="s">
        <v>7364</v>
      </c>
      <c r="C2774" s="2">
        <v>0.56999999999999995</v>
      </c>
      <c r="D2774" s="2">
        <v>2.4986000000000002</v>
      </c>
      <c r="E2774" s="2" t="s">
        <v>713</v>
      </c>
    </row>
    <row r="2775" spans="1:5" ht="20.25" customHeight="1" x14ac:dyDescent="0.15">
      <c r="A2775" s="2" t="s">
        <v>7419</v>
      </c>
      <c r="B2775" s="2" t="s">
        <v>7420</v>
      </c>
      <c r="C2775" s="2">
        <v>0.56999999999999995</v>
      </c>
      <c r="D2775" s="2">
        <v>1.8019000000000001</v>
      </c>
      <c r="E2775" s="2" t="s">
        <v>421</v>
      </c>
    </row>
    <row r="2776" spans="1:5" ht="20.25" customHeight="1" x14ac:dyDescent="0.15">
      <c r="A2776" s="2" t="s">
        <v>7525</v>
      </c>
      <c r="B2776" s="2" t="s">
        <v>7526</v>
      </c>
      <c r="C2776" s="2">
        <v>0.56999999999999995</v>
      </c>
      <c r="D2776" s="2">
        <v>2.9361999999999999</v>
      </c>
      <c r="E2776" s="2" t="s">
        <v>1041</v>
      </c>
    </row>
    <row r="2777" spans="1:5" ht="20.25" customHeight="1" x14ac:dyDescent="0.15">
      <c r="A2777" s="2" t="s">
        <v>997</v>
      </c>
      <c r="B2777" s="2" t="s">
        <v>998</v>
      </c>
      <c r="C2777" s="2">
        <v>0.56000000000000005</v>
      </c>
      <c r="D2777" s="2">
        <v>1.1717</v>
      </c>
      <c r="E2777" s="2" t="s">
        <v>89</v>
      </c>
    </row>
    <row r="2778" spans="1:5" ht="20.25" customHeight="1" x14ac:dyDescent="0.15">
      <c r="A2778" s="2" t="s">
        <v>2544</v>
      </c>
      <c r="B2778" s="2" t="s">
        <v>2545</v>
      </c>
      <c r="C2778" s="2">
        <v>0.56000000000000005</v>
      </c>
      <c r="D2778" s="2">
        <v>16.577500000000001</v>
      </c>
      <c r="E2778" s="2" t="s">
        <v>260</v>
      </c>
    </row>
    <row r="2779" spans="1:5" ht="20.25" customHeight="1" x14ac:dyDescent="0.15">
      <c r="A2779" s="2" t="s">
        <v>3935</v>
      </c>
      <c r="B2779" s="2" t="s">
        <v>3936</v>
      </c>
      <c r="C2779" s="2">
        <v>0.56000000000000005</v>
      </c>
      <c r="D2779" s="2">
        <v>4.2839</v>
      </c>
      <c r="E2779" s="2" t="s">
        <v>690</v>
      </c>
    </row>
    <row r="2780" spans="1:5" ht="20.25" customHeight="1" x14ac:dyDescent="0.15">
      <c r="A2780" s="2" t="s">
        <v>4284</v>
      </c>
      <c r="B2780" s="2" t="s">
        <v>4285</v>
      </c>
      <c r="C2780" s="2">
        <v>0.56000000000000005</v>
      </c>
      <c r="D2780" s="2">
        <v>8.3079000000000001</v>
      </c>
      <c r="E2780" s="2" t="s">
        <v>799</v>
      </c>
    </row>
    <row r="2781" spans="1:5" ht="20.25" customHeight="1" x14ac:dyDescent="0.15">
      <c r="A2781" s="2" t="s">
        <v>4588</v>
      </c>
      <c r="B2781" s="2" t="s">
        <v>4589</v>
      </c>
      <c r="C2781" s="2">
        <v>0.56000000000000005</v>
      </c>
      <c r="D2781" s="2">
        <v>0.27900000000000003</v>
      </c>
      <c r="E2781" s="2" t="s">
        <v>1712</v>
      </c>
    </row>
    <row r="2782" spans="1:5" ht="20.25" customHeight="1" x14ac:dyDescent="0.15">
      <c r="A2782" s="2" t="s">
        <v>4710</v>
      </c>
      <c r="B2782" s="2" t="s">
        <v>4711</v>
      </c>
      <c r="C2782" s="2">
        <v>0.56000000000000005</v>
      </c>
      <c r="D2782" s="2">
        <v>0.1321</v>
      </c>
      <c r="E2782" s="2" t="s">
        <v>750</v>
      </c>
    </row>
    <row r="2783" spans="1:5" ht="20.25" customHeight="1" x14ac:dyDescent="0.15">
      <c r="A2783" s="2" t="s">
        <v>4909</v>
      </c>
      <c r="B2783" s="2" t="s">
        <v>4910</v>
      </c>
      <c r="C2783" s="2">
        <v>0.56000000000000005</v>
      </c>
      <c r="D2783" s="2">
        <v>1.8819999999999999</v>
      </c>
      <c r="E2783" s="2" t="s">
        <v>794</v>
      </c>
    </row>
    <row r="2784" spans="1:5" ht="20.25" customHeight="1" x14ac:dyDescent="0.15">
      <c r="A2784" s="2" t="s">
        <v>5188</v>
      </c>
      <c r="B2784" s="2" t="s">
        <v>5189</v>
      </c>
      <c r="C2784" s="2">
        <v>0.56000000000000005</v>
      </c>
      <c r="D2784" s="2">
        <v>1.9174</v>
      </c>
      <c r="E2784" s="2" t="s">
        <v>769</v>
      </c>
    </row>
    <row r="2785" spans="1:5" ht="20.25" customHeight="1" x14ac:dyDescent="0.15">
      <c r="A2785" s="2" t="s">
        <v>5437</v>
      </c>
      <c r="B2785" s="2" t="s">
        <v>5438</v>
      </c>
      <c r="C2785" s="2">
        <v>0.56000000000000005</v>
      </c>
      <c r="D2785" s="2">
        <v>0.30480000000000002</v>
      </c>
      <c r="E2785" s="2" t="s">
        <v>713</v>
      </c>
    </row>
    <row r="2786" spans="1:5" ht="20.25" customHeight="1" x14ac:dyDescent="0.15">
      <c r="A2786" s="2" t="s">
        <v>6891</v>
      </c>
      <c r="B2786" s="2" t="s">
        <v>6892</v>
      </c>
      <c r="C2786" s="2">
        <v>0.56000000000000005</v>
      </c>
      <c r="D2786" s="2">
        <v>5.6577999999999999</v>
      </c>
      <c r="E2786" s="2" t="s">
        <v>10</v>
      </c>
    </row>
    <row r="2787" spans="1:5" ht="20.25" customHeight="1" x14ac:dyDescent="0.15">
      <c r="A2787" s="2" t="s">
        <v>7113</v>
      </c>
      <c r="B2787" s="2" t="s">
        <v>7114</v>
      </c>
      <c r="C2787" s="2">
        <v>0.56000000000000005</v>
      </c>
      <c r="D2787" s="2">
        <v>4.1317000000000004</v>
      </c>
      <c r="E2787" s="2" t="s">
        <v>406</v>
      </c>
    </row>
    <row r="2788" spans="1:5" ht="20.25" customHeight="1" x14ac:dyDescent="0.15">
      <c r="A2788" s="2" t="s">
        <v>121</v>
      </c>
      <c r="B2788" s="2" t="s">
        <v>122</v>
      </c>
      <c r="C2788" s="2">
        <v>0.55000000000000004</v>
      </c>
      <c r="D2788" s="2">
        <v>0.77290000000000003</v>
      </c>
      <c r="E2788" s="2" t="s">
        <v>123</v>
      </c>
    </row>
    <row r="2789" spans="1:5" ht="20.25" customHeight="1" x14ac:dyDescent="0.15">
      <c r="A2789" s="2" t="s">
        <v>3853</v>
      </c>
      <c r="B2789" s="2" t="s">
        <v>3854</v>
      </c>
      <c r="C2789" s="2">
        <v>0.55000000000000004</v>
      </c>
      <c r="D2789" s="2">
        <v>0.31909999999999999</v>
      </c>
      <c r="E2789" s="2" t="s">
        <v>690</v>
      </c>
    </row>
    <row r="2790" spans="1:5" ht="20.25" customHeight="1" x14ac:dyDescent="0.15">
      <c r="A2790" s="2" t="s">
        <v>5609</v>
      </c>
      <c r="B2790" s="2" t="s">
        <v>5610</v>
      </c>
      <c r="C2790" s="2">
        <v>0.55000000000000004</v>
      </c>
      <c r="D2790" s="2">
        <v>4.2748999999999997</v>
      </c>
      <c r="E2790" s="2" t="s">
        <v>123</v>
      </c>
    </row>
    <row r="2791" spans="1:5" ht="20.25" customHeight="1" x14ac:dyDescent="0.15">
      <c r="A2791" s="2" t="s">
        <v>6580</v>
      </c>
      <c r="B2791" s="2" t="s">
        <v>6581</v>
      </c>
      <c r="C2791" s="2">
        <v>0.55000000000000004</v>
      </c>
      <c r="D2791" s="2">
        <v>0.80030000000000001</v>
      </c>
      <c r="E2791" s="2" t="s">
        <v>368</v>
      </c>
    </row>
    <row r="2792" spans="1:5" ht="20.25" customHeight="1" x14ac:dyDescent="0.15">
      <c r="A2792" s="2" t="s">
        <v>7613</v>
      </c>
      <c r="B2792" s="2" t="s">
        <v>7614</v>
      </c>
      <c r="C2792" s="2">
        <v>0.55000000000000004</v>
      </c>
      <c r="D2792" s="2">
        <v>6.5895999999999999</v>
      </c>
      <c r="E2792" s="2" t="s">
        <v>1338</v>
      </c>
    </row>
    <row r="2793" spans="1:5" ht="20.25" customHeight="1" x14ac:dyDescent="0.15">
      <c r="A2793" s="2" t="s">
        <v>7779</v>
      </c>
      <c r="B2793" s="2" t="s">
        <v>7780</v>
      </c>
      <c r="C2793" s="2">
        <v>0.55000000000000004</v>
      </c>
      <c r="D2793" s="2">
        <v>1.0034000000000001</v>
      </c>
      <c r="E2793" s="2" t="s">
        <v>220</v>
      </c>
    </row>
    <row r="2794" spans="1:5" ht="20.25" customHeight="1" x14ac:dyDescent="0.15">
      <c r="A2794" s="2" t="s">
        <v>6496</v>
      </c>
      <c r="B2794" s="2" t="s">
        <v>6497</v>
      </c>
      <c r="C2794" s="2">
        <v>0.54500000000000004</v>
      </c>
      <c r="D2794" s="2">
        <v>4.9588000000000001</v>
      </c>
      <c r="E2794" s="2" t="s">
        <v>260</v>
      </c>
    </row>
    <row r="2795" spans="1:5" ht="20.25" customHeight="1" x14ac:dyDescent="0.15">
      <c r="A2795" s="2" t="s">
        <v>1316</v>
      </c>
      <c r="B2795" s="2" t="s">
        <v>1317</v>
      </c>
      <c r="C2795" s="2">
        <v>0.54</v>
      </c>
      <c r="D2795" s="2">
        <v>4.1380999999999997</v>
      </c>
      <c r="E2795" s="2" t="s">
        <v>299</v>
      </c>
    </row>
    <row r="2796" spans="1:5" ht="20.25" customHeight="1" x14ac:dyDescent="0.15">
      <c r="A2796" s="2" t="s">
        <v>2290</v>
      </c>
      <c r="B2796" s="2" t="s">
        <v>2291</v>
      </c>
      <c r="C2796" s="2">
        <v>0.54</v>
      </c>
      <c r="D2796" s="2">
        <v>2.1231</v>
      </c>
      <c r="E2796" s="2" t="s">
        <v>1224</v>
      </c>
    </row>
    <row r="2797" spans="1:5" ht="20.25" customHeight="1" x14ac:dyDescent="0.15">
      <c r="A2797" s="2" t="s">
        <v>3553</v>
      </c>
      <c r="B2797" s="2" t="s">
        <v>3554</v>
      </c>
      <c r="C2797" s="2">
        <v>0.54</v>
      </c>
      <c r="D2797" s="2">
        <v>185.07640000000001</v>
      </c>
      <c r="E2797" s="2" t="s">
        <v>3053</v>
      </c>
    </row>
    <row r="2798" spans="1:5" ht="20.25" customHeight="1" x14ac:dyDescent="0.15">
      <c r="A2798" s="2" t="s">
        <v>4889</v>
      </c>
      <c r="B2798" s="2" t="s">
        <v>4890</v>
      </c>
      <c r="C2798" s="2">
        <v>0.54</v>
      </c>
      <c r="D2798" s="2">
        <v>13.3497</v>
      </c>
      <c r="E2798" s="2" t="s">
        <v>670</v>
      </c>
    </row>
    <row r="2799" spans="1:5" ht="20.25" customHeight="1" x14ac:dyDescent="0.15">
      <c r="A2799" s="2" t="s">
        <v>5395</v>
      </c>
      <c r="B2799" s="2" t="s">
        <v>5396</v>
      </c>
      <c r="C2799" s="2">
        <v>0.54</v>
      </c>
      <c r="D2799" s="2">
        <v>50.517800000000001</v>
      </c>
      <c r="E2799" s="2" t="s">
        <v>1243</v>
      </c>
    </row>
    <row r="2800" spans="1:5" ht="20.25" customHeight="1" x14ac:dyDescent="0.15">
      <c r="A2800" s="2" t="s">
        <v>7111</v>
      </c>
      <c r="B2800" s="2" t="s">
        <v>7112</v>
      </c>
      <c r="C2800" s="2">
        <v>0.54</v>
      </c>
      <c r="D2800" s="2">
        <v>0.4864</v>
      </c>
      <c r="E2800" s="2" t="s">
        <v>1056</v>
      </c>
    </row>
    <row r="2801" spans="1:5" ht="20.25" customHeight="1" x14ac:dyDescent="0.15">
      <c r="A2801" s="2" t="s">
        <v>7117</v>
      </c>
      <c r="B2801" s="2" t="s">
        <v>7118</v>
      </c>
      <c r="C2801" s="2">
        <v>0.54</v>
      </c>
      <c r="D2801" s="2">
        <v>0.56689999999999996</v>
      </c>
      <c r="E2801" s="2" t="s">
        <v>1969</v>
      </c>
    </row>
    <row r="2802" spans="1:5" ht="20.25" customHeight="1" x14ac:dyDescent="0.15">
      <c r="A2802" s="2" t="s">
        <v>7335</v>
      </c>
      <c r="B2802" s="2" t="s">
        <v>7336</v>
      </c>
      <c r="C2802" s="2">
        <v>0.54</v>
      </c>
      <c r="D2802" s="2">
        <v>51.244999999999997</v>
      </c>
      <c r="E2802" s="2" t="s">
        <v>1593</v>
      </c>
    </row>
    <row r="2803" spans="1:5" ht="20.25" customHeight="1" x14ac:dyDescent="0.15">
      <c r="A2803" s="2" t="s">
        <v>8191</v>
      </c>
      <c r="B2803" s="2" t="s">
        <v>8192</v>
      </c>
      <c r="C2803" s="2">
        <v>0.54</v>
      </c>
      <c r="D2803" s="2">
        <v>15.4777</v>
      </c>
      <c r="E2803" s="2" t="s">
        <v>2898</v>
      </c>
    </row>
    <row r="2804" spans="1:5" ht="20.25" customHeight="1" x14ac:dyDescent="0.15">
      <c r="A2804" s="2" t="s">
        <v>293</v>
      </c>
      <c r="B2804" s="2" t="s">
        <v>294</v>
      </c>
      <c r="C2804" s="2">
        <v>0.53</v>
      </c>
      <c r="D2804" s="2">
        <v>0.22470000000000001</v>
      </c>
      <c r="E2804" s="2" t="s">
        <v>152</v>
      </c>
    </row>
    <row r="2805" spans="1:5" ht="20.25" customHeight="1" x14ac:dyDescent="0.15">
      <c r="A2805" s="2" t="s">
        <v>1077</v>
      </c>
      <c r="B2805" s="2" t="s">
        <v>1078</v>
      </c>
      <c r="C2805" s="2">
        <v>0.53</v>
      </c>
      <c r="D2805" s="2">
        <v>1.9800000000000002E-2</v>
      </c>
      <c r="E2805" s="2" t="s">
        <v>152</v>
      </c>
    </row>
    <row r="2806" spans="1:5" ht="20.25" customHeight="1" x14ac:dyDescent="0.15">
      <c r="A2806" s="2" t="s">
        <v>1568</v>
      </c>
      <c r="B2806" s="2" t="s">
        <v>1569</v>
      </c>
      <c r="C2806" s="2">
        <v>0.53</v>
      </c>
      <c r="D2806" s="2">
        <v>0.88229999999999997</v>
      </c>
      <c r="E2806" s="2" t="s">
        <v>1570</v>
      </c>
    </row>
    <row r="2807" spans="1:5" ht="20.25" customHeight="1" x14ac:dyDescent="0.15">
      <c r="A2807" s="2" t="s">
        <v>1760</v>
      </c>
      <c r="B2807" s="2" t="s">
        <v>1761</v>
      </c>
      <c r="C2807" s="2">
        <v>0.53</v>
      </c>
      <c r="D2807" s="2">
        <v>0.56210000000000004</v>
      </c>
      <c r="E2807" s="2" t="s">
        <v>704</v>
      </c>
    </row>
    <row r="2808" spans="1:5" ht="20.25" customHeight="1" x14ac:dyDescent="0.15">
      <c r="A2808" s="2" t="s">
        <v>2064</v>
      </c>
      <c r="B2808" s="2" t="s">
        <v>2065</v>
      </c>
      <c r="C2808" s="2">
        <v>0.53</v>
      </c>
      <c r="D2808" s="2">
        <v>8.1299999999999997E-2</v>
      </c>
      <c r="E2808" s="2" t="s">
        <v>699</v>
      </c>
    </row>
    <row r="2809" spans="1:5" ht="20.25" customHeight="1" x14ac:dyDescent="0.15">
      <c r="A2809" s="2" t="s">
        <v>3086</v>
      </c>
      <c r="B2809" s="2" t="s">
        <v>3087</v>
      </c>
      <c r="C2809" s="2">
        <v>0.53</v>
      </c>
      <c r="D2809" s="2">
        <v>2.5853999999999999</v>
      </c>
      <c r="E2809" s="2" t="s">
        <v>201</v>
      </c>
    </row>
    <row r="2810" spans="1:5" ht="20.25" customHeight="1" x14ac:dyDescent="0.15">
      <c r="A2810" s="2" t="s">
        <v>3272</v>
      </c>
      <c r="B2810" s="2" t="s">
        <v>3273</v>
      </c>
      <c r="C2810" s="2">
        <v>0.53</v>
      </c>
      <c r="D2810" s="2">
        <v>0.1797</v>
      </c>
      <c r="E2810" s="2" t="s">
        <v>1873</v>
      </c>
    </row>
    <row r="2811" spans="1:5" ht="20.25" customHeight="1" x14ac:dyDescent="0.15">
      <c r="A2811" s="2" t="s">
        <v>5513</v>
      </c>
      <c r="B2811" s="2" t="s">
        <v>5514</v>
      </c>
      <c r="C2811" s="2">
        <v>0.53</v>
      </c>
      <c r="D2811" s="2">
        <v>3.1166999999999998</v>
      </c>
      <c r="E2811" s="2" t="s">
        <v>2898</v>
      </c>
    </row>
    <row r="2812" spans="1:5" ht="20.25" customHeight="1" x14ac:dyDescent="0.15">
      <c r="A2812" s="2" t="s">
        <v>5998</v>
      </c>
      <c r="B2812" s="2" t="s">
        <v>5999</v>
      </c>
      <c r="C2812" s="2">
        <v>0.53</v>
      </c>
      <c r="D2812" s="2">
        <v>4.8594999999999997</v>
      </c>
      <c r="E2812" s="2" t="s">
        <v>44</v>
      </c>
    </row>
    <row r="2813" spans="1:5" ht="20.25" customHeight="1" x14ac:dyDescent="0.15">
      <c r="A2813" s="2" t="s">
        <v>6032</v>
      </c>
      <c r="B2813" s="2" t="s">
        <v>6033</v>
      </c>
      <c r="C2813" s="2">
        <v>0.53</v>
      </c>
      <c r="D2813" s="2">
        <v>2.4262000000000001</v>
      </c>
      <c r="E2813" s="2" t="s">
        <v>201</v>
      </c>
    </row>
    <row r="2814" spans="1:5" ht="20.25" customHeight="1" x14ac:dyDescent="0.15">
      <c r="A2814" s="2" t="s">
        <v>6228</v>
      </c>
      <c r="B2814" s="2" t="s">
        <v>6229</v>
      </c>
      <c r="C2814" s="2">
        <v>0.53</v>
      </c>
      <c r="D2814" s="2">
        <v>154.39160000000001</v>
      </c>
      <c r="E2814" s="2" t="s">
        <v>784</v>
      </c>
    </row>
    <row r="2815" spans="1:5" ht="20.25" customHeight="1" x14ac:dyDescent="0.15">
      <c r="A2815" s="2" t="s">
        <v>6368</v>
      </c>
      <c r="B2815" s="2" t="s">
        <v>6369</v>
      </c>
      <c r="C2815" s="2">
        <v>0.53</v>
      </c>
      <c r="D2815" s="2">
        <v>10.029</v>
      </c>
      <c r="E2815" s="2" t="s">
        <v>44</v>
      </c>
    </row>
    <row r="2816" spans="1:5" ht="20.25" customHeight="1" x14ac:dyDescent="0.15">
      <c r="A2816" s="2" t="s">
        <v>6849</v>
      </c>
      <c r="B2816" s="2" t="s">
        <v>6850</v>
      </c>
      <c r="C2816" s="2">
        <v>0.53</v>
      </c>
      <c r="D2816" s="2">
        <v>3.8203999999999998</v>
      </c>
      <c r="E2816" s="2" t="s">
        <v>704</v>
      </c>
    </row>
    <row r="2817" spans="1:5" ht="20.25" customHeight="1" x14ac:dyDescent="0.15">
      <c r="A2817" s="2" t="s">
        <v>7041</v>
      </c>
      <c r="B2817" s="2" t="s">
        <v>7042</v>
      </c>
      <c r="C2817" s="2">
        <v>0.53</v>
      </c>
      <c r="D2817" s="2">
        <v>9.1353000000000009</v>
      </c>
      <c r="E2817" s="2" t="s">
        <v>1820</v>
      </c>
    </row>
    <row r="2818" spans="1:5" ht="20.25" customHeight="1" x14ac:dyDescent="0.15">
      <c r="A2818" s="2" t="s">
        <v>8121</v>
      </c>
      <c r="B2818" s="2" t="s">
        <v>8122</v>
      </c>
      <c r="C2818" s="2">
        <v>0.53</v>
      </c>
      <c r="D2818" s="2">
        <v>0.29520000000000002</v>
      </c>
      <c r="E2818" s="2" t="s">
        <v>38</v>
      </c>
    </row>
    <row r="2819" spans="1:5" ht="20.25" customHeight="1" x14ac:dyDescent="0.15">
      <c r="A2819" s="2" t="s">
        <v>8125</v>
      </c>
      <c r="B2819" s="2" t="s">
        <v>8126</v>
      </c>
      <c r="C2819" s="2">
        <v>0.53</v>
      </c>
      <c r="D2819" s="2">
        <v>0.92530000000000001</v>
      </c>
      <c r="E2819" s="2" t="s">
        <v>2724</v>
      </c>
    </row>
    <row r="2820" spans="1:5" ht="20.25" customHeight="1" x14ac:dyDescent="0.15">
      <c r="A2820" s="2" t="s">
        <v>8317</v>
      </c>
      <c r="B2820" s="2" t="s">
        <v>8318</v>
      </c>
      <c r="C2820" s="2">
        <v>0.53</v>
      </c>
      <c r="D2820" s="2">
        <v>5.9112</v>
      </c>
      <c r="E2820" s="2" t="s">
        <v>140</v>
      </c>
    </row>
    <row r="2821" spans="1:5" ht="20.25" customHeight="1" x14ac:dyDescent="0.15">
      <c r="A2821" s="2" t="s">
        <v>991</v>
      </c>
      <c r="B2821" s="2" t="s">
        <v>992</v>
      </c>
      <c r="C2821" s="2">
        <v>0.52</v>
      </c>
      <c r="D2821" s="2">
        <v>4.4762000000000004</v>
      </c>
      <c r="E2821" s="2" t="s">
        <v>123</v>
      </c>
    </row>
    <row r="2822" spans="1:5" ht="20.25" customHeight="1" x14ac:dyDescent="0.15">
      <c r="A2822" s="2" t="s">
        <v>1229</v>
      </c>
      <c r="B2822" s="2" t="s">
        <v>1230</v>
      </c>
      <c r="C2822" s="2">
        <v>0.52</v>
      </c>
      <c r="D2822" s="2">
        <v>0.1158</v>
      </c>
      <c r="E2822" s="2" t="s">
        <v>322</v>
      </c>
    </row>
    <row r="2823" spans="1:5" ht="20.25" customHeight="1" x14ac:dyDescent="0.15">
      <c r="A2823" s="2" t="s">
        <v>2198</v>
      </c>
      <c r="B2823" s="2" t="s">
        <v>2199</v>
      </c>
      <c r="C2823" s="2">
        <v>0.52</v>
      </c>
      <c r="D2823" s="2">
        <v>1.3746</v>
      </c>
      <c r="E2823" s="2" t="s">
        <v>89</v>
      </c>
    </row>
    <row r="2824" spans="1:5" ht="20.25" customHeight="1" x14ac:dyDescent="0.15">
      <c r="A2824" s="2" t="s">
        <v>2534</v>
      </c>
      <c r="B2824" s="2" t="s">
        <v>2535</v>
      </c>
      <c r="C2824" s="2">
        <v>0.52</v>
      </c>
      <c r="D2824" s="2">
        <v>1.7407999999999999</v>
      </c>
      <c r="E2824" s="2" t="s">
        <v>347</v>
      </c>
    </row>
    <row r="2825" spans="1:5" ht="20.25" customHeight="1" x14ac:dyDescent="0.15">
      <c r="A2825" s="2" t="s">
        <v>2739</v>
      </c>
      <c r="B2825" s="2" t="s">
        <v>2740</v>
      </c>
      <c r="C2825" s="2">
        <v>0.52</v>
      </c>
      <c r="D2825" s="2">
        <v>1.3605</v>
      </c>
      <c r="E2825" s="2" t="s">
        <v>220</v>
      </c>
    </row>
    <row r="2826" spans="1:5" ht="20.25" customHeight="1" x14ac:dyDescent="0.15">
      <c r="A2826" s="2" t="s">
        <v>2799</v>
      </c>
      <c r="B2826" s="2" t="s">
        <v>2800</v>
      </c>
      <c r="C2826" s="2">
        <v>0.52</v>
      </c>
      <c r="D2826" s="2">
        <v>0.52549999999999997</v>
      </c>
      <c r="E2826" s="2" t="s">
        <v>368</v>
      </c>
    </row>
    <row r="2827" spans="1:5" ht="20.25" customHeight="1" x14ac:dyDescent="0.15">
      <c r="A2827" s="2" t="s">
        <v>2931</v>
      </c>
      <c r="B2827" s="2" t="s">
        <v>2932</v>
      </c>
      <c r="C2827" s="2">
        <v>0.52</v>
      </c>
      <c r="D2827" s="2">
        <v>3.3399999999999999E-2</v>
      </c>
      <c r="E2827" s="2" t="s">
        <v>152</v>
      </c>
    </row>
    <row r="2828" spans="1:5" ht="20.25" customHeight="1" x14ac:dyDescent="0.15">
      <c r="A2828" s="2" t="s">
        <v>3103</v>
      </c>
      <c r="B2828" s="2" t="s">
        <v>3104</v>
      </c>
      <c r="C2828" s="2">
        <v>0.52</v>
      </c>
      <c r="D2828" s="2">
        <v>1.3471</v>
      </c>
      <c r="E2828" s="2" t="s">
        <v>2930</v>
      </c>
    </row>
    <row r="2829" spans="1:5" ht="20.25" customHeight="1" x14ac:dyDescent="0.15">
      <c r="A2829" s="2" t="s">
        <v>3459</v>
      </c>
      <c r="B2829" s="2" t="s">
        <v>3460</v>
      </c>
      <c r="C2829" s="2">
        <v>0.52</v>
      </c>
      <c r="D2829" s="2">
        <v>9.8276000000000003</v>
      </c>
      <c r="E2829" s="2" t="s">
        <v>21</v>
      </c>
    </row>
    <row r="2830" spans="1:5" ht="20.25" customHeight="1" x14ac:dyDescent="0.15">
      <c r="A2830" s="2" t="s">
        <v>3555</v>
      </c>
      <c r="B2830" s="2" t="s">
        <v>3556</v>
      </c>
      <c r="C2830" s="2">
        <v>0.52</v>
      </c>
      <c r="D2830" s="2">
        <v>1.3622000000000001</v>
      </c>
      <c r="E2830" s="2" t="s">
        <v>44</v>
      </c>
    </row>
    <row r="2831" spans="1:5" ht="20.25" customHeight="1" x14ac:dyDescent="0.15">
      <c r="A2831" s="2" t="s">
        <v>5146</v>
      </c>
      <c r="B2831" s="2" t="s">
        <v>5147</v>
      </c>
      <c r="C2831" s="2">
        <v>0.52</v>
      </c>
      <c r="D2831" s="2">
        <v>0.62609999999999999</v>
      </c>
      <c r="E2831" s="2" t="s">
        <v>1243</v>
      </c>
    </row>
    <row r="2832" spans="1:5" ht="20.25" customHeight="1" x14ac:dyDescent="0.15">
      <c r="A2832" s="2" t="s">
        <v>6130</v>
      </c>
      <c r="B2832" s="2" t="s">
        <v>6131</v>
      </c>
      <c r="C2832" s="2">
        <v>0.52</v>
      </c>
      <c r="D2832" s="2">
        <v>7.5843999999999996</v>
      </c>
      <c r="E2832" s="2" t="s">
        <v>371</v>
      </c>
    </row>
    <row r="2833" spans="1:5" ht="20.25" customHeight="1" x14ac:dyDescent="0.15">
      <c r="A2833" s="2" t="s">
        <v>6440</v>
      </c>
      <c r="B2833" s="2" t="s">
        <v>6441</v>
      </c>
      <c r="C2833" s="2">
        <v>0.52</v>
      </c>
      <c r="D2833" s="2">
        <v>0.39560000000000001</v>
      </c>
      <c r="E2833" s="2" t="s">
        <v>55</v>
      </c>
    </row>
    <row r="2834" spans="1:5" ht="20.25" customHeight="1" x14ac:dyDescent="0.15">
      <c r="A2834" s="2" t="s">
        <v>6570</v>
      </c>
      <c r="B2834" s="2" t="s">
        <v>6571</v>
      </c>
      <c r="C2834" s="2">
        <v>0.52</v>
      </c>
      <c r="D2834" s="2">
        <v>21.6814</v>
      </c>
      <c r="E2834" s="2" t="s">
        <v>2063</v>
      </c>
    </row>
    <row r="2835" spans="1:5" ht="20.25" customHeight="1" x14ac:dyDescent="0.15">
      <c r="A2835" s="2" t="s">
        <v>8403</v>
      </c>
      <c r="B2835" s="2" t="s">
        <v>8404</v>
      </c>
      <c r="C2835" s="2">
        <v>0.52</v>
      </c>
      <c r="D2835" s="2">
        <v>0.88080000000000003</v>
      </c>
      <c r="E2835" s="2" t="s">
        <v>1158</v>
      </c>
    </row>
    <row r="2836" spans="1:5" ht="20.25" customHeight="1" x14ac:dyDescent="0.15">
      <c r="A2836" s="2" t="s">
        <v>47</v>
      </c>
      <c r="B2836" s="2" t="s">
        <v>48</v>
      </c>
      <c r="C2836" s="2">
        <v>0.51</v>
      </c>
      <c r="D2836" s="2">
        <v>0.2792</v>
      </c>
      <c r="E2836" s="2" t="s">
        <v>49</v>
      </c>
    </row>
    <row r="2837" spans="1:5" ht="20.25" customHeight="1" x14ac:dyDescent="0.15">
      <c r="A2837" s="2" t="s">
        <v>1123</v>
      </c>
      <c r="B2837" s="2" t="s">
        <v>1124</v>
      </c>
      <c r="C2837" s="2">
        <v>0.51</v>
      </c>
      <c r="D2837" s="2">
        <v>0.6744</v>
      </c>
      <c r="E2837" s="2" t="s">
        <v>146</v>
      </c>
    </row>
    <row r="2838" spans="1:5" ht="20.25" customHeight="1" x14ac:dyDescent="0.15">
      <c r="A2838" s="2" t="s">
        <v>1300</v>
      </c>
      <c r="B2838" s="2" t="s">
        <v>1301</v>
      </c>
      <c r="C2838" s="2">
        <v>0.51</v>
      </c>
      <c r="D2838" s="2">
        <v>1.24</v>
      </c>
      <c r="E2838" s="2" t="s">
        <v>225</v>
      </c>
    </row>
    <row r="2839" spans="1:5" ht="20.25" customHeight="1" x14ac:dyDescent="0.15">
      <c r="A2839" s="2" t="s">
        <v>1371</v>
      </c>
      <c r="B2839" s="2" t="s">
        <v>1372</v>
      </c>
      <c r="C2839" s="2">
        <v>0.51</v>
      </c>
      <c r="D2839" s="2">
        <v>1.9683999999999999</v>
      </c>
      <c r="E2839" s="2" t="s">
        <v>89</v>
      </c>
    </row>
    <row r="2840" spans="1:5" ht="20.25" customHeight="1" x14ac:dyDescent="0.15">
      <c r="A2840" s="2" t="s">
        <v>1437</v>
      </c>
      <c r="B2840" s="2" t="s">
        <v>1438</v>
      </c>
      <c r="C2840" s="2">
        <v>0.51</v>
      </c>
      <c r="D2840" s="2">
        <v>0.40039999999999998</v>
      </c>
      <c r="E2840" s="2" t="s">
        <v>220</v>
      </c>
    </row>
    <row r="2841" spans="1:5" ht="20.25" customHeight="1" x14ac:dyDescent="0.15">
      <c r="A2841" s="2" t="s">
        <v>1526</v>
      </c>
      <c r="B2841" s="2" t="s">
        <v>1527</v>
      </c>
      <c r="C2841" s="2">
        <v>0.51</v>
      </c>
      <c r="D2841" s="2">
        <v>39.0946</v>
      </c>
      <c r="E2841" s="2" t="s">
        <v>1528</v>
      </c>
    </row>
    <row r="2842" spans="1:5" ht="20.25" customHeight="1" x14ac:dyDescent="0.15">
      <c r="A2842" s="2" t="s">
        <v>1808</v>
      </c>
      <c r="B2842" s="2" t="s">
        <v>1809</v>
      </c>
      <c r="C2842" s="2">
        <v>0.51</v>
      </c>
      <c r="D2842" s="2">
        <v>0.2034</v>
      </c>
      <c r="E2842" s="2" t="s">
        <v>750</v>
      </c>
    </row>
    <row r="2843" spans="1:5" ht="20.25" customHeight="1" x14ac:dyDescent="0.15">
      <c r="A2843" s="2" t="s">
        <v>1909</v>
      </c>
      <c r="B2843" s="2" t="s">
        <v>1910</v>
      </c>
      <c r="C2843" s="2">
        <v>0.51</v>
      </c>
      <c r="D2843" s="2">
        <v>0.66679999999999995</v>
      </c>
      <c r="E2843" s="2" t="s">
        <v>188</v>
      </c>
    </row>
    <row r="2844" spans="1:5" ht="20.25" customHeight="1" x14ac:dyDescent="0.15">
      <c r="A2844" s="2" t="s">
        <v>1967</v>
      </c>
      <c r="B2844" s="2" t="s">
        <v>1968</v>
      </c>
      <c r="C2844" s="2">
        <v>0.51</v>
      </c>
      <c r="D2844" s="2">
        <v>0.69379999999999997</v>
      </c>
      <c r="E2844" s="2" t="s">
        <v>1969</v>
      </c>
    </row>
    <row r="2845" spans="1:5" ht="20.25" customHeight="1" x14ac:dyDescent="0.15">
      <c r="A2845" s="2" t="s">
        <v>3054</v>
      </c>
      <c r="B2845" s="2" t="s">
        <v>3055</v>
      </c>
      <c r="C2845" s="2">
        <v>0.51</v>
      </c>
      <c r="D2845" s="2">
        <v>0.5857</v>
      </c>
      <c r="E2845" s="2" t="s">
        <v>2038</v>
      </c>
    </row>
    <row r="2846" spans="1:5" ht="20.25" customHeight="1" x14ac:dyDescent="0.15">
      <c r="A2846" s="2" t="s">
        <v>4508</v>
      </c>
      <c r="B2846" s="2" t="s">
        <v>4509</v>
      </c>
      <c r="C2846" s="2">
        <v>0.51</v>
      </c>
      <c r="D2846" s="2">
        <v>3.0484</v>
      </c>
      <c r="E2846" s="2" t="s">
        <v>574</v>
      </c>
    </row>
    <row r="2847" spans="1:5" ht="20.25" customHeight="1" x14ac:dyDescent="0.15">
      <c r="A2847" s="2" t="s">
        <v>5599</v>
      </c>
      <c r="B2847" s="2" t="s">
        <v>5600</v>
      </c>
      <c r="C2847" s="2">
        <v>0.51</v>
      </c>
      <c r="D2847" s="2">
        <v>4.0735000000000001</v>
      </c>
      <c r="E2847" s="2" t="s">
        <v>245</v>
      </c>
    </row>
    <row r="2848" spans="1:5" ht="20.25" customHeight="1" x14ac:dyDescent="0.15">
      <c r="A2848" s="2" t="s">
        <v>6234</v>
      </c>
      <c r="B2848" s="2" t="s">
        <v>6235</v>
      </c>
      <c r="C2848" s="2">
        <v>0.51</v>
      </c>
      <c r="D2848" s="2">
        <v>1.0883</v>
      </c>
      <c r="E2848" s="2" t="s">
        <v>368</v>
      </c>
    </row>
    <row r="2849" spans="1:5" ht="20.25" customHeight="1" x14ac:dyDescent="0.15">
      <c r="A2849" s="2" t="s">
        <v>6927</v>
      </c>
      <c r="B2849" s="2" t="s">
        <v>6928</v>
      </c>
      <c r="C2849" s="2">
        <v>0.51</v>
      </c>
      <c r="D2849" s="2">
        <v>0.1739</v>
      </c>
      <c r="E2849" s="2" t="s">
        <v>418</v>
      </c>
    </row>
    <row r="2850" spans="1:5" ht="20.25" customHeight="1" x14ac:dyDescent="0.15">
      <c r="A2850" s="2" t="s">
        <v>7007</v>
      </c>
      <c r="B2850" s="2" t="s">
        <v>7008</v>
      </c>
      <c r="C2850" s="2">
        <v>0.51</v>
      </c>
      <c r="D2850" s="2">
        <v>1.8726</v>
      </c>
      <c r="E2850" s="2" t="s">
        <v>459</v>
      </c>
    </row>
    <row r="2851" spans="1:5" ht="20.25" customHeight="1" x14ac:dyDescent="0.15">
      <c r="A2851" s="2" t="s">
        <v>7903</v>
      </c>
      <c r="B2851" s="2" t="s">
        <v>7904</v>
      </c>
      <c r="C2851" s="2">
        <v>0.51</v>
      </c>
      <c r="D2851" s="2">
        <v>19.321400000000001</v>
      </c>
      <c r="E2851" s="2" t="s">
        <v>3249</v>
      </c>
    </row>
    <row r="2852" spans="1:5" ht="20.25" customHeight="1" x14ac:dyDescent="0.15">
      <c r="A2852" s="2" t="s">
        <v>7957</v>
      </c>
      <c r="B2852" s="2" t="s">
        <v>7958</v>
      </c>
      <c r="C2852" s="2">
        <v>0.51</v>
      </c>
      <c r="D2852" s="2">
        <v>2.7555000000000001</v>
      </c>
      <c r="E2852" s="2" t="s">
        <v>897</v>
      </c>
    </row>
    <row r="2853" spans="1:5" ht="20.25" customHeight="1" x14ac:dyDescent="0.15">
      <c r="A2853" s="2" t="s">
        <v>7967</v>
      </c>
      <c r="B2853" s="2" t="s">
        <v>7968</v>
      </c>
      <c r="C2853" s="2">
        <v>0.51</v>
      </c>
      <c r="D2853" s="2">
        <v>1.3985000000000001</v>
      </c>
      <c r="E2853" s="2" t="s">
        <v>2063</v>
      </c>
    </row>
    <row r="2854" spans="1:5" ht="20.25" customHeight="1" x14ac:dyDescent="0.15">
      <c r="A2854" s="2" t="s">
        <v>8027</v>
      </c>
      <c r="B2854" s="2" t="s">
        <v>8028</v>
      </c>
      <c r="C2854" s="2">
        <v>0.51</v>
      </c>
      <c r="D2854" s="2">
        <v>2.6036999999999999</v>
      </c>
      <c r="E2854" s="2" t="s">
        <v>784</v>
      </c>
    </row>
    <row r="2855" spans="1:5" ht="20.25" customHeight="1" x14ac:dyDescent="0.15">
      <c r="A2855" s="2" t="s">
        <v>6268</v>
      </c>
      <c r="B2855" s="2" t="s">
        <v>6269</v>
      </c>
      <c r="C2855" s="2">
        <v>0.505</v>
      </c>
      <c r="D2855" s="2">
        <v>3.1511999999999998</v>
      </c>
      <c r="E2855" s="2" t="s">
        <v>787</v>
      </c>
    </row>
    <row r="2856" spans="1:5" ht="20.25" customHeight="1" x14ac:dyDescent="0.15">
      <c r="A2856" s="2" t="s">
        <v>2103</v>
      </c>
      <c r="B2856" s="2" t="s">
        <v>2104</v>
      </c>
      <c r="C2856" s="2">
        <v>0.5</v>
      </c>
      <c r="D2856" s="2">
        <v>1.2724</v>
      </c>
      <c r="E2856" s="2" t="s">
        <v>81</v>
      </c>
    </row>
    <row r="2857" spans="1:5" ht="20.25" customHeight="1" x14ac:dyDescent="0.15">
      <c r="A2857" s="2" t="s">
        <v>2358</v>
      </c>
      <c r="B2857" s="2" t="s">
        <v>2359</v>
      </c>
      <c r="C2857" s="2">
        <v>0.5</v>
      </c>
      <c r="D2857" s="2">
        <v>1.3303</v>
      </c>
      <c r="E2857" s="2" t="s">
        <v>220</v>
      </c>
    </row>
    <row r="2858" spans="1:5" ht="20.25" customHeight="1" x14ac:dyDescent="0.15">
      <c r="A2858" s="2" t="s">
        <v>2592</v>
      </c>
      <c r="B2858" s="2" t="s">
        <v>2593</v>
      </c>
      <c r="C2858" s="2">
        <v>0.5</v>
      </c>
      <c r="D2858" s="2">
        <v>0.4103</v>
      </c>
      <c r="E2858" s="2" t="s">
        <v>1282</v>
      </c>
    </row>
    <row r="2859" spans="1:5" ht="20.25" customHeight="1" x14ac:dyDescent="0.15">
      <c r="A2859" s="2" t="s">
        <v>3122</v>
      </c>
      <c r="B2859" s="2" t="s">
        <v>3123</v>
      </c>
      <c r="C2859" s="2">
        <v>0.5</v>
      </c>
      <c r="D2859" s="2">
        <v>0.28970000000000001</v>
      </c>
      <c r="E2859" s="2" t="s">
        <v>120</v>
      </c>
    </row>
    <row r="2860" spans="1:5" ht="20.25" customHeight="1" x14ac:dyDescent="0.15">
      <c r="A2860" s="2" t="s">
        <v>3996</v>
      </c>
      <c r="B2860" s="2" t="s">
        <v>3997</v>
      </c>
      <c r="C2860" s="2">
        <v>0.5</v>
      </c>
      <c r="D2860" s="2">
        <v>5.7430000000000003</v>
      </c>
      <c r="E2860" s="2" t="s">
        <v>1224</v>
      </c>
    </row>
    <row r="2861" spans="1:5" ht="20.25" customHeight="1" x14ac:dyDescent="0.15">
      <c r="A2861" s="2" t="s">
        <v>4266</v>
      </c>
      <c r="B2861" s="2" t="s">
        <v>4267</v>
      </c>
      <c r="C2861" s="2">
        <v>0.5</v>
      </c>
      <c r="D2861" s="2">
        <v>297.26220000000001</v>
      </c>
      <c r="E2861" s="2" t="s">
        <v>157</v>
      </c>
    </row>
    <row r="2862" spans="1:5" ht="20.25" customHeight="1" x14ac:dyDescent="0.15">
      <c r="A2862" s="2" t="s">
        <v>4272</v>
      </c>
      <c r="B2862" s="2" t="s">
        <v>4273</v>
      </c>
      <c r="C2862" s="2">
        <v>0.5</v>
      </c>
      <c r="D2862" s="2">
        <v>2.8176999999999999</v>
      </c>
      <c r="E2862" s="2" t="s">
        <v>220</v>
      </c>
    </row>
    <row r="2863" spans="1:5" ht="20.25" customHeight="1" x14ac:dyDescent="0.15">
      <c r="A2863" s="2" t="s">
        <v>4362</v>
      </c>
      <c r="B2863" s="2" t="s">
        <v>4363</v>
      </c>
      <c r="C2863" s="2">
        <v>0.5</v>
      </c>
      <c r="D2863" s="2">
        <v>1.4517</v>
      </c>
      <c r="E2863" s="2" t="s">
        <v>220</v>
      </c>
    </row>
    <row r="2864" spans="1:5" ht="20.25" customHeight="1" x14ac:dyDescent="0.15">
      <c r="A2864" s="2" t="s">
        <v>4596</v>
      </c>
      <c r="B2864" s="2" t="s">
        <v>4597</v>
      </c>
      <c r="C2864" s="2">
        <v>0.5</v>
      </c>
      <c r="D2864" s="2">
        <v>2.1886000000000001</v>
      </c>
      <c r="E2864" s="2" t="s">
        <v>690</v>
      </c>
    </row>
    <row r="2865" spans="1:5" ht="20.25" customHeight="1" x14ac:dyDescent="0.15">
      <c r="A2865" s="2" t="s">
        <v>5116</v>
      </c>
      <c r="B2865" s="2" t="s">
        <v>5117</v>
      </c>
      <c r="C2865" s="2">
        <v>0.5</v>
      </c>
      <c r="D2865" s="2">
        <v>82.034199999999998</v>
      </c>
      <c r="E2865" s="2" t="s">
        <v>143</v>
      </c>
    </row>
    <row r="2866" spans="1:5" ht="20.25" customHeight="1" x14ac:dyDescent="0.15">
      <c r="A2866" s="2" t="s">
        <v>5748</v>
      </c>
      <c r="B2866" s="2" t="s">
        <v>5749</v>
      </c>
      <c r="C2866" s="2">
        <v>0.5</v>
      </c>
      <c r="D2866" s="2">
        <v>0.76039999999999996</v>
      </c>
      <c r="E2866" s="2" t="s">
        <v>81</v>
      </c>
    </row>
    <row r="2867" spans="1:5" ht="20.25" customHeight="1" x14ac:dyDescent="0.15">
      <c r="A2867" s="2" t="s">
        <v>5798</v>
      </c>
      <c r="B2867" s="2" t="s">
        <v>5799</v>
      </c>
      <c r="C2867" s="2">
        <v>0.5</v>
      </c>
      <c r="D2867" s="2">
        <v>40.602499999999999</v>
      </c>
      <c r="E2867" s="2" t="s">
        <v>44</v>
      </c>
    </row>
    <row r="2868" spans="1:5" ht="20.25" customHeight="1" x14ac:dyDescent="0.15">
      <c r="A2868" s="2" t="s">
        <v>6152</v>
      </c>
      <c r="B2868" s="2" t="s">
        <v>6153</v>
      </c>
      <c r="C2868" s="2">
        <v>0.5</v>
      </c>
      <c r="D2868" s="2">
        <v>0.38490000000000002</v>
      </c>
      <c r="E2868" s="2" t="s">
        <v>1282</v>
      </c>
    </row>
    <row r="2869" spans="1:5" ht="20.25" customHeight="1" x14ac:dyDescent="0.15">
      <c r="A2869" s="2" t="s">
        <v>6208</v>
      </c>
      <c r="B2869" s="2" t="s">
        <v>6209</v>
      </c>
      <c r="C2869" s="2">
        <v>0.5</v>
      </c>
      <c r="D2869" s="2">
        <v>1.4950000000000001</v>
      </c>
      <c r="E2869" s="2" t="s">
        <v>1173</v>
      </c>
    </row>
    <row r="2870" spans="1:5" ht="20.25" customHeight="1" x14ac:dyDescent="0.15">
      <c r="A2870" s="2" t="s">
        <v>6718</v>
      </c>
      <c r="B2870" s="2" t="s">
        <v>6719</v>
      </c>
      <c r="C2870" s="2">
        <v>0.5</v>
      </c>
      <c r="D2870" s="2">
        <v>6.4015000000000004</v>
      </c>
      <c r="E2870" s="2" t="s">
        <v>299</v>
      </c>
    </row>
    <row r="2871" spans="1:5" ht="20.25" customHeight="1" x14ac:dyDescent="0.15">
      <c r="A2871" s="2" t="s">
        <v>7183</v>
      </c>
      <c r="B2871" s="2" t="s">
        <v>7184</v>
      </c>
      <c r="C2871" s="2">
        <v>0.5</v>
      </c>
      <c r="D2871" s="2">
        <v>9.8193999999999999</v>
      </c>
      <c r="E2871" s="2" t="s">
        <v>403</v>
      </c>
    </row>
    <row r="2872" spans="1:5" ht="20.25" customHeight="1" x14ac:dyDescent="0.15">
      <c r="A2872" s="2" t="s">
        <v>7767</v>
      </c>
      <c r="B2872" s="2" t="s">
        <v>7768</v>
      </c>
      <c r="C2872" s="2">
        <v>0.5</v>
      </c>
      <c r="D2872" s="2">
        <v>6754.1696000000002</v>
      </c>
      <c r="E2872" s="2" t="s">
        <v>7</v>
      </c>
    </row>
    <row r="2873" spans="1:5" ht="20.25" customHeight="1" x14ac:dyDescent="0.15">
      <c r="A2873" s="2" t="s">
        <v>1148</v>
      </c>
      <c r="B2873" s="2" t="s">
        <v>1149</v>
      </c>
      <c r="C2873" s="2">
        <v>0.49</v>
      </c>
      <c r="D2873" s="2">
        <v>1.1696</v>
      </c>
      <c r="E2873" s="2" t="s">
        <v>344</v>
      </c>
    </row>
    <row r="2874" spans="1:5" ht="20.25" customHeight="1" x14ac:dyDescent="0.15">
      <c r="A2874" s="2" t="s">
        <v>1949</v>
      </c>
      <c r="B2874" s="2" t="s">
        <v>1950</v>
      </c>
      <c r="C2874" s="2">
        <v>0.49</v>
      </c>
      <c r="D2874" s="2">
        <v>1.0325</v>
      </c>
      <c r="E2874" s="2" t="s">
        <v>146</v>
      </c>
    </row>
    <row r="2875" spans="1:5" ht="20.25" customHeight="1" x14ac:dyDescent="0.15">
      <c r="A2875" s="2" t="s">
        <v>1957</v>
      </c>
      <c r="B2875" s="2" t="s">
        <v>1958</v>
      </c>
      <c r="C2875" s="2">
        <v>0.49</v>
      </c>
      <c r="D2875" s="2">
        <v>11.664999999999999</v>
      </c>
      <c r="E2875" s="2" t="s">
        <v>13</v>
      </c>
    </row>
    <row r="2876" spans="1:5" ht="20.25" customHeight="1" x14ac:dyDescent="0.15">
      <c r="A2876" s="2" t="s">
        <v>2008</v>
      </c>
      <c r="B2876" s="2" t="s">
        <v>2009</v>
      </c>
      <c r="C2876" s="2">
        <v>0.49</v>
      </c>
      <c r="D2876" s="2">
        <v>2.4081999999999999</v>
      </c>
      <c r="E2876" s="2" t="s">
        <v>677</v>
      </c>
    </row>
    <row r="2877" spans="1:5" ht="20.25" customHeight="1" x14ac:dyDescent="0.15">
      <c r="A2877" s="2" t="s">
        <v>2598</v>
      </c>
      <c r="B2877" s="2" t="s">
        <v>2599</v>
      </c>
      <c r="C2877" s="2">
        <v>0.49</v>
      </c>
      <c r="D2877" s="2">
        <v>4.4900000000000002E-2</v>
      </c>
      <c r="E2877" s="2" t="s">
        <v>542</v>
      </c>
    </row>
    <row r="2878" spans="1:5" ht="20.25" customHeight="1" x14ac:dyDescent="0.15">
      <c r="A2878" s="2" t="s">
        <v>3062</v>
      </c>
      <c r="B2878" s="2" t="s">
        <v>3063</v>
      </c>
      <c r="C2878" s="2">
        <v>0.49</v>
      </c>
      <c r="D2878" s="2">
        <v>0.75839999999999996</v>
      </c>
      <c r="E2878" s="2" t="s">
        <v>207</v>
      </c>
    </row>
    <row r="2879" spans="1:5" ht="20.25" customHeight="1" x14ac:dyDescent="0.15">
      <c r="A2879" s="2" t="s">
        <v>6042</v>
      </c>
      <c r="B2879" s="2" t="s">
        <v>6043</v>
      </c>
      <c r="C2879" s="2">
        <v>0.49</v>
      </c>
      <c r="D2879" s="2">
        <v>8.7400000000000005E-2</v>
      </c>
      <c r="E2879" s="2" t="s">
        <v>596</v>
      </c>
    </row>
    <row r="2880" spans="1:5" ht="20.25" customHeight="1" x14ac:dyDescent="0.15">
      <c r="A2880" s="2" t="s">
        <v>7091</v>
      </c>
      <c r="B2880" s="2" t="s">
        <v>7092</v>
      </c>
      <c r="C2880" s="2">
        <v>0.49</v>
      </c>
      <c r="D2880" s="2">
        <v>28.709099999999999</v>
      </c>
      <c r="E2880" s="2" t="s">
        <v>299</v>
      </c>
    </row>
    <row r="2881" spans="1:5" ht="20.25" customHeight="1" x14ac:dyDescent="0.15">
      <c r="A2881" s="2" t="s">
        <v>8385</v>
      </c>
      <c r="B2881" s="2" t="s">
        <v>8386</v>
      </c>
      <c r="C2881" s="2">
        <v>0.49</v>
      </c>
      <c r="D2881" s="2">
        <v>1.1601999999999999</v>
      </c>
      <c r="E2881" s="2" t="s">
        <v>1282</v>
      </c>
    </row>
    <row r="2882" spans="1:5" ht="20.25" customHeight="1" x14ac:dyDescent="0.15">
      <c r="A2882" s="2" t="s">
        <v>269</v>
      </c>
      <c r="B2882" s="2" t="s">
        <v>270</v>
      </c>
      <c r="C2882" s="2">
        <v>0.48</v>
      </c>
      <c r="D2882" s="2">
        <v>1.5692999999999999</v>
      </c>
      <c r="E2882" s="2" t="s">
        <v>271</v>
      </c>
    </row>
    <row r="2883" spans="1:5" ht="20.25" customHeight="1" x14ac:dyDescent="0.15">
      <c r="A2883" s="2" t="s">
        <v>282</v>
      </c>
      <c r="B2883" s="2" t="s">
        <v>283</v>
      </c>
      <c r="C2883" s="2">
        <v>0.48</v>
      </c>
      <c r="D2883" s="2">
        <v>6.7999999999999996E-3</v>
      </c>
      <c r="E2883" s="2" t="s">
        <v>152</v>
      </c>
    </row>
    <row r="2884" spans="1:5" ht="20.25" customHeight="1" x14ac:dyDescent="0.15">
      <c r="A2884" s="2" t="s">
        <v>814</v>
      </c>
      <c r="B2884" s="2" t="s">
        <v>815</v>
      </c>
      <c r="C2884" s="2">
        <v>0.48</v>
      </c>
      <c r="D2884" s="2">
        <v>0.28220000000000001</v>
      </c>
      <c r="E2884" s="2" t="s">
        <v>430</v>
      </c>
    </row>
    <row r="2885" spans="1:5" ht="20.25" customHeight="1" x14ac:dyDescent="0.15">
      <c r="A2885" s="2" t="s">
        <v>869</v>
      </c>
      <c r="B2885" s="2" t="s">
        <v>870</v>
      </c>
      <c r="C2885" s="2">
        <v>0.48</v>
      </c>
      <c r="D2885" s="2">
        <v>0.46010000000000001</v>
      </c>
      <c r="E2885" s="2" t="s">
        <v>322</v>
      </c>
    </row>
    <row r="2886" spans="1:5" ht="20.25" customHeight="1" x14ac:dyDescent="0.15">
      <c r="A2886" s="2" t="s">
        <v>2397</v>
      </c>
      <c r="B2886" s="2" t="s">
        <v>2398</v>
      </c>
      <c r="C2886" s="2">
        <v>0.48</v>
      </c>
      <c r="D2886" s="2">
        <v>2.7675000000000001</v>
      </c>
      <c r="E2886" s="2" t="s">
        <v>359</v>
      </c>
    </row>
    <row r="2887" spans="1:5" ht="20.25" customHeight="1" x14ac:dyDescent="0.15">
      <c r="A2887" s="2" t="s">
        <v>3036</v>
      </c>
      <c r="B2887" s="2" t="s">
        <v>3037</v>
      </c>
      <c r="C2887" s="2">
        <v>0.48</v>
      </c>
      <c r="D2887" s="2">
        <v>3.4405999999999999</v>
      </c>
      <c r="E2887" s="2" t="s">
        <v>268</v>
      </c>
    </row>
    <row r="2888" spans="1:5" ht="20.25" customHeight="1" x14ac:dyDescent="0.15">
      <c r="A2888" s="2" t="s">
        <v>3917</v>
      </c>
      <c r="B2888" s="2" t="s">
        <v>3918</v>
      </c>
      <c r="C2888" s="2">
        <v>0.48</v>
      </c>
      <c r="D2888" s="2">
        <v>118.9631</v>
      </c>
      <c r="E2888" s="2" t="s">
        <v>1515</v>
      </c>
    </row>
    <row r="2889" spans="1:5" ht="20.25" customHeight="1" x14ac:dyDescent="0.15">
      <c r="A2889" s="2" t="s">
        <v>3923</v>
      </c>
      <c r="B2889" s="2" t="s">
        <v>3924</v>
      </c>
      <c r="C2889" s="2">
        <v>0.48</v>
      </c>
      <c r="D2889" s="2">
        <v>1.4383999999999999</v>
      </c>
      <c r="E2889" s="2" t="s">
        <v>818</v>
      </c>
    </row>
    <row r="2890" spans="1:5" ht="20.25" customHeight="1" x14ac:dyDescent="0.15">
      <c r="A2890" s="2" t="s">
        <v>5984</v>
      </c>
      <c r="B2890" s="2" t="s">
        <v>5985</v>
      </c>
      <c r="C2890" s="2">
        <v>0.48</v>
      </c>
      <c r="D2890" s="2">
        <v>1.0697000000000001</v>
      </c>
      <c r="E2890" s="2" t="s">
        <v>430</v>
      </c>
    </row>
    <row r="2891" spans="1:5" ht="20.25" customHeight="1" x14ac:dyDescent="0.15">
      <c r="A2891" s="2" t="s">
        <v>6054</v>
      </c>
      <c r="B2891" s="2" t="s">
        <v>6055</v>
      </c>
      <c r="C2891" s="2">
        <v>0.48</v>
      </c>
      <c r="D2891" s="2">
        <v>5.9393000000000002</v>
      </c>
      <c r="E2891" s="2" t="s">
        <v>299</v>
      </c>
    </row>
    <row r="2892" spans="1:5" ht="20.25" customHeight="1" x14ac:dyDescent="0.15">
      <c r="A2892" s="2" t="s">
        <v>6514</v>
      </c>
      <c r="B2892" s="2" t="s">
        <v>6515</v>
      </c>
      <c r="C2892" s="2">
        <v>0.48</v>
      </c>
      <c r="D2892" s="2">
        <v>5.6185999999999998</v>
      </c>
      <c r="E2892" s="2" t="s">
        <v>638</v>
      </c>
    </row>
    <row r="2893" spans="1:5" ht="20.25" customHeight="1" x14ac:dyDescent="0.15">
      <c r="A2893" s="2" t="s">
        <v>6578</v>
      </c>
      <c r="B2893" s="2" t="s">
        <v>6579</v>
      </c>
      <c r="C2893" s="2">
        <v>0.48</v>
      </c>
      <c r="D2893" s="2">
        <v>3.2957000000000001</v>
      </c>
      <c r="E2893" s="2" t="s">
        <v>344</v>
      </c>
    </row>
    <row r="2894" spans="1:5" ht="20.25" customHeight="1" x14ac:dyDescent="0.15">
      <c r="A2894" s="2" t="s">
        <v>1474</v>
      </c>
      <c r="B2894" s="2" t="s">
        <v>1475</v>
      </c>
      <c r="C2894" s="2">
        <v>0.47</v>
      </c>
      <c r="D2894" s="2">
        <v>50.29</v>
      </c>
      <c r="E2894" s="2" t="s">
        <v>371</v>
      </c>
    </row>
    <row r="2895" spans="1:5" ht="20.25" customHeight="1" x14ac:dyDescent="0.15">
      <c r="A2895" s="2" t="s">
        <v>2147</v>
      </c>
      <c r="B2895" s="2" t="s">
        <v>2148</v>
      </c>
      <c r="C2895" s="2">
        <v>0.47</v>
      </c>
      <c r="D2895" s="2">
        <v>0.55400000000000005</v>
      </c>
      <c r="E2895" s="2" t="s">
        <v>699</v>
      </c>
    </row>
    <row r="2896" spans="1:5" ht="20.25" customHeight="1" x14ac:dyDescent="0.15">
      <c r="A2896" s="2" t="s">
        <v>2674</v>
      </c>
      <c r="B2896" s="2" t="s">
        <v>2675</v>
      </c>
      <c r="C2896" s="2">
        <v>0.47</v>
      </c>
      <c r="D2896" s="2">
        <v>0.92259999999999998</v>
      </c>
      <c r="E2896" s="2" t="s">
        <v>368</v>
      </c>
    </row>
    <row r="2897" spans="1:5" ht="20.25" customHeight="1" x14ac:dyDescent="0.15">
      <c r="A2897" s="2" t="s">
        <v>3411</v>
      </c>
      <c r="B2897" s="2" t="s">
        <v>3412</v>
      </c>
      <c r="C2897" s="2">
        <v>0.47</v>
      </c>
      <c r="D2897" s="2">
        <v>28.516300000000001</v>
      </c>
      <c r="E2897" s="2" t="s">
        <v>1801</v>
      </c>
    </row>
    <row r="2898" spans="1:5" ht="20.25" customHeight="1" x14ac:dyDescent="0.15">
      <c r="A2898" s="2" t="s">
        <v>4564</v>
      </c>
      <c r="B2898" s="2" t="s">
        <v>4565</v>
      </c>
      <c r="C2898" s="2">
        <v>0.47</v>
      </c>
      <c r="D2898" s="2">
        <v>1.2859</v>
      </c>
      <c r="E2898" s="2" t="s">
        <v>245</v>
      </c>
    </row>
    <row r="2899" spans="1:5" ht="20.25" customHeight="1" x14ac:dyDescent="0.15">
      <c r="A2899" s="2" t="s">
        <v>4574</v>
      </c>
      <c r="B2899" s="2" t="s">
        <v>4575</v>
      </c>
      <c r="C2899" s="2">
        <v>0.47</v>
      </c>
      <c r="D2899" s="2">
        <v>0.22320000000000001</v>
      </c>
      <c r="E2899" s="2" t="s">
        <v>459</v>
      </c>
    </row>
    <row r="2900" spans="1:5" ht="20.25" customHeight="1" x14ac:dyDescent="0.15">
      <c r="A2900" s="2" t="s">
        <v>4604</v>
      </c>
      <c r="B2900" s="2" t="s">
        <v>4605</v>
      </c>
      <c r="C2900" s="2">
        <v>0.47</v>
      </c>
      <c r="D2900" s="2">
        <v>0.19420000000000001</v>
      </c>
      <c r="E2900" s="2" t="s">
        <v>123</v>
      </c>
    </row>
    <row r="2901" spans="1:5" ht="20.25" customHeight="1" x14ac:dyDescent="0.15">
      <c r="A2901" s="2" t="s">
        <v>4851</v>
      </c>
      <c r="B2901" s="2" t="s">
        <v>4852</v>
      </c>
      <c r="C2901" s="2">
        <v>0.47</v>
      </c>
      <c r="D2901" s="2">
        <v>1.0369999999999999</v>
      </c>
      <c r="E2901" s="2" t="s">
        <v>1224</v>
      </c>
    </row>
    <row r="2902" spans="1:5" ht="20.25" customHeight="1" x14ac:dyDescent="0.15">
      <c r="A2902" s="2" t="s">
        <v>5244</v>
      </c>
      <c r="B2902" s="2" t="s">
        <v>5245</v>
      </c>
      <c r="C2902" s="2">
        <v>0.47</v>
      </c>
      <c r="D2902" s="2">
        <v>0.38290000000000002</v>
      </c>
      <c r="E2902" s="2" t="s">
        <v>3246</v>
      </c>
    </row>
    <row r="2903" spans="1:5" ht="20.25" customHeight="1" x14ac:dyDescent="0.15">
      <c r="A2903" s="2" t="s">
        <v>5401</v>
      </c>
      <c r="B2903" s="2" t="s">
        <v>5402</v>
      </c>
      <c r="C2903" s="2">
        <v>0.47</v>
      </c>
      <c r="D2903" s="2">
        <v>0.24099999999999999</v>
      </c>
      <c r="E2903" s="2" t="s">
        <v>784</v>
      </c>
    </row>
    <row r="2904" spans="1:5" ht="20.25" customHeight="1" x14ac:dyDescent="0.15">
      <c r="A2904" s="2" t="s">
        <v>5728</v>
      </c>
      <c r="B2904" s="2" t="s">
        <v>5729</v>
      </c>
      <c r="C2904" s="2">
        <v>0.47</v>
      </c>
      <c r="D2904" s="2">
        <v>40.2941</v>
      </c>
      <c r="E2904" s="2" t="s">
        <v>1691</v>
      </c>
    </row>
    <row r="2905" spans="1:5" ht="20.25" customHeight="1" x14ac:dyDescent="0.15">
      <c r="A2905" s="2" t="s">
        <v>5868</v>
      </c>
      <c r="B2905" s="2" t="s">
        <v>5869</v>
      </c>
      <c r="C2905" s="2">
        <v>0.47</v>
      </c>
      <c r="D2905" s="2">
        <v>5.2504</v>
      </c>
      <c r="E2905" s="2" t="s">
        <v>371</v>
      </c>
    </row>
    <row r="2906" spans="1:5" ht="20.25" customHeight="1" x14ac:dyDescent="0.15">
      <c r="A2906" s="2" t="s">
        <v>6050</v>
      </c>
      <c r="B2906" s="2" t="s">
        <v>6051</v>
      </c>
      <c r="C2906" s="2">
        <v>0.47</v>
      </c>
      <c r="D2906" s="2">
        <v>113.39870000000001</v>
      </c>
      <c r="E2906" s="2" t="s">
        <v>299</v>
      </c>
    </row>
    <row r="2907" spans="1:5" ht="20.25" customHeight="1" x14ac:dyDescent="0.15">
      <c r="A2907" s="2" t="s">
        <v>6360</v>
      </c>
      <c r="B2907" s="2" t="s">
        <v>6361</v>
      </c>
      <c r="C2907" s="2">
        <v>0.47</v>
      </c>
      <c r="D2907" s="2">
        <v>0.3125</v>
      </c>
      <c r="E2907" s="2" t="s">
        <v>123</v>
      </c>
    </row>
    <row r="2908" spans="1:5" ht="20.25" customHeight="1" x14ac:dyDescent="0.15">
      <c r="A2908" s="2" t="s">
        <v>6388</v>
      </c>
      <c r="B2908" s="2" t="s">
        <v>6389</v>
      </c>
      <c r="C2908" s="2">
        <v>0.47</v>
      </c>
      <c r="D2908" s="2">
        <v>0.1072</v>
      </c>
      <c r="E2908" s="2" t="s">
        <v>201</v>
      </c>
    </row>
    <row r="2909" spans="1:5" ht="20.25" customHeight="1" x14ac:dyDescent="0.15">
      <c r="A2909" s="2" t="s">
        <v>6498</v>
      </c>
      <c r="B2909" s="2" t="s">
        <v>6499</v>
      </c>
      <c r="C2909" s="2">
        <v>0.47</v>
      </c>
      <c r="D2909" s="2">
        <v>8.2920999999999996</v>
      </c>
      <c r="E2909" s="2" t="s">
        <v>1593</v>
      </c>
    </row>
    <row r="2910" spans="1:5" ht="20.25" customHeight="1" x14ac:dyDescent="0.15">
      <c r="A2910" s="2" t="s">
        <v>6636</v>
      </c>
      <c r="B2910" s="2" t="s">
        <v>6637</v>
      </c>
      <c r="C2910" s="2">
        <v>0.47</v>
      </c>
      <c r="D2910" s="2">
        <v>68.171000000000006</v>
      </c>
      <c r="E2910" s="2" t="s">
        <v>260</v>
      </c>
    </row>
    <row r="2911" spans="1:5" ht="20.25" customHeight="1" x14ac:dyDescent="0.15">
      <c r="A2911" s="2" t="s">
        <v>6650</v>
      </c>
      <c r="B2911" s="2" t="s">
        <v>6651</v>
      </c>
      <c r="C2911" s="2">
        <v>0.47</v>
      </c>
      <c r="D2911" s="2">
        <v>2.9468000000000001</v>
      </c>
      <c r="E2911" s="2" t="s">
        <v>396</v>
      </c>
    </row>
    <row r="2912" spans="1:5" ht="20.25" customHeight="1" x14ac:dyDescent="0.15">
      <c r="A2912" s="2" t="s">
        <v>6997</v>
      </c>
      <c r="B2912" s="2" t="s">
        <v>6998</v>
      </c>
      <c r="C2912" s="2">
        <v>0.47</v>
      </c>
      <c r="D2912" s="2">
        <v>10.484299999999999</v>
      </c>
      <c r="E2912" s="2" t="s">
        <v>35</v>
      </c>
    </row>
    <row r="2913" spans="1:5" ht="20.25" customHeight="1" x14ac:dyDescent="0.15">
      <c r="A2913" s="2" t="s">
        <v>7771</v>
      </c>
      <c r="B2913" s="2" t="s">
        <v>7772</v>
      </c>
      <c r="C2913" s="2">
        <v>0.47</v>
      </c>
      <c r="D2913" s="2">
        <v>0.1164</v>
      </c>
      <c r="E2913" s="2" t="s">
        <v>418</v>
      </c>
    </row>
    <row r="2914" spans="1:5" ht="20.25" customHeight="1" x14ac:dyDescent="0.15">
      <c r="A2914" s="2" t="s">
        <v>7987</v>
      </c>
      <c r="B2914" s="2" t="s">
        <v>7988</v>
      </c>
      <c r="C2914" s="2">
        <v>0.47</v>
      </c>
      <c r="D2914" s="2">
        <v>2.8334999999999999</v>
      </c>
      <c r="E2914" s="2" t="s">
        <v>690</v>
      </c>
    </row>
    <row r="2915" spans="1:5" ht="20.25" customHeight="1" x14ac:dyDescent="0.15">
      <c r="A2915" s="2" t="s">
        <v>8257</v>
      </c>
      <c r="B2915" s="2" t="s">
        <v>8258</v>
      </c>
      <c r="C2915" s="2">
        <v>0.47</v>
      </c>
      <c r="D2915" s="2">
        <v>29.681799999999999</v>
      </c>
      <c r="E2915" s="2" t="s">
        <v>1338</v>
      </c>
    </row>
    <row r="2916" spans="1:5" ht="20.25" customHeight="1" x14ac:dyDescent="0.15">
      <c r="A2916" s="2" t="s">
        <v>3401</v>
      </c>
      <c r="B2916" s="2" t="s">
        <v>3402</v>
      </c>
      <c r="C2916" s="2">
        <v>0.46</v>
      </c>
      <c r="D2916" s="2">
        <v>1.3334999999999999</v>
      </c>
      <c r="E2916" s="2" t="s">
        <v>784</v>
      </c>
    </row>
    <row r="2917" spans="1:5" ht="20.25" customHeight="1" x14ac:dyDescent="0.15">
      <c r="A2917" s="2" t="s">
        <v>3867</v>
      </c>
      <c r="B2917" s="2" t="s">
        <v>3868</v>
      </c>
      <c r="C2917" s="2">
        <v>0.46</v>
      </c>
      <c r="D2917" s="2">
        <v>0.4481</v>
      </c>
      <c r="E2917" s="2" t="s">
        <v>724</v>
      </c>
    </row>
    <row r="2918" spans="1:5" ht="20.25" customHeight="1" x14ac:dyDescent="0.15">
      <c r="A2918" s="2" t="s">
        <v>4556</v>
      </c>
      <c r="B2918" s="2" t="s">
        <v>4557</v>
      </c>
      <c r="C2918" s="2">
        <v>0.46</v>
      </c>
      <c r="D2918" s="2">
        <v>355.7278</v>
      </c>
      <c r="E2918" s="2" t="s">
        <v>647</v>
      </c>
    </row>
    <row r="2919" spans="1:5" ht="20.25" customHeight="1" x14ac:dyDescent="0.15">
      <c r="A2919" s="2" t="s">
        <v>4700</v>
      </c>
      <c r="B2919" s="2" t="s">
        <v>4701</v>
      </c>
      <c r="C2919" s="2">
        <v>0.46</v>
      </c>
      <c r="D2919" s="2">
        <v>1.6336999999999999</v>
      </c>
      <c r="E2919" s="2" t="s">
        <v>201</v>
      </c>
    </row>
    <row r="2920" spans="1:5" ht="20.25" customHeight="1" x14ac:dyDescent="0.15">
      <c r="A2920" s="2" t="s">
        <v>4716</v>
      </c>
      <c r="B2920" s="2" t="s">
        <v>4717</v>
      </c>
      <c r="C2920" s="2">
        <v>0.46</v>
      </c>
      <c r="D2920" s="2">
        <v>0.93759999999999999</v>
      </c>
      <c r="E2920" s="2" t="s">
        <v>74</v>
      </c>
    </row>
    <row r="2921" spans="1:5" ht="20.25" customHeight="1" x14ac:dyDescent="0.15">
      <c r="A2921" s="2" t="s">
        <v>4785</v>
      </c>
      <c r="B2921" s="2" t="s">
        <v>4786</v>
      </c>
      <c r="C2921" s="2">
        <v>0.46</v>
      </c>
      <c r="D2921" s="2">
        <v>0.26979999999999998</v>
      </c>
      <c r="E2921" s="2" t="s">
        <v>1099</v>
      </c>
    </row>
    <row r="2922" spans="1:5" ht="20.25" customHeight="1" x14ac:dyDescent="0.15">
      <c r="A2922" s="2" t="s">
        <v>5860</v>
      </c>
      <c r="B2922" s="2" t="s">
        <v>5861</v>
      </c>
      <c r="C2922" s="2">
        <v>0.46</v>
      </c>
      <c r="D2922" s="2">
        <v>1.9017999999999999</v>
      </c>
      <c r="E2922" s="2" t="s">
        <v>344</v>
      </c>
    </row>
    <row r="2923" spans="1:5" ht="20.25" customHeight="1" x14ac:dyDescent="0.15">
      <c r="A2923" s="2" t="s">
        <v>7077</v>
      </c>
      <c r="B2923" s="2" t="s">
        <v>7078</v>
      </c>
      <c r="C2923" s="2">
        <v>0.46</v>
      </c>
      <c r="D2923" s="2">
        <v>3.0081000000000002</v>
      </c>
      <c r="E2923" s="2" t="s">
        <v>2068</v>
      </c>
    </row>
    <row r="2924" spans="1:5" ht="20.25" customHeight="1" x14ac:dyDescent="0.15">
      <c r="A2924" s="2" t="s">
        <v>7475</v>
      </c>
      <c r="B2924" s="2" t="s">
        <v>7476</v>
      </c>
      <c r="C2924" s="2">
        <v>0.46</v>
      </c>
      <c r="D2924" s="2">
        <v>6.6604999999999999</v>
      </c>
      <c r="E2924" s="2" t="s">
        <v>421</v>
      </c>
    </row>
    <row r="2925" spans="1:5" ht="20.25" customHeight="1" x14ac:dyDescent="0.15">
      <c r="A2925" s="2" t="s">
        <v>3499</v>
      </c>
      <c r="B2925" s="2" t="s">
        <v>3500</v>
      </c>
      <c r="C2925" s="2">
        <v>0.45</v>
      </c>
      <c r="D2925" s="2">
        <v>0.58689999999999998</v>
      </c>
      <c r="E2925" s="2" t="s">
        <v>120</v>
      </c>
    </row>
    <row r="2926" spans="1:5" ht="20.25" customHeight="1" x14ac:dyDescent="0.15">
      <c r="A2926" s="2" t="s">
        <v>4004</v>
      </c>
      <c r="B2926" s="2" t="s">
        <v>4005</v>
      </c>
      <c r="C2926" s="2">
        <v>0.45</v>
      </c>
      <c r="D2926" s="2">
        <v>1.2871999999999999</v>
      </c>
      <c r="E2926" s="2" t="s">
        <v>225</v>
      </c>
    </row>
    <row r="2927" spans="1:5" ht="20.25" customHeight="1" x14ac:dyDescent="0.15">
      <c r="A2927" s="2" t="s">
        <v>4686</v>
      </c>
      <c r="B2927" s="2" t="s">
        <v>4687</v>
      </c>
      <c r="C2927" s="2">
        <v>0.45</v>
      </c>
      <c r="D2927" s="2">
        <v>2.5907</v>
      </c>
      <c r="E2927" s="2" t="s">
        <v>430</v>
      </c>
    </row>
    <row r="2928" spans="1:5" ht="20.25" customHeight="1" x14ac:dyDescent="0.15">
      <c r="A2928" s="2" t="s">
        <v>4952</v>
      </c>
      <c r="B2928" s="2" t="s">
        <v>4953</v>
      </c>
      <c r="C2928" s="2">
        <v>0.45</v>
      </c>
      <c r="D2928" s="2">
        <v>1.4495</v>
      </c>
      <c r="E2928" s="2" t="s">
        <v>403</v>
      </c>
    </row>
    <row r="2929" spans="1:5" ht="20.25" customHeight="1" x14ac:dyDescent="0.15">
      <c r="A2929" s="2" t="s">
        <v>6120</v>
      </c>
      <c r="B2929" s="2" t="s">
        <v>6121</v>
      </c>
      <c r="C2929" s="2">
        <v>0.45</v>
      </c>
      <c r="D2929" s="2">
        <v>11.1355</v>
      </c>
      <c r="E2929" s="2" t="s">
        <v>120</v>
      </c>
    </row>
    <row r="2930" spans="1:5" ht="20.25" customHeight="1" x14ac:dyDescent="0.15">
      <c r="A2930" s="2" t="s">
        <v>6224</v>
      </c>
      <c r="B2930" s="2" t="s">
        <v>6225</v>
      </c>
      <c r="C2930" s="2">
        <v>0.45</v>
      </c>
      <c r="D2930" s="2">
        <v>1.0192000000000001</v>
      </c>
      <c r="E2930" s="2" t="s">
        <v>542</v>
      </c>
    </row>
    <row r="2931" spans="1:5" ht="20.25" customHeight="1" x14ac:dyDescent="0.15">
      <c r="A2931" s="2" t="s">
        <v>6476</v>
      </c>
      <c r="B2931" s="2" t="s">
        <v>6477</v>
      </c>
      <c r="C2931" s="2">
        <v>0.45</v>
      </c>
      <c r="D2931" s="2">
        <v>0.87719999999999998</v>
      </c>
      <c r="E2931" s="2" t="s">
        <v>35</v>
      </c>
    </row>
    <row r="2932" spans="1:5" ht="20.25" customHeight="1" x14ac:dyDescent="0.15">
      <c r="A2932" s="2" t="s">
        <v>6646</v>
      </c>
      <c r="B2932" s="2" t="s">
        <v>6647</v>
      </c>
      <c r="C2932" s="2">
        <v>0.45</v>
      </c>
      <c r="D2932" s="2">
        <v>3.1343000000000001</v>
      </c>
      <c r="E2932" s="2" t="s">
        <v>630</v>
      </c>
    </row>
    <row r="2933" spans="1:5" ht="20.25" customHeight="1" x14ac:dyDescent="0.15">
      <c r="A2933" s="2" t="s">
        <v>6748</v>
      </c>
      <c r="B2933" s="2" t="s">
        <v>6749</v>
      </c>
      <c r="C2933" s="2">
        <v>0.45</v>
      </c>
      <c r="D2933" s="2">
        <v>2.3043999999999998</v>
      </c>
      <c r="E2933" s="2" t="s">
        <v>374</v>
      </c>
    </row>
    <row r="2934" spans="1:5" ht="20.25" customHeight="1" x14ac:dyDescent="0.15">
      <c r="A2934" s="2" t="s">
        <v>7073</v>
      </c>
      <c r="B2934" s="2" t="s">
        <v>7074</v>
      </c>
      <c r="C2934" s="2">
        <v>0.45</v>
      </c>
      <c r="D2934" s="2">
        <v>3.1395</v>
      </c>
      <c r="E2934" s="2" t="s">
        <v>220</v>
      </c>
    </row>
    <row r="2935" spans="1:5" ht="20.25" customHeight="1" x14ac:dyDescent="0.15">
      <c r="A2935" s="2" t="s">
        <v>7161</v>
      </c>
      <c r="B2935" s="2" t="s">
        <v>7162</v>
      </c>
      <c r="C2935" s="2">
        <v>0.45</v>
      </c>
      <c r="D2935" s="2">
        <v>169.3058</v>
      </c>
      <c r="E2935" s="2" t="s">
        <v>506</v>
      </c>
    </row>
    <row r="2936" spans="1:5" ht="20.25" customHeight="1" x14ac:dyDescent="0.15">
      <c r="A2936" s="2" t="s">
        <v>7257</v>
      </c>
      <c r="B2936" s="2" t="s">
        <v>7258</v>
      </c>
      <c r="C2936" s="2">
        <v>0.45</v>
      </c>
      <c r="D2936" s="2">
        <v>0.33589999999999998</v>
      </c>
      <c r="E2936" s="2" t="s">
        <v>630</v>
      </c>
    </row>
    <row r="2937" spans="1:5" ht="20.25" customHeight="1" x14ac:dyDescent="0.15">
      <c r="A2937" s="2" t="s">
        <v>7707</v>
      </c>
      <c r="B2937" s="2" t="s">
        <v>7708</v>
      </c>
      <c r="C2937" s="2">
        <v>0.45</v>
      </c>
      <c r="D2937" s="2">
        <v>0.28399999999999997</v>
      </c>
      <c r="E2937" s="2" t="s">
        <v>670</v>
      </c>
    </row>
    <row r="2938" spans="1:5" ht="20.25" customHeight="1" x14ac:dyDescent="0.15">
      <c r="A2938" s="2" t="s">
        <v>419</v>
      </c>
      <c r="B2938" s="2" t="s">
        <v>420</v>
      </c>
      <c r="C2938" s="2">
        <v>0.44</v>
      </c>
      <c r="D2938" s="2">
        <v>0.35570000000000002</v>
      </c>
      <c r="E2938" s="2" t="s">
        <v>421</v>
      </c>
    </row>
    <row r="2939" spans="1:5" ht="20.25" customHeight="1" x14ac:dyDescent="0.15">
      <c r="A2939" s="2" t="s">
        <v>1829</v>
      </c>
      <c r="B2939" s="2" t="s">
        <v>1830</v>
      </c>
      <c r="C2939" s="2">
        <v>0.44</v>
      </c>
      <c r="D2939" s="2">
        <v>0.27229999999999999</v>
      </c>
      <c r="E2939" s="2" t="s">
        <v>123</v>
      </c>
    </row>
    <row r="2940" spans="1:5" ht="20.25" customHeight="1" x14ac:dyDescent="0.15">
      <c r="A2940" s="2" t="s">
        <v>2300</v>
      </c>
      <c r="B2940" s="2" t="s">
        <v>2301</v>
      </c>
      <c r="C2940" s="2">
        <v>0.44</v>
      </c>
      <c r="D2940" s="2">
        <v>4.4569000000000001</v>
      </c>
      <c r="E2940" s="2" t="s">
        <v>299</v>
      </c>
    </row>
    <row r="2941" spans="1:5" ht="20.25" customHeight="1" x14ac:dyDescent="0.15">
      <c r="A2941" s="2" t="s">
        <v>2821</v>
      </c>
      <c r="B2941" s="2" t="s">
        <v>2822</v>
      </c>
      <c r="C2941" s="2">
        <v>0.44</v>
      </c>
      <c r="D2941" s="2">
        <v>37.6083</v>
      </c>
      <c r="E2941" s="2" t="s">
        <v>268</v>
      </c>
    </row>
    <row r="2942" spans="1:5" ht="20.25" customHeight="1" x14ac:dyDescent="0.15">
      <c r="A2942" s="2" t="s">
        <v>3137</v>
      </c>
      <c r="B2942" s="2" t="s">
        <v>3138</v>
      </c>
      <c r="C2942" s="2">
        <v>0.44</v>
      </c>
      <c r="D2942" s="2">
        <v>1.7242</v>
      </c>
      <c r="E2942" s="2" t="s">
        <v>664</v>
      </c>
    </row>
    <row r="2943" spans="1:5" ht="20.25" customHeight="1" x14ac:dyDescent="0.15">
      <c r="A2943" s="2" t="s">
        <v>3376</v>
      </c>
      <c r="B2943" s="2" t="s">
        <v>3377</v>
      </c>
      <c r="C2943" s="2">
        <v>0.44</v>
      </c>
      <c r="D2943" s="2">
        <v>26.641999999999999</v>
      </c>
      <c r="E2943" s="2" t="s">
        <v>657</v>
      </c>
    </row>
    <row r="2944" spans="1:5" ht="20.25" customHeight="1" x14ac:dyDescent="0.15">
      <c r="A2944" s="2" t="s">
        <v>3445</v>
      </c>
      <c r="B2944" s="2" t="s">
        <v>3446</v>
      </c>
      <c r="C2944" s="2">
        <v>0.44</v>
      </c>
      <c r="D2944" s="2">
        <v>1.7304999999999999</v>
      </c>
      <c r="E2944" s="2" t="s">
        <v>747</v>
      </c>
    </row>
    <row r="2945" spans="1:5" ht="20.25" customHeight="1" x14ac:dyDescent="0.15">
      <c r="A2945" s="2" t="s">
        <v>4986</v>
      </c>
      <c r="B2945" s="2" t="s">
        <v>4987</v>
      </c>
      <c r="C2945" s="2">
        <v>0.44</v>
      </c>
      <c r="D2945" s="2">
        <v>11.533899999999999</v>
      </c>
      <c r="E2945" s="2" t="s">
        <v>542</v>
      </c>
    </row>
    <row r="2946" spans="1:5" ht="20.25" customHeight="1" x14ac:dyDescent="0.15">
      <c r="A2946" s="2" t="s">
        <v>5320</v>
      </c>
      <c r="B2946" s="2" t="s">
        <v>5321</v>
      </c>
      <c r="C2946" s="2">
        <v>0.44</v>
      </c>
      <c r="D2946" s="2">
        <v>2.2162999999999999</v>
      </c>
      <c r="E2946" s="2" t="s">
        <v>1145</v>
      </c>
    </row>
    <row r="2947" spans="1:5" ht="20.25" customHeight="1" x14ac:dyDescent="0.15">
      <c r="A2947" s="2" t="s">
        <v>6142</v>
      </c>
      <c r="B2947" s="2" t="s">
        <v>6143</v>
      </c>
      <c r="C2947" s="2">
        <v>0.44</v>
      </c>
      <c r="D2947" s="2">
        <v>5.6787000000000001</v>
      </c>
      <c r="E2947" s="2" t="s">
        <v>391</v>
      </c>
    </row>
    <row r="2948" spans="1:5" ht="20.25" customHeight="1" x14ac:dyDescent="0.15">
      <c r="A2948" s="2" t="s">
        <v>6530</v>
      </c>
      <c r="B2948" s="2" t="s">
        <v>6531</v>
      </c>
      <c r="C2948" s="2">
        <v>0.44</v>
      </c>
      <c r="D2948" s="2">
        <v>1.2939000000000001</v>
      </c>
      <c r="E2948" s="2" t="s">
        <v>2724</v>
      </c>
    </row>
    <row r="2949" spans="1:5" ht="20.25" customHeight="1" x14ac:dyDescent="0.15">
      <c r="A2949" s="2" t="s">
        <v>6953</v>
      </c>
      <c r="B2949" s="2" t="s">
        <v>6954</v>
      </c>
      <c r="C2949" s="2">
        <v>0.44</v>
      </c>
      <c r="D2949" s="2">
        <v>15.219200000000001</v>
      </c>
      <c r="E2949" s="2" t="s">
        <v>1056</v>
      </c>
    </row>
    <row r="2950" spans="1:5" ht="20.25" customHeight="1" x14ac:dyDescent="0.15">
      <c r="A2950" s="2" t="s">
        <v>7031</v>
      </c>
      <c r="B2950" s="2" t="s">
        <v>7032</v>
      </c>
      <c r="C2950" s="2">
        <v>0.44</v>
      </c>
      <c r="D2950" s="2">
        <v>0.96879999999999999</v>
      </c>
      <c r="E2950" s="2" t="s">
        <v>529</v>
      </c>
    </row>
    <row r="2951" spans="1:5" ht="20.25" customHeight="1" x14ac:dyDescent="0.15">
      <c r="A2951" s="2" t="s">
        <v>7439</v>
      </c>
      <c r="B2951" s="2" t="s">
        <v>7440</v>
      </c>
      <c r="C2951" s="2">
        <v>0.44</v>
      </c>
      <c r="D2951" s="2">
        <v>0.36159999999999998</v>
      </c>
      <c r="E2951" s="2" t="s">
        <v>1425</v>
      </c>
    </row>
    <row r="2952" spans="1:5" ht="20.25" customHeight="1" x14ac:dyDescent="0.15">
      <c r="A2952" s="2" t="s">
        <v>6066</v>
      </c>
      <c r="B2952" s="2" t="s">
        <v>6067</v>
      </c>
      <c r="C2952" s="2">
        <v>0.435</v>
      </c>
      <c r="D2952" s="2">
        <v>3.0219999999999998</v>
      </c>
      <c r="E2952" s="2" t="s">
        <v>35</v>
      </c>
    </row>
    <row r="2953" spans="1:5" ht="20.25" customHeight="1" x14ac:dyDescent="0.15">
      <c r="A2953" s="2" t="s">
        <v>1073</v>
      </c>
      <c r="B2953" s="2" t="s">
        <v>1074</v>
      </c>
      <c r="C2953" s="2">
        <v>0.43</v>
      </c>
      <c r="D2953" s="2">
        <v>0.91339999999999999</v>
      </c>
      <c r="E2953" s="2" t="s">
        <v>10</v>
      </c>
    </row>
    <row r="2954" spans="1:5" ht="20.25" customHeight="1" x14ac:dyDescent="0.15">
      <c r="A2954" s="2" t="s">
        <v>1276</v>
      </c>
      <c r="B2954" s="2" t="s">
        <v>1277</v>
      </c>
      <c r="C2954" s="2">
        <v>0.43</v>
      </c>
      <c r="D2954" s="2">
        <v>3.7402000000000002</v>
      </c>
      <c r="E2954" s="2" t="s">
        <v>365</v>
      </c>
    </row>
    <row r="2955" spans="1:5" ht="20.25" customHeight="1" x14ac:dyDescent="0.15">
      <c r="A2955" s="2" t="s">
        <v>1708</v>
      </c>
      <c r="B2955" s="2" t="s">
        <v>1709</v>
      </c>
      <c r="C2955" s="2">
        <v>0.43</v>
      </c>
      <c r="D2955" s="2">
        <v>0.71850000000000003</v>
      </c>
      <c r="E2955" s="2" t="s">
        <v>171</v>
      </c>
    </row>
    <row r="2956" spans="1:5" ht="20.25" customHeight="1" x14ac:dyDescent="0.15">
      <c r="A2956" s="2" t="s">
        <v>2368</v>
      </c>
      <c r="B2956" s="2" t="s">
        <v>2369</v>
      </c>
      <c r="C2956" s="2">
        <v>0.43</v>
      </c>
      <c r="D2956" s="2">
        <v>15.432</v>
      </c>
      <c r="E2956" s="2" t="s">
        <v>198</v>
      </c>
    </row>
    <row r="2957" spans="1:5" ht="20.25" customHeight="1" x14ac:dyDescent="0.15">
      <c r="A2957" s="2" t="s">
        <v>4198</v>
      </c>
      <c r="B2957" s="2" t="s">
        <v>4199</v>
      </c>
      <c r="C2957" s="2">
        <v>0.43</v>
      </c>
      <c r="D2957" s="2">
        <v>2.2946</v>
      </c>
      <c r="E2957" s="2" t="s">
        <v>1139</v>
      </c>
    </row>
    <row r="2958" spans="1:5" ht="20.25" customHeight="1" x14ac:dyDescent="0.15">
      <c r="A2958" s="2" t="s">
        <v>4873</v>
      </c>
      <c r="B2958" s="2" t="s">
        <v>4874</v>
      </c>
      <c r="C2958" s="2">
        <v>0.43</v>
      </c>
      <c r="D2958" s="2">
        <v>5.6974999999999998</v>
      </c>
      <c r="E2958" s="2" t="s">
        <v>35</v>
      </c>
    </row>
    <row r="2959" spans="1:5" ht="20.25" customHeight="1" x14ac:dyDescent="0.15">
      <c r="A2959" s="2" t="s">
        <v>5180</v>
      </c>
      <c r="B2959" s="2" t="s">
        <v>5181</v>
      </c>
      <c r="C2959" s="2">
        <v>0.43</v>
      </c>
      <c r="D2959" s="2">
        <v>22.904199999999999</v>
      </c>
      <c r="E2959" s="2" t="s">
        <v>1608</v>
      </c>
    </row>
    <row r="2960" spans="1:5" ht="20.25" customHeight="1" x14ac:dyDescent="0.15">
      <c r="A2960" s="2" t="s">
        <v>5190</v>
      </c>
      <c r="B2960" s="2" t="s">
        <v>5191</v>
      </c>
      <c r="C2960" s="2">
        <v>0.43</v>
      </c>
      <c r="D2960" s="2">
        <v>1.0883</v>
      </c>
      <c r="E2960" s="2" t="s">
        <v>529</v>
      </c>
    </row>
    <row r="2961" spans="1:5" ht="20.25" customHeight="1" x14ac:dyDescent="0.15">
      <c r="A2961" s="2" t="s">
        <v>5806</v>
      </c>
      <c r="B2961" s="2" t="s">
        <v>5807</v>
      </c>
      <c r="C2961" s="2">
        <v>0.43</v>
      </c>
      <c r="D2961" s="2">
        <v>0.1147</v>
      </c>
      <c r="E2961" s="2" t="s">
        <v>344</v>
      </c>
    </row>
    <row r="2962" spans="1:5" ht="20.25" customHeight="1" x14ac:dyDescent="0.15">
      <c r="A2962" s="2" t="s">
        <v>6732</v>
      </c>
      <c r="B2962" s="2" t="s">
        <v>6733</v>
      </c>
      <c r="C2962" s="2">
        <v>0.43</v>
      </c>
      <c r="D2962" s="2">
        <v>9.2500999999999998</v>
      </c>
      <c r="E2962" s="2" t="s">
        <v>605</v>
      </c>
    </row>
    <row r="2963" spans="1:5" ht="20.25" customHeight="1" x14ac:dyDescent="0.15">
      <c r="A2963" s="2" t="s">
        <v>7131</v>
      </c>
      <c r="B2963" s="2" t="s">
        <v>7132</v>
      </c>
      <c r="C2963" s="2">
        <v>0.43</v>
      </c>
      <c r="D2963" s="2">
        <v>8.5489999999999995</v>
      </c>
      <c r="E2963" s="2" t="s">
        <v>201</v>
      </c>
    </row>
    <row r="2964" spans="1:5" ht="20.25" customHeight="1" x14ac:dyDescent="0.15">
      <c r="A2964" s="2" t="s">
        <v>7191</v>
      </c>
      <c r="B2964" s="2" t="s">
        <v>7192</v>
      </c>
      <c r="C2964" s="2">
        <v>0.43</v>
      </c>
      <c r="D2964" s="2">
        <v>2.0703</v>
      </c>
      <c r="E2964" s="2" t="s">
        <v>1820</v>
      </c>
    </row>
    <row r="2965" spans="1:5" ht="20.25" customHeight="1" x14ac:dyDescent="0.15">
      <c r="A2965" s="2" t="s">
        <v>7511</v>
      </c>
      <c r="B2965" s="2" t="s">
        <v>7512</v>
      </c>
      <c r="C2965" s="2">
        <v>0.43</v>
      </c>
      <c r="D2965" s="2">
        <v>13.4801</v>
      </c>
      <c r="E2965" s="2" t="s">
        <v>1436</v>
      </c>
    </row>
    <row r="2966" spans="1:5" ht="20.25" customHeight="1" x14ac:dyDescent="0.15">
      <c r="A2966" s="2" t="s">
        <v>7751</v>
      </c>
      <c r="B2966" s="2" t="s">
        <v>7752</v>
      </c>
      <c r="C2966" s="2">
        <v>0.43</v>
      </c>
      <c r="D2966" s="2">
        <v>3.8586</v>
      </c>
      <c r="E2966" s="2" t="s">
        <v>356</v>
      </c>
    </row>
    <row r="2967" spans="1:5" ht="20.25" customHeight="1" x14ac:dyDescent="0.15">
      <c r="A2967" s="2" t="s">
        <v>124</v>
      </c>
      <c r="B2967" s="2" t="s">
        <v>125</v>
      </c>
      <c r="C2967" s="2">
        <v>0.42499999999999999</v>
      </c>
      <c r="D2967" s="2">
        <v>0.20349999999999999</v>
      </c>
      <c r="E2967" s="2" t="s">
        <v>126</v>
      </c>
    </row>
    <row r="2968" spans="1:5" ht="20.25" customHeight="1" x14ac:dyDescent="0.15">
      <c r="A2968" s="2" t="s">
        <v>8097</v>
      </c>
      <c r="B2968" s="2" t="s">
        <v>8098</v>
      </c>
      <c r="C2968" s="2">
        <v>0.42499999999999999</v>
      </c>
      <c r="D2968" s="2">
        <v>14.284599999999999</v>
      </c>
      <c r="E2968" s="2" t="s">
        <v>2344</v>
      </c>
    </row>
    <row r="2969" spans="1:5" ht="20.25" customHeight="1" x14ac:dyDescent="0.15">
      <c r="A2969" s="2" t="s">
        <v>925</v>
      </c>
      <c r="B2969" s="2" t="s">
        <v>926</v>
      </c>
      <c r="C2969" s="2">
        <v>0.42</v>
      </c>
      <c r="D2969" s="2">
        <v>1.0642</v>
      </c>
      <c r="E2969" s="2" t="s">
        <v>225</v>
      </c>
    </row>
    <row r="2970" spans="1:5" ht="20.25" customHeight="1" x14ac:dyDescent="0.15">
      <c r="A2970" s="2" t="s">
        <v>2336</v>
      </c>
      <c r="B2970" s="2" t="s">
        <v>2337</v>
      </c>
      <c r="C2970" s="2">
        <v>0.42</v>
      </c>
      <c r="D2970" s="2">
        <v>0.42530000000000001</v>
      </c>
      <c r="E2970" s="2" t="s">
        <v>769</v>
      </c>
    </row>
    <row r="2971" spans="1:5" ht="20.25" customHeight="1" x14ac:dyDescent="0.15">
      <c r="A2971" s="2" t="s">
        <v>3314</v>
      </c>
      <c r="B2971" s="2" t="s">
        <v>3315</v>
      </c>
      <c r="C2971" s="2">
        <v>0.42</v>
      </c>
      <c r="D2971" s="2">
        <v>144.71129999999999</v>
      </c>
      <c r="E2971" s="2" t="s">
        <v>92</v>
      </c>
    </row>
    <row r="2972" spans="1:5" ht="20.25" customHeight="1" x14ac:dyDescent="0.15">
      <c r="A2972" s="2" t="s">
        <v>4276</v>
      </c>
      <c r="B2972" s="2" t="s">
        <v>4277</v>
      </c>
      <c r="C2972" s="2">
        <v>0.42</v>
      </c>
      <c r="D2972" s="2">
        <v>7.3322000000000003</v>
      </c>
      <c r="E2972" s="2" t="s">
        <v>667</v>
      </c>
    </row>
    <row r="2973" spans="1:5" ht="20.25" customHeight="1" x14ac:dyDescent="0.15">
      <c r="A2973" s="2" t="s">
        <v>4296</v>
      </c>
      <c r="B2973" s="2" t="s">
        <v>4297</v>
      </c>
      <c r="C2973" s="2">
        <v>0.42</v>
      </c>
      <c r="D2973" s="2">
        <v>15.076000000000001</v>
      </c>
      <c r="E2973" s="2" t="s">
        <v>787</v>
      </c>
    </row>
    <row r="2974" spans="1:5" ht="20.25" customHeight="1" x14ac:dyDescent="0.15">
      <c r="A2974" s="2" t="s">
        <v>4394</v>
      </c>
      <c r="B2974" s="2" t="s">
        <v>4395</v>
      </c>
      <c r="C2974" s="2">
        <v>0.42</v>
      </c>
      <c r="D2974" s="2">
        <v>5.5100000000000003E-2</v>
      </c>
      <c r="E2974" s="2" t="s">
        <v>134</v>
      </c>
    </row>
    <row r="2975" spans="1:5" ht="20.25" customHeight="1" x14ac:dyDescent="0.15">
      <c r="A2975" s="2" t="s">
        <v>4442</v>
      </c>
      <c r="B2975" s="2" t="s">
        <v>4443</v>
      </c>
      <c r="C2975" s="2">
        <v>0.42</v>
      </c>
      <c r="D2975" s="2">
        <v>5.6818999999999997</v>
      </c>
      <c r="E2975" s="2" t="s">
        <v>630</v>
      </c>
    </row>
    <row r="2976" spans="1:5" ht="20.25" customHeight="1" x14ac:dyDescent="0.15">
      <c r="A2976" s="2" t="s">
        <v>4974</v>
      </c>
      <c r="B2976" s="2" t="s">
        <v>4975</v>
      </c>
      <c r="C2976" s="2">
        <v>0.42</v>
      </c>
      <c r="D2976" s="2">
        <v>3.4268000000000001</v>
      </c>
      <c r="E2976" s="2" t="s">
        <v>120</v>
      </c>
    </row>
    <row r="2977" spans="1:5" ht="20.25" customHeight="1" x14ac:dyDescent="0.15">
      <c r="A2977" s="2" t="s">
        <v>5286</v>
      </c>
      <c r="B2977" s="2" t="s">
        <v>5287</v>
      </c>
      <c r="C2977" s="2">
        <v>0.42</v>
      </c>
      <c r="D2977" s="2">
        <v>4.4512</v>
      </c>
      <c r="E2977" s="2" t="s">
        <v>10</v>
      </c>
    </row>
    <row r="2978" spans="1:5" ht="20.25" customHeight="1" x14ac:dyDescent="0.15">
      <c r="A2978" s="2" t="s">
        <v>5581</v>
      </c>
      <c r="B2978" s="2" t="s">
        <v>5582</v>
      </c>
      <c r="C2978" s="2">
        <v>0.42</v>
      </c>
      <c r="D2978" s="2">
        <v>1.6180000000000001</v>
      </c>
      <c r="E2978" s="2" t="s">
        <v>430</v>
      </c>
    </row>
    <row r="2979" spans="1:5" ht="20.25" customHeight="1" x14ac:dyDescent="0.15">
      <c r="A2979" s="2" t="s">
        <v>5637</v>
      </c>
      <c r="B2979" s="2" t="s">
        <v>5638</v>
      </c>
      <c r="C2979" s="2">
        <v>0.42</v>
      </c>
      <c r="D2979" s="2">
        <v>0.96840000000000004</v>
      </c>
      <c r="E2979" s="2" t="s">
        <v>574</v>
      </c>
    </row>
    <row r="2980" spans="1:5" ht="20.25" customHeight="1" x14ac:dyDescent="0.15">
      <c r="A2980" s="2" t="s">
        <v>6536</v>
      </c>
      <c r="B2980" s="2" t="s">
        <v>6537</v>
      </c>
      <c r="C2980" s="2">
        <v>0.42</v>
      </c>
      <c r="D2980" s="2">
        <v>4.1100000000000003</v>
      </c>
      <c r="E2980" s="2" t="s">
        <v>1613</v>
      </c>
    </row>
    <row r="2981" spans="1:5" ht="20.25" customHeight="1" x14ac:dyDescent="0.15">
      <c r="A2981" s="2" t="s">
        <v>6775</v>
      </c>
      <c r="B2981" s="2" t="s">
        <v>6776</v>
      </c>
      <c r="C2981" s="2">
        <v>0.42</v>
      </c>
      <c r="D2981" s="2">
        <v>0.63819999999999999</v>
      </c>
      <c r="E2981" s="2" t="s">
        <v>787</v>
      </c>
    </row>
    <row r="2982" spans="1:5" ht="20.25" customHeight="1" x14ac:dyDescent="0.15">
      <c r="A2982" s="2" t="s">
        <v>7151</v>
      </c>
      <c r="B2982" s="2" t="s">
        <v>7152</v>
      </c>
      <c r="C2982" s="2">
        <v>0.42</v>
      </c>
      <c r="D2982" s="2">
        <v>4.0479000000000003</v>
      </c>
      <c r="E2982" s="2" t="s">
        <v>621</v>
      </c>
    </row>
    <row r="2983" spans="1:5" ht="20.25" customHeight="1" x14ac:dyDescent="0.15">
      <c r="A2983" s="2" t="s">
        <v>7931</v>
      </c>
      <c r="B2983" s="2" t="s">
        <v>7932</v>
      </c>
      <c r="C2983" s="2">
        <v>0.42</v>
      </c>
      <c r="D2983" s="2">
        <v>2.2364000000000002</v>
      </c>
      <c r="E2983" s="2" t="s">
        <v>1691</v>
      </c>
    </row>
    <row r="2984" spans="1:5" ht="20.25" customHeight="1" x14ac:dyDescent="0.15">
      <c r="A2984" s="2" t="s">
        <v>8179</v>
      </c>
      <c r="B2984" s="2" t="s">
        <v>8180</v>
      </c>
      <c r="C2984" s="2">
        <v>0.42</v>
      </c>
      <c r="D2984" s="2">
        <v>1.9511000000000001</v>
      </c>
      <c r="E2984" s="2" t="s">
        <v>140</v>
      </c>
    </row>
    <row r="2985" spans="1:5" ht="20.25" customHeight="1" x14ac:dyDescent="0.15">
      <c r="A2985" s="2" t="s">
        <v>241</v>
      </c>
      <c r="B2985" s="2" t="s">
        <v>242</v>
      </c>
      <c r="C2985" s="2">
        <v>0.41</v>
      </c>
      <c r="D2985" s="2">
        <v>0.4995</v>
      </c>
      <c r="E2985" s="2" t="s">
        <v>225</v>
      </c>
    </row>
    <row r="2986" spans="1:5" ht="20.25" customHeight="1" x14ac:dyDescent="0.15">
      <c r="A2986" s="2" t="s">
        <v>1294</v>
      </c>
      <c r="B2986" s="2" t="s">
        <v>1295</v>
      </c>
      <c r="C2986" s="2">
        <v>0.41</v>
      </c>
      <c r="D2986" s="2">
        <v>0.254</v>
      </c>
      <c r="E2986" s="2" t="s">
        <v>74</v>
      </c>
    </row>
    <row r="2987" spans="1:5" ht="20.25" customHeight="1" x14ac:dyDescent="0.15">
      <c r="A2987" s="2" t="s">
        <v>2892</v>
      </c>
      <c r="B2987" s="2" t="s">
        <v>2893</v>
      </c>
      <c r="C2987" s="2">
        <v>0.41</v>
      </c>
      <c r="D2987" s="2">
        <v>1.7317</v>
      </c>
      <c r="E2987" s="2" t="s">
        <v>459</v>
      </c>
    </row>
    <row r="2988" spans="1:5" ht="20.25" customHeight="1" x14ac:dyDescent="0.15">
      <c r="A2988" s="2" t="s">
        <v>3066</v>
      </c>
      <c r="B2988" s="2" t="s">
        <v>3067</v>
      </c>
      <c r="C2988" s="2">
        <v>0.41</v>
      </c>
      <c r="D2988" s="2">
        <v>0.72570000000000001</v>
      </c>
      <c r="E2988" s="2" t="s">
        <v>24</v>
      </c>
    </row>
    <row r="2989" spans="1:5" ht="20.25" customHeight="1" x14ac:dyDescent="0.15">
      <c r="A2989" s="2" t="s">
        <v>4324</v>
      </c>
      <c r="B2989" s="2" t="s">
        <v>4325</v>
      </c>
      <c r="C2989" s="2">
        <v>0.41</v>
      </c>
      <c r="D2989" s="2">
        <v>4.7751000000000001</v>
      </c>
      <c r="E2989" s="2" t="s">
        <v>149</v>
      </c>
    </row>
    <row r="2990" spans="1:5" ht="20.25" customHeight="1" x14ac:dyDescent="0.15">
      <c r="A2990" s="2" t="s">
        <v>4763</v>
      </c>
      <c r="B2990" s="2" t="s">
        <v>4764</v>
      </c>
      <c r="C2990" s="2">
        <v>0.41</v>
      </c>
      <c r="D2990" s="2">
        <v>11.210599999999999</v>
      </c>
      <c r="E2990" s="2" t="s">
        <v>699</v>
      </c>
    </row>
    <row r="2991" spans="1:5" ht="20.25" customHeight="1" x14ac:dyDescent="0.15">
      <c r="A2991" s="2" t="s">
        <v>5679</v>
      </c>
      <c r="B2991" s="2" t="s">
        <v>5680</v>
      </c>
      <c r="C2991" s="2">
        <v>0.41</v>
      </c>
      <c r="D2991" s="2">
        <v>1.3987000000000001</v>
      </c>
      <c r="E2991" s="2" t="s">
        <v>201</v>
      </c>
    </row>
    <row r="2992" spans="1:5" ht="20.25" customHeight="1" x14ac:dyDescent="0.15">
      <c r="A2992" s="2" t="s">
        <v>5912</v>
      </c>
      <c r="B2992" s="2" t="s">
        <v>5913</v>
      </c>
      <c r="C2992" s="2">
        <v>0.41</v>
      </c>
      <c r="D2992" s="2">
        <v>7.6487999999999996</v>
      </c>
      <c r="E2992" s="2" t="s">
        <v>421</v>
      </c>
    </row>
    <row r="2993" spans="1:5" ht="20.25" customHeight="1" x14ac:dyDescent="0.15">
      <c r="A2993" s="2" t="s">
        <v>6386</v>
      </c>
      <c r="B2993" s="2" t="s">
        <v>6387</v>
      </c>
      <c r="C2993" s="2">
        <v>0.41</v>
      </c>
      <c r="D2993" s="2">
        <v>4.8082000000000003</v>
      </c>
      <c r="E2993" s="2" t="s">
        <v>529</v>
      </c>
    </row>
    <row r="2994" spans="1:5" ht="20.25" customHeight="1" x14ac:dyDescent="0.15">
      <c r="A2994" s="2" t="s">
        <v>5539</v>
      </c>
      <c r="B2994" s="2" t="s">
        <v>5540</v>
      </c>
      <c r="C2994" s="2">
        <v>0.40500000000000003</v>
      </c>
      <c r="D2994" s="2">
        <v>1.8593</v>
      </c>
      <c r="E2994" s="2" t="s">
        <v>704</v>
      </c>
    </row>
    <row r="2995" spans="1:5" ht="20.25" customHeight="1" x14ac:dyDescent="0.15">
      <c r="A2995" s="2" t="s">
        <v>8045</v>
      </c>
      <c r="B2995" s="2" t="s">
        <v>8046</v>
      </c>
      <c r="C2995" s="2">
        <v>0.40500000000000003</v>
      </c>
      <c r="D2995" s="2">
        <v>26.9361</v>
      </c>
      <c r="E2995" s="2" t="s">
        <v>1102</v>
      </c>
    </row>
    <row r="2996" spans="1:5" ht="20.25" customHeight="1" x14ac:dyDescent="0.15">
      <c r="A2996" s="2" t="s">
        <v>300</v>
      </c>
      <c r="B2996" s="2" t="s">
        <v>301</v>
      </c>
      <c r="C2996" s="2">
        <v>0.4</v>
      </c>
      <c r="D2996" s="2">
        <v>0.53180000000000005</v>
      </c>
      <c r="E2996" s="2" t="s">
        <v>123</v>
      </c>
    </row>
    <row r="2997" spans="1:5" ht="20.25" customHeight="1" x14ac:dyDescent="0.15">
      <c r="A2997" s="2" t="s">
        <v>2648</v>
      </c>
      <c r="B2997" s="2" t="s">
        <v>2649</v>
      </c>
      <c r="C2997" s="2">
        <v>0.4</v>
      </c>
      <c r="D2997" s="2">
        <v>2.2764000000000002</v>
      </c>
      <c r="E2997" s="2" t="s">
        <v>225</v>
      </c>
    </row>
    <row r="2998" spans="1:5" ht="20.25" customHeight="1" x14ac:dyDescent="0.15">
      <c r="A2998" s="2" t="s">
        <v>3316</v>
      </c>
      <c r="B2998" s="2" t="s">
        <v>3317</v>
      </c>
      <c r="C2998" s="2">
        <v>0.4</v>
      </c>
      <c r="D2998" s="2">
        <v>332.79599999999999</v>
      </c>
      <c r="E2998" s="2" t="s">
        <v>511</v>
      </c>
    </row>
    <row r="2999" spans="1:5" ht="20.25" customHeight="1" x14ac:dyDescent="0.15">
      <c r="A2999" s="2" t="s">
        <v>3521</v>
      </c>
      <c r="B2999" s="2" t="s">
        <v>3522</v>
      </c>
      <c r="C2999" s="2">
        <v>0.4</v>
      </c>
      <c r="D2999" s="2">
        <v>3.7202999999999999</v>
      </c>
      <c r="E2999" s="2" t="s">
        <v>65</v>
      </c>
    </row>
    <row r="3000" spans="1:5" ht="20.25" customHeight="1" x14ac:dyDescent="0.15">
      <c r="A3000" s="2" t="s">
        <v>3545</v>
      </c>
      <c r="B3000" s="2" t="s">
        <v>3546</v>
      </c>
      <c r="C3000" s="2">
        <v>0.4</v>
      </c>
      <c r="D3000" s="2">
        <v>3.9830999999999999</v>
      </c>
      <c r="E3000" s="2" t="s">
        <v>652</v>
      </c>
    </row>
    <row r="3001" spans="1:5" ht="20.25" customHeight="1" x14ac:dyDescent="0.15">
      <c r="A3001" s="2" t="s">
        <v>4016</v>
      </c>
      <c r="B3001" s="2" t="s">
        <v>4017</v>
      </c>
      <c r="C3001" s="2">
        <v>0.4</v>
      </c>
      <c r="D3001" s="2">
        <v>24.104900000000001</v>
      </c>
      <c r="E3001" s="2" t="s">
        <v>265</v>
      </c>
    </row>
    <row r="3002" spans="1:5" ht="20.25" customHeight="1" x14ac:dyDescent="0.15">
      <c r="A3002" s="2" t="s">
        <v>5938</v>
      </c>
      <c r="B3002" s="2" t="s">
        <v>5939</v>
      </c>
      <c r="C3002" s="2">
        <v>0.4</v>
      </c>
      <c r="D3002" s="2">
        <v>0.29399999999999998</v>
      </c>
      <c r="E3002" s="2" t="s">
        <v>4261</v>
      </c>
    </row>
    <row r="3003" spans="1:5" ht="20.25" customHeight="1" x14ac:dyDescent="0.15">
      <c r="A3003" s="2" t="s">
        <v>6644</v>
      </c>
      <c r="B3003" s="2" t="s">
        <v>6645</v>
      </c>
      <c r="C3003" s="2">
        <v>0.4</v>
      </c>
      <c r="D3003" s="2">
        <v>1.9825999999999999</v>
      </c>
      <c r="E3003" s="2" t="s">
        <v>315</v>
      </c>
    </row>
    <row r="3004" spans="1:5" ht="20.25" customHeight="1" x14ac:dyDescent="0.15">
      <c r="A3004" s="2" t="s">
        <v>6783</v>
      </c>
      <c r="B3004" s="2" t="s">
        <v>6784</v>
      </c>
      <c r="C3004" s="2">
        <v>0.4</v>
      </c>
      <c r="D3004" s="2">
        <v>3.4426999999999999</v>
      </c>
      <c r="E3004" s="2" t="s">
        <v>1099</v>
      </c>
    </row>
    <row r="3005" spans="1:5" ht="20.25" customHeight="1" x14ac:dyDescent="0.15">
      <c r="A3005" s="2" t="s">
        <v>7979</v>
      </c>
      <c r="B3005" s="2" t="s">
        <v>7980</v>
      </c>
      <c r="C3005" s="2">
        <v>0.4</v>
      </c>
      <c r="D3005" s="2">
        <v>0.20080000000000001</v>
      </c>
      <c r="E3005" s="2" t="s">
        <v>1061</v>
      </c>
    </row>
    <row r="3006" spans="1:5" ht="20.25" customHeight="1" x14ac:dyDescent="0.15">
      <c r="A3006" s="2" t="s">
        <v>8263</v>
      </c>
      <c r="B3006" s="2" t="s">
        <v>8264</v>
      </c>
      <c r="C3006" s="2">
        <v>0.4</v>
      </c>
      <c r="D3006" s="2">
        <v>8.3463999999999992</v>
      </c>
      <c r="E3006" s="2" t="s">
        <v>2678</v>
      </c>
    </row>
    <row r="3007" spans="1:5" ht="20.25" customHeight="1" x14ac:dyDescent="0.15">
      <c r="A3007" s="2" t="s">
        <v>8315</v>
      </c>
      <c r="B3007" s="2" t="s">
        <v>8316</v>
      </c>
      <c r="C3007" s="2">
        <v>0.4</v>
      </c>
      <c r="D3007" s="2">
        <v>36.377000000000002</v>
      </c>
      <c r="E3007" s="2" t="s">
        <v>89</v>
      </c>
    </row>
    <row r="3008" spans="1:5" ht="20.25" customHeight="1" x14ac:dyDescent="0.15">
      <c r="A3008" s="2" t="s">
        <v>6546</v>
      </c>
      <c r="B3008" s="2" t="s">
        <v>6547</v>
      </c>
      <c r="C3008" s="2">
        <v>0.39500000000000002</v>
      </c>
      <c r="D3008" s="2">
        <v>4.2397999999999998</v>
      </c>
      <c r="E3008" s="2" t="s">
        <v>630</v>
      </c>
    </row>
    <row r="3009" spans="1:5" ht="20.25" customHeight="1" x14ac:dyDescent="0.15">
      <c r="A3009" s="2" t="s">
        <v>1111</v>
      </c>
      <c r="B3009" s="2" t="s">
        <v>1112</v>
      </c>
      <c r="C3009" s="2">
        <v>0.39</v>
      </c>
      <c r="D3009" s="2">
        <v>0.69630000000000003</v>
      </c>
      <c r="E3009" s="2" t="s">
        <v>225</v>
      </c>
    </row>
    <row r="3010" spans="1:5" ht="20.25" customHeight="1" x14ac:dyDescent="0.15">
      <c r="A3010" s="2" t="s">
        <v>3098</v>
      </c>
      <c r="B3010" s="2" t="s">
        <v>3099</v>
      </c>
      <c r="C3010" s="2">
        <v>0.39</v>
      </c>
      <c r="D3010" s="2">
        <v>1.4907999999999999</v>
      </c>
      <c r="E3010" s="2" t="s">
        <v>388</v>
      </c>
    </row>
    <row r="3011" spans="1:5" ht="20.25" customHeight="1" x14ac:dyDescent="0.15">
      <c r="A3011" s="2" t="s">
        <v>3677</v>
      </c>
      <c r="B3011" s="2" t="s">
        <v>3678</v>
      </c>
      <c r="C3011" s="2">
        <v>0.39</v>
      </c>
      <c r="D3011" s="2">
        <v>0.34279999999999999</v>
      </c>
      <c r="E3011" s="2" t="s">
        <v>201</v>
      </c>
    </row>
    <row r="3012" spans="1:5" ht="20.25" customHeight="1" x14ac:dyDescent="0.15">
      <c r="A3012" s="2" t="s">
        <v>4532</v>
      </c>
      <c r="B3012" s="2" t="s">
        <v>4533</v>
      </c>
      <c r="C3012" s="2">
        <v>0.39</v>
      </c>
      <c r="D3012" s="2">
        <v>0.1017</v>
      </c>
      <c r="E3012" s="2" t="s">
        <v>1873</v>
      </c>
    </row>
    <row r="3013" spans="1:5" ht="20.25" customHeight="1" x14ac:dyDescent="0.15">
      <c r="A3013" s="2" t="s">
        <v>4630</v>
      </c>
      <c r="B3013" s="2" t="s">
        <v>4631</v>
      </c>
      <c r="C3013" s="2">
        <v>0.39</v>
      </c>
      <c r="D3013" s="2">
        <v>0.36899999999999999</v>
      </c>
      <c r="E3013" s="2" t="s">
        <v>81</v>
      </c>
    </row>
    <row r="3014" spans="1:5" ht="20.25" customHeight="1" x14ac:dyDescent="0.15">
      <c r="A3014" s="2" t="s">
        <v>5082</v>
      </c>
      <c r="B3014" s="2" t="s">
        <v>5083</v>
      </c>
      <c r="C3014" s="2">
        <v>0.39</v>
      </c>
      <c r="D3014" s="2">
        <v>5.8737000000000004</v>
      </c>
      <c r="E3014" s="2" t="s">
        <v>1801</v>
      </c>
    </row>
    <row r="3015" spans="1:5" ht="20.25" customHeight="1" x14ac:dyDescent="0.15">
      <c r="A3015" s="2" t="s">
        <v>5232</v>
      </c>
      <c r="B3015" s="2" t="s">
        <v>5233</v>
      </c>
      <c r="C3015" s="2">
        <v>0.39</v>
      </c>
      <c r="D3015" s="2">
        <v>13.255699999999999</v>
      </c>
      <c r="E3015" s="2" t="s">
        <v>713</v>
      </c>
    </row>
    <row r="3016" spans="1:5" ht="20.25" customHeight="1" x14ac:dyDescent="0.15">
      <c r="A3016" s="2" t="s">
        <v>5441</v>
      </c>
      <c r="B3016" s="2" t="s">
        <v>5442</v>
      </c>
      <c r="C3016" s="2">
        <v>0.39</v>
      </c>
      <c r="D3016" s="2">
        <v>5.3900000000000003E-2</v>
      </c>
      <c r="E3016" s="2" t="s">
        <v>750</v>
      </c>
    </row>
    <row r="3017" spans="1:5" ht="20.25" customHeight="1" x14ac:dyDescent="0.15">
      <c r="A3017" s="2" t="s">
        <v>5447</v>
      </c>
      <c r="B3017" s="2" t="s">
        <v>5448</v>
      </c>
      <c r="C3017" s="2">
        <v>0.39</v>
      </c>
      <c r="D3017" s="2">
        <v>15.0952</v>
      </c>
      <c r="E3017" s="2" t="s">
        <v>630</v>
      </c>
    </row>
    <row r="3018" spans="1:5" ht="20.25" customHeight="1" x14ac:dyDescent="0.15">
      <c r="A3018" s="2" t="s">
        <v>6550</v>
      </c>
      <c r="B3018" s="2" t="s">
        <v>6551</v>
      </c>
      <c r="C3018" s="2">
        <v>0.39</v>
      </c>
      <c r="D3018" s="2">
        <v>0.35</v>
      </c>
      <c r="E3018" s="2" t="s">
        <v>3141</v>
      </c>
    </row>
    <row r="3019" spans="1:5" ht="20.25" customHeight="1" x14ac:dyDescent="0.15">
      <c r="A3019" s="2" t="s">
        <v>6730</v>
      </c>
      <c r="B3019" s="2" t="s">
        <v>6731</v>
      </c>
      <c r="C3019" s="2">
        <v>0.39</v>
      </c>
      <c r="D3019" s="2">
        <v>0.10970000000000001</v>
      </c>
      <c r="E3019" s="2" t="s">
        <v>483</v>
      </c>
    </row>
    <row r="3020" spans="1:5" ht="20.25" customHeight="1" x14ac:dyDescent="0.15">
      <c r="A3020" s="2" t="s">
        <v>7167</v>
      </c>
      <c r="B3020" s="2" t="s">
        <v>7168</v>
      </c>
      <c r="C3020" s="2">
        <v>0.39</v>
      </c>
      <c r="D3020" s="2">
        <v>4.1009000000000002</v>
      </c>
      <c r="E3020" s="2" t="s">
        <v>201</v>
      </c>
    </row>
    <row r="3021" spans="1:5" ht="20.25" customHeight="1" x14ac:dyDescent="0.15">
      <c r="A3021" s="2" t="s">
        <v>927</v>
      </c>
      <c r="B3021" s="2" t="s">
        <v>928</v>
      </c>
      <c r="C3021" s="2">
        <v>0.38</v>
      </c>
      <c r="D3021" s="2">
        <v>0.3075</v>
      </c>
      <c r="E3021" s="2" t="s">
        <v>92</v>
      </c>
    </row>
    <row r="3022" spans="1:5" ht="20.25" customHeight="1" x14ac:dyDescent="0.15">
      <c r="A3022" s="2" t="s">
        <v>3084</v>
      </c>
      <c r="B3022" s="2" t="s">
        <v>3085</v>
      </c>
      <c r="C3022" s="2">
        <v>0.38</v>
      </c>
      <c r="D3022" s="2">
        <v>3.5129999999999999</v>
      </c>
      <c r="E3022" s="2" t="s">
        <v>299</v>
      </c>
    </row>
    <row r="3023" spans="1:5" ht="20.25" customHeight="1" x14ac:dyDescent="0.15">
      <c r="A3023" s="2" t="s">
        <v>3789</v>
      </c>
      <c r="B3023" s="2" t="s">
        <v>3790</v>
      </c>
      <c r="C3023" s="2">
        <v>0.38</v>
      </c>
      <c r="D3023" s="2">
        <v>2.0108000000000001</v>
      </c>
      <c r="E3023" s="2" t="s">
        <v>268</v>
      </c>
    </row>
    <row r="3024" spans="1:5" ht="20.25" customHeight="1" x14ac:dyDescent="0.15">
      <c r="A3024" s="2" t="s">
        <v>3889</v>
      </c>
      <c r="B3024" s="2" t="s">
        <v>3890</v>
      </c>
      <c r="C3024" s="2">
        <v>0.38</v>
      </c>
      <c r="D3024" s="2">
        <v>0.46660000000000001</v>
      </c>
      <c r="E3024" s="2" t="s">
        <v>310</v>
      </c>
    </row>
    <row r="3025" spans="1:5" ht="20.25" customHeight="1" x14ac:dyDescent="0.15">
      <c r="A3025" s="2" t="s">
        <v>3909</v>
      </c>
      <c r="B3025" s="2" t="s">
        <v>3910</v>
      </c>
      <c r="C3025" s="2">
        <v>0.38</v>
      </c>
      <c r="D3025" s="2">
        <v>1.1447000000000001</v>
      </c>
      <c r="E3025" s="2" t="s">
        <v>799</v>
      </c>
    </row>
    <row r="3026" spans="1:5" ht="20.25" customHeight="1" x14ac:dyDescent="0.15">
      <c r="A3026" s="2" t="s">
        <v>4660</v>
      </c>
      <c r="B3026" s="2" t="s">
        <v>4661</v>
      </c>
      <c r="C3026" s="2">
        <v>0.38</v>
      </c>
      <c r="D3026" s="2">
        <v>1.9373</v>
      </c>
      <c r="E3026" s="2" t="s">
        <v>220</v>
      </c>
    </row>
    <row r="3027" spans="1:5" ht="20.25" customHeight="1" x14ac:dyDescent="0.15">
      <c r="A3027" s="2" t="s">
        <v>5455</v>
      </c>
      <c r="B3027" s="2" t="s">
        <v>5456</v>
      </c>
      <c r="C3027" s="2">
        <v>0.38</v>
      </c>
      <c r="D3027" s="2">
        <v>147.11150000000001</v>
      </c>
      <c r="E3027" s="2" t="s">
        <v>1997</v>
      </c>
    </row>
    <row r="3028" spans="1:5" ht="20.25" customHeight="1" x14ac:dyDescent="0.15">
      <c r="A3028" s="2" t="s">
        <v>5794</v>
      </c>
      <c r="B3028" s="2" t="s">
        <v>5795</v>
      </c>
      <c r="C3028" s="2">
        <v>0.38</v>
      </c>
      <c r="D3028" s="2">
        <v>0.29170000000000001</v>
      </c>
      <c r="E3028" s="2" t="s">
        <v>450</v>
      </c>
    </row>
    <row r="3029" spans="1:5" ht="20.25" customHeight="1" x14ac:dyDescent="0.15">
      <c r="A3029" s="2" t="s">
        <v>5926</v>
      </c>
      <c r="B3029" s="2" t="s">
        <v>5927</v>
      </c>
      <c r="C3029" s="2">
        <v>0.38</v>
      </c>
      <c r="D3029" s="2">
        <v>0.19040000000000001</v>
      </c>
      <c r="E3029" s="2" t="s">
        <v>1061</v>
      </c>
    </row>
    <row r="3030" spans="1:5" ht="20.25" customHeight="1" x14ac:dyDescent="0.15">
      <c r="A3030" s="2" t="s">
        <v>6000</v>
      </c>
      <c r="B3030" s="2" t="s">
        <v>6001</v>
      </c>
      <c r="C3030" s="2">
        <v>0.38</v>
      </c>
      <c r="D3030" s="2">
        <v>17.856999999999999</v>
      </c>
      <c r="E3030" s="2" t="s">
        <v>171</v>
      </c>
    </row>
    <row r="3031" spans="1:5" ht="20.25" customHeight="1" x14ac:dyDescent="0.15">
      <c r="A3031" s="2" t="s">
        <v>6522</v>
      </c>
      <c r="B3031" s="2" t="s">
        <v>6523</v>
      </c>
      <c r="C3031" s="2">
        <v>0.38</v>
      </c>
      <c r="D3031" s="2">
        <v>4.234</v>
      </c>
      <c r="E3031" s="2" t="s">
        <v>1969</v>
      </c>
    </row>
    <row r="3032" spans="1:5" ht="20.25" customHeight="1" x14ac:dyDescent="0.15">
      <c r="A3032" s="2" t="s">
        <v>6602</v>
      </c>
      <c r="B3032" s="2" t="s">
        <v>6603</v>
      </c>
      <c r="C3032" s="2">
        <v>0.38</v>
      </c>
      <c r="D3032" s="2">
        <v>0.26600000000000001</v>
      </c>
      <c r="E3032" s="2" t="s">
        <v>4939</v>
      </c>
    </row>
    <row r="3033" spans="1:5" ht="20.25" customHeight="1" x14ac:dyDescent="0.15">
      <c r="A3033" s="2" t="s">
        <v>6885</v>
      </c>
      <c r="B3033" s="2" t="s">
        <v>6886</v>
      </c>
      <c r="C3033" s="2">
        <v>0.38</v>
      </c>
      <c r="D3033" s="2">
        <v>9.4823000000000004</v>
      </c>
      <c r="E3033" s="2" t="s">
        <v>2463</v>
      </c>
    </row>
    <row r="3034" spans="1:5" ht="20.25" customHeight="1" x14ac:dyDescent="0.15">
      <c r="A3034" s="2" t="s">
        <v>8185</v>
      </c>
      <c r="B3034" s="2" t="s">
        <v>8186</v>
      </c>
      <c r="C3034" s="2">
        <v>0.38</v>
      </c>
      <c r="D3034" s="2">
        <v>3.2376999999999998</v>
      </c>
      <c r="E3034" s="2" t="s">
        <v>344</v>
      </c>
    </row>
    <row r="3035" spans="1:5" ht="20.25" customHeight="1" x14ac:dyDescent="0.15">
      <c r="A3035" s="2" t="s">
        <v>8293</v>
      </c>
      <c r="B3035" s="2" t="s">
        <v>8294</v>
      </c>
      <c r="C3035" s="2">
        <v>0.38</v>
      </c>
      <c r="D3035" s="2">
        <v>1.4723999999999999</v>
      </c>
      <c r="E3035" s="2" t="s">
        <v>2678</v>
      </c>
    </row>
    <row r="3036" spans="1:5" ht="20.25" customHeight="1" x14ac:dyDescent="0.15">
      <c r="A3036" s="2" t="s">
        <v>7641</v>
      </c>
      <c r="B3036" s="2" t="s">
        <v>7642</v>
      </c>
      <c r="C3036" s="2">
        <v>0.375</v>
      </c>
      <c r="D3036" s="2">
        <v>5.8719999999999999</v>
      </c>
      <c r="E3036" s="2" t="s">
        <v>52</v>
      </c>
    </row>
    <row r="3037" spans="1:5" ht="20.25" customHeight="1" x14ac:dyDescent="0.15">
      <c r="A3037" s="2" t="s">
        <v>1729</v>
      </c>
      <c r="B3037" s="2" t="s">
        <v>1730</v>
      </c>
      <c r="C3037" s="2">
        <v>0.37</v>
      </c>
      <c r="D3037" s="2">
        <v>2.1589</v>
      </c>
      <c r="E3037" s="2" t="s">
        <v>958</v>
      </c>
    </row>
    <row r="3038" spans="1:5" ht="20.25" customHeight="1" x14ac:dyDescent="0.15">
      <c r="A3038" s="2" t="s">
        <v>2059</v>
      </c>
      <c r="B3038" s="2" t="s">
        <v>2060</v>
      </c>
      <c r="C3038" s="2">
        <v>0.37</v>
      </c>
      <c r="D3038" s="2">
        <v>1.3482000000000001</v>
      </c>
      <c r="E3038" s="2" t="s">
        <v>95</v>
      </c>
    </row>
    <row r="3039" spans="1:5" ht="20.25" customHeight="1" x14ac:dyDescent="0.15">
      <c r="A3039" s="2" t="s">
        <v>2490</v>
      </c>
      <c r="B3039" s="2" t="s">
        <v>2491</v>
      </c>
      <c r="C3039" s="2">
        <v>0.37</v>
      </c>
      <c r="D3039" s="2">
        <v>0.2321</v>
      </c>
      <c r="E3039" s="2" t="s">
        <v>276</v>
      </c>
    </row>
    <row r="3040" spans="1:5" ht="20.25" customHeight="1" x14ac:dyDescent="0.15">
      <c r="A3040" s="2" t="s">
        <v>2977</v>
      </c>
      <c r="B3040" s="2" t="s">
        <v>2978</v>
      </c>
      <c r="C3040" s="2">
        <v>0.37</v>
      </c>
      <c r="D3040" s="2">
        <v>37.2087</v>
      </c>
      <c r="E3040" s="2" t="s">
        <v>240</v>
      </c>
    </row>
    <row r="3041" spans="1:5" ht="20.25" customHeight="1" x14ac:dyDescent="0.15">
      <c r="A3041" s="2" t="s">
        <v>3716</v>
      </c>
      <c r="B3041" s="2" t="s">
        <v>3717</v>
      </c>
      <c r="C3041" s="2">
        <v>0.37</v>
      </c>
      <c r="D3041" s="2">
        <v>20.426400000000001</v>
      </c>
      <c r="E3041" s="2" t="s">
        <v>220</v>
      </c>
    </row>
    <row r="3042" spans="1:5" ht="20.25" customHeight="1" x14ac:dyDescent="0.15">
      <c r="A3042" s="2" t="s">
        <v>3847</v>
      </c>
      <c r="B3042" s="2" t="s">
        <v>3848</v>
      </c>
      <c r="C3042" s="2">
        <v>0.37</v>
      </c>
      <c r="D3042" s="2">
        <v>1.0516000000000001</v>
      </c>
      <c r="E3042" s="2" t="s">
        <v>171</v>
      </c>
    </row>
    <row r="3043" spans="1:5" ht="20.25" customHeight="1" x14ac:dyDescent="0.15">
      <c r="A3043" s="2" t="s">
        <v>4178</v>
      </c>
      <c r="B3043" s="2" t="s">
        <v>4179</v>
      </c>
      <c r="C3043" s="2">
        <v>0.37</v>
      </c>
      <c r="D3043" s="2">
        <v>1.6781999999999999</v>
      </c>
      <c r="E3043" s="2" t="s">
        <v>286</v>
      </c>
    </row>
    <row r="3044" spans="1:5" ht="20.25" customHeight="1" x14ac:dyDescent="0.15">
      <c r="A3044" s="2" t="s">
        <v>4428</v>
      </c>
      <c r="B3044" s="2" t="s">
        <v>4429</v>
      </c>
      <c r="C3044" s="2">
        <v>0.37</v>
      </c>
      <c r="D3044" s="2">
        <v>0.27589999999999998</v>
      </c>
      <c r="E3044" s="2" t="s">
        <v>81</v>
      </c>
    </row>
    <row r="3045" spans="1:5" ht="20.25" customHeight="1" x14ac:dyDescent="0.15">
      <c r="A3045" s="2" t="s">
        <v>5300</v>
      </c>
      <c r="B3045" s="2" t="s">
        <v>5301</v>
      </c>
      <c r="C3045" s="2">
        <v>0.37</v>
      </c>
      <c r="D3045" s="2">
        <v>22.014700000000001</v>
      </c>
      <c r="E3045" s="2" t="s">
        <v>1873</v>
      </c>
    </row>
    <row r="3046" spans="1:5" ht="20.25" customHeight="1" x14ac:dyDescent="0.15">
      <c r="A3046" s="2" t="s">
        <v>5587</v>
      </c>
      <c r="B3046" s="2" t="s">
        <v>5588</v>
      </c>
      <c r="C3046" s="2">
        <v>0.37</v>
      </c>
      <c r="D3046" s="2">
        <v>3.1442000000000001</v>
      </c>
      <c r="E3046" s="2" t="s">
        <v>704</v>
      </c>
    </row>
    <row r="3047" spans="1:5" ht="20.25" customHeight="1" x14ac:dyDescent="0.15">
      <c r="A3047" s="2" t="s">
        <v>7303</v>
      </c>
      <c r="B3047" s="2" t="s">
        <v>7304</v>
      </c>
      <c r="C3047" s="2">
        <v>0.37</v>
      </c>
      <c r="D3047" s="2">
        <v>1.7907999999999999</v>
      </c>
      <c r="E3047" s="2" t="s">
        <v>568</v>
      </c>
    </row>
    <row r="3048" spans="1:5" ht="20.25" customHeight="1" x14ac:dyDescent="0.15">
      <c r="A3048" s="2" t="s">
        <v>3879</v>
      </c>
      <c r="B3048" s="2" t="s">
        <v>3880</v>
      </c>
      <c r="C3048" s="2">
        <v>0.36</v>
      </c>
      <c r="D3048" s="2">
        <v>9.0792999999999999</v>
      </c>
      <c r="E3048" s="2" t="s">
        <v>2678</v>
      </c>
    </row>
    <row r="3049" spans="1:5" ht="20.25" customHeight="1" x14ac:dyDescent="0.15">
      <c r="A3049" s="2" t="s">
        <v>4628</v>
      </c>
      <c r="B3049" s="2" t="s">
        <v>4629</v>
      </c>
      <c r="C3049" s="2">
        <v>0.36</v>
      </c>
      <c r="D3049" s="2">
        <v>7.0373000000000001</v>
      </c>
      <c r="E3049" s="2" t="s">
        <v>171</v>
      </c>
    </row>
    <row r="3050" spans="1:5" ht="20.25" customHeight="1" x14ac:dyDescent="0.15">
      <c r="A3050" s="2" t="s">
        <v>4680</v>
      </c>
      <c r="B3050" s="2" t="s">
        <v>4681</v>
      </c>
      <c r="C3050" s="2">
        <v>0.36</v>
      </c>
      <c r="D3050" s="2">
        <v>0.33739999999999998</v>
      </c>
      <c r="E3050" s="2" t="s">
        <v>89</v>
      </c>
    </row>
    <row r="3051" spans="1:5" ht="20.25" customHeight="1" x14ac:dyDescent="0.15">
      <c r="A3051" s="2" t="s">
        <v>5344</v>
      </c>
      <c r="B3051" s="2" t="s">
        <v>5345</v>
      </c>
      <c r="C3051" s="2">
        <v>0.36</v>
      </c>
      <c r="D3051" s="2">
        <v>6.3899999999999998E-2</v>
      </c>
      <c r="E3051" s="2" t="s">
        <v>713</v>
      </c>
    </row>
    <row r="3052" spans="1:5" ht="20.25" customHeight="1" x14ac:dyDescent="0.15">
      <c r="A3052" s="2" t="s">
        <v>5459</v>
      </c>
      <c r="B3052" s="2" t="s">
        <v>5460</v>
      </c>
      <c r="C3052" s="2">
        <v>0.36</v>
      </c>
      <c r="D3052" s="2">
        <v>0.30919999999999997</v>
      </c>
      <c r="E3052" s="2" t="s">
        <v>371</v>
      </c>
    </row>
    <row r="3053" spans="1:5" ht="20.25" customHeight="1" x14ac:dyDescent="0.15">
      <c r="A3053" s="2" t="s">
        <v>5501</v>
      </c>
      <c r="B3053" s="2" t="s">
        <v>5502</v>
      </c>
      <c r="C3053" s="2">
        <v>0.36</v>
      </c>
      <c r="D3053" s="2">
        <v>271.82589999999999</v>
      </c>
      <c r="E3053" s="2" t="s">
        <v>1593</v>
      </c>
    </row>
    <row r="3054" spans="1:5" ht="20.25" customHeight="1" x14ac:dyDescent="0.15">
      <c r="A3054" s="2" t="s">
        <v>5808</v>
      </c>
      <c r="B3054" s="2" t="s">
        <v>5809</v>
      </c>
      <c r="C3054" s="2">
        <v>0.36</v>
      </c>
      <c r="D3054" s="2">
        <v>5.2492999999999999</v>
      </c>
      <c r="E3054" s="2" t="s">
        <v>713</v>
      </c>
    </row>
    <row r="3055" spans="1:5" ht="20.25" customHeight="1" x14ac:dyDescent="0.15">
      <c r="A3055" s="2" t="s">
        <v>5902</v>
      </c>
      <c r="B3055" s="2" t="s">
        <v>5903</v>
      </c>
      <c r="C3055" s="2">
        <v>0.36</v>
      </c>
      <c r="D3055" s="2">
        <v>8.0702999999999996</v>
      </c>
      <c r="E3055" s="2" t="s">
        <v>1243</v>
      </c>
    </row>
    <row r="3056" spans="1:5" ht="20.25" customHeight="1" x14ac:dyDescent="0.15">
      <c r="A3056" s="2" t="s">
        <v>6040</v>
      </c>
      <c r="B3056" s="2" t="s">
        <v>6041</v>
      </c>
      <c r="C3056" s="2">
        <v>0.36</v>
      </c>
      <c r="D3056" s="2">
        <v>154.5061</v>
      </c>
      <c r="E3056" s="2" t="s">
        <v>1873</v>
      </c>
    </row>
    <row r="3057" spans="1:5" ht="20.25" customHeight="1" x14ac:dyDescent="0.15">
      <c r="A3057" s="2" t="s">
        <v>7665</v>
      </c>
      <c r="B3057" s="2" t="s">
        <v>7666</v>
      </c>
      <c r="C3057" s="2">
        <v>0.36</v>
      </c>
      <c r="D3057" s="2">
        <v>3.4636999999999998</v>
      </c>
      <c r="E3057" s="2" t="s">
        <v>10</v>
      </c>
    </row>
    <row r="3058" spans="1:5" ht="20.25" customHeight="1" x14ac:dyDescent="0.15">
      <c r="A3058" s="2" t="s">
        <v>8277</v>
      </c>
      <c r="B3058" s="2" t="s">
        <v>8278</v>
      </c>
      <c r="C3058" s="2">
        <v>0.36</v>
      </c>
      <c r="D3058" s="2">
        <v>3.6101999999999999</v>
      </c>
      <c r="E3058" s="2" t="s">
        <v>1145</v>
      </c>
    </row>
    <row r="3059" spans="1:5" ht="20.25" customHeight="1" x14ac:dyDescent="0.15">
      <c r="A3059" s="2" t="s">
        <v>6877</v>
      </c>
      <c r="B3059" s="2" t="s">
        <v>6878</v>
      </c>
      <c r="C3059" s="2">
        <v>0.35499999999999998</v>
      </c>
      <c r="D3059" s="2">
        <v>7.2022000000000004</v>
      </c>
      <c r="E3059" s="2" t="s">
        <v>1459</v>
      </c>
    </row>
    <row r="3060" spans="1:5" ht="20.25" customHeight="1" x14ac:dyDescent="0.15">
      <c r="A3060" s="2" t="s">
        <v>956</v>
      </c>
      <c r="B3060" s="2" t="s">
        <v>957</v>
      </c>
      <c r="C3060" s="2">
        <v>0.35</v>
      </c>
      <c r="D3060" s="2">
        <v>0.34860000000000002</v>
      </c>
      <c r="E3060" s="2" t="s">
        <v>958</v>
      </c>
    </row>
    <row r="3061" spans="1:5" ht="20.25" customHeight="1" x14ac:dyDescent="0.15">
      <c r="A3061" s="2" t="s">
        <v>1529</v>
      </c>
      <c r="B3061" s="2" t="s">
        <v>1530</v>
      </c>
      <c r="C3061" s="2">
        <v>0.35</v>
      </c>
      <c r="D3061" s="2">
        <v>8.8499999999999995E-2</v>
      </c>
      <c r="E3061" s="2" t="s">
        <v>220</v>
      </c>
    </row>
    <row r="3062" spans="1:5" ht="20.25" customHeight="1" x14ac:dyDescent="0.15">
      <c r="A3062" s="2" t="s">
        <v>1735</v>
      </c>
      <c r="B3062" s="2" t="s">
        <v>1736</v>
      </c>
      <c r="C3062" s="2">
        <v>0.35</v>
      </c>
      <c r="D3062" s="2">
        <v>0.35360000000000003</v>
      </c>
      <c r="E3062" s="2" t="s">
        <v>10</v>
      </c>
    </row>
    <row r="3063" spans="1:5" ht="20.25" customHeight="1" x14ac:dyDescent="0.15">
      <c r="A3063" s="2" t="s">
        <v>2512</v>
      </c>
      <c r="B3063" s="2" t="s">
        <v>2513</v>
      </c>
      <c r="C3063" s="2">
        <v>0.35</v>
      </c>
      <c r="D3063" s="2">
        <v>7.4969000000000001</v>
      </c>
      <c r="E3063" s="2" t="s">
        <v>140</v>
      </c>
    </row>
    <row r="3064" spans="1:5" ht="20.25" customHeight="1" x14ac:dyDescent="0.15">
      <c r="A3064" s="2" t="s">
        <v>4108</v>
      </c>
      <c r="B3064" s="2" t="s">
        <v>4109</v>
      </c>
      <c r="C3064" s="2">
        <v>0.35</v>
      </c>
      <c r="D3064" s="2">
        <v>7.1475999999999997</v>
      </c>
      <c r="E3064" s="2" t="s">
        <v>647</v>
      </c>
    </row>
    <row r="3065" spans="1:5" ht="20.25" customHeight="1" x14ac:dyDescent="0.15">
      <c r="A3065" s="2" t="s">
        <v>5002</v>
      </c>
      <c r="B3065" s="2" t="s">
        <v>5003</v>
      </c>
      <c r="C3065" s="2">
        <v>0.35</v>
      </c>
      <c r="D3065" s="2">
        <v>6.8754999999999997</v>
      </c>
      <c r="E3065" s="2" t="s">
        <v>299</v>
      </c>
    </row>
    <row r="3066" spans="1:5" ht="20.25" customHeight="1" x14ac:dyDescent="0.15">
      <c r="A3066" s="2" t="s">
        <v>5106</v>
      </c>
      <c r="B3066" s="2" t="s">
        <v>5107</v>
      </c>
      <c r="C3066" s="2">
        <v>0.35</v>
      </c>
      <c r="D3066" s="2">
        <v>0.75829999999999997</v>
      </c>
      <c r="E3066" s="2" t="s">
        <v>1173</v>
      </c>
    </row>
    <row r="3067" spans="1:5" ht="20.25" customHeight="1" x14ac:dyDescent="0.15">
      <c r="A3067" s="2" t="s">
        <v>5517</v>
      </c>
      <c r="B3067" s="2" t="s">
        <v>5518</v>
      </c>
      <c r="C3067" s="2">
        <v>0.35</v>
      </c>
      <c r="D3067" s="2">
        <v>1.2330000000000001</v>
      </c>
      <c r="E3067" s="2" t="s">
        <v>44</v>
      </c>
    </row>
    <row r="3068" spans="1:5" ht="20.25" customHeight="1" x14ac:dyDescent="0.15">
      <c r="A3068" s="2" t="s">
        <v>5649</v>
      </c>
      <c r="B3068" s="2" t="s">
        <v>5650</v>
      </c>
      <c r="C3068" s="2">
        <v>0.35</v>
      </c>
      <c r="D3068" s="2">
        <v>6.9099999999999995E-2</v>
      </c>
      <c r="E3068" s="2" t="s">
        <v>667</v>
      </c>
    </row>
    <row r="3069" spans="1:5" ht="20.25" customHeight="1" x14ac:dyDescent="0.15">
      <c r="A3069" s="2" t="s">
        <v>6214</v>
      </c>
      <c r="B3069" s="2" t="s">
        <v>6215</v>
      </c>
      <c r="C3069" s="2">
        <v>0.35</v>
      </c>
      <c r="D3069" s="2">
        <v>31.628799999999998</v>
      </c>
      <c r="E3069" s="2" t="s">
        <v>44</v>
      </c>
    </row>
    <row r="3070" spans="1:5" ht="20.25" customHeight="1" x14ac:dyDescent="0.15">
      <c r="A3070" s="2" t="s">
        <v>6811</v>
      </c>
      <c r="B3070" s="2" t="s">
        <v>6812</v>
      </c>
      <c r="C3070" s="2">
        <v>0.35</v>
      </c>
      <c r="D3070" s="2">
        <v>0.74880000000000002</v>
      </c>
      <c r="E3070" s="2" t="s">
        <v>1061</v>
      </c>
    </row>
    <row r="3071" spans="1:5" ht="20.25" customHeight="1" x14ac:dyDescent="0.15">
      <c r="A3071" s="2" t="s">
        <v>6829</v>
      </c>
      <c r="B3071" s="2" t="s">
        <v>6830</v>
      </c>
      <c r="C3071" s="2">
        <v>0.35</v>
      </c>
      <c r="D3071" s="2">
        <v>6.2297000000000002</v>
      </c>
      <c r="E3071" s="2" t="s">
        <v>245</v>
      </c>
    </row>
    <row r="3072" spans="1:5" ht="20.25" customHeight="1" x14ac:dyDescent="0.15">
      <c r="A3072" s="2" t="s">
        <v>7101</v>
      </c>
      <c r="B3072" s="2" t="s">
        <v>7102</v>
      </c>
      <c r="C3072" s="2">
        <v>0.35</v>
      </c>
      <c r="D3072" s="2">
        <v>208.8143</v>
      </c>
      <c r="E3072" s="2" t="s">
        <v>1593</v>
      </c>
    </row>
    <row r="3073" spans="1:5" ht="20.25" customHeight="1" x14ac:dyDescent="0.15">
      <c r="A3073" s="2" t="s">
        <v>7377</v>
      </c>
      <c r="B3073" s="2" t="s">
        <v>7378</v>
      </c>
      <c r="C3073" s="2">
        <v>0.35</v>
      </c>
      <c r="D3073" s="2">
        <v>2.0663999999999998</v>
      </c>
      <c r="E3073" s="2" t="s">
        <v>1870</v>
      </c>
    </row>
    <row r="3074" spans="1:5" ht="20.25" customHeight="1" x14ac:dyDescent="0.15">
      <c r="A3074" s="2" t="s">
        <v>7853</v>
      </c>
      <c r="B3074" s="2" t="s">
        <v>7854</v>
      </c>
      <c r="C3074" s="2">
        <v>0.35</v>
      </c>
      <c r="D3074" s="2">
        <v>1.3988</v>
      </c>
      <c r="E3074" s="2" t="s">
        <v>818</v>
      </c>
    </row>
    <row r="3075" spans="1:5" ht="20.25" customHeight="1" x14ac:dyDescent="0.15">
      <c r="A3075" s="2" t="s">
        <v>7889</v>
      </c>
      <c r="B3075" s="2" t="s">
        <v>7890</v>
      </c>
      <c r="C3075" s="2">
        <v>0.35</v>
      </c>
      <c r="D3075" s="2">
        <v>14.541600000000001</v>
      </c>
      <c r="E3075" s="2" t="s">
        <v>1486</v>
      </c>
    </row>
    <row r="3076" spans="1:5" ht="20.25" customHeight="1" x14ac:dyDescent="0.15">
      <c r="A3076" s="2" t="s">
        <v>223</v>
      </c>
      <c r="B3076" s="2" t="s">
        <v>224</v>
      </c>
      <c r="C3076" s="2">
        <v>0.34</v>
      </c>
      <c r="D3076" s="2">
        <v>1.17</v>
      </c>
      <c r="E3076" s="2" t="s">
        <v>225</v>
      </c>
    </row>
    <row r="3077" spans="1:5" ht="20.25" customHeight="1" x14ac:dyDescent="0.15">
      <c r="A3077" s="2" t="s">
        <v>3109</v>
      </c>
      <c r="B3077" s="2" t="s">
        <v>3110</v>
      </c>
      <c r="C3077" s="2">
        <v>0.34</v>
      </c>
      <c r="D3077" s="2">
        <v>5.6676000000000002</v>
      </c>
      <c r="E3077" s="2" t="s">
        <v>3111</v>
      </c>
    </row>
    <row r="3078" spans="1:5" ht="20.25" customHeight="1" x14ac:dyDescent="0.15">
      <c r="A3078" s="2" t="s">
        <v>3250</v>
      </c>
      <c r="B3078" s="2" t="s">
        <v>3251</v>
      </c>
      <c r="C3078" s="2">
        <v>0.34</v>
      </c>
      <c r="D3078" s="2">
        <v>3.7229999999999999</v>
      </c>
      <c r="E3078" s="2" t="s">
        <v>3053</v>
      </c>
    </row>
    <row r="3079" spans="1:5" ht="20.25" customHeight="1" x14ac:dyDescent="0.15">
      <c r="A3079" s="2" t="s">
        <v>3597</v>
      </c>
      <c r="B3079" s="2" t="s">
        <v>3598</v>
      </c>
      <c r="C3079" s="2">
        <v>0.34</v>
      </c>
      <c r="D3079" s="2">
        <v>8.1342999999999996</v>
      </c>
      <c r="E3079" s="2" t="s">
        <v>322</v>
      </c>
    </row>
    <row r="3080" spans="1:5" ht="20.25" customHeight="1" x14ac:dyDescent="0.15">
      <c r="A3080" s="2" t="s">
        <v>4062</v>
      </c>
      <c r="B3080" s="2" t="s">
        <v>4063</v>
      </c>
      <c r="C3080" s="2">
        <v>0.34</v>
      </c>
      <c r="D3080" s="2">
        <v>10.8766</v>
      </c>
      <c r="E3080" s="2" t="s">
        <v>149</v>
      </c>
    </row>
    <row r="3081" spans="1:5" ht="20.25" customHeight="1" x14ac:dyDescent="0.15">
      <c r="A3081" s="2" t="s">
        <v>5032</v>
      </c>
      <c r="B3081" s="2" t="s">
        <v>5033</v>
      </c>
      <c r="C3081" s="2">
        <v>0.34</v>
      </c>
      <c r="D3081" s="2">
        <v>3.9883000000000002</v>
      </c>
      <c r="E3081" s="2" t="s">
        <v>2681</v>
      </c>
    </row>
    <row r="3082" spans="1:5" ht="20.25" customHeight="1" x14ac:dyDescent="0.15">
      <c r="A3082" s="2" t="s">
        <v>5473</v>
      </c>
      <c r="B3082" s="2" t="s">
        <v>5474</v>
      </c>
      <c r="C3082" s="2">
        <v>0.34</v>
      </c>
      <c r="D3082" s="2">
        <v>7.7617000000000003</v>
      </c>
      <c r="E3082" s="2" t="s">
        <v>630</v>
      </c>
    </row>
    <row r="3083" spans="1:5" ht="20.25" customHeight="1" x14ac:dyDescent="0.15">
      <c r="A3083" s="2" t="s">
        <v>5491</v>
      </c>
      <c r="B3083" s="2" t="s">
        <v>5492</v>
      </c>
      <c r="C3083" s="2">
        <v>0.34</v>
      </c>
      <c r="D3083" s="2">
        <v>8.0753000000000004</v>
      </c>
      <c r="E3083" s="2" t="s">
        <v>44</v>
      </c>
    </row>
    <row r="3084" spans="1:5" ht="20.25" customHeight="1" x14ac:dyDescent="0.15">
      <c r="A3084" s="2" t="s">
        <v>5788</v>
      </c>
      <c r="B3084" s="2" t="s">
        <v>5789</v>
      </c>
      <c r="C3084" s="2">
        <v>0.34</v>
      </c>
      <c r="D3084" s="2">
        <v>1.6898</v>
      </c>
      <c r="E3084" s="2" t="s">
        <v>171</v>
      </c>
    </row>
    <row r="3085" spans="1:5" ht="20.25" customHeight="1" x14ac:dyDescent="0.15">
      <c r="A3085" s="2" t="s">
        <v>6256</v>
      </c>
      <c r="B3085" s="2" t="s">
        <v>6257</v>
      </c>
      <c r="C3085" s="2">
        <v>0.34</v>
      </c>
      <c r="D3085" s="2">
        <v>67.223100000000002</v>
      </c>
      <c r="E3085" s="2" t="s">
        <v>371</v>
      </c>
    </row>
    <row r="3086" spans="1:5" ht="20.25" customHeight="1" x14ac:dyDescent="0.15">
      <c r="A3086" s="2" t="s">
        <v>6308</v>
      </c>
      <c r="B3086" s="2" t="s">
        <v>6309</v>
      </c>
      <c r="C3086" s="2">
        <v>0.34</v>
      </c>
      <c r="D3086" s="2">
        <v>2.6147999999999998</v>
      </c>
      <c r="E3086" s="2" t="s">
        <v>2063</v>
      </c>
    </row>
    <row r="3087" spans="1:5" ht="20.25" customHeight="1" x14ac:dyDescent="0.15">
      <c r="A3087" s="2" t="s">
        <v>7891</v>
      </c>
      <c r="B3087" s="2" t="s">
        <v>7892</v>
      </c>
      <c r="C3087" s="2">
        <v>0.34</v>
      </c>
      <c r="D3087" s="2">
        <v>3.8618999999999999</v>
      </c>
      <c r="E3087" s="2" t="s">
        <v>2678</v>
      </c>
    </row>
    <row r="3088" spans="1:5" ht="20.25" customHeight="1" x14ac:dyDescent="0.15">
      <c r="A3088" s="2" t="s">
        <v>7923</v>
      </c>
      <c r="B3088" s="2" t="s">
        <v>7924</v>
      </c>
      <c r="C3088" s="2">
        <v>0.34</v>
      </c>
      <c r="D3088" s="2">
        <v>3.6408</v>
      </c>
      <c r="E3088" s="2" t="s">
        <v>120</v>
      </c>
    </row>
    <row r="3089" spans="1:5" ht="20.25" customHeight="1" x14ac:dyDescent="0.15">
      <c r="A3089" s="2" t="s">
        <v>2492</v>
      </c>
      <c r="B3089" s="2" t="s">
        <v>2493</v>
      </c>
      <c r="C3089" s="2">
        <v>0.33</v>
      </c>
      <c r="D3089" s="2">
        <v>0.2092</v>
      </c>
      <c r="E3089" s="2" t="s">
        <v>81</v>
      </c>
    </row>
    <row r="3090" spans="1:5" ht="20.25" customHeight="1" x14ac:dyDescent="0.15">
      <c r="A3090" s="2" t="s">
        <v>3635</v>
      </c>
      <c r="B3090" s="2" t="s">
        <v>3636</v>
      </c>
      <c r="C3090" s="2">
        <v>0.33</v>
      </c>
      <c r="D3090" s="2">
        <v>5.8700000000000002E-2</v>
      </c>
      <c r="E3090" s="2" t="s">
        <v>276</v>
      </c>
    </row>
    <row r="3091" spans="1:5" ht="20.25" customHeight="1" x14ac:dyDescent="0.15">
      <c r="A3091" s="2" t="s">
        <v>3895</v>
      </c>
      <c r="B3091" s="2" t="s">
        <v>3896</v>
      </c>
      <c r="C3091" s="2">
        <v>0.33</v>
      </c>
      <c r="D3091" s="2">
        <v>1.1019000000000001</v>
      </c>
      <c r="E3091" s="2" t="s">
        <v>13</v>
      </c>
    </row>
    <row r="3092" spans="1:5" ht="20.25" customHeight="1" x14ac:dyDescent="0.15">
      <c r="A3092" s="2" t="s">
        <v>5074</v>
      </c>
      <c r="B3092" s="2" t="s">
        <v>5075</v>
      </c>
      <c r="C3092" s="2">
        <v>0.33</v>
      </c>
      <c r="D3092" s="2">
        <v>2.5154000000000001</v>
      </c>
      <c r="E3092" s="2" t="s">
        <v>396</v>
      </c>
    </row>
    <row r="3093" spans="1:5" ht="20.25" customHeight="1" x14ac:dyDescent="0.15">
      <c r="A3093" s="2" t="s">
        <v>5872</v>
      </c>
      <c r="B3093" s="2" t="s">
        <v>5873</v>
      </c>
      <c r="C3093" s="2">
        <v>0.33</v>
      </c>
      <c r="D3093" s="2">
        <v>0.97440000000000004</v>
      </c>
      <c r="E3093" s="2" t="s">
        <v>1061</v>
      </c>
    </row>
    <row r="3094" spans="1:5" ht="20.25" customHeight="1" x14ac:dyDescent="0.15">
      <c r="A3094" s="2" t="s">
        <v>5918</v>
      </c>
      <c r="B3094" s="2" t="s">
        <v>5919</v>
      </c>
      <c r="C3094" s="2">
        <v>0.33</v>
      </c>
      <c r="D3094" s="2">
        <v>2.1625999999999999</v>
      </c>
      <c r="E3094" s="2" t="s">
        <v>220</v>
      </c>
    </row>
    <row r="3095" spans="1:5" ht="20.25" customHeight="1" x14ac:dyDescent="0.15">
      <c r="A3095" s="2" t="s">
        <v>6014</v>
      </c>
      <c r="B3095" s="2" t="s">
        <v>6015</v>
      </c>
      <c r="C3095" s="2">
        <v>0.33</v>
      </c>
      <c r="D3095" s="2">
        <v>0.1285</v>
      </c>
      <c r="E3095" s="2" t="s">
        <v>571</v>
      </c>
    </row>
    <row r="3096" spans="1:5" ht="20.25" customHeight="1" x14ac:dyDescent="0.15">
      <c r="A3096" s="2" t="s">
        <v>6466</v>
      </c>
      <c r="B3096" s="2" t="s">
        <v>6467</v>
      </c>
      <c r="C3096" s="2">
        <v>0.33</v>
      </c>
      <c r="D3096" s="2">
        <v>2.0021</v>
      </c>
      <c r="E3096" s="2" t="s">
        <v>1173</v>
      </c>
    </row>
    <row r="3097" spans="1:5" ht="20.25" customHeight="1" x14ac:dyDescent="0.15">
      <c r="A3097" s="2" t="s">
        <v>6518</v>
      </c>
      <c r="B3097" s="2" t="s">
        <v>6519</v>
      </c>
      <c r="C3097" s="2">
        <v>0.33</v>
      </c>
      <c r="D3097" s="2">
        <v>0.38950000000000001</v>
      </c>
      <c r="E3097" s="2" t="s">
        <v>736</v>
      </c>
    </row>
    <row r="3098" spans="1:5" ht="20.25" customHeight="1" x14ac:dyDescent="0.15">
      <c r="A3098" s="2" t="s">
        <v>6903</v>
      </c>
      <c r="B3098" s="2" t="s">
        <v>6904</v>
      </c>
      <c r="C3098" s="2">
        <v>0.33</v>
      </c>
      <c r="D3098" s="2">
        <v>12.018599999999999</v>
      </c>
      <c r="E3098" s="2" t="s">
        <v>310</v>
      </c>
    </row>
    <row r="3099" spans="1:5" ht="20.25" customHeight="1" x14ac:dyDescent="0.15">
      <c r="A3099" s="2" t="s">
        <v>7393</v>
      </c>
      <c r="B3099" s="2" t="s">
        <v>7394</v>
      </c>
      <c r="C3099" s="2">
        <v>0.33</v>
      </c>
      <c r="D3099" s="2">
        <v>0.56040000000000001</v>
      </c>
      <c r="E3099" s="2" t="s">
        <v>201</v>
      </c>
    </row>
    <row r="3100" spans="1:5" ht="20.25" customHeight="1" x14ac:dyDescent="0.15">
      <c r="A3100" s="2" t="s">
        <v>7857</v>
      </c>
      <c r="B3100" s="2" t="s">
        <v>7858</v>
      </c>
      <c r="C3100" s="2">
        <v>0.33</v>
      </c>
      <c r="D3100" s="2">
        <v>1.0017</v>
      </c>
      <c r="E3100" s="2" t="s">
        <v>2678</v>
      </c>
    </row>
    <row r="3101" spans="1:5" ht="20.25" customHeight="1" x14ac:dyDescent="0.15">
      <c r="A3101" s="2" t="s">
        <v>583</v>
      </c>
      <c r="B3101" s="2" t="s">
        <v>584</v>
      </c>
      <c r="C3101" s="2">
        <v>0.32</v>
      </c>
      <c r="D3101" s="2">
        <v>5.6399999999999999E-2</v>
      </c>
      <c r="E3101" s="2" t="s">
        <v>322</v>
      </c>
    </row>
    <row r="3102" spans="1:5" ht="20.25" customHeight="1" x14ac:dyDescent="0.15">
      <c r="A3102" s="2" t="s">
        <v>1628</v>
      </c>
      <c r="B3102" s="2" t="s">
        <v>1629</v>
      </c>
      <c r="C3102" s="2">
        <v>0.32</v>
      </c>
      <c r="D3102" s="2">
        <v>9.3299999999999994E-2</v>
      </c>
      <c r="E3102" s="2" t="s">
        <v>1066</v>
      </c>
    </row>
    <row r="3103" spans="1:5" ht="20.25" customHeight="1" x14ac:dyDescent="0.15">
      <c r="A3103" s="2" t="s">
        <v>2532</v>
      </c>
      <c r="B3103" s="2" t="s">
        <v>2533</v>
      </c>
      <c r="C3103" s="2">
        <v>0.32</v>
      </c>
      <c r="D3103" s="2">
        <v>0.41039999999999999</v>
      </c>
      <c r="E3103" s="2" t="s">
        <v>220</v>
      </c>
    </row>
    <row r="3104" spans="1:5" ht="20.25" customHeight="1" x14ac:dyDescent="0.15">
      <c r="A3104" s="2" t="s">
        <v>3044</v>
      </c>
      <c r="B3104" s="2" t="s">
        <v>3045</v>
      </c>
      <c r="C3104" s="2">
        <v>0.32</v>
      </c>
      <c r="D3104" s="2">
        <v>30.405100000000001</v>
      </c>
      <c r="E3104" s="2" t="s">
        <v>185</v>
      </c>
    </row>
    <row r="3105" spans="1:5" ht="20.25" customHeight="1" x14ac:dyDescent="0.15">
      <c r="A3105" s="2" t="s">
        <v>3461</v>
      </c>
      <c r="B3105" s="2" t="s">
        <v>3462</v>
      </c>
      <c r="C3105" s="2">
        <v>0.32</v>
      </c>
      <c r="D3105" s="2">
        <v>4.1814999999999998</v>
      </c>
      <c r="E3105" s="2" t="s">
        <v>1285</v>
      </c>
    </row>
    <row r="3106" spans="1:5" ht="20.25" customHeight="1" x14ac:dyDescent="0.15">
      <c r="A3106" s="2" t="s">
        <v>3519</v>
      </c>
      <c r="B3106" s="2" t="s">
        <v>3520</v>
      </c>
      <c r="C3106" s="2">
        <v>0.32</v>
      </c>
      <c r="D3106" s="2">
        <v>4.7873000000000001</v>
      </c>
      <c r="E3106" s="2" t="s">
        <v>35</v>
      </c>
    </row>
    <row r="3107" spans="1:5" ht="20.25" customHeight="1" x14ac:dyDescent="0.15">
      <c r="A3107" s="2" t="s">
        <v>3605</v>
      </c>
      <c r="B3107" s="2" t="s">
        <v>3606</v>
      </c>
      <c r="C3107" s="2">
        <v>0.32</v>
      </c>
      <c r="D3107" s="2">
        <v>20.191800000000001</v>
      </c>
      <c r="E3107" s="2" t="s">
        <v>371</v>
      </c>
    </row>
    <row r="3108" spans="1:5" ht="20.25" customHeight="1" x14ac:dyDescent="0.15">
      <c r="A3108" s="2" t="s">
        <v>3873</v>
      </c>
      <c r="B3108" s="2" t="s">
        <v>3874</v>
      </c>
      <c r="C3108" s="2">
        <v>0.32</v>
      </c>
      <c r="D3108" s="2">
        <v>0.53410000000000002</v>
      </c>
      <c r="E3108" s="2" t="s">
        <v>736</v>
      </c>
    </row>
    <row r="3109" spans="1:5" ht="20.25" customHeight="1" x14ac:dyDescent="0.15">
      <c r="A3109" s="2" t="s">
        <v>4570</v>
      </c>
      <c r="B3109" s="2" t="s">
        <v>4571</v>
      </c>
      <c r="C3109" s="2">
        <v>0.32</v>
      </c>
      <c r="D3109" s="2">
        <v>4.3719000000000001</v>
      </c>
      <c r="E3109" s="2" t="s">
        <v>171</v>
      </c>
    </row>
    <row r="3110" spans="1:5" ht="20.25" customHeight="1" x14ac:dyDescent="0.15">
      <c r="A3110" s="2" t="s">
        <v>5810</v>
      </c>
      <c r="B3110" s="2" t="s">
        <v>5811</v>
      </c>
      <c r="C3110" s="2">
        <v>0.32</v>
      </c>
      <c r="D3110" s="2">
        <v>6.4721000000000002</v>
      </c>
      <c r="E3110" s="2" t="s">
        <v>260</v>
      </c>
    </row>
    <row r="3111" spans="1:5" ht="20.25" customHeight="1" x14ac:dyDescent="0.15">
      <c r="A3111" s="2" t="s">
        <v>6316</v>
      </c>
      <c r="B3111" s="2" t="s">
        <v>6317</v>
      </c>
      <c r="C3111" s="2">
        <v>0.32</v>
      </c>
      <c r="D3111" s="2">
        <v>0.56000000000000005</v>
      </c>
      <c r="E3111" s="2" t="s">
        <v>704</v>
      </c>
    </row>
    <row r="3112" spans="1:5" ht="20.25" customHeight="1" x14ac:dyDescent="0.15">
      <c r="A3112" s="2" t="s">
        <v>6704</v>
      </c>
      <c r="B3112" s="2" t="s">
        <v>6705</v>
      </c>
      <c r="C3112" s="2">
        <v>0.32</v>
      </c>
      <c r="D3112" s="2">
        <v>26.678699999999999</v>
      </c>
      <c r="E3112" s="2" t="s">
        <v>371</v>
      </c>
    </row>
    <row r="3113" spans="1:5" ht="20.25" customHeight="1" x14ac:dyDescent="0.15">
      <c r="A3113" s="2" t="s">
        <v>7425</v>
      </c>
      <c r="B3113" s="2" t="s">
        <v>7426</v>
      </c>
      <c r="C3113" s="2">
        <v>0.32</v>
      </c>
      <c r="D3113" s="2">
        <v>4.6521999999999997</v>
      </c>
      <c r="E3113" s="2" t="s">
        <v>1338</v>
      </c>
    </row>
    <row r="3114" spans="1:5" ht="20.25" customHeight="1" x14ac:dyDescent="0.15">
      <c r="A3114" s="2" t="s">
        <v>8023</v>
      </c>
      <c r="B3114" s="2" t="s">
        <v>8024</v>
      </c>
      <c r="C3114" s="2">
        <v>0.32</v>
      </c>
      <c r="D3114" s="2">
        <v>8.2211999999999996</v>
      </c>
      <c r="E3114" s="2" t="s">
        <v>201</v>
      </c>
    </row>
    <row r="3115" spans="1:5" ht="20.25" customHeight="1" x14ac:dyDescent="0.15">
      <c r="A3115" s="2" t="s">
        <v>1439</v>
      </c>
      <c r="B3115" s="2" t="s">
        <v>1440</v>
      </c>
      <c r="C3115" s="2">
        <v>0.31</v>
      </c>
      <c r="D3115" s="2">
        <v>9.7569999999999997</v>
      </c>
      <c r="E3115" s="2" t="s">
        <v>143</v>
      </c>
    </row>
    <row r="3116" spans="1:5" ht="20.25" customHeight="1" x14ac:dyDescent="0.15">
      <c r="A3116" s="2" t="s">
        <v>3051</v>
      </c>
      <c r="B3116" s="2" t="s">
        <v>3052</v>
      </c>
      <c r="C3116" s="2">
        <v>0.31</v>
      </c>
      <c r="D3116" s="2">
        <v>2.8231999999999999</v>
      </c>
      <c r="E3116" s="2" t="s">
        <v>3053</v>
      </c>
    </row>
    <row r="3117" spans="1:5" ht="20.25" customHeight="1" x14ac:dyDescent="0.15">
      <c r="A3117" s="2" t="s">
        <v>3264</v>
      </c>
      <c r="B3117" s="2" t="s">
        <v>3265</v>
      </c>
      <c r="C3117" s="2">
        <v>0.31</v>
      </c>
      <c r="D3117" s="2">
        <v>0.28470000000000001</v>
      </c>
      <c r="E3117" s="2" t="s">
        <v>299</v>
      </c>
    </row>
    <row r="3118" spans="1:5" ht="20.25" customHeight="1" x14ac:dyDescent="0.15">
      <c r="A3118" s="2" t="s">
        <v>3338</v>
      </c>
      <c r="B3118" s="2" t="s">
        <v>3339</v>
      </c>
      <c r="C3118" s="2">
        <v>0.31</v>
      </c>
      <c r="D3118" s="2">
        <v>5.0183</v>
      </c>
      <c r="E3118" s="2" t="s">
        <v>605</v>
      </c>
    </row>
    <row r="3119" spans="1:5" ht="20.25" customHeight="1" x14ac:dyDescent="0.15">
      <c r="A3119" s="2" t="s">
        <v>4228</v>
      </c>
      <c r="B3119" s="2" t="s">
        <v>4229</v>
      </c>
      <c r="C3119" s="2">
        <v>0.31</v>
      </c>
      <c r="D3119" s="2">
        <v>10.777699999999999</v>
      </c>
      <c r="E3119" s="2" t="s">
        <v>371</v>
      </c>
    </row>
    <row r="3120" spans="1:5" ht="20.25" customHeight="1" x14ac:dyDescent="0.15">
      <c r="A3120" s="2" t="s">
        <v>5154</v>
      </c>
      <c r="B3120" s="2" t="s">
        <v>5155</v>
      </c>
      <c r="C3120" s="2">
        <v>0.31</v>
      </c>
      <c r="D3120" s="2">
        <v>1.7000999999999999</v>
      </c>
      <c r="E3120" s="2" t="s">
        <v>24</v>
      </c>
    </row>
    <row r="3121" spans="1:5" ht="20.25" customHeight="1" x14ac:dyDescent="0.15">
      <c r="A3121" s="2" t="s">
        <v>5409</v>
      </c>
      <c r="B3121" s="2" t="s">
        <v>5410</v>
      </c>
      <c r="C3121" s="2">
        <v>0.31</v>
      </c>
      <c r="D3121" s="2">
        <v>0.1595</v>
      </c>
      <c r="E3121" s="2" t="s">
        <v>152</v>
      </c>
    </row>
    <row r="3122" spans="1:5" ht="20.25" customHeight="1" x14ac:dyDescent="0.15">
      <c r="A3122" s="2" t="s">
        <v>5475</v>
      </c>
      <c r="B3122" s="2" t="s">
        <v>5476</v>
      </c>
      <c r="C3122" s="2">
        <v>0.31</v>
      </c>
      <c r="D3122" s="2">
        <v>0.1663</v>
      </c>
      <c r="E3122" s="2" t="s">
        <v>704</v>
      </c>
    </row>
    <row r="3123" spans="1:5" ht="20.25" customHeight="1" x14ac:dyDescent="0.15">
      <c r="A3123" s="2" t="s">
        <v>6324</v>
      </c>
      <c r="B3123" s="2" t="s">
        <v>6325</v>
      </c>
      <c r="C3123" s="2">
        <v>0.31</v>
      </c>
      <c r="D3123" s="2">
        <v>39.3797</v>
      </c>
      <c r="E3123" s="2" t="s">
        <v>982</v>
      </c>
    </row>
    <row r="3124" spans="1:5" ht="20.25" customHeight="1" x14ac:dyDescent="0.15">
      <c r="A3124" s="2" t="s">
        <v>6334</v>
      </c>
      <c r="B3124" s="2" t="s">
        <v>6335</v>
      </c>
      <c r="C3124" s="2">
        <v>0.31</v>
      </c>
      <c r="D3124" s="2">
        <v>3.4443999999999999</v>
      </c>
      <c r="E3124" s="2" t="s">
        <v>459</v>
      </c>
    </row>
    <row r="3125" spans="1:5" ht="20.25" customHeight="1" x14ac:dyDescent="0.15">
      <c r="A3125" s="2" t="s">
        <v>6714</v>
      </c>
      <c r="B3125" s="2" t="s">
        <v>6715</v>
      </c>
      <c r="C3125" s="2">
        <v>0.31</v>
      </c>
      <c r="D3125" s="2">
        <v>0.32400000000000001</v>
      </c>
      <c r="E3125" s="2" t="s">
        <v>667</v>
      </c>
    </row>
    <row r="3126" spans="1:5" ht="20.25" customHeight="1" x14ac:dyDescent="0.15">
      <c r="A3126" s="2" t="s">
        <v>6893</v>
      </c>
      <c r="B3126" s="2" t="s">
        <v>6894</v>
      </c>
      <c r="C3126" s="2">
        <v>0.31</v>
      </c>
      <c r="D3126" s="2">
        <v>0.4375</v>
      </c>
      <c r="E3126" s="2" t="s">
        <v>704</v>
      </c>
    </row>
    <row r="3127" spans="1:5" ht="20.25" customHeight="1" x14ac:dyDescent="0.15">
      <c r="A3127" s="2" t="s">
        <v>7729</v>
      </c>
      <c r="B3127" s="2" t="s">
        <v>7730</v>
      </c>
      <c r="C3127" s="2">
        <v>0.31</v>
      </c>
      <c r="D3127" s="2">
        <v>0.2248</v>
      </c>
      <c r="E3127" s="2" t="s">
        <v>2038</v>
      </c>
    </row>
    <row r="3128" spans="1:5" ht="20.25" customHeight="1" x14ac:dyDescent="0.15">
      <c r="A3128" s="2" t="s">
        <v>575</v>
      </c>
      <c r="B3128" s="2" t="s">
        <v>576</v>
      </c>
      <c r="C3128" s="2">
        <v>0.3</v>
      </c>
      <c r="D3128" s="2">
        <v>1.0208999999999999</v>
      </c>
      <c r="E3128" s="2" t="s">
        <v>225</v>
      </c>
    </row>
    <row r="3129" spans="1:5" ht="20.25" customHeight="1" x14ac:dyDescent="0.15">
      <c r="A3129" s="2" t="s">
        <v>2600</v>
      </c>
      <c r="B3129" s="2" t="s">
        <v>2601</v>
      </c>
      <c r="C3129" s="2">
        <v>0.3</v>
      </c>
      <c r="D3129" s="2">
        <v>3.8117000000000001</v>
      </c>
      <c r="E3129" s="2" t="s">
        <v>916</v>
      </c>
    </row>
    <row r="3130" spans="1:5" ht="20.25" customHeight="1" x14ac:dyDescent="0.15">
      <c r="A3130" s="2" t="s">
        <v>2618</v>
      </c>
      <c r="B3130" s="2" t="s">
        <v>2619</v>
      </c>
      <c r="C3130" s="2">
        <v>0.3</v>
      </c>
      <c r="D3130" s="2">
        <v>0.13059999999999999</v>
      </c>
      <c r="E3130" s="2" t="s">
        <v>220</v>
      </c>
    </row>
    <row r="3131" spans="1:5" ht="20.25" customHeight="1" x14ac:dyDescent="0.15">
      <c r="A3131" s="2" t="s">
        <v>5826</v>
      </c>
      <c r="B3131" s="2" t="s">
        <v>5827</v>
      </c>
      <c r="C3131" s="2">
        <v>0.3</v>
      </c>
      <c r="D3131" s="2">
        <v>32.240299999999998</v>
      </c>
      <c r="E3131" s="2" t="s">
        <v>362</v>
      </c>
    </row>
    <row r="3132" spans="1:5" ht="20.25" customHeight="1" x14ac:dyDescent="0.15">
      <c r="A3132" s="2" t="s">
        <v>6330</v>
      </c>
      <c r="B3132" s="2" t="s">
        <v>6331</v>
      </c>
      <c r="C3132" s="2">
        <v>0.3</v>
      </c>
      <c r="D3132" s="2">
        <v>6.0972</v>
      </c>
      <c r="E3132" s="2" t="s">
        <v>371</v>
      </c>
    </row>
    <row r="3133" spans="1:5" ht="20.25" customHeight="1" x14ac:dyDescent="0.15">
      <c r="A3133" s="2" t="s">
        <v>7175</v>
      </c>
      <c r="B3133" s="2" t="s">
        <v>7176</v>
      </c>
      <c r="C3133" s="2">
        <v>0.3</v>
      </c>
      <c r="D3133" s="2">
        <v>191.51929999999999</v>
      </c>
      <c r="E3133" s="2" t="s">
        <v>1199</v>
      </c>
    </row>
    <row r="3134" spans="1:5" ht="20.25" customHeight="1" x14ac:dyDescent="0.15">
      <c r="A3134" s="2" t="s">
        <v>626</v>
      </c>
      <c r="B3134" s="2" t="s">
        <v>627</v>
      </c>
      <c r="C3134" s="2">
        <v>0.28999999999999998</v>
      </c>
      <c r="D3134" s="2">
        <v>30.012599999999999</v>
      </c>
      <c r="E3134" s="2" t="s">
        <v>281</v>
      </c>
    </row>
    <row r="3135" spans="1:5" ht="20.25" customHeight="1" x14ac:dyDescent="0.15">
      <c r="A3135" s="2" t="s">
        <v>3178</v>
      </c>
      <c r="B3135" s="2" t="s">
        <v>3179</v>
      </c>
      <c r="C3135" s="2">
        <v>0.28999999999999998</v>
      </c>
      <c r="D3135" s="2">
        <v>35.215600000000002</v>
      </c>
      <c r="E3135" s="2" t="s">
        <v>1873</v>
      </c>
    </row>
    <row r="3136" spans="1:5" ht="20.25" customHeight="1" x14ac:dyDescent="0.15">
      <c r="A3136" s="2" t="s">
        <v>3771</v>
      </c>
      <c r="B3136" s="2" t="s">
        <v>3772</v>
      </c>
      <c r="C3136" s="2">
        <v>0.28999999999999998</v>
      </c>
      <c r="D3136" s="2">
        <v>6.1775000000000002</v>
      </c>
      <c r="E3136" s="2" t="s">
        <v>471</v>
      </c>
    </row>
    <row r="3137" spans="1:5" ht="20.25" customHeight="1" x14ac:dyDescent="0.15">
      <c r="A3137" s="2" t="s">
        <v>5256</v>
      </c>
      <c r="B3137" s="2" t="s">
        <v>5257</v>
      </c>
      <c r="C3137" s="2">
        <v>0.28999999999999998</v>
      </c>
      <c r="D3137" s="2">
        <v>135.31460000000001</v>
      </c>
      <c r="E3137" s="2" t="s">
        <v>137</v>
      </c>
    </row>
    <row r="3138" spans="1:5" ht="20.25" customHeight="1" x14ac:dyDescent="0.15">
      <c r="A3138" s="2" t="s">
        <v>5348</v>
      </c>
      <c r="B3138" s="2" t="s">
        <v>5349</v>
      </c>
      <c r="C3138" s="2">
        <v>0.28999999999999998</v>
      </c>
      <c r="D3138" s="2">
        <v>4.0159000000000002</v>
      </c>
      <c r="E3138" s="2" t="s">
        <v>171</v>
      </c>
    </row>
    <row r="3139" spans="1:5" ht="20.25" customHeight="1" x14ac:dyDescent="0.15">
      <c r="A3139" s="2" t="s">
        <v>5996</v>
      </c>
      <c r="B3139" s="2" t="s">
        <v>5997</v>
      </c>
      <c r="C3139" s="2">
        <v>0.28999999999999998</v>
      </c>
      <c r="D3139" s="2">
        <v>2.6177000000000001</v>
      </c>
      <c r="E3139" s="2" t="s">
        <v>1094</v>
      </c>
    </row>
    <row r="3140" spans="1:5" ht="20.25" customHeight="1" x14ac:dyDescent="0.15">
      <c r="A3140" s="2" t="s">
        <v>6931</v>
      </c>
      <c r="B3140" s="2" t="s">
        <v>6932</v>
      </c>
      <c r="C3140" s="2">
        <v>0.28999999999999998</v>
      </c>
      <c r="D3140" s="2">
        <v>6.1616</v>
      </c>
      <c r="E3140" s="2" t="s">
        <v>2038</v>
      </c>
    </row>
    <row r="3141" spans="1:5" ht="20.25" customHeight="1" x14ac:dyDescent="0.15">
      <c r="A3141" s="2" t="s">
        <v>7405</v>
      </c>
      <c r="B3141" s="2" t="s">
        <v>7406</v>
      </c>
      <c r="C3141" s="2">
        <v>0.28999999999999998</v>
      </c>
      <c r="D3141" s="2">
        <v>1.5481</v>
      </c>
      <c r="E3141" s="2" t="s">
        <v>220</v>
      </c>
    </row>
    <row r="3142" spans="1:5" ht="20.25" customHeight="1" x14ac:dyDescent="0.15">
      <c r="A3142" s="2" t="s">
        <v>8249</v>
      </c>
      <c r="B3142" s="2" t="s">
        <v>8250</v>
      </c>
      <c r="C3142" s="2">
        <v>0.28999999999999998</v>
      </c>
      <c r="D3142" s="2">
        <v>2.5994000000000002</v>
      </c>
      <c r="E3142" s="2" t="s">
        <v>1608</v>
      </c>
    </row>
    <row r="3143" spans="1:5" ht="20.25" customHeight="1" x14ac:dyDescent="0.15">
      <c r="A3143" s="2" t="s">
        <v>936</v>
      </c>
      <c r="B3143" s="2" t="s">
        <v>937</v>
      </c>
      <c r="C3143" s="2">
        <v>0.28000000000000003</v>
      </c>
      <c r="D3143" s="2">
        <v>0.14729999999999999</v>
      </c>
      <c r="E3143" s="2" t="s">
        <v>938</v>
      </c>
    </row>
    <row r="3144" spans="1:5" ht="20.25" customHeight="1" x14ac:dyDescent="0.15">
      <c r="A3144" s="2" t="s">
        <v>2085</v>
      </c>
      <c r="B3144" s="2" t="s">
        <v>2086</v>
      </c>
      <c r="C3144" s="2">
        <v>0.28000000000000003</v>
      </c>
      <c r="D3144" s="2">
        <v>7.8600000000000003E-2</v>
      </c>
      <c r="E3144" s="2" t="s">
        <v>220</v>
      </c>
    </row>
    <row r="3145" spans="1:5" ht="20.25" customHeight="1" x14ac:dyDescent="0.15">
      <c r="A3145" s="2" t="s">
        <v>2702</v>
      </c>
      <c r="B3145" s="2" t="s">
        <v>2703</v>
      </c>
      <c r="C3145" s="2">
        <v>0.28000000000000003</v>
      </c>
      <c r="D3145" s="2">
        <v>1.5189999999999999</v>
      </c>
      <c r="E3145" s="2" t="s">
        <v>396</v>
      </c>
    </row>
    <row r="3146" spans="1:5" ht="20.25" customHeight="1" x14ac:dyDescent="0.15">
      <c r="A3146" s="2" t="s">
        <v>2749</v>
      </c>
      <c r="B3146" s="2" t="s">
        <v>2750</v>
      </c>
      <c r="C3146" s="2">
        <v>0.28000000000000003</v>
      </c>
      <c r="D3146" s="2">
        <v>5.9809999999999999</v>
      </c>
      <c r="E3146" s="2" t="s">
        <v>511</v>
      </c>
    </row>
    <row r="3147" spans="1:5" ht="20.25" customHeight="1" x14ac:dyDescent="0.15">
      <c r="A3147" s="2" t="s">
        <v>4688</v>
      </c>
      <c r="B3147" s="2" t="s">
        <v>4689</v>
      </c>
      <c r="C3147" s="2">
        <v>0.28000000000000003</v>
      </c>
      <c r="D3147" s="2">
        <v>0.19420000000000001</v>
      </c>
      <c r="E3147" s="2" t="s">
        <v>704</v>
      </c>
    </row>
    <row r="3148" spans="1:5" ht="20.25" customHeight="1" x14ac:dyDescent="0.15">
      <c r="A3148" s="2" t="s">
        <v>4865</v>
      </c>
      <c r="B3148" s="2" t="s">
        <v>4866</v>
      </c>
      <c r="C3148" s="2">
        <v>0.28000000000000003</v>
      </c>
      <c r="D3148" s="2">
        <v>0.10630000000000001</v>
      </c>
      <c r="E3148" s="2" t="s">
        <v>1102</v>
      </c>
    </row>
    <row r="3149" spans="1:5" ht="20.25" customHeight="1" x14ac:dyDescent="0.15">
      <c r="A3149" s="2" t="s">
        <v>4883</v>
      </c>
      <c r="B3149" s="2" t="s">
        <v>4884</v>
      </c>
      <c r="C3149" s="2">
        <v>0.28000000000000003</v>
      </c>
      <c r="D3149" s="2">
        <v>0.1515</v>
      </c>
      <c r="E3149" s="2" t="s">
        <v>3971</v>
      </c>
    </row>
    <row r="3150" spans="1:5" ht="20.25" customHeight="1" x14ac:dyDescent="0.15">
      <c r="A3150" s="2" t="s">
        <v>5012</v>
      </c>
      <c r="B3150" s="2" t="s">
        <v>5013</v>
      </c>
      <c r="C3150" s="2">
        <v>0.28000000000000003</v>
      </c>
      <c r="D3150" s="2">
        <v>8.7906999999999993</v>
      </c>
      <c r="E3150" s="2" t="s">
        <v>421</v>
      </c>
    </row>
    <row r="3151" spans="1:5" ht="20.25" customHeight="1" x14ac:dyDescent="0.15">
      <c r="A3151" s="2" t="s">
        <v>5042</v>
      </c>
      <c r="B3151" s="2" t="s">
        <v>5043</v>
      </c>
      <c r="C3151" s="2">
        <v>0.28000000000000003</v>
      </c>
      <c r="D3151" s="2">
        <v>46.467399999999998</v>
      </c>
      <c r="E3151" s="2" t="s">
        <v>44</v>
      </c>
    </row>
    <row r="3152" spans="1:5" ht="20.25" customHeight="1" x14ac:dyDescent="0.15">
      <c r="A3152" s="2" t="s">
        <v>5718</v>
      </c>
      <c r="B3152" s="2" t="s">
        <v>5719</v>
      </c>
      <c r="C3152" s="2">
        <v>0.28000000000000003</v>
      </c>
      <c r="D3152" s="2">
        <v>0.40849999999999997</v>
      </c>
      <c r="E3152" s="2" t="s">
        <v>3130</v>
      </c>
    </row>
    <row r="3153" spans="1:5" ht="20.25" customHeight="1" x14ac:dyDescent="0.15">
      <c r="A3153" s="2" t="s">
        <v>7171</v>
      </c>
      <c r="B3153" s="2" t="s">
        <v>7172</v>
      </c>
      <c r="C3153" s="2">
        <v>0.28000000000000003</v>
      </c>
      <c r="D3153" s="2">
        <v>1.5005999999999999</v>
      </c>
      <c r="E3153" s="2" t="s">
        <v>201</v>
      </c>
    </row>
    <row r="3154" spans="1:5" ht="20.25" customHeight="1" x14ac:dyDescent="0.15">
      <c r="A3154" s="2" t="s">
        <v>7841</v>
      </c>
      <c r="B3154" s="2" t="s">
        <v>7842</v>
      </c>
      <c r="C3154" s="2">
        <v>0.28000000000000003</v>
      </c>
      <c r="D3154" s="2">
        <v>50.210500000000003</v>
      </c>
      <c r="E3154" s="2" t="s">
        <v>257</v>
      </c>
    </row>
    <row r="3155" spans="1:5" ht="20.25" customHeight="1" x14ac:dyDescent="0.15">
      <c r="A3155" s="2" t="s">
        <v>8195</v>
      </c>
      <c r="B3155" s="2" t="s">
        <v>8196</v>
      </c>
      <c r="C3155" s="2">
        <v>0.28000000000000003</v>
      </c>
      <c r="D3155" s="2">
        <v>7.0805999999999996</v>
      </c>
      <c r="E3155" s="2" t="s">
        <v>630</v>
      </c>
    </row>
    <row r="3156" spans="1:5" ht="20.25" customHeight="1" x14ac:dyDescent="0.15">
      <c r="A3156" s="2" t="s">
        <v>8373</v>
      </c>
      <c r="B3156" s="2" t="s">
        <v>8374</v>
      </c>
      <c r="C3156" s="2">
        <v>0.28000000000000003</v>
      </c>
      <c r="D3156" s="2">
        <v>6.4581999999999997</v>
      </c>
      <c r="E3156" s="2" t="s">
        <v>299</v>
      </c>
    </row>
    <row r="3157" spans="1:5" ht="20.25" customHeight="1" x14ac:dyDescent="0.15">
      <c r="A3157" s="2" t="s">
        <v>1596</v>
      </c>
      <c r="B3157" s="2" t="s">
        <v>1597</v>
      </c>
      <c r="C3157" s="2">
        <v>0.27</v>
      </c>
      <c r="D3157" s="2">
        <v>4.2700000000000002E-2</v>
      </c>
      <c r="E3157" s="2" t="s">
        <v>784</v>
      </c>
    </row>
    <row r="3158" spans="1:5" ht="20.25" customHeight="1" x14ac:dyDescent="0.15">
      <c r="A3158" s="2" t="s">
        <v>1681</v>
      </c>
      <c r="B3158" s="2" t="s">
        <v>1682</v>
      </c>
      <c r="C3158" s="2">
        <v>0.27</v>
      </c>
      <c r="D3158" s="2">
        <v>2.6534</v>
      </c>
      <c r="E3158" s="2" t="s">
        <v>406</v>
      </c>
    </row>
    <row r="3159" spans="1:5" ht="20.25" customHeight="1" x14ac:dyDescent="0.15">
      <c r="A3159" s="2" t="s">
        <v>2391</v>
      </c>
      <c r="B3159" s="2" t="s">
        <v>2392</v>
      </c>
      <c r="C3159" s="2">
        <v>0.27</v>
      </c>
      <c r="D3159" s="2">
        <v>35.408200000000001</v>
      </c>
      <c r="E3159" s="2" t="s">
        <v>123</v>
      </c>
    </row>
    <row r="3160" spans="1:5" ht="20.25" customHeight="1" x14ac:dyDescent="0.15">
      <c r="A3160" s="2" t="s">
        <v>2437</v>
      </c>
      <c r="B3160" s="2" t="s">
        <v>2438</v>
      </c>
      <c r="C3160" s="2">
        <v>0.27</v>
      </c>
      <c r="D3160" s="2">
        <v>0.58420000000000005</v>
      </c>
      <c r="E3160" s="2" t="s">
        <v>24</v>
      </c>
    </row>
    <row r="3161" spans="1:5" ht="20.25" customHeight="1" x14ac:dyDescent="0.15">
      <c r="A3161" s="2" t="s">
        <v>3795</v>
      </c>
      <c r="B3161" s="2" t="s">
        <v>3796</v>
      </c>
      <c r="C3161" s="2">
        <v>0.27</v>
      </c>
      <c r="D3161" s="2">
        <v>0.96799999999999997</v>
      </c>
      <c r="E3161" s="2" t="s">
        <v>1403</v>
      </c>
    </row>
    <row r="3162" spans="1:5" ht="20.25" customHeight="1" x14ac:dyDescent="0.15">
      <c r="A3162" s="2" t="s">
        <v>4352</v>
      </c>
      <c r="B3162" s="2" t="s">
        <v>4353</v>
      </c>
      <c r="C3162" s="2">
        <v>0.27</v>
      </c>
      <c r="D3162" s="2">
        <v>1.5283</v>
      </c>
      <c r="E3162" s="2" t="s">
        <v>134</v>
      </c>
    </row>
    <row r="3163" spans="1:5" ht="20.25" customHeight="1" x14ac:dyDescent="0.15">
      <c r="A3163" s="2" t="s">
        <v>4522</v>
      </c>
      <c r="B3163" s="2" t="s">
        <v>4523</v>
      </c>
      <c r="C3163" s="2">
        <v>0.27</v>
      </c>
      <c r="D3163" s="2">
        <v>57.326500000000003</v>
      </c>
      <c r="E3163" s="2" t="s">
        <v>1774</v>
      </c>
    </row>
    <row r="3164" spans="1:5" ht="20.25" customHeight="1" x14ac:dyDescent="0.15">
      <c r="A3164" s="2" t="s">
        <v>4813</v>
      </c>
      <c r="B3164" s="2" t="s">
        <v>4814</v>
      </c>
      <c r="C3164" s="2">
        <v>0.27</v>
      </c>
      <c r="D3164" s="2">
        <v>0.4471</v>
      </c>
      <c r="E3164" s="2" t="s">
        <v>1102</v>
      </c>
    </row>
    <row r="3165" spans="1:5" ht="20.25" customHeight="1" x14ac:dyDescent="0.15">
      <c r="A3165" s="2" t="s">
        <v>6264</v>
      </c>
      <c r="B3165" s="2" t="s">
        <v>6265</v>
      </c>
      <c r="C3165" s="2">
        <v>0.27</v>
      </c>
      <c r="D3165" s="2">
        <v>7.4215999999999998</v>
      </c>
      <c r="E3165" s="2" t="s">
        <v>4127</v>
      </c>
    </row>
    <row r="3166" spans="1:5" ht="20.25" customHeight="1" x14ac:dyDescent="0.15">
      <c r="A3166" s="2" t="s">
        <v>6817</v>
      </c>
      <c r="B3166" s="2" t="s">
        <v>6818</v>
      </c>
      <c r="C3166" s="2">
        <v>0.27</v>
      </c>
      <c r="D3166" s="2">
        <v>1.0928</v>
      </c>
      <c r="E3166" s="2" t="s">
        <v>140</v>
      </c>
    </row>
    <row r="3167" spans="1:5" ht="20.25" customHeight="1" x14ac:dyDescent="0.15">
      <c r="A3167" s="2" t="s">
        <v>7399</v>
      </c>
      <c r="B3167" s="2" t="s">
        <v>7400</v>
      </c>
      <c r="C3167" s="2">
        <v>0.27</v>
      </c>
      <c r="D3167" s="2">
        <v>27.0121</v>
      </c>
      <c r="E3167" s="2" t="s">
        <v>630</v>
      </c>
    </row>
    <row r="3168" spans="1:5" ht="20.25" customHeight="1" x14ac:dyDescent="0.15">
      <c r="A3168" s="2" t="s">
        <v>8145</v>
      </c>
      <c r="B3168" s="2" t="s">
        <v>8146</v>
      </c>
      <c r="C3168" s="2">
        <v>0.27</v>
      </c>
      <c r="D3168" s="2">
        <v>1.1861999999999999</v>
      </c>
      <c r="E3168" s="2" t="s">
        <v>120</v>
      </c>
    </row>
    <row r="3169" spans="1:5" ht="20.25" customHeight="1" x14ac:dyDescent="0.15">
      <c r="A3169" s="2" t="s">
        <v>431</v>
      </c>
      <c r="B3169" s="2" t="s">
        <v>432</v>
      </c>
      <c r="C3169" s="2">
        <v>0.26</v>
      </c>
      <c r="D3169" s="2">
        <v>0.1033</v>
      </c>
      <c r="E3169" s="2" t="s">
        <v>403</v>
      </c>
    </row>
    <row r="3170" spans="1:5" ht="20.25" customHeight="1" x14ac:dyDescent="0.15">
      <c r="A3170" s="2" t="s">
        <v>2377</v>
      </c>
      <c r="B3170" s="2" t="s">
        <v>2378</v>
      </c>
      <c r="C3170" s="2">
        <v>0.26</v>
      </c>
      <c r="D3170" s="2">
        <v>0.25969999999999999</v>
      </c>
      <c r="E3170" s="2" t="s">
        <v>1878</v>
      </c>
    </row>
    <row r="3171" spans="1:5" ht="20.25" customHeight="1" x14ac:dyDescent="0.15">
      <c r="A3171" s="2" t="s">
        <v>2466</v>
      </c>
      <c r="B3171" s="2" t="s">
        <v>2467</v>
      </c>
      <c r="C3171" s="2">
        <v>0.26</v>
      </c>
      <c r="D3171" s="2">
        <v>8.6986000000000008</v>
      </c>
      <c r="E3171" s="2" t="s">
        <v>65</v>
      </c>
    </row>
    <row r="3172" spans="1:5" ht="20.25" customHeight="1" x14ac:dyDescent="0.15">
      <c r="A3172" s="2" t="s">
        <v>3523</v>
      </c>
      <c r="B3172" s="2" t="s">
        <v>3524</v>
      </c>
      <c r="C3172" s="2">
        <v>0.26</v>
      </c>
      <c r="D3172" s="2">
        <v>1.0940000000000001</v>
      </c>
      <c r="E3172" s="2" t="s">
        <v>462</v>
      </c>
    </row>
    <row r="3173" spans="1:5" ht="20.25" customHeight="1" x14ac:dyDescent="0.15">
      <c r="A3173" s="2" t="s">
        <v>5413</v>
      </c>
      <c r="B3173" s="2" t="s">
        <v>5414</v>
      </c>
      <c r="C3173" s="2">
        <v>0.26</v>
      </c>
      <c r="D3173" s="2">
        <v>14.081099999999999</v>
      </c>
      <c r="E3173" s="2" t="s">
        <v>1285</v>
      </c>
    </row>
    <row r="3174" spans="1:5" ht="20.25" customHeight="1" x14ac:dyDescent="0.15">
      <c r="A3174" s="2" t="s">
        <v>6418</v>
      </c>
      <c r="B3174" s="2" t="s">
        <v>6419</v>
      </c>
      <c r="C3174" s="2">
        <v>0.26</v>
      </c>
      <c r="D3174" s="2">
        <v>88.673299999999998</v>
      </c>
      <c r="E3174" s="2" t="s">
        <v>664</v>
      </c>
    </row>
    <row r="3175" spans="1:5" ht="20.25" customHeight="1" x14ac:dyDescent="0.15">
      <c r="A3175" s="2" t="s">
        <v>4022</v>
      </c>
      <c r="B3175" s="2" t="s">
        <v>4023</v>
      </c>
      <c r="C3175" s="2">
        <v>0.25</v>
      </c>
      <c r="D3175" s="2">
        <v>2.7400000000000001E-2</v>
      </c>
      <c r="E3175" s="2" t="s">
        <v>220</v>
      </c>
    </row>
    <row r="3176" spans="1:5" ht="20.25" customHeight="1" x14ac:dyDescent="0.15">
      <c r="A3176" s="2" t="s">
        <v>4188</v>
      </c>
      <c r="B3176" s="2" t="s">
        <v>4189</v>
      </c>
      <c r="C3176" s="2">
        <v>0.25</v>
      </c>
      <c r="D3176" s="2">
        <v>0.33789999999999998</v>
      </c>
      <c r="E3176" s="2" t="s">
        <v>1969</v>
      </c>
    </row>
    <row r="3177" spans="1:5" ht="20.25" customHeight="1" x14ac:dyDescent="0.15">
      <c r="A3177" s="2" t="s">
        <v>4292</v>
      </c>
      <c r="B3177" s="2" t="s">
        <v>4293</v>
      </c>
      <c r="C3177" s="2">
        <v>0.25</v>
      </c>
      <c r="D3177" s="2">
        <v>150.92939999999999</v>
      </c>
      <c r="E3177" s="2" t="s">
        <v>44</v>
      </c>
    </row>
    <row r="3178" spans="1:5" ht="20.25" customHeight="1" x14ac:dyDescent="0.15">
      <c r="A3178" s="2" t="s">
        <v>4887</v>
      </c>
      <c r="B3178" s="2" t="s">
        <v>4888</v>
      </c>
      <c r="C3178" s="2">
        <v>0.25</v>
      </c>
      <c r="D3178" s="2">
        <v>1.1416999999999999</v>
      </c>
      <c r="E3178" s="2" t="s">
        <v>596</v>
      </c>
    </row>
    <row r="3179" spans="1:5" ht="20.25" customHeight="1" x14ac:dyDescent="0.15">
      <c r="A3179" s="2" t="s">
        <v>5740</v>
      </c>
      <c r="B3179" s="2" t="s">
        <v>5741</v>
      </c>
      <c r="C3179" s="2">
        <v>0.25</v>
      </c>
      <c r="D3179" s="2">
        <v>10.0892</v>
      </c>
      <c r="E3179" s="2" t="s">
        <v>371</v>
      </c>
    </row>
    <row r="3180" spans="1:5" ht="20.25" customHeight="1" x14ac:dyDescent="0.15">
      <c r="A3180" s="2" t="s">
        <v>6052</v>
      </c>
      <c r="B3180" s="2" t="s">
        <v>6053</v>
      </c>
      <c r="C3180" s="2">
        <v>0.25</v>
      </c>
      <c r="D3180" s="2">
        <v>124.57810000000001</v>
      </c>
      <c r="E3180" s="2" t="s">
        <v>1853</v>
      </c>
    </row>
    <row r="3181" spans="1:5" ht="20.25" customHeight="1" x14ac:dyDescent="0.15">
      <c r="A3181" s="2" t="s">
        <v>7081</v>
      </c>
      <c r="B3181" s="2" t="s">
        <v>7082</v>
      </c>
      <c r="C3181" s="2">
        <v>0.25</v>
      </c>
      <c r="D3181" s="2">
        <v>123.1957</v>
      </c>
      <c r="E3181" s="2" t="s">
        <v>430</v>
      </c>
    </row>
    <row r="3182" spans="1:5" ht="20.25" customHeight="1" x14ac:dyDescent="0.15">
      <c r="A3182" s="2" t="s">
        <v>7147</v>
      </c>
      <c r="B3182" s="2" t="s">
        <v>7148</v>
      </c>
      <c r="C3182" s="2">
        <v>0.25</v>
      </c>
      <c r="D3182" s="2">
        <v>241.0472</v>
      </c>
      <c r="E3182" s="2" t="s">
        <v>2678</v>
      </c>
    </row>
    <row r="3183" spans="1:5" ht="20.25" customHeight="1" x14ac:dyDescent="0.15">
      <c r="A3183" s="2" t="s">
        <v>7453</v>
      </c>
      <c r="B3183" s="2" t="s">
        <v>7454</v>
      </c>
      <c r="C3183" s="2">
        <v>0.245</v>
      </c>
      <c r="D3183" s="2">
        <v>16.818999999999999</v>
      </c>
      <c r="E3183" s="2" t="s">
        <v>1515</v>
      </c>
    </row>
    <row r="3184" spans="1:5" ht="20.25" customHeight="1" x14ac:dyDescent="0.15">
      <c r="A3184" s="2" t="s">
        <v>964</v>
      </c>
      <c r="B3184" s="2" t="s">
        <v>965</v>
      </c>
      <c r="C3184" s="2">
        <v>0.24</v>
      </c>
      <c r="D3184" s="2">
        <v>0.375</v>
      </c>
      <c r="E3184" s="2" t="s">
        <v>225</v>
      </c>
    </row>
    <row r="3185" spans="1:5" ht="20.25" customHeight="1" x14ac:dyDescent="0.15">
      <c r="A3185" s="2" t="s">
        <v>1460</v>
      </c>
      <c r="B3185" s="2" t="s">
        <v>1461</v>
      </c>
      <c r="C3185" s="2">
        <v>0.24</v>
      </c>
      <c r="D3185" s="2">
        <v>0.82840000000000003</v>
      </c>
      <c r="E3185" s="2" t="s">
        <v>171</v>
      </c>
    </row>
    <row r="3186" spans="1:5" ht="20.25" customHeight="1" x14ac:dyDescent="0.15">
      <c r="A3186" s="2" t="s">
        <v>1648</v>
      </c>
      <c r="B3186" s="2" t="s">
        <v>1649</v>
      </c>
      <c r="C3186" s="2">
        <v>0.24</v>
      </c>
      <c r="D3186" s="2">
        <v>0.17150000000000001</v>
      </c>
      <c r="E3186" s="2" t="s">
        <v>100</v>
      </c>
    </row>
    <row r="3187" spans="1:5" ht="20.25" customHeight="1" x14ac:dyDescent="0.15">
      <c r="A3187" s="2" t="s">
        <v>1725</v>
      </c>
      <c r="B3187" s="2" t="s">
        <v>1726</v>
      </c>
      <c r="C3187" s="2">
        <v>0.24</v>
      </c>
      <c r="D3187" s="2">
        <v>3.0263</v>
      </c>
      <c r="E3187" s="2" t="s">
        <v>146</v>
      </c>
    </row>
    <row r="3188" spans="1:5" ht="20.25" customHeight="1" x14ac:dyDescent="0.15">
      <c r="A3188" s="2" t="s">
        <v>3399</v>
      </c>
      <c r="B3188" s="2" t="s">
        <v>3400</v>
      </c>
      <c r="C3188" s="2">
        <v>0.24</v>
      </c>
      <c r="D3188" s="2">
        <v>8.4210999999999991</v>
      </c>
      <c r="E3188" s="2" t="s">
        <v>339</v>
      </c>
    </row>
    <row r="3189" spans="1:5" ht="20.25" customHeight="1" x14ac:dyDescent="0.15">
      <c r="A3189" s="2" t="s">
        <v>4162</v>
      </c>
      <c r="B3189" s="2" t="s">
        <v>4163</v>
      </c>
      <c r="C3189" s="2">
        <v>0.24</v>
      </c>
      <c r="D3189" s="2">
        <v>26.371200000000002</v>
      </c>
      <c r="E3189" s="2" t="s">
        <v>657</v>
      </c>
    </row>
    <row r="3190" spans="1:5" ht="20.25" customHeight="1" x14ac:dyDescent="0.15">
      <c r="A3190" s="2" t="s">
        <v>4376</v>
      </c>
      <c r="B3190" s="2" t="s">
        <v>4377</v>
      </c>
      <c r="C3190" s="2">
        <v>0.24</v>
      </c>
      <c r="D3190" s="2">
        <v>0.1051</v>
      </c>
      <c r="E3190" s="2" t="s">
        <v>74</v>
      </c>
    </row>
    <row r="3191" spans="1:5" ht="20.25" customHeight="1" x14ac:dyDescent="0.15">
      <c r="A3191" s="2" t="s">
        <v>4797</v>
      </c>
      <c r="B3191" s="2" t="s">
        <v>4798</v>
      </c>
      <c r="C3191" s="2">
        <v>0.24</v>
      </c>
      <c r="D3191" s="2">
        <v>3.0962000000000001</v>
      </c>
      <c r="E3191" s="2" t="s">
        <v>299</v>
      </c>
    </row>
    <row r="3192" spans="1:5" ht="20.25" customHeight="1" x14ac:dyDescent="0.15">
      <c r="A3192" s="2" t="s">
        <v>4978</v>
      </c>
      <c r="B3192" s="2" t="s">
        <v>4979</v>
      </c>
      <c r="C3192" s="2">
        <v>0.24</v>
      </c>
      <c r="D3192" s="2">
        <v>0.31919999999999998</v>
      </c>
      <c r="E3192" s="2" t="s">
        <v>322</v>
      </c>
    </row>
    <row r="3193" spans="1:5" ht="20.25" customHeight="1" x14ac:dyDescent="0.15">
      <c r="A3193" s="2" t="s">
        <v>5521</v>
      </c>
      <c r="B3193" s="2" t="s">
        <v>5522</v>
      </c>
      <c r="C3193" s="2">
        <v>0.24</v>
      </c>
      <c r="D3193" s="2">
        <v>20.224900000000002</v>
      </c>
      <c r="E3193" s="2" t="s">
        <v>747</v>
      </c>
    </row>
    <row r="3194" spans="1:5" ht="20.25" customHeight="1" x14ac:dyDescent="0.15">
      <c r="A3194" s="2" t="s">
        <v>6218</v>
      </c>
      <c r="B3194" s="2" t="s">
        <v>6219</v>
      </c>
      <c r="C3194" s="2">
        <v>0.24</v>
      </c>
      <c r="D3194" s="2">
        <v>25.1431</v>
      </c>
      <c r="E3194" s="2" t="s">
        <v>4122</v>
      </c>
    </row>
    <row r="3195" spans="1:5" ht="20.25" customHeight="1" x14ac:dyDescent="0.15">
      <c r="A3195" s="2" t="s">
        <v>7353</v>
      </c>
      <c r="B3195" s="2" t="s">
        <v>7354</v>
      </c>
      <c r="C3195" s="2">
        <v>0.24</v>
      </c>
      <c r="D3195" s="2">
        <v>6.7091000000000003</v>
      </c>
      <c r="E3195" s="2" t="s">
        <v>690</v>
      </c>
    </row>
    <row r="3196" spans="1:5" ht="20.25" customHeight="1" x14ac:dyDescent="0.15">
      <c r="A3196" s="2" t="s">
        <v>8075</v>
      </c>
      <c r="B3196" s="2" t="s">
        <v>8076</v>
      </c>
      <c r="C3196" s="2">
        <v>0.24</v>
      </c>
      <c r="D3196" s="2">
        <v>2.7562000000000002</v>
      </c>
      <c r="E3196" s="2" t="s">
        <v>68</v>
      </c>
    </row>
    <row r="3197" spans="1:5" ht="20.25" customHeight="1" x14ac:dyDescent="0.15">
      <c r="A3197" s="2" t="s">
        <v>8147</v>
      </c>
      <c r="B3197" s="2" t="s">
        <v>8148</v>
      </c>
      <c r="C3197" s="2">
        <v>0.24</v>
      </c>
      <c r="D3197" s="2">
        <v>326.01670000000001</v>
      </c>
      <c r="E3197" s="2" t="s">
        <v>359</v>
      </c>
    </row>
    <row r="3198" spans="1:5" ht="20.25" customHeight="1" x14ac:dyDescent="0.15">
      <c r="A3198" s="2" t="s">
        <v>8271</v>
      </c>
      <c r="B3198" s="2" t="s">
        <v>8272</v>
      </c>
      <c r="C3198" s="2">
        <v>0.24</v>
      </c>
      <c r="D3198" s="2">
        <v>7.8494000000000002</v>
      </c>
      <c r="E3198" s="2" t="s">
        <v>862</v>
      </c>
    </row>
    <row r="3199" spans="1:5" ht="20.25" customHeight="1" x14ac:dyDescent="0.15">
      <c r="A3199" s="2" t="s">
        <v>1308</v>
      </c>
      <c r="B3199" s="2" t="s">
        <v>1309</v>
      </c>
      <c r="C3199" s="2">
        <v>0.23</v>
      </c>
      <c r="D3199" s="2">
        <v>5.1700999999999997</v>
      </c>
      <c r="E3199" s="2" t="s">
        <v>551</v>
      </c>
    </row>
    <row r="3200" spans="1:5" ht="20.25" customHeight="1" x14ac:dyDescent="0.15">
      <c r="A3200" s="2" t="s">
        <v>1797</v>
      </c>
      <c r="B3200" s="2" t="s">
        <v>1798</v>
      </c>
      <c r="C3200" s="2">
        <v>0.23</v>
      </c>
      <c r="D3200" s="2">
        <v>0.6835</v>
      </c>
      <c r="E3200" s="2" t="s">
        <v>281</v>
      </c>
    </row>
    <row r="3201" spans="1:5" ht="20.25" customHeight="1" x14ac:dyDescent="0.15">
      <c r="A3201" s="2" t="s">
        <v>3038</v>
      </c>
      <c r="B3201" s="2" t="s">
        <v>3039</v>
      </c>
      <c r="C3201" s="2">
        <v>0.23</v>
      </c>
      <c r="D3201" s="2">
        <v>3.7174</v>
      </c>
      <c r="E3201" s="2" t="s">
        <v>1381</v>
      </c>
    </row>
    <row r="3202" spans="1:5" ht="20.25" customHeight="1" x14ac:dyDescent="0.15">
      <c r="A3202" s="2" t="s">
        <v>4094</v>
      </c>
      <c r="B3202" s="2" t="s">
        <v>4095</v>
      </c>
      <c r="C3202" s="2">
        <v>0.23</v>
      </c>
      <c r="D3202" s="2">
        <v>8.8217999999999996</v>
      </c>
      <c r="E3202" s="2" t="s">
        <v>265</v>
      </c>
    </row>
    <row r="3203" spans="1:5" ht="20.25" customHeight="1" x14ac:dyDescent="0.15">
      <c r="A3203" s="2" t="s">
        <v>4253</v>
      </c>
      <c r="B3203" s="2" t="s">
        <v>4254</v>
      </c>
      <c r="C3203" s="2">
        <v>0.23</v>
      </c>
      <c r="D3203" s="2">
        <v>5.8281999999999998</v>
      </c>
      <c r="E3203" s="2" t="s">
        <v>359</v>
      </c>
    </row>
    <row r="3204" spans="1:5" ht="20.25" customHeight="1" x14ac:dyDescent="0.15">
      <c r="A3204" s="2" t="s">
        <v>4829</v>
      </c>
      <c r="B3204" s="2" t="s">
        <v>4830</v>
      </c>
      <c r="C3204" s="2">
        <v>0.23</v>
      </c>
      <c r="D3204" s="2">
        <v>1.3329</v>
      </c>
      <c r="E3204" s="2" t="s">
        <v>741</v>
      </c>
    </row>
    <row r="3205" spans="1:5" ht="20.25" customHeight="1" x14ac:dyDescent="0.15">
      <c r="A3205" s="2" t="s">
        <v>5457</v>
      </c>
      <c r="B3205" s="2" t="s">
        <v>5458</v>
      </c>
      <c r="C3205" s="2">
        <v>0.23</v>
      </c>
      <c r="D3205" s="2">
        <v>5.4766000000000004</v>
      </c>
      <c r="E3205" s="2" t="s">
        <v>299</v>
      </c>
    </row>
    <row r="3206" spans="1:5" ht="20.25" customHeight="1" x14ac:dyDescent="0.15">
      <c r="A3206" s="2" t="s">
        <v>6202</v>
      </c>
      <c r="B3206" s="2" t="s">
        <v>6203</v>
      </c>
      <c r="C3206" s="2">
        <v>0.23</v>
      </c>
      <c r="D3206" s="2">
        <v>44.338700000000003</v>
      </c>
      <c r="E3206" s="2" t="s">
        <v>638</v>
      </c>
    </row>
    <row r="3207" spans="1:5" ht="20.25" customHeight="1" x14ac:dyDescent="0.15">
      <c r="A3207" s="2" t="s">
        <v>6486</v>
      </c>
      <c r="B3207" s="2" t="s">
        <v>6487</v>
      </c>
      <c r="C3207" s="2">
        <v>0.23</v>
      </c>
      <c r="D3207" s="2">
        <v>7.8463000000000003</v>
      </c>
      <c r="E3207" s="2" t="s">
        <v>44</v>
      </c>
    </row>
    <row r="3208" spans="1:5" ht="20.25" customHeight="1" x14ac:dyDescent="0.15">
      <c r="A3208" s="2" t="s">
        <v>7569</v>
      </c>
      <c r="B3208" s="2" t="s">
        <v>7570</v>
      </c>
      <c r="C3208" s="2">
        <v>0.23</v>
      </c>
      <c r="D3208" s="2">
        <v>783.51179999999999</v>
      </c>
      <c r="E3208" s="2" t="s">
        <v>2038</v>
      </c>
    </row>
    <row r="3209" spans="1:5" ht="20.25" customHeight="1" x14ac:dyDescent="0.15">
      <c r="A3209" s="2" t="s">
        <v>7733</v>
      </c>
      <c r="B3209" s="2" t="s">
        <v>7734</v>
      </c>
      <c r="C3209" s="2">
        <v>0.23</v>
      </c>
      <c r="D3209" s="2">
        <v>0.23039999999999999</v>
      </c>
      <c r="E3209" s="2" t="s">
        <v>152</v>
      </c>
    </row>
    <row r="3210" spans="1:5" ht="20.25" customHeight="1" x14ac:dyDescent="0.15">
      <c r="A3210" s="2" t="s">
        <v>7937</v>
      </c>
      <c r="B3210" s="2" t="s">
        <v>7938</v>
      </c>
      <c r="C3210" s="2">
        <v>0.23</v>
      </c>
      <c r="D3210" s="2">
        <v>128.15549999999999</v>
      </c>
      <c r="E3210" s="2" t="s">
        <v>2678</v>
      </c>
    </row>
    <row r="3211" spans="1:5" ht="20.25" customHeight="1" x14ac:dyDescent="0.15">
      <c r="A3211" s="2" t="s">
        <v>109</v>
      </c>
      <c r="B3211" s="2" t="s">
        <v>110</v>
      </c>
      <c r="C3211" s="2">
        <v>0.22</v>
      </c>
      <c r="D3211" s="2">
        <v>1.2687999999999999</v>
      </c>
      <c r="E3211" s="2" t="s">
        <v>111</v>
      </c>
    </row>
    <row r="3212" spans="1:5" ht="20.25" customHeight="1" x14ac:dyDescent="0.15">
      <c r="A3212" s="2" t="s">
        <v>177</v>
      </c>
      <c r="B3212" s="2" t="s">
        <v>178</v>
      </c>
      <c r="C3212" s="2">
        <v>0.22</v>
      </c>
      <c r="D3212" s="2">
        <v>30.237400000000001</v>
      </c>
      <c r="E3212" s="2" t="s">
        <v>65</v>
      </c>
    </row>
    <row r="3213" spans="1:5" ht="20.25" customHeight="1" x14ac:dyDescent="0.15">
      <c r="A3213" s="2" t="s">
        <v>3675</v>
      </c>
      <c r="B3213" s="2" t="s">
        <v>3676</v>
      </c>
      <c r="C3213" s="2">
        <v>0.22</v>
      </c>
      <c r="D3213" s="2">
        <v>0.1726</v>
      </c>
      <c r="E3213" s="2" t="s">
        <v>371</v>
      </c>
    </row>
    <row r="3214" spans="1:5" ht="20.25" customHeight="1" x14ac:dyDescent="0.15">
      <c r="A3214" s="2" t="s">
        <v>3821</v>
      </c>
      <c r="B3214" s="2" t="s">
        <v>3822</v>
      </c>
      <c r="C3214" s="2">
        <v>0.22</v>
      </c>
      <c r="D3214" s="2">
        <v>7.3099999999999998E-2</v>
      </c>
      <c r="E3214" s="2" t="s">
        <v>784</v>
      </c>
    </row>
    <row r="3215" spans="1:5" ht="20.25" customHeight="1" x14ac:dyDescent="0.15">
      <c r="A3215" s="2" t="s">
        <v>5864</v>
      </c>
      <c r="B3215" s="2" t="s">
        <v>5865</v>
      </c>
      <c r="C3215" s="2">
        <v>0.22</v>
      </c>
      <c r="D3215" s="2">
        <v>3.2648000000000001</v>
      </c>
      <c r="E3215" s="2" t="s">
        <v>931</v>
      </c>
    </row>
    <row r="3216" spans="1:5" ht="20.25" customHeight="1" x14ac:dyDescent="0.15">
      <c r="A3216" s="2" t="s">
        <v>6512</v>
      </c>
      <c r="B3216" s="2" t="s">
        <v>6513</v>
      </c>
      <c r="C3216" s="2">
        <v>0.22</v>
      </c>
      <c r="D3216" s="2">
        <v>13.9238</v>
      </c>
      <c r="E3216" s="2" t="s">
        <v>371</v>
      </c>
    </row>
    <row r="3217" spans="1:5" ht="20.25" customHeight="1" x14ac:dyDescent="0.15">
      <c r="A3217" s="2" t="s">
        <v>6929</v>
      </c>
      <c r="B3217" s="2" t="s">
        <v>6930</v>
      </c>
      <c r="C3217" s="2">
        <v>0.22</v>
      </c>
      <c r="D3217" s="2">
        <v>14.717700000000001</v>
      </c>
      <c r="E3217" s="2" t="s">
        <v>406</v>
      </c>
    </row>
    <row r="3218" spans="1:5" ht="20.25" customHeight="1" x14ac:dyDescent="0.15">
      <c r="A3218" s="2" t="s">
        <v>7501</v>
      </c>
      <c r="B3218" s="2" t="s">
        <v>7502</v>
      </c>
      <c r="C3218" s="2">
        <v>0.22</v>
      </c>
      <c r="D3218" s="2">
        <v>17.4331</v>
      </c>
      <c r="E3218" s="2" t="s">
        <v>220</v>
      </c>
    </row>
    <row r="3219" spans="1:5" ht="20.25" customHeight="1" x14ac:dyDescent="0.15">
      <c r="A3219" s="2" t="s">
        <v>5730</v>
      </c>
      <c r="B3219" s="2" t="s">
        <v>5731</v>
      </c>
      <c r="C3219" s="2">
        <v>0.215</v>
      </c>
      <c r="D3219" s="2">
        <v>2.8498999999999999</v>
      </c>
      <c r="E3219" s="2" t="s">
        <v>677</v>
      </c>
    </row>
    <row r="3220" spans="1:5" ht="20.25" customHeight="1" x14ac:dyDescent="0.15">
      <c r="A3220" s="2" t="s">
        <v>401</v>
      </c>
      <c r="B3220" s="2" t="s">
        <v>402</v>
      </c>
      <c r="C3220" s="2">
        <v>0.21</v>
      </c>
      <c r="D3220" s="2">
        <v>2.8908</v>
      </c>
      <c r="E3220" s="2" t="s">
        <v>403</v>
      </c>
    </row>
    <row r="3221" spans="1:5" ht="20.25" customHeight="1" x14ac:dyDescent="0.15">
      <c r="A3221" s="2" t="s">
        <v>2049</v>
      </c>
      <c r="B3221" s="2" t="s">
        <v>2050</v>
      </c>
      <c r="C3221" s="2">
        <v>0.21</v>
      </c>
      <c r="D3221" s="2">
        <v>80.3703</v>
      </c>
      <c r="E3221" s="2" t="s">
        <v>198</v>
      </c>
    </row>
    <row r="3222" spans="1:5" ht="20.25" customHeight="1" x14ac:dyDescent="0.15">
      <c r="A3222" s="2" t="s">
        <v>2650</v>
      </c>
      <c r="B3222" s="2" t="s">
        <v>2651</v>
      </c>
      <c r="C3222" s="2">
        <v>0.21</v>
      </c>
      <c r="D3222" s="2">
        <v>0.58150000000000002</v>
      </c>
      <c r="E3222" s="2" t="s">
        <v>188</v>
      </c>
    </row>
    <row r="3223" spans="1:5" ht="20.25" customHeight="1" x14ac:dyDescent="0.15">
      <c r="A3223" s="2" t="s">
        <v>3208</v>
      </c>
      <c r="B3223" s="2" t="s">
        <v>3209</v>
      </c>
      <c r="C3223" s="2">
        <v>0.21</v>
      </c>
      <c r="D3223" s="2">
        <v>5.7778</v>
      </c>
      <c r="E3223" s="2" t="s">
        <v>171</v>
      </c>
    </row>
    <row r="3224" spans="1:5" ht="20.25" customHeight="1" x14ac:dyDescent="0.15">
      <c r="A3224" s="2" t="s">
        <v>3783</v>
      </c>
      <c r="B3224" s="2" t="s">
        <v>3784</v>
      </c>
      <c r="C3224" s="2">
        <v>0.21</v>
      </c>
      <c r="D3224" s="2">
        <v>96.024799999999999</v>
      </c>
      <c r="E3224" s="2" t="s">
        <v>542</v>
      </c>
    </row>
    <row r="3225" spans="1:5" ht="20.25" customHeight="1" x14ac:dyDescent="0.15">
      <c r="A3225" s="2" t="s">
        <v>3980</v>
      </c>
      <c r="B3225" s="2" t="s">
        <v>3981</v>
      </c>
      <c r="C3225" s="2">
        <v>0.21</v>
      </c>
      <c r="D3225" s="2">
        <v>3.8513999999999999</v>
      </c>
      <c r="E3225" s="2" t="s">
        <v>38</v>
      </c>
    </row>
    <row r="3226" spans="1:5" ht="20.25" customHeight="1" x14ac:dyDescent="0.15">
      <c r="A3226" s="2" t="s">
        <v>4757</v>
      </c>
      <c r="B3226" s="2" t="s">
        <v>4758</v>
      </c>
      <c r="C3226" s="2">
        <v>0.21</v>
      </c>
      <c r="D3226" s="2">
        <v>1.1914</v>
      </c>
      <c r="E3226" s="2" t="s">
        <v>24</v>
      </c>
    </row>
    <row r="3227" spans="1:5" ht="20.25" customHeight="1" x14ac:dyDescent="0.15">
      <c r="A3227" s="2" t="s">
        <v>6582</v>
      </c>
      <c r="B3227" s="2" t="s">
        <v>6583</v>
      </c>
      <c r="C3227" s="2">
        <v>0.21</v>
      </c>
      <c r="D3227" s="2">
        <v>2.92E-2</v>
      </c>
      <c r="E3227" s="2" t="s">
        <v>5364</v>
      </c>
    </row>
    <row r="3228" spans="1:5" ht="20.25" customHeight="1" x14ac:dyDescent="0.15">
      <c r="A3228" s="2" t="s">
        <v>6999</v>
      </c>
      <c r="B3228" s="2" t="s">
        <v>7000</v>
      </c>
      <c r="C3228" s="2">
        <v>0.21</v>
      </c>
      <c r="D3228" s="2">
        <v>3.0043000000000002</v>
      </c>
      <c r="E3228" s="2" t="s">
        <v>2724</v>
      </c>
    </row>
    <row r="3229" spans="1:5" ht="20.25" customHeight="1" x14ac:dyDescent="0.15">
      <c r="A3229" s="2" t="s">
        <v>7409</v>
      </c>
      <c r="B3229" s="2" t="s">
        <v>7410</v>
      </c>
      <c r="C3229" s="2">
        <v>0.21</v>
      </c>
      <c r="D3229" s="2">
        <v>1.2087000000000001</v>
      </c>
      <c r="E3229" s="2" t="s">
        <v>406</v>
      </c>
    </row>
    <row r="3230" spans="1:5" ht="20.25" customHeight="1" x14ac:dyDescent="0.15">
      <c r="A3230" s="2" t="s">
        <v>7819</v>
      </c>
      <c r="B3230" s="2" t="s">
        <v>7820</v>
      </c>
      <c r="C3230" s="2">
        <v>0.21</v>
      </c>
      <c r="D3230" s="2">
        <v>304.73399999999998</v>
      </c>
      <c r="E3230" s="2" t="s">
        <v>699</v>
      </c>
    </row>
    <row r="3231" spans="1:5" ht="20.25" customHeight="1" x14ac:dyDescent="0.15">
      <c r="A3231" s="2" t="s">
        <v>8283</v>
      </c>
      <c r="B3231" s="2" t="s">
        <v>8284</v>
      </c>
      <c r="C3231" s="2">
        <v>0.21</v>
      </c>
      <c r="D3231" s="2">
        <v>4.9381000000000004</v>
      </c>
      <c r="E3231" s="2" t="s">
        <v>371</v>
      </c>
    </row>
    <row r="3232" spans="1:5" ht="20.25" customHeight="1" x14ac:dyDescent="0.15">
      <c r="A3232" s="2" t="s">
        <v>320</v>
      </c>
      <c r="B3232" s="2" t="s">
        <v>321</v>
      </c>
      <c r="C3232" s="2">
        <v>0.2</v>
      </c>
      <c r="D3232" s="2">
        <v>7.7999999999999996E-3</v>
      </c>
      <c r="E3232" s="2" t="s">
        <v>322</v>
      </c>
    </row>
    <row r="3233" spans="1:5" ht="20.25" customHeight="1" x14ac:dyDescent="0.15">
      <c r="A3233" s="2" t="s">
        <v>1115</v>
      </c>
      <c r="B3233" s="2" t="s">
        <v>1116</v>
      </c>
      <c r="C3233" s="2">
        <v>0.2</v>
      </c>
      <c r="D3233" s="2">
        <v>2.69E-2</v>
      </c>
      <c r="E3233" s="2" t="s">
        <v>322</v>
      </c>
    </row>
    <row r="3234" spans="1:5" ht="20.25" customHeight="1" x14ac:dyDescent="0.15">
      <c r="A3234" s="2" t="s">
        <v>2494</v>
      </c>
      <c r="B3234" s="2" t="s">
        <v>2495</v>
      </c>
      <c r="C3234" s="2">
        <v>0.2</v>
      </c>
      <c r="D3234" s="2">
        <v>0.53059999999999996</v>
      </c>
      <c r="E3234" s="2" t="s">
        <v>459</v>
      </c>
    </row>
    <row r="3235" spans="1:5" ht="20.25" customHeight="1" x14ac:dyDescent="0.15">
      <c r="A3235" s="2" t="s">
        <v>2851</v>
      </c>
      <c r="B3235" s="2" t="s">
        <v>2852</v>
      </c>
      <c r="C3235" s="2">
        <v>0.2</v>
      </c>
      <c r="D3235" s="2">
        <v>6.11</v>
      </c>
      <c r="E3235" s="2" t="s">
        <v>2724</v>
      </c>
    </row>
    <row r="3236" spans="1:5" ht="20.25" customHeight="1" x14ac:dyDescent="0.15">
      <c r="A3236" s="2" t="s">
        <v>2868</v>
      </c>
      <c r="B3236" s="2" t="s">
        <v>2869</v>
      </c>
      <c r="C3236" s="2">
        <v>0.2</v>
      </c>
      <c r="D3236" s="2">
        <v>0.26240000000000002</v>
      </c>
      <c r="E3236" s="2" t="s">
        <v>483</v>
      </c>
    </row>
    <row r="3237" spans="1:5" ht="20.25" customHeight="1" x14ac:dyDescent="0.15">
      <c r="A3237" s="2" t="s">
        <v>2989</v>
      </c>
      <c r="B3237" s="2" t="s">
        <v>2990</v>
      </c>
      <c r="C3237" s="2">
        <v>0.2</v>
      </c>
      <c r="D3237" s="2">
        <v>0.90180000000000005</v>
      </c>
      <c r="E3237" s="2" t="s">
        <v>225</v>
      </c>
    </row>
    <row r="3238" spans="1:5" ht="20.25" customHeight="1" x14ac:dyDescent="0.15">
      <c r="A3238" s="2" t="s">
        <v>4270</v>
      </c>
      <c r="B3238" s="2" t="s">
        <v>4271</v>
      </c>
      <c r="C3238" s="2">
        <v>0.2</v>
      </c>
      <c r="D3238" s="2">
        <v>0.50819999999999999</v>
      </c>
      <c r="E3238" s="2" t="s">
        <v>220</v>
      </c>
    </row>
    <row r="3239" spans="1:5" ht="20.25" customHeight="1" x14ac:dyDescent="0.15">
      <c r="A3239" s="2" t="s">
        <v>5695</v>
      </c>
      <c r="B3239" s="2" t="s">
        <v>5696</v>
      </c>
      <c r="C3239" s="2">
        <v>0.2</v>
      </c>
      <c r="D3239" s="2">
        <v>3.04E-2</v>
      </c>
      <c r="E3239" s="2" t="s">
        <v>220</v>
      </c>
    </row>
    <row r="3240" spans="1:5" ht="20.25" customHeight="1" x14ac:dyDescent="0.15">
      <c r="A3240" s="2" t="s">
        <v>6018</v>
      </c>
      <c r="B3240" s="2" t="s">
        <v>6019</v>
      </c>
      <c r="C3240" s="2">
        <v>0.2</v>
      </c>
      <c r="D3240" s="2">
        <v>3.1516999999999999</v>
      </c>
      <c r="E3240" s="2" t="s">
        <v>403</v>
      </c>
    </row>
    <row r="3241" spans="1:5" ht="20.25" customHeight="1" x14ac:dyDescent="0.15">
      <c r="A3241" s="2" t="s">
        <v>6238</v>
      </c>
      <c r="B3241" s="2" t="s">
        <v>6239</v>
      </c>
      <c r="C3241" s="2">
        <v>0.2</v>
      </c>
      <c r="D3241" s="2">
        <v>2.3494000000000002</v>
      </c>
      <c r="E3241" s="2" t="s">
        <v>1873</v>
      </c>
    </row>
    <row r="3242" spans="1:5" ht="20.25" customHeight="1" x14ac:dyDescent="0.15">
      <c r="A3242" s="2" t="s">
        <v>6502</v>
      </c>
      <c r="B3242" s="2" t="s">
        <v>6503</v>
      </c>
      <c r="C3242" s="2">
        <v>0.2</v>
      </c>
      <c r="D3242" s="2">
        <v>4.2599999999999999E-2</v>
      </c>
      <c r="E3242" s="2" t="s">
        <v>1056</v>
      </c>
    </row>
    <row r="3243" spans="1:5" ht="20.25" customHeight="1" x14ac:dyDescent="0.15">
      <c r="A3243" s="2" t="s">
        <v>6773</v>
      </c>
      <c r="B3243" s="2" t="s">
        <v>6774</v>
      </c>
      <c r="C3243" s="2">
        <v>0.2</v>
      </c>
      <c r="D3243" s="2">
        <v>7.1662999999999997</v>
      </c>
      <c r="E3243" s="2" t="s">
        <v>371</v>
      </c>
    </row>
    <row r="3244" spans="1:5" ht="20.25" customHeight="1" x14ac:dyDescent="0.15">
      <c r="A3244" s="2" t="s">
        <v>6793</v>
      </c>
      <c r="B3244" s="2" t="s">
        <v>6794</v>
      </c>
      <c r="C3244" s="2">
        <v>0.2</v>
      </c>
      <c r="D3244" s="2">
        <v>69.143299999999996</v>
      </c>
      <c r="E3244" s="2" t="s">
        <v>176</v>
      </c>
    </row>
    <row r="3245" spans="1:5" ht="20.25" customHeight="1" x14ac:dyDescent="0.15">
      <c r="A3245" s="2" t="s">
        <v>7035</v>
      </c>
      <c r="B3245" s="2" t="s">
        <v>7036</v>
      </c>
      <c r="C3245" s="2">
        <v>0.2</v>
      </c>
      <c r="D3245" s="2">
        <v>0.6673</v>
      </c>
      <c r="E3245" s="2" t="s">
        <v>220</v>
      </c>
    </row>
    <row r="3246" spans="1:5" ht="20.25" customHeight="1" x14ac:dyDescent="0.15">
      <c r="A3246" s="2" t="s">
        <v>7129</v>
      </c>
      <c r="B3246" s="2" t="s">
        <v>7130</v>
      </c>
      <c r="C3246" s="2">
        <v>0.2</v>
      </c>
      <c r="D3246" s="2">
        <v>56.661799999999999</v>
      </c>
      <c r="E3246" s="2" t="s">
        <v>747</v>
      </c>
    </row>
    <row r="3247" spans="1:5" ht="20.25" customHeight="1" x14ac:dyDescent="0.15">
      <c r="A3247" s="2" t="s">
        <v>8001</v>
      </c>
      <c r="B3247" s="2" t="s">
        <v>8002</v>
      </c>
      <c r="C3247" s="2">
        <v>0.2</v>
      </c>
      <c r="D3247" s="2">
        <v>5.3057999999999996</v>
      </c>
      <c r="E3247" s="2" t="s">
        <v>120</v>
      </c>
    </row>
    <row r="3248" spans="1:5" ht="20.25" customHeight="1" x14ac:dyDescent="0.15">
      <c r="A3248" s="2" t="s">
        <v>1264</v>
      </c>
      <c r="B3248" s="2" t="s">
        <v>1265</v>
      </c>
      <c r="C3248" s="2">
        <v>0.19</v>
      </c>
      <c r="D3248" s="2">
        <v>2.6100000000000002E-2</v>
      </c>
      <c r="E3248" s="2" t="s">
        <v>146</v>
      </c>
    </row>
    <row r="3249" spans="1:5" ht="20.25" customHeight="1" x14ac:dyDescent="0.15">
      <c r="A3249" s="2" t="s">
        <v>2111</v>
      </c>
      <c r="B3249" s="2" t="s">
        <v>2112</v>
      </c>
      <c r="C3249" s="2">
        <v>0.19</v>
      </c>
      <c r="D3249" s="2">
        <v>6.6632999999999996</v>
      </c>
      <c r="E3249" s="2" t="s">
        <v>299</v>
      </c>
    </row>
    <row r="3250" spans="1:5" ht="20.25" customHeight="1" x14ac:dyDescent="0.15">
      <c r="A3250" s="2" t="s">
        <v>2949</v>
      </c>
      <c r="B3250" s="2" t="s">
        <v>2950</v>
      </c>
      <c r="C3250" s="2">
        <v>0.19</v>
      </c>
      <c r="D3250" s="2">
        <v>1.9951000000000001</v>
      </c>
      <c r="E3250" s="2" t="s">
        <v>260</v>
      </c>
    </row>
    <row r="3251" spans="1:5" ht="20.25" customHeight="1" x14ac:dyDescent="0.15">
      <c r="A3251" s="2" t="s">
        <v>3393</v>
      </c>
      <c r="B3251" s="2" t="s">
        <v>3394</v>
      </c>
      <c r="C3251" s="2">
        <v>0.19</v>
      </c>
      <c r="D3251" s="2">
        <v>12.856999999999999</v>
      </c>
      <c r="E3251" s="2" t="s">
        <v>391</v>
      </c>
    </row>
    <row r="3252" spans="1:5" ht="20.25" customHeight="1" x14ac:dyDescent="0.15">
      <c r="A3252" s="2" t="s">
        <v>3439</v>
      </c>
      <c r="B3252" s="2" t="s">
        <v>3440</v>
      </c>
      <c r="C3252" s="2">
        <v>0.19</v>
      </c>
      <c r="D3252" s="2">
        <v>3.3736999999999999</v>
      </c>
      <c r="E3252" s="2" t="s">
        <v>406</v>
      </c>
    </row>
    <row r="3253" spans="1:5" ht="20.25" customHeight="1" x14ac:dyDescent="0.15">
      <c r="A3253" s="2" t="s">
        <v>3485</v>
      </c>
      <c r="B3253" s="2" t="s">
        <v>3486</v>
      </c>
      <c r="C3253" s="2">
        <v>0.19</v>
      </c>
      <c r="D3253" s="2">
        <v>1.4896</v>
      </c>
      <c r="E3253" s="2" t="s">
        <v>13</v>
      </c>
    </row>
    <row r="3254" spans="1:5" ht="20.25" customHeight="1" x14ac:dyDescent="0.15">
      <c r="A3254" s="2" t="s">
        <v>3875</v>
      </c>
      <c r="B3254" s="2" t="s">
        <v>3876</v>
      </c>
      <c r="C3254" s="2">
        <v>0.19</v>
      </c>
      <c r="D3254" s="2">
        <v>69.1173</v>
      </c>
      <c r="E3254" s="2" t="s">
        <v>931</v>
      </c>
    </row>
    <row r="3255" spans="1:5" ht="20.25" customHeight="1" x14ac:dyDescent="0.15">
      <c r="A3255" s="2" t="s">
        <v>4152</v>
      </c>
      <c r="B3255" s="2" t="s">
        <v>4153</v>
      </c>
      <c r="C3255" s="2">
        <v>0.19</v>
      </c>
      <c r="D3255" s="2">
        <v>1.8834</v>
      </c>
      <c r="E3255" s="2" t="s">
        <v>667</v>
      </c>
    </row>
    <row r="3256" spans="1:5" ht="20.25" customHeight="1" x14ac:dyDescent="0.15">
      <c r="A3256" s="2" t="s">
        <v>4440</v>
      </c>
      <c r="B3256" s="2" t="s">
        <v>4441</v>
      </c>
      <c r="C3256" s="2">
        <v>0.19</v>
      </c>
      <c r="D3256" s="2">
        <v>0.81779999999999997</v>
      </c>
      <c r="E3256" s="2" t="s">
        <v>2038</v>
      </c>
    </row>
    <row r="3257" spans="1:5" ht="20.25" customHeight="1" x14ac:dyDescent="0.15">
      <c r="A3257" s="2" t="s">
        <v>4594</v>
      </c>
      <c r="B3257" s="2" t="s">
        <v>4595</v>
      </c>
      <c r="C3257" s="2">
        <v>0.19</v>
      </c>
      <c r="D3257" s="2">
        <v>132.2499</v>
      </c>
      <c r="E3257" s="2" t="s">
        <v>299</v>
      </c>
    </row>
    <row r="3258" spans="1:5" ht="20.25" customHeight="1" x14ac:dyDescent="0.15">
      <c r="A3258" s="2" t="s">
        <v>4690</v>
      </c>
      <c r="B3258" s="2" t="s">
        <v>4691</v>
      </c>
      <c r="C3258" s="2">
        <v>0.19</v>
      </c>
      <c r="D3258" s="2">
        <v>0.31519999999999998</v>
      </c>
      <c r="E3258" s="2" t="s">
        <v>207</v>
      </c>
    </row>
    <row r="3259" spans="1:5" ht="20.25" customHeight="1" x14ac:dyDescent="0.15">
      <c r="A3259" s="2" t="s">
        <v>5040</v>
      </c>
      <c r="B3259" s="2" t="s">
        <v>5041</v>
      </c>
      <c r="C3259" s="2">
        <v>0.19</v>
      </c>
      <c r="D3259" s="2">
        <v>9.1746999999999996</v>
      </c>
      <c r="E3259" s="2" t="s">
        <v>371</v>
      </c>
    </row>
    <row r="3260" spans="1:5" ht="20.25" customHeight="1" x14ac:dyDescent="0.15">
      <c r="A3260" s="2" t="s">
        <v>5677</v>
      </c>
      <c r="B3260" s="2" t="s">
        <v>5678</v>
      </c>
      <c r="C3260" s="2">
        <v>0.19</v>
      </c>
      <c r="D3260" s="2">
        <v>0.37969999999999998</v>
      </c>
      <c r="E3260" s="2" t="s">
        <v>1061</v>
      </c>
    </row>
    <row r="3261" spans="1:5" ht="20.25" customHeight="1" x14ac:dyDescent="0.15">
      <c r="A3261" s="2" t="s">
        <v>6034</v>
      </c>
      <c r="B3261" s="2" t="s">
        <v>6035</v>
      </c>
      <c r="C3261" s="2">
        <v>0.19</v>
      </c>
      <c r="D3261" s="2">
        <v>0.37269999999999998</v>
      </c>
      <c r="E3261" s="2" t="s">
        <v>220</v>
      </c>
    </row>
    <row r="3262" spans="1:5" ht="20.25" customHeight="1" x14ac:dyDescent="0.15">
      <c r="A3262" s="2" t="s">
        <v>6460</v>
      </c>
      <c r="B3262" s="2" t="s">
        <v>6461</v>
      </c>
      <c r="C3262" s="2">
        <v>0.19</v>
      </c>
      <c r="D3262" s="2">
        <v>2.8329</v>
      </c>
      <c r="E3262" s="2" t="s">
        <v>220</v>
      </c>
    </row>
    <row r="3263" spans="1:5" ht="20.25" customHeight="1" x14ac:dyDescent="0.15">
      <c r="A3263" s="2" t="s">
        <v>7067</v>
      </c>
      <c r="B3263" s="2" t="s">
        <v>7068</v>
      </c>
      <c r="C3263" s="2">
        <v>0.19</v>
      </c>
      <c r="D3263" s="2">
        <v>43.952800000000003</v>
      </c>
      <c r="E3263" s="2" t="s">
        <v>630</v>
      </c>
    </row>
    <row r="3264" spans="1:5" ht="20.25" customHeight="1" x14ac:dyDescent="0.15">
      <c r="A3264" s="2" t="s">
        <v>7203</v>
      </c>
      <c r="B3264" s="2" t="s">
        <v>7204</v>
      </c>
      <c r="C3264" s="2">
        <v>0.19</v>
      </c>
      <c r="D3264" s="2">
        <v>113.0433</v>
      </c>
      <c r="E3264" s="2" t="s">
        <v>260</v>
      </c>
    </row>
    <row r="3265" spans="1:5" ht="20.25" customHeight="1" x14ac:dyDescent="0.15">
      <c r="A3265" s="2" t="s">
        <v>8291</v>
      </c>
      <c r="B3265" s="2" t="s">
        <v>8292</v>
      </c>
      <c r="C3265" s="2">
        <v>0.19</v>
      </c>
      <c r="D3265" s="2">
        <v>17.388300000000001</v>
      </c>
      <c r="E3265" s="2" t="s">
        <v>647</v>
      </c>
    </row>
    <row r="3266" spans="1:5" ht="20.25" customHeight="1" x14ac:dyDescent="0.15">
      <c r="A3266" s="2" t="s">
        <v>3963</v>
      </c>
      <c r="B3266" s="2" t="s">
        <v>3964</v>
      </c>
      <c r="C3266" s="2">
        <v>0.18</v>
      </c>
      <c r="D3266" s="2">
        <v>7.8407999999999998</v>
      </c>
      <c r="E3266" s="2" t="s">
        <v>245</v>
      </c>
    </row>
    <row r="3267" spans="1:5" ht="20.25" customHeight="1" x14ac:dyDescent="0.15">
      <c r="A3267" s="2" t="s">
        <v>3994</v>
      </c>
      <c r="B3267" s="2" t="s">
        <v>3995</v>
      </c>
      <c r="C3267" s="2">
        <v>0.18</v>
      </c>
      <c r="D3267" s="2">
        <v>16.03</v>
      </c>
      <c r="E3267" s="2" t="s">
        <v>359</v>
      </c>
    </row>
    <row r="3268" spans="1:5" ht="20.25" customHeight="1" x14ac:dyDescent="0.15">
      <c r="A3268" s="2" t="s">
        <v>4078</v>
      </c>
      <c r="B3268" s="2" t="s">
        <v>4079</v>
      </c>
      <c r="C3268" s="2">
        <v>0.18</v>
      </c>
      <c r="D3268" s="2">
        <v>6.5299999999999997E-2</v>
      </c>
      <c r="E3268" s="2" t="s">
        <v>344</v>
      </c>
    </row>
    <row r="3269" spans="1:5" ht="20.25" customHeight="1" x14ac:dyDescent="0.15">
      <c r="A3269" s="2" t="s">
        <v>4450</v>
      </c>
      <c r="B3269" s="2" t="s">
        <v>4451</v>
      </c>
      <c r="C3269" s="2">
        <v>0.18</v>
      </c>
      <c r="D3269" s="2">
        <v>7.6738</v>
      </c>
      <c r="E3269" s="2" t="s">
        <v>741</v>
      </c>
    </row>
    <row r="3270" spans="1:5" ht="20.25" customHeight="1" x14ac:dyDescent="0.15">
      <c r="A3270" s="2" t="s">
        <v>7011</v>
      </c>
      <c r="B3270" s="2" t="s">
        <v>7012</v>
      </c>
      <c r="C3270" s="2">
        <v>0.18</v>
      </c>
      <c r="D3270" s="2">
        <v>3.3119000000000001</v>
      </c>
      <c r="E3270" s="2" t="s">
        <v>52</v>
      </c>
    </row>
    <row r="3271" spans="1:5" ht="20.25" customHeight="1" x14ac:dyDescent="0.15">
      <c r="A3271" s="2" t="s">
        <v>8005</v>
      </c>
      <c r="B3271" s="2" t="s">
        <v>8006</v>
      </c>
      <c r="C3271" s="2">
        <v>0.18</v>
      </c>
      <c r="D3271" s="2">
        <v>1.8251999999999999</v>
      </c>
      <c r="E3271" s="2" t="s">
        <v>71</v>
      </c>
    </row>
    <row r="3272" spans="1:5" ht="20.25" customHeight="1" x14ac:dyDescent="0.15">
      <c r="A3272" s="2" t="s">
        <v>6744</v>
      </c>
      <c r="B3272" s="2" t="s">
        <v>6745</v>
      </c>
      <c r="C3272" s="2">
        <v>0.17499999999999999</v>
      </c>
      <c r="D3272" s="2">
        <v>4.867</v>
      </c>
      <c r="E3272" s="2" t="s">
        <v>35</v>
      </c>
    </row>
    <row r="3273" spans="1:5" ht="20.25" customHeight="1" x14ac:dyDescent="0.15">
      <c r="A3273" s="2" t="s">
        <v>1733</v>
      </c>
      <c r="B3273" s="2" t="s">
        <v>1734</v>
      </c>
      <c r="C3273" s="2">
        <v>0.17</v>
      </c>
      <c r="D3273" s="2">
        <v>1.7341</v>
      </c>
      <c r="E3273" s="2" t="s">
        <v>391</v>
      </c>
    </row>
    <row r="3274" spans="1:5" ht="20.25" customHeight="1" x14ac:dyDescent="0.15">
      <c r="A3274" s="2" t="s">
        <v>2224</v>
      </c>
      <c r="B3274" s="2" t="s">
        <v>2225</v>
      </c>
      <c r="C3274" s="2">
        <v>0.17</v>
      </c>
      <c r="D3274" s="2">
        <v>8.7607999999999997</v>
      </c>
      <c r="E3274" s="2" t="s">
        <v>193</v>
      </c>
    </row>
    <row r="3275" spans="1:5" ht="20.25" customHeight="1" x14ac:dyDescent="0.15">
      <c r="A3275" s="2" t="s">
        <v>2819</v>
      </c>
      <c r="B3275" s="2" t="s">
        <v>2820</v>
      </c>
      <c r="C3275" s="2">
        <v>0.17</v>
      </c>
      <c r="D3275" s="2">
        <v>0.33229999999999998</v>
      </c>
      <c r="E3275" s="2" t="s">
        <v>664</v>
      </c>
    </row>
    <row r="3276" spans="1:5" ht="20.25" customHeight="1" x14ac:dyDescent="0.15">
      <c r="A3276" s="2" t="s">
        <v>6344</v>
      </c>
      <c r="B3276" s="2" t="s">
        <v>6345</v>
      </c>
      <c r="C3276" s="2">
        <v>0.17</v>
      </c>
      <c r="D3276" s="2">
        <v>78.709400000000002</v>
      </c>
      <c r="E3276" s="2" t="s">
        <v>421</v>
      </c>
    </row>
    <row r="3277" spans="1:5" ht="20.25" customHeight="1" x14ac:dyDescent="0.15">
      <c r="A3277" s="2" t="s">
        <v>7885</v>
      </c>
      <c r="B3277" s="2" t="s">
        <v>7886</v>
      </c>
      <c r="C3277" s="2">
        <v>0.17</v>
      </c>
      <c r="D3277" s="2">
        <v>17.3931</v>
      </c>
      <c r="E3277" s="2" t="s">
        <v>430</v>
      </c>
    </row>
    <row r="3278" spans="1:5" ht="20.25" customHeight="1" x14ac:dyDescent="0.15">
      <c r="A3278" s="2" t="s">
        <v>8253</v>
      </c>
      <c r="B3278" s="2" t="s">
        <v>8254</v>
      </c>
      <c r="C3278" s="2">
        <v>0.17</v>
      </c>
      <c r="D3278" s="2">
        <v>2.6198999999999999</v>
      </c>
      <c r="E3278" s="2" t="s">
        <v>3190</v>
      </c>
    </row>
    <row r="3279" spans="1:5" ht="20.25" customHeight="1" x14ac:dyDescent="0.15">
      <c r="A3279" s="2" t="s">
        <v>1382</v>
      </c>
      <c r="B3279" s="2" t="s">
        <v>1383</v>
      </c>
      <c r="C3279" s="2">
        <v>0.16</v>
      </c>
      <c r="D3279" s="2">
        <v>7.3056000000000001</v>
      </c>
      <c r="E3279" s="2" t="s">
        <v>371</v>
      </c>
    </row>
    <row r="3280" spans="1:5" ht="20.25" customHeight="1" x14ac:dyDescent="0.15">
      <c r="A3280" s="2" t="s">
        <v>2411</v>
      </c>
      <c r="B3280" s="2" t="s">
        <v>2412</v>
      </c>
      <c r="C3280" s="2">
        <v>0.16</v>
      </c>
      <c r="D3280" s="2">
        <v>4.4912000000000001</v>
      </c>
      <c r="E3280" s="2" t="s">
        <v>146</v>
      </c>
    </row>
    <row r="3281" spans="1:5" ht="20.25" customHeight="1" x14ac:dyDescent="0.15">
      <c r="A3281" s="2" t="s">
        <v>4708</v>
      </c>
      <c r="B3281" s="2" t="s">
        <v>4709</v>
      </c>
      <c r="C3281" s="2">
        <v>0.16</v>
      </c>
      <c r="D3281" s="2">
        <v>8.9099999999999999E-2</v>
      </c>
      <c r="E3281" s="2" t="s">
        <v>123</v>
      </c>
    </row>
    <row r="3282" spans="1:5" ht="20.25" customHeight="1" x14ac:dyDescent="0.15">
      <c r="A3282" s="2" t="s">
        <v>5708</v>
      </c>
      <c r="B3282" s="2" t="s">
        <v>5709</v>
      </c>
      <c r="C3282" s="2">
        <v>0.16</v>
      </c>
      <c r="D3282" s="2">
        <v>4.6962999999999999</v>
      </c>
      <c r="E3282" s="2" t="s">
        <v>1870</v>
      </c>
    </row>
    <row r="3283" spans="1:5" ht="20.25" customHeight="1" x14ac:dyDescent="0.15">
      <c r="A3283" s="2" t="s">
        <v>6288</v>
      </c>
      <c r="B3283" s="2" t="s">
        <v>6289</v>
      </c>
      <c r="C3283" s="2">
        <v>0.16</v>
      </c>
      <c r="D3283" s="2">
        <v>0.93620000000000003</v>
      </c>
      <c r="E3283" s="2" t="s">
        <v>827</v>
      </c>
    </row>
    <row r="3284" spans="1:5" ht="20.25" customHeight="1" x14ac:dyDescent="0.15">
      <c r="A3284" s="2" t="s">
        <v>6296</v>
      </c>
      <c r="B3284" s="2" t="s">
        <v>6297</v>
      </c>
      <c r="C3284" s="2">
        <v>0.16</v>
      </c>
      <c r="D3284" s="2">
        <v>3.7934000000000001</v>
      </c>
      <c r="E3284" s="2" t="s">
        <v>220</v>
      </c>
    </row>
    <row r="3285" spans="1:5" ht="20.25" customHeight="1" x14ac:dyDescent="0.15">
      <c r="A3285" s="2" t="s">
        <v>7717</v>
      </c>
      <c r="B3285" s="2" t="s">
        <v>7718</v>
      </c>
      <c r="C3285" s="2">
        <v>0.16</v>
      </c>
      <c r="D3285" s="2">
        <v>0.64300000000000002</v>
      </c>
      <c r="E3285" s="2" t="s">
        <v>421</v>
      </c>
    </row>
    <row r="3286" spans="1:5" ht="20.25" customHeight="1" x14ac:dyDescent="0.15">
      <c r="A3286" s="2" t="s">
        <v>8387</v>
      </c>
      <c r="B3286" s="2" t="s">
        <v>8388</v>
      </c>
      <c r="C3286" s="2">
        <v>0.16</v>
      </c>
      <c r="D3286" s="2">
        <v>8.7903000000000002</v>
      </c>
      <c r="E3286" s="2" t="s">
        <v>68</v>
      </c>
    </row>
    <row r="3287" spans="1:5" ht="20.25" customHeight="1" x14ac:dyDescent="0.15">
      <c r="A3287" s="2" t="s">
        <v>643</v>
      </c>
      <c r="B3287" s="2" t="s">
        <v>644</v>
      </c>
      <c r="C3287" s="2">
        <v>0.15</v>
      </c>
      <c r="D3287" s="2">
        <v>0.64029999999999998</v>
      </c>
      <c r="E3287" s="2" t="s">
        <v>13</v>
      </c>
    </row>
    <row r="3288" spans="1:5" ht="20.25" customHeight="1" x14ac:dyDescent="0.15">
      <c r="A3288" s="2" t="s">
        <v>778</v>
      </c>
      <c r="B3288" s="2" t="s">
        <v>779</v>
      </c>
      <c r="C3288" s="2">
        <v>0.15</v>
      </c>
      <c r="D3288" s="2">
        <v>10.1021</v>
      </c>
      <c r="E3288" s="2" t="s">
        <v>111</v>
      </c>
    </row>
    <row r="3289" spans="1:5" ht="20.25" customHeight="1" x14ac:dyDescent="0.15">
      <c r="A3289" s="2" t="s">
        <v>1187</v>
      </c>
      <c r="B3289" s="2" t="s">
        <v>1188</v>
      </c>
      <c r="C3289" s="2">
        <v>0.15</v>
      </c>
      <c r="D3289" s="2">
        <v>1.1886000000000001</v>
      </c>
      <c r="E3289" s="2" t="s">
        <v>685</v>
      </c>
    </row>
    <row r="3290" spans="1:5" ht="20.25" customHeight="1" x14ac:dyDescent="0.15">
      <c r="A3290" s="2" t="s">
        <v>2528</v>
      </c>
      <c r="B3290" s="2" t="s">
        <v>2529</v>
      </c>
      <c r="C3290" s="2">
        <v>0.15</v>
      </c>
      <c r="D3290" s="2">
        <v>10.667</v>
      </c>
      <c r="E3290" s="2" t="s">
        <v>551</v>
      </c>
    </row>
    <row r="3291" spans="1:5" ht="20.25" customHeight="1" x14ac:dyDescent="0.15">
      <c r="A3291" s="2" t="s">
        <v>2654</v>
      </c>
      <c r="B3291" s="2" t="s">
        <v>2655</v>
      </c>
      <c r="C3291" s="2">
        <v>0.15</v>
      </c>
      <c r="D3291" s="2">
        <v>14.793799999999999</v>
      </c>
      <c r="E3291" s="2" t="s">
        <v>421</v>
      </c>
    </row>
    <row r="3292" spans="1:5" ht="20.25" customHeight="1" x14ac:dyDescent="0.15">
      <c r="A3292" s="2" t="s">
        <v>3637</v>
      </c>
      <c r="B3292" s="2" t="s">
        <v>3638</v>
      </c>
      <c r="C3292" s="2">
        <v>0.15</v>
      </c>
      <c r="D3292" s="2">
        <v>3.0181</v>
      </c>
      <c r="E3292" s="2" t="s">
        <v>198</v>
      </c>
    </row>
    <row r="3293" spans="1:5" ht="20.25" customHeight="1" x14ac:dyDescent="0.15">
      <c r="A3293" s="2" t="s">
        <v>3835</v>
      </c>
      <c r="B3293" s="2" t="s">
        <v>3836</v>
      </c>
      <c r="C3293" s="2">
        <v>0.15</v>
      </c>
      <c r="D3293" s="2">
        <v>12.329599999999999</v>
      </c>
      <c r="E3293" s="2" t="s">
        <v>299</v>
      </c>
    </row>
    <row r="3294" spans="1:5" ht="20.25" customHeight="1" x14ac:dyDescent="0.15">
      <c r="A3294" s="2" t="s">
        <v>4096</v>
      </c>
      <c r="B3294" s="2" t="s">
        <v>4097</v>
      </c>
      <c r="C3294" s="2">
        <v>0.15</v>
      </c>
      <c r="D3294" s="2">
        <v>0.39069999999999999</v>
      </c>
      <c r="E3294" s="2" t="s">
        <v>220</v>
      </c>
    </row>
    <row r="3295" spans="1:5" ht="20.25" customHeight="1" x14ac:dyDescent="0.15">
      <c r="A3295" s="2" t="s">
        <v>4234</v>
      </c>
      <c r="B3295" s="2" t="s">
        <v>4235</v>
      </c>
      <c r="C3295" s="2">
        <v>0.15</v>
      </c>
      <c r="D3295" s="2">
        <v>9.343</v>
      </c>
      <c r="E3295" s="2" t="s">
        <v>265</v>
      </c>
    </row>
    <row r="3296" spans="1:5" ht="20.25" customHeight="1" x14ac:dyDescent="0.15">
      <c r="A3296" s="2" t="s">
        <v>5697</v>
      </c>
      <c r="B3296" s="2" t="s">
        <v>5698</v>
      </c>
      <c r="C3296" s="2">
        <v>0.15</v>
      </c>
      <c r="D3296" s="2">
        <v>3.7995999999999999</v>
      </c>
      <c r="E3296" s="2" t="s">
        <v>265</v>
      </c>
    </row>
    <row r="3297" spans="1:5" ht="20.25" customHeight="1" x14ac:dyDescent="0.15">
      <c r="A3297" s="2" t="s">
        <v>5904</v>
      </c>
      <c r="B3297" s="2" t="s">
        <v>5905</v>
      </c>
      <c r="C3297" s="2">
        <v>0.15</v>
      </c>
      <c r="D3297" s="2">
        <v>98.976100000000002</v>
      </c>
      <c r="E3297" s="2" t="s">
        <v>44</v>
      </c>
    </row>
    <row r="3298" spans="1:5" ht="20.25" customHeight="1" x14ac:dyDescent="0.15">
      <c r="A3298" s="2" t="s">
        <v>5908</v>
      </c>
      <c r="B3298" s="2" t="s">
        <v>5909</v>
      </c>
      <c r="C3298" s="2">
        <v>0.15</v>
      </c>
      <c r="D3298" s="2">
        <v>52.547800000000002</v>
      </c>
      <c r="E3298" s="2" t="s">
        <v>89</v>
      </c>
    </row>
    <row r="3299" spans="1:5" ht="20.25" customHeight="1" x14ac:dyDescent="0.15">
      <c r="A3299" s="2" t="s">
        <v>6883</v>
      </c>
      <c r="B3299" s="2" t="s">
        <v>6884</v>
      </c>
      <c r="C3299" s="2">
        <v>0.15</v>
      </c>
      <c r="D3299" s="2">
        <v>5.4108000000000001</v>
      </c>
      <c r="E3299" s="2" t="s">
        <v>647</v>
      </c>
    </row>
    <row r="3300" spans="1:5" ht="20.25" customHeight="1" x14ac:dyDescent="0.15">
      <c r="A3300" s="2" t="s">
        <v>7133</v>
      </c>
      <c r="B3300" s="2" t="s">
        <v>7134</v>
      </c>
      <c r="C3300" s="2">
        <v>0.15</v>
      </c>
      <c r="D3300" s="2">
        <v>1.0339</v>
      </c>
      <c r="E3300" s="2" t="s">
        <v>704</v>
      </c>
    </row>
    <row r="3301" spans="1:5" ht="20.25" customHeight="1" x14ac:dyDescent="0.15">
      <c r="A3301" s="2" t="s">
        <v>7781</v>
      </c>
      <c r="B3301" s="2" t="s">
        <v>7782</v>
      </c>
      <c r="C3301" s="2">
        <v>0.15</v>
      </c>
      <c r="D3301" s="2">
        <v>5.0621999999999998</v>
      </c>
      <c r="E3301" s="2" t="s">
        <v>459</v>
      </c>
    </row>
    <row r="3302" spans="1:5" ht="20.25" customHeight="1" x14ac:dyDescent="0.15">
      <c r="A3302" s="2" t="s">
        <v>8359</v>
      </c>
      <c r="B3302" s="2" t="s">
        <v>8360</v>
      </c>
      <c r="C3302" s="2">
        <v>0.15</v>
      </c>
      <c r="D3302" s="2">
        <v>69.755899999999997</v>
      </c>
      <c r="E3302" s="2" t="s">
        <v>52</v>
      </c>
    </row>
    <row r="3303" spans="1:5" ht="20.25" customHeight="1" x14ac:dyDescent="0.15">
      <c r="A3303" s="2" t="s">
        <v>569</v>
      </c>
      <c r="B3303" s="2" t="s">
        <v>570</v>
      </c>
      <c r="C3303" s="2">
        <v>0.14000000000000001</v>
      </c>
      <c r="D3303" s="2">
        <v>0.36409999999999998</v>
      </c>
      <c r="E3303" s="2" t="s">
        <v>571</v>
      </c>
    </row>
    <row r="3304" spans="1:5" ht="20.25" customHeight="1" x14ac:dyDescent="0.15">
      <c r="A3304" s="2" t="s">
        <v>2584</v>
      </c>
      <c r="B3304" s="2" t="s">
        <v>2585</v>
      </c>
      <c r="C3304" s="2">
        <v>0.14000000000000001</v>
      </c>
      <c r="D3304" s="2">
        <v>0.33939999999999998</v>
      </c>
      <c r="E3304" s="2" t="s">
        <v>1066</v>
      </c>
    </row>
    <row r="3305" spans="1:5" ht="20.25" customHeight="1" x14ac:dyDescent="0.15">
      <c r="A3305" s="2" t="s">
        <v>3156</v>
      </c>
      <c r="B3305" s="2" t="s">
        <v>3157</v>
      </c>
      <c r="C3305" s="2">
        <v>0.14000000000000001</v>
      </c>
      <c r="D3305" s="2">
        <v>0.50800000000000001</v>
      </c>
      <c r="E3305" s="2" t="s">
        <v>220</v>
      </c>
    </row>
    <row r="3306" spans="1:5" ht="20.25" customHeight="1" x14ac:dyDescent="0.15">
      <c r="A3306" s="2" t="s">
        <v>3348</v>
      </c>
      <c r="B3306" s="2" t="s">
        <v>3349</v>
      </c>
      <c r="C3306" s="2">
        <v>0.14000000000000001</v>
      </c>
      <c r="D3306" s="2">
        <v>3.9243000000000001</v>
      </c>
      <c r="E3306" s="2" t="s">
        <v>137</v>
      </c>
    </row>
    <row r="3307" spans="1:5" ht="20.25" customHeight="1" x14ac:dyDescent="0.15">
      <c r="A3307" s="2" t="s">
        <v>4548</v>
      </c>
      <c r="B3307" s="2" t="s">
        <v>4549</v>
      </c>
      <c r="C3307" s="2">
        <v>0.14000000000000001</v>
      </c>
      <c r="D3307" s="2">
        <v>0.90429999999999999</v>
      </c>
      <c r="E3307" s="2" t="s">
        <v>126</v>
      </c>
    </row>
    <row r="3308" spans="1:5" ht="20.25" customHeight="1" x14ac:dyDescent="0.15">
      <c r="A3308" s="2" t="s">
        <v>4636</v>
      </c>
      <c r="B3308" s="2" t="s">
        <v>4637</v>
      </c>
      <c r="C3308" s="2">
        <v>0.14000000000000001</v>
      </c>
      <c r="D3308" s="2">
        <v>49.86</v>
      </c>
      <c r="E3308" s="2" t="s">
        <v>68</v>
      </c>
    </row>
    <row r="3309" spans="1:5" ht="20.25" customHeight="1" x14ac:dyDescent="0.15">
      <c r="A3309" s="2" t="s">
        <v>5292</v>
      </c>
      <c r="B3309" s="2" t="s">
        <v>5293</v>
      </c>
      <c r="C3309" s="2">
        <v>0.14000000000000001</v>
      </c>
      <c r="D3309" s="2">
        <v>4.8310000000000004</v>
      </c>
      <c r="E3309" s="2" t="s">
        <v>747</v>
      </c>
    </row>
    <row r="3310" spans="1:5" ht="20.25" customHeight="1" x14ac:dyDescent="0.15">
      <c r="A3310" s="2" t="s">
        <v>5633</v>
      </c>
      <c r="B3310" s="2" t="s">
        <v>5634</v>
      </c>
      <c r="C3310" s="2">
        <v>0.14000000000000001</v>
      </c>
      <c r="D3310" s="2">
        <v>35.821199999999997</v>
      </c>
      <c r="E3310" s="2" t="s">
        <v>421</v>
      </c>
    </row>
    <row r="3311" spans="1:5" ht="20.25" customHeight="1" x14ac:dyDescent="0.15">
      <c r="A3311" s="2" t="s">
        <v>5888</v>
      </c>
      <c r="B3311" s="2" t="s">
        <v>5889</v>
      </c>
      <c r="C3311" s="2">
        <v>0.14000000000000001</v>
      </c>
      <c r="D3311" s="2">
        <v>3.1412</v>
      </c>
      <c r="E3311" s="2" t="s">
        <v>220</v>
      </c>
    </row>
    <row r="3312" spans="1:5" ht="20.25" customHeight="1" x14ac:dyDescent="0.15">
      <c r="A3312" s="2" t="s">
        <v>6210</v>
      </c>
      <c r="B3312" s="2" t="s">
        <v>6211</v>
      </c>
      <c r="C3312" s="2">
        <v>0.14000000000000001</v>
      </c>
      <c r="D3312" s="2">
        <v>14.2317</v>
      </c>
      <c r="E3312" s="2" t="s">
        <v>3190</v>
      </c>
    </row>
    <row r="3313" spans="1:5" ht="20.25" customHeight="1" x14ac:dyDescent="0.15">
      <c r="A3313" s="2" t="s">
        <v>6622</v>
      </c>
      <c r="B3313" s="2" t="s">
        <v>6623</v>
      </c>
      <c r="C3313" s="2">
        <v>0.14000000000000001</v>
      </c>
      <c r="D3313" s="2">
        <v>0.63980000000000004</v>
      </c>
      <c r="E3313" s="2" t="s">
        <v>268</v>
      </c>
    </row>
    <row r="3314" spans="1:5" ht="20.25" customHeight="1" x14ac:dyDescent="0.15">
      <c r="A3314" s="2" t="s">
        <v>7221</v>
      </c>
      <c r="B3314" s="2" t="s">
        <v>7222</v>
      </c>
      <c r="C3314" s="2">
        <v>0.14000000000000001</v>
      </c>
      <c r="D3314" s="2">
        <v>1.8844000000000001</v>
      </c>
      <c r="E3314" s="2" t="s">
        <v>589</v>
      </c>
    </row>
    <row r="3315" spans="1:5" ht="20.25" customHeight="1" x14ac:dyDescent="0.15">
      <c r="A3315" s="2" t="s">
        <v>7387</v>
      </c>
      <c r="B3315" s="2" t="s">
        <v>7388</v>
      </c>
      <c r="C3315" s="2">
        <v>0.14000000000000001</v>
      </c>
      <c r="D3315" s="2">
        <v>3.0573000000000001</v>
      </c>
      <c r="E3315" s="2" t="s">
        <v>1390</v>
      </c>
    </row>
    <row r="3316" spans="1:5" ht="20.25" customHeight="1" x14ac:dyDescent="0.15">
      <c r="A3316" s="2" t="s">
        <v>7643</v>
      </c>
      <c r="B3316" s="2" t="s">
        <v>7644</v>
      </c>
      <c r="C3316" s="2">
        <v>0.14000000000000001</v>
      </c>
      <c r="D3316" s="2">
        <v>3.6242000000000001</v>
      </c>
      <c r="E3316" s="2" t="s">
        <v>374</v>
      </c>
    </row>
    <row r="3317" spans="1:5" ht="20.25" customHeight="1" x14ac:dyDescent="0.15">
      <c r="A3317" s="2" t="s">
        <v>7835</v>
      </c>
      <c r="B3317" s="2" t="s">
        <v>7836</v>
      </c>
      <c r="C3317" s="2">
        <v>0.14000000000000001</v>
      </c>
      <c r="D3317" s="2">
        <v>7.8962000000000003</v>
      </c>
      <c r="E3317" s="2" t="s">
        <v>713</v>
      </c>
    </row>
    <row r="3318" spans="1:5" ht="20.25" customHeight="1" x14ac:dyDescent="0.15">
      <c r="A3318" s="2" t="s">
        <v>1762</v>
      </c>
      <c r="B3318" s="2" t="s">
        <v>1763</v>
      </c>
      <c r="C3318" s="2">
        <v>0.13</v>
      </c>
      <c r="D3318" s="2">
        <v>0.18840000000000001</v>
      </c>
      <c r="E3318" s="2" t="s">
        <v>204</v>
      </c>
    </row>
    <row r="3319" spans="1:5" ht="20.25" customHeight="1" x14ac:dyDescent="0.15">
      <c r="A3319" s="2" t="s">
        <v>1881</v>
      </c>
      <c r="B3319" s="2" t="s">
        <v>1882</v>
      </c>
      <c r="C3319" s="2">
        <v>0.13</v>
      </c>
      <c r="D3319" s="2">
        <v>0.56889999999999996</v>
      </c>
      <c r="E3319" s="2" t="s">
        <v>1102</v>
      </c>
    </row>
    <row r="3320" spans="1:5" ht="20.25" customHeight="1" x14ac:dyDescent="0.15">
      <c r="A3320" s="2" t="s">
        <v>2423</v>
      </c>
      <c r="B3320" s="2" t="s">
        <v>2424</v>
      </c>
      <c r="C3320" s="2">
        <v>0.13</v>
      </c>
      <c r="D3320" s="2">
        <v>22.49</v>
      </c>
      <c r="E3320" s="2" t="s">
        <v>568</v>
      </c>
    </row>
    <row r="3321" spans="1:5" ht="20.25" customHeight="1" x14ac:dyDescent="0.15">
      <c r="A3321" s="2" t="s">
        <v>2616</v>
      </c>
      <c r="B3321" s="2" t="s">
        <v>2617</v>
      </c>
      <c r="C3321" s="2">
        <v>0.13</v>
      </c>
      <c r="D3321" s="2">
        <v>17.676300000000001</v>
      </c>
      <c r="E3321" s="2" t="s">
        <v>483</v>
      </c>
    </row>
    <row r="3322" spans="1:5" ht="20.25" customHeight="1" x14ac:dyDescent="0.15">
      <c r="A3322" s="2" t="s">
        <v>4000</v>
      </c>
      <c r="B3322" s="2" t="s">
        <v>4001</v>
      </c>
      <c r="C3322" s="2">
        <v>0.13</v>
      </c>
      <c r="D3322" s="2">
        <v>6.8141999999999996</v>
      </c>
      <c r="E3322" s="2" t="s">
        <v>1091</v>
      </c>
    </row>
    <row r="3323" spans="1:5" ht="20.25" customHeight="1" x14ac:dyDescent="0.15">
      <c r="A3323" s="2" t="s">
        <v>4034</v>
      </c>
      <c r="B3323" s="2" t="s">
        <v>4035</v>
      </c>
      <c r="C3323" s="2">
        <v>0.13</v>
      </c>
      <c r="D3323" s="2">
        <v>58.964500000000001</v>
      </c>
      <c r="E3323" s="2" t="s">
        <v>111</v>
      </c>
    </row>
    <row r="3324" spans="1:5" ht="20.25" customHeight="1" x14ac:dyDescent="0.15">
      <c r="A3324" s="2" t="s">
        <v>4927</v>
      </c>
      <c r="B3324" s="2" t="s">
        <v>4928</v>
      </c>
      <c r="C3324" s="2">
        <v>0.13</v>
      </c>
      <c r="D3324" s="2">
        <v>18.9102</v>
      </c>
      <c r="E3324" s="2" t="s">
        <v>339</v>
      </c>
    </row>
    <row r="3325" spans="1:5" ht="20.25" customHeight="1" x14ac:dyDescent="0.15">
      <c r="A3325" s="2" t="s">
        <v>5575</v>
      </c>
      <c r="B3325" s="2" t="s">
        <v>5576</v>
      </c>
      <c r="C3325" s="2">
        <v>0.13</v>
      </c>
      <c r="D3325" s="2">
        <v>2.5829</v>
      </c>
      <c r="E3325" s="2" t="s">
        <v>1248</v>
      </c>
    </row>
    <row r="3326" spans="1:5" ht="20.25" customHeight="1" x14ac:dyDescent="0.15">
      <c r="A3326" s="2" t="s">
        <v>7345</v>
      </c>
      <c r="B3326" s="2" t="s">
        <v>7346</v>
      </c>
      <c r="C3326" s="2">
        <v>0.13</v>
      </c>
      <c r="D3326" s="2">
        <v>0.53839999999999999</v>
      </c>
      <c r="E3326" s="2" t="s">
        <v>220</v>
      </c>
    </row>
    <row r="3327" spans="1:5" ht="20.25" customHeight="1" x14ac:dyDescent="0.15">
      <c r="A3327" s="2" t="s">
        <v>7807</v>
      </c>
      <c r="B3327" s="2" t="s">
        <v>7808</v>
      </c>
      <c r="C3327" s="2">
        <v>0.13</v>
      </c>
      <c r="D3327" s="2">
        <v>1.83E-2</v>
      </c>
      <c r="E3327" s="2" t="s">
        <v>1102</v>
      </c>
    </row>
    <row r="3328" spans="1:5" ht="20.25" customHeight="1" x14ac:dyDescent="0.15">
      <c r="A3328" s="2" t="s">
        <v>8059</v>
      </c>
      <c r="B3328" s="2" t="s">
        <v>8060</v>
      </c>
      <c r="C3328" s="2">
        <v>0.13</v>
      </c>
      <c r="D3328" s="2">
        <v>0.28660000000000002</v>
      </c>
      <c r="E3328" s="2" t="s">
        <v>638</v>
      </c>
    </row>
    <row r="3329" spans="1:5" ht="20.25" customHeight="1" x14ac:dyDescent="0.15">
      <c r="A3329" s="2" t="s">
        <v>8203</v>
      </c>
      <c r="B3329" s="2" t="s">
        <v>8204</v>
      </c>
      <c r="C3329" s="2">
        <v>0.13</v>
      </c>
      <c r="D3329" s="2">
        <v>35.1571</v>
      </c>
      <c r="E3329" s="2" t="s">
        <v>1820</v>
      </c>
    </row>
    <row r="3330" spans="1:5" ht="20.25" customHeight="1" x14ac:dyDescent="0.15">
      <c r="A3330" s="2" t="s">
        <v>8337</v>
      </c>
      <c r="B3330" s="2" t="s">
        <v>8338</v>
      </c>
      <c r="C3330" s="2">
        <v>0.13</v>
      </c>
      <c r="D3330" s="2">
        <v>13.095599999999999</v>
      </c>
      <c r="E3330" s="2" t="s">
        <v>1593</v>
      </c>
    </row>
    <row r="3331" spans="1:5" ht="20.25" customHeight="1" x14ac:dyDescent="0.15">
      <c r="A3331" s="2" t="s">
        <v>1672</v>
      </c>
      <c r="B3331" s="2" t="s">
        <v>1673</v>
      </c>
      <c r="C3331" s="2">
        <v>0.12</v>
      </c>
      <c r="D3331" s="2">
        <v>0.5857</v>
      </c>
      <c r="E3331" s="2" t="s">
        <v>299</v>
      </c>
    </row>
    <row r="3332" spans="1:5" ht="20.25" customHeight="1" x14ac:dyDescent="0.15">
      <c r="A3332" s="2" t="s">
        <v>2753</v>
      </c>
      <c r="B3332" s="2" t="s">
        <v>2754</v>
      </c>
      <c r="C3332" s="2">
        <v>0.12</v>
      </c>
      <c r="D3332" s="2">
        <v>2.0899999999999998E-2</v>
      </c>
      <c r="E3332" s="2" t="s">
        <v>2038</v>
      </c>
    </row>
    <row r="3333" spans="1:5" ht="20.25" customHeight="1" x14ac:dyDescent="0.15">
      <c r="A3333" s="2" t="s">
        <v>2963</v>
      </c>
      <c r="B3333" s="2" t="s">
        <v>2964</v>
      </c>
      <c r="C3333" s="2">
        <v>0.12</v>
      </c>
      <c r="D3333" s="2">
        <v>14.124000000000001</v>
      </c>
      <c r="E3333" s="2" t="s">
        <v>65</v>
      </c>
    </row>
    <row r="3334" spans="1:5" ht="20.25" customHeight="1" x14ac:dyDescent="0.15">
      <c r="A3334" s="2" t="s">
        <v>3232</v>
      </c>
      <c r="B3334" s="2" t="s">
        <v>3233</v>
      </c>
      <c r="C3334" s="2">
        <v>0.12</v>
      </c>
      <c r="D3334" s="2">
        <v>1.2961</v>
      </c>
      <c r="E3334" s="2" t="s">
        <v>784</v>
      </c>
    </row>
    <row r="3335" spans="1:5" ht="20.25" customHeight="1" x14ac:dyDescent="0.15">
      <c r="A3335" s="2" t="s">
        <v>4749</v>
      </c>
      <c r="B3335" s="2" t="s">
        <v>4750</v>
      </c>
      <c r="C3335" s="2">
        <v>0.12</v>
      </c>
      <c r="D3335" s="2">
        <v>1.5141</v>
      </c>
      <c r="E3335" s="2" t="s">
        <v>1094</v>
      </c>
    </row>
    <row r="3336" spans="1:5" ht="20.25" customHeight="1" x14ac:dyDescent="0.15">
      <c r="A3336" s="2" t="s">
        <v>6176</v>
      </c>
      <c r="B3336" s="2" t="s">
        <v>6177</v>
      </c>
      <c r="C3336" s="2">
        <v>0.12</v>
      </c>
      <c r="D3336" s="2">
        <v>14.044600000000001</v>
      </c>
      <c r="E3336" s="2" t="s">
        <v>1268</v>
      </c>
    </row>
    <row r="3337" spans="1:5" ht="20.25" customHeight="1" x14ac:dyDescent="0.15">
      <c r="A3337" s="2" t="s">
        <v>6574</v>
      </c>
      <c r="B3337" s="2" t="s">
        <v>6575</v>
      </c>
      <c r="C3337" s="2">
        <v>0.12</v>
      </c>
      <c r="D3337" s="2">
        <v>8.5784000000000002</v>
      </c>
      <c r="E3337" s="2" t="s">
        <v>630</v>
      </c>
    </row>
    <row r="3338" spans="1:5" ht="20.25" customHeight="1" x14ac:dyDescent="0.15">
      <c r="A3338" s="2" t="s">
        <v>6656</v>
      </c>
      <c r="B3338" s="2" t="s">
        <v>6657</v>
      </c>
      <c r="C3338" s="2">
        <v>0.12</v>
      </c>
      <c r="D3338" s="2">
        <v>31.6372</v>
      </c>
      <c r="E3338" s="2" t="s">
        <v>310</v>
      </c>
    </row>
    <row r="3339" spans="1:5" ht="20.25" customHeight="1" x14ac:dyDescent="0.15">
      <c r="A3339" s="2" t="s">
        <v>6923</v>
      </c>
      <c r="B3339" s="2" t="s">
        <v>6924</v>
      </c>
      <c r="C3339" s="2">
        <v>0.12</v>
      </c>
      <c r="D3339" s="2">
        <v>37.182600000000001</v>
      </c>
      <c r="E3339" s="2" t="s">
        <v>1870</v>
      </c>
    </row>
    <row r="3340" spans="1:5" ht="20.25" customHeight="1" x14ac:dyDescent="0.15">
      <c r="A3340" s="2" t="s">
        <v>5691</v>
      </c>
      <c r="B3340" s="2" t="s">
        <v>5692</v>
      </c>
      <c r="C3340" s="2">
        <v>0.115</v>
      </c>
      <c r="D3340" s="2">
        <v>5.2782999999999998</v>
      </c>
      <c r="E3340" s="2" t="s">
        <v>265</v>
      </c>
    </row>
    <row r="3341" spans="1:5" ht="20.25" customHeight="1" x14ac:dyDescent="0.15">
      <c r="A3341" s="2" t="s">
        <v>7189</v>
      </c>
      <c r="B3341" s="2" t="s">
        <v>7190</v>
      </c>
      <c r="C3341" s="2">
        <v>0.115</v>
      </c>
      <c r="D3341" s="2">
        <v>11.4931</v>
      </c>
      <c r="E3341" s="2" t="s">
        <v>747</v>
      </c>
    </row>
    <row r="3342" spans="1:5" ht="20.25" customHeight="1" x14ac:dyDescent="0.15">
      <c r="A3342" s="2" t="s">
        <v>1022</v>
      </c>
      <c r="B3342" s="2" t="s">
        <v>1023</v>
      </c>
      <c r="C3342" s="2">
        <v>0.11</v>
      </c>
      <c r="D3342" s="2">
        <v>6.2962999999999996</v>
      </c>
      <c r="E3342" s="2" t="s">
        <v>10</v>
      </c>
    </row>
    <row r="3343" spans="1:5" ht="20.25" customHeight="1" x14ac:dyDescent="0.15">
      <c r="A3343" s="2" t="s">
        <v>1495</v>
      </c>
      <c r="B3343" s="2" t="s">
        <v>1496</v>
      </c>
      <c r="C3343" s="2">
        <v>0.11</v>
      </c>
      <c r="D3343" s="2">
        <v>1.3021</v>
      </c>
      <c r="E3343" s="2" t="s">
        <v>220</v>
      </c>
    </row>
    <row r="3344" spans="1:5" ht="20.25" customHeight="1" x14ac:dyDescent="0.15">
      <c r="A3344" s="2" t="s">
        <v>2351</v>
      </c>
      <c r="B3344" s="2" t="s">
        <v>2352</v>
      </c>
      <c r="C3344" s="2">
        <v>0.11</v>
      </c>
      <c r="D3344" s="2">
        <v>10.3245</v>
      </c>
      <c r="E3344" s="2" t="s">
        <v>1094</v>
      </c>
    </row>
    <row r="3345" spans="1:5" ht="20.25" customHeight="1" x14ac:dyDescent="0.15">
      <c r="A3345" s="2" t="s">
        <v>2451</v>
      </c>
      <c r="B3345" s="2" t="s">
        <v>2452</v>
      </c>
      <c r="C3345" s="2">
        <v>0.11</v>
      </c>
      <c r="D3345" s="2">
        <v>0.43890000000000001</v>
      </c>
      <c r="E3345" s="2" t="s">
        <v>220</v>
      </c>
    </row>
    <row r="3346" spans="1:5" ht="20.25" customHeight="1" x14ac:dyDescent="0.15">
      <c r="A3346" s="2" t="s">
        <v>2630</v>
      </c>
      <c r="B3346" s="2" t="s">
        <v>2631</v>
      </c>
      <c r="C3346" s="2">
        <v>0.11</v>
      </c>
      <c r="D3346" s="2">
        <v>0.90780000000000005</v>
      </c>
      <c r="E3346" s="2" t="s">
        <v>1034</v>
      </c>
    </row>
    <row r="3347" spans="1:5" ht="20.25" customHeight="1" x14ac:dyDescent="0.15">
      <c r="A3347" s="2" t="s">
        <v>3332</v>
      </c>
      <c r="B3347" s="2" t="s">
        <v>3333</v>
      </c>
      <c r="C3347" s="2">
        <v>0.11</v>
      </c>
      <c r="D3347" s="2">
        <v>164.0848</v>
      </c>
      <c r="E3347" s="2" t="s">
        <v>385</v>
      </c>
    </row>
    <row r="3348" spans="1:5" ht="20.25" customHeight="1" x14ac:dyDescent="0.15">
      <c r="A3348" s="2" t="s">
        <v>3362</v>
      </c>
      <c r="B3348" s="2" t="s">
        <v>3363</v>
      </c>
      <c r="C3348" s="2">
        <v>0.11</v>
      </c>
      <c r="D3348" s="2">
        <v>1.2878000000000001</v>
      </c>
      <c r="E3348" s="2" t="s">
        <v>2355</v>
      </c>
    </row>
    <row r="3349" spans="1:5" ht="20.25" customHeight="1" x14ac:dyDescent="0.15">
      <c r="A3349" s="2" t="s">
        <v>3483</v>
      </c>
      <c r="B3349" s="2" t="s">
        <v>3484</v>
      </c>
      <c r="C3349" s="2">
        <v>0.11</v>
      </c>
      <c r="D3349" s="2">
        <v>3.3323</v>
      </c>
      <c r="E3349" s="2" t="s">
        <v>529</v>
      </c>
    </row>
    <row r="3350" spans="1:5" ht="20.25" customHeight="1" x14ac:dyDescent="0.15">
      <c r="A3350" s="2" t="s">
        <v>3805</v>
      </c>
      <c r="B3350" s="2" t="s">
        <v>3806</v>
      </c>
      <c r="C3350" s="2">
        <v>0.11</v>
      </c>
      <c r="D3350" s="2">
        <v>0.72919999999999996</v>
      </c>
      <c r="E3350" s="2" t="s">
        <v>750</v>
      </c>
    </row>
    <row r="3351" spans="1:5" ht="20.25" customHeight="1" x14ac:dyDescent="0.15">
      <c r="A3351" s="2" t="s">
        <v>3951</v>
      </c>
      <c r="B3351" s="2" t="s">
        <v>3952</v>
      </c>
      <c r="C3351" s="2">
        <v>0.11</v>
      </c>
      <c r="D3351" s="2">
        <v>1.6155999999999999</v>
      </c>
      <c r="E3351" s="2" t="s">
        <v>787</v>
      </c>
    </row>
    <row r="3352" spans="1:5" ht="20.25" customHeight="1" x14ac:dyDescent="0.15">
      <c r="A3352" s="2" t="s">
        <v>4247</v>
      </c>
      <c r="B3352" s="2" t="s">
        <v>4248</v>
      </c>
      <c r="C3352" s="2">
        <v>0.11</v>
      </c>
      <c r="D3352" s="2">
        <v>3.4798</v>
      </c>
      <c r="E3352" s="2" t="s">
        <v>630</v>
      </c>
    </row>
    <row r="3353" spans="1:5" ht="20.25" customHeight="1" x14ac:dyDescent="0.15">
      <c r="A3353" s="2" t="s">
        <v>4251</v>
      </c>
      <c r="B3353" s="2" t="s">
        <v>4252</v>
      </c>
      <c r="C3353" s="2">
        <v>0.11</v>
      </c>
      <c r="D3353" s="2">
        <v>0.32679999999999998</v>
      </c>
      <c r="E3353" s="2" t="s">
        <v>704</v>
      </c>
    </row>
    <row r="3354" spans="1:5" ht="20.25" customHeight="1" x14ac:dyDescent="0.15">
      <c r="A3354" s="2" t="s">
        <v>6312</v>
      </c>
      <c r="B3354" s="2" t="s">
        <v>6313</v>
      </c>
      <c r="C3354" s="2">
        <v>0.11</v>
      </c>
      <c r="D3354" s="2">
        <v>2.0367000000000002</v>
      </c>
      <c r="E3354" s="2" t="s">
        <v>359</v>
      </c>
    </row>
    <row r="3355" spans="1:5" ht="20.25" customHeight="1" x14ac:dyDescent="0.15">
      <c r="A3355" s="2" t="s">
        <v>6534</v>
      </c>
      <c r="B3355" s="2" t="s">
        <v>6535</v>
      </c>
      <c r="C3355" s="2">
        <v>0.11</v>
      </c>
      <c r="D3355" s="2">
        <v>8.9949999999999992</v>
      </c>
      <c r="E3355" s="2" t="s">
        <v>120</v>
      </c>
    </row>
    <row r="3356" spans="1:5" ht="20.25" customHeight="1" x14ac:dyDescent="0.15">
      <c r="A3356" s="2" t="s">
        <v>6586</v>
      </c>
      <c r="B3356" s="2" t="s">
        <v>6587</v>
      </c>
      <c r="C3356" s="2">
        <v>0.11</v>
      </c>
      <c r="D3356" s="2">
        <v>41.652900000000002</v>
      </c>
      <c r="E3356" s="2" t="s">
        <v>501</v>
      </c>
    </row>
    <row r="3357" spans="1:5" ht="20.25" customHeight="1" x14ac:dyDescent="0.15">
      <c r="A3357" s="2" t="s">
        <v>7805</v>
      </c>
      <c r="B3357" s="2" t="s">
        <v>7806</v>
      </c>
      <c r="C3357" s="2">
        <v>0.11</v>
      </c>
      <c r="D3357" s="2">
        <v>4.1013999999999999</v>
      </c>
      <c r="E3357" s="2" t="s">
        <v>149</v>
      </c>
    </row>
    <row r="3358" spans="1:5" ht="20.25" customHeight="1" x14ac:dyDescent="0.15">
      <c r="A3358" s="2" t="s">
        <v>7817</v>
      </c>
      <c r="B3358" s="2" t="s">
        <v>7818</v>
      </c>
      <c r="C3358" s="2">
        <v>0.11</v>
      </c>
      <c r="D3358" s="2">
        <v>62.083500000000001</v>
      </c>
      <c r="E3358" s="2" t="s">
        <v>265</v>
      </c>
    </row>
    <row r="3359" spans="1:5" ht="20.25" customHeight="1" x14ac:dyDescent="0.15">
      <c r="A3359" s="2" t="s">
        <v>2026</v>
      </c>
      <c r="B3359" s="2" t="s">
        <v>2027</v>
      </c>
      <c r="C3359" s="2">
        <v>0.1</v>
      </c>
      <c r="D3359" s="2">
        <v>16.204799999999999</v>
      </c>
      <c r="E3359" s="2" t="s">
        <v>265</v>
      </c>
    </row>
    <row r="3360" spans="1:5" ht="20.25" customHeight="1" x14ac:dyDescent="0.15">
      <c r="A3360" s="2" t="s">
        <v>4586</v>
      </c>
      <c r="B3360" s="2" t="s">
        <v>4587</v>
      </c>
      <c r="C3360" s="2">
        <v>0.1</v>
      </c>
      <c r="D3360" s="2">
        <v>0.5494</v>
      </c>
      <c r="E3360" s="2" t="s">
        <v>220</v>
      </c>
    </row>
    <row r="3361" spans="1:5" ht="20.25" customHeight="1" x14ac:dyDescent="0.15">
      <c r="A3361" s="2" t="s">
        <v>5850</v>
      </c>
      <c r="B3361" s="2" t="s">
        <v>5851</v>
      </c>
      <c r="C3361" s="2">
        <v>0.1</v>
      </c>
      <c r="D3361" s="2">
        <v>3.49E-2</v>
      </c>
      <c r="E3361" s="2" t="s">
        <v>713</v>
      </c>
    </row>
    <row r="3362" spans="1:5" ht="20.25" customHeight="1" x14ac:dyDescent="0.15">
      <c r="A3362" s="2" t="s">
        <v>5942</v>
      </c>
      <c r="B3362" s="2" t="s">
        <v>5943</v>
      </c>
      <c r="C3362" s="2">
        <v>0.1</v>
      </c>
      <c r="D3362" s="2">
        <v>1.5524</v>
      </c>
      <c r="E3362" s="2" t="s">
        <v>396</v>
      </c>
    </row>
    <row r="3363" spans="1:5" ht="20.25" customHeight="1" x14ac:dyDescent="0.15">
      <c r="A3363" s="2" t="s">
        <v>6396</v>
      </c>
      <c r="B3363" s="2" t="s">
        <v>6397</v>
      </c>
      <c r="C3363" s="2">
        <v>0.1</v>
      </c>
      <c r="D3363" s="2">
        <v>18.417899999999999</v>
      </c>
      <c r="E3363" s="2" t="s">
        <v>1199</v>
      </c>
    </row>
    <row r="3364" spans="1:5" ht="20.25" customHeight="1" x14ac:dyDescent="0.15">
      <c r="A3364" s="2" t="s">
        <v>7039</v>
      </c>
      <c r="B3364" s="2" t="s">
        <v>7040</v>
      </c>
      <c r="C3364" s="2">
        <v>0.1</v>
      </c>
      <c r="D3364" s="2">
        <v>4.5180999999999996</v>
      </c>
      <c r="E3364" s="2" t="s">
        <v>1102</v>
      </c>
    </row>
    <row r="3365" spans="1:5" ht="20.25" customHeight="1" x14ac:dyDescent="0.15">
      <c r="A3365" s="2" t="s">
        <v>7791</v>
      </c>
      <c r="B3365" s="2" t="s">
        <v>7792</v>
      </c>
      <c r="C3365" s="2">
        <v>0.1</v>
      </c>
      <c r="D3365" s="2">
        <v>0.93899999999999995</v>
      </c>
      <c r="E3365" s="2" t="s">
        <v>664</v>
      </c>
    </row>
    <row r="3366" spans="1:5" ht="20.25" customHeight="1" x14ac:dyDescent="0.15">
      <c r="A3366" s="2" t="s">
        <v>8187</v>
      </c>
      <c r="B3366" s="2" t="s">
        <v>8188</v>
      </c>
      <c r="C3366" s="2">
        <v>0.1</v>
      </c>
      <c r="D3366" s="2">
        <v>12.149100000000001</v>
      </c>
      <c r="E3366" s="2" t="s">
        <v>1102</v>
      </c>
    </row>
    <row r="3367" spans="1:5" ht="20.25" customHeight="1" x14ac:dyDescent="0.15">
      <c r="A3367" s="2" t="s">
        <v>8233</v>
      </c>
      <c r="B3367" s="2" t="s">
        <v>8234</v>
      </c>
      <c r="C3367" s="2">
        <v>0.1</v>
      </c>
      <c r="D3367" s="2">
        <v>16.139399999999998</v>
      </c>
      <c r="E3367" s="2" t="s">
        <v>1608</v>
      </c>
    </row>
    <row r="3368" spans="1:5" ht="20.25" customHeight="1" x14ac:dyDescent="0.15">
      <c r="A3368" s="2" t="s">
        <v>323</v>
      </c>
      <c r="B3368" s="2" t="s">
        <v>324</v>
      </c>
      <c r="C3368" s="2">
        <v>0.09</v>
      </c>
      <c r="D3368" s="2">
        <v>0.52339999999999998</v>
      </c>
      <c r="E3368" s="2" t="s">
        <v>146</v>
      </c>
    </row>
    <row r="3369" spans="1:5" ht="20.25" customHeight="1" x14ac:dyDescent="0.15">
      <c r="A3369" s="2" t="s">
        <v>1249</v>
      </c>
      <c r="B3369" s="2" t="s">
        <v>1250</v>
      </c>
      <c r="C3369" s="2">
        <v>0.09</v>
      </c>
      <c r="D3369" s="2">
        <v>85.874700000000004</v>
      </c>
      <c r="E3369" s="2" t="s">
        <v>18</v>
      </c>
    </row>
    <row r="3370" spans="1:5" ht="20.25" customHeight="1" x14ac:dyDescent="0.15">
      <c r="A3370" s="2" t="s">
        <v>1351</v>
      </c>
      <c r="B3370" s="2" t="s">
        <v>1352</v>
      </c>
      <c r="C3370" s="2">
        <v>0.09</v>
      </c>
      <c r="D3370" s="2">
        <v>4.1710000000000003</v>
      </c>
      <c r="E3370" s="2" t="s">
        <v>146</v>
      </c>
    </row>
    <row r="3371" spans="1:5" ht="20.25" customHeight="1" x14ac:dyDescent="0.15">
      <c r="A3371" s="2" t="s">
        <v>1489</v>
      </c>
      <c r="B3371" s="2" t="s">
        <v>1490</v>
      </c>
      <c r="C3371" s="2">
        <v>0.09</v>
      </c>
      <c r="D3371" s="2">
        <v>5.0812999999999997</v>
      </c>
      <c r="E3371" s="2" t="s">
        <v>418</v>
      </c>
    </row>
    <row r="3372" spans="1:5" ht="20.25" customHeight="1" x14ac:dyDescent="0.15">
      <c r="A3372" s="2" t="s">
        <v>1624</v>
      </c>
      <c r="B3372" s="2" t="s">
        <v>1625</v>
      </c>
      <c r="C3372" s="2">
        <v>0.09</v>
      </c>
      <c r="D3372" s="2">
        <v>98.249799999999993</v>
      </c>
      <c r="E3372" s="2" t="s">
        <v>44</v>
      </c>
    </row>
    <row r="3373" spans="1:5" ht="20.25" customHeight="1" x14ac:dyDescent="0.15">
      <c r="A3373" s="2" t="s">
        <v>2729</v>
      </c>
      <c r="B3373" s="2" t="s">
        <v>2730</v>
      </c>
      <c r="C3373" s="2">
        <v>0.09</v>
      </c>
      <c r="D3373" s="2">
        <v>6.5865999999999998</v>
      </c>
      <c r="E3373" s="2" t="s">
        <v>396</v>
      </c>
    </row>
    <row r="3374" spans="1:5" ht="20.25" customHeight="1" x14ac:dyDescent="0.15">
      <c r="A3374" s="2" t="s">
        <v>3738</v>
      </c>
      <c r="B3374" s="2" t="s">
        <v>3739</v>
      </c>
      <c r="C3374" s="2">
        <v>0.09</v>
      </c>
      <c r="D3374" s="2">
        <v>1.4128000000000001</v>
      </c>
      <c r="E3374" s="2" t="s">
        <v>2898</v>
      </c>
    </row>
    <row r="3375" spans="1:5" ht="20.25" customHeight="1" x14ac:dyDescent="0.15">
      <c r="A3375" s="2" t="s">
        <v>4344</v>
      </c>
      <c r="B3375" s="2" t="s">
        <v>4345</v>
      </c>
      <c r="C3375" s="2">
        <v>0.09</v>
      </c>
      <c r="D3375" s="2">
        <v>12.3598</v>
      </c>
      <c r="E3375" s="2" t="s">
        <v>1034</v>
      </c>
    </row>
    <row r="3376" spans="1:5" ht="20.25" customHeight="1" x14ac:dyDescent="0.15">
      <c r="A3376" s="2" t="s">
        <v>4921</v>
      </c>
      <c r="B3376" s="2" t="s">
        <v>4922</v>
      </c>
      <c r="C3376" s="2">
        <v>0.09</v>
      </c>
      <c r="D3376" s="2">
        <v>23.8231</v>
      </c>
      <c r="E3376" s="2" t="s">
        <v>1403</v>
      </c>
    </row>
    <row r="3377" spans="1:5" ht="20.25" customHeight="1" x14ac:dyDescent="0.15">
      <c r="A3377" s="2" t="s">
        <v>4923</v>
      </c>
      <c r="B3377" s="2" t="s">
        <v>4924</v>
      </c>
      <c r="C3377" s="2">
        <v>0.09</v>
      </c>
      <c r="D3377" s="2">
        <v>397.93900000000002</v>
      </c>
      <c r="E3377" s="2" t="s">
        <v>396</v>
      </c>
    </row>
    <row r="3378" spans="1:5" ht="20.25" customHeight="1" x14ac:dyDescent="0.15">
      <c r="A3378" s="2" t="s">
        <v>5060</v>
      </c>
      <c r="B3378" s="2" t="s">
        <v>5061</v>
      </c>
      <c r="C3378" s="2">
        <v>0.09</v>
      </c>
      <c r="D3378" s="2">
        <v>19.829699999999999</v>
      </c>
      <c r="E3378" s="2" t="s">
        <v>86</v>
      </c>
    </row>
    <row r="3379" spans="1:5" ht="20.25" customHeight="1" x14ac:dyDescent="0.15">
      <c r="A3379" s="2" t="s">
        <v>5701</v>
      </c>
      <c r="B3379" s="2" t="s">
        <v>5702</v>
      </c>
      <c r="C3379" s="2">
        <v>0.09</v>
      </c>
      <c r="D3379" s="2">
        <v>24.064800000000002</v>
      </c>
      <c r="E3379" s="2" t="s">
        <v>5703</v>
      </c>
    </row>
    <row r="3380" spans="1:5" ht="20.25" customHeight="1" x14ac:dyDescent="0.15">
      <c r="A3380" s="2" t="s">
        <v>6072</v>
      </c>
      <c r="B3380" s="2" t="s">
        <v>6073</v>
      </c>
      <c r="C3380" s="2">
        <v>0.09</v>
      </c>
      <c r="D3380" s="2">
        <v>13402.2423</v>
      </c>
      <c r="E3380" s="2" t="s">
        <v>123</v>
      </c>
    </row>
    <row r="3381" spans="1:5" ht="20.25" customHeight="1" x14ac:dyDescent="0.15">
      <c r="A3381" s="2" t="s">
        <v>6272</v>
      </c>
      <c r="B3381" s="2" t="s">
        <v>6273</v>
      </c>
      <c r="C3381" s="2">
        <v>0.09</v>
      </c>
      <c r="D3381" s="2">
        <v>4.0526999999999997</v>
      </c>
      <c r="E3381" s="2" t="s">
        <v>220</v>
      </c>
    </row>
    <row r="3382" spans="1:5" ht="20.25" customHeight="1" x14ac:dyDescent="0.15">
      <c r="A3382" s="2" t="s">
        <v>6821</v>
      </c>
      <c r="B3382" s="2" t="s">
        <v>6822</v>
      </c>
      <c r="C3382" s="2">
        <v>0.09</v>
      </c>
      <c r="D3382" s="2">
        <v>12.1347</v>
      </c>
      <c r="E3382" s="2" t="s">
        <v>126</v>
      </c>
    </row>
    <row r="3383" spans="1:5" ht="20.25" customHeight="1" x14ac:dyDescent="0.15">
      <c r="A3383" s="2" t="s">
        <v>7209</v>
      </c>
      <c r="B3383" s="2" t="s">
        <v>7210</v>
      </c>
      <c r="C3383" s="2">
        <v>0.09</v>
      </c>
      <c r="D3383" s="2">
        <v>0.60709999999999997</v>
      </c>
      <c r="E3383" s="2" t="s">
        <v>667</v>
      </c>
    </row>
    <row r="3384" spans="1:5" ht="20.25" customHeight="1" x14ac:dyDescent="0.15">
      <c r="A3384" s="2" t="s">
        <v>7561</v>
      </c>
      <c r="B3384" s="2" t="s">
        <v>7562</v>
      </c>
      <c r="C3384" s="2">
        <v>0.09</v>
      </c>
      <c r="D3384" s="2">
        <v>0.6855</v>
      </c>
      <c r="E3384" s="2" t="s">
        <v>784</v>
      </c>
    </row>
    <row r="3385" spans="1:5" ht="20.25" customHeight="1" x14ac:dyDescent="0.15">
      <c r="A3385" s="2" t="s">
        <v>7649</v>
      </c>
      <c r="B3385" s="2" t="s">
        <v>7650</v>
      </c>
      <c r="C3385" s="2">
        <v>0.09</v>
      </c>
      <c r="D3385" s="2">
        <v>4.4836</v>
      </c>
      <c r="E3385" s="2" t="s">
        <v>44</v>
      </c>
    </row>
    <row r="3386" spans="1:5" ht="20.25" customHeight="1" x14ac:dyDescent="0.15">
      <c r="A3386" s="2" t="s">
        <v>8159</v>
      </c>
      <c r="B3386" s="2" t="s">
        <v>8160</v>
      </c>
      <c r="C3386" s="2">
        <v>0.09</v>
      </c>
      <c r="D3386" s="2">
        <v>1.5750999999999999</v>
      </c>
      <c r="E3386" s="2" t="s">
        <v>344</v>
      </c>
    </row>
    <row r="3387" spans="1:5" ht="20.25" customHeight="1" x14ac:dyDescent="0.15">
      <c r="A3387" s="2" t="s">
        <v>1412</v>
      </c>
      <c r="B3387" s="2" t="s">
        <v>1413</v>
      </c>
      <c r="C3387" s="2">
        <v>0.08</v>
      </c>
      <c r="D3387" s="2">
        <v>3.0670000000000002</v>
      </c>
      <c r="E3387" s="2" t="s">
        <v>271</v>
      </c>
    </row>
    <row r="3388" spans="1:5" ht="20.25" customHeight="1" x14ac:dyDescent="0.15">
      <c r="A3388" s="2" t="s">
        <v>1428</v>
      </c>
      <c r="B3388" s="2" t="s">
        <v>1429</v>
      </c>
      <c r="C3388" s="2">
        <v>0.08</v>
      </c>
      <c r="D3388" s="2">
        <v>4.1544999999999996</v>
      </c>
      <c r="E3388" s="2" t="s">
        <v>784</v>
      </c>
    </row>
    <row r="3389" spans="1:5" ht="20.25" customHeight="1" x14ac:dyDescent="0.15">
      <c r="A3389" s="2" t="s">
        <v>2113</v>
      </c>
      <c r="B3389" s="2" t="s">
        <v>2114</v>
      </c>
      <c r="C3389" s="2">
        <v>0.08</v>
      </c>
      <c r="D3389" s="2">
        <v>0.69489999999999996</v>
      </c>
      <c r="E3389" s="2" t="s">
        <v>690</v>
      </c>
    </row>
    <row r="3390" spans="1:5" ht="20.25" customHeight="1" x14ac:dyDescent="0.15">
      <c r="A3390" s="2" t="s">
        <v>2431</v>
      </c>
      <c r="B3390" s="2" t="s">
        <v>2432</v>
      </c>
      <c r="C3390" s="2">
        <v>0.08</v>
      </c>
      <c r="D3390" s="2">
        <v>1.9782999999999999</v>
      </c>
      <c r="E3390" s="2" t="s">
        <v>462</v>
      </c>
    </row>
    <row r="3391" spans="1:5" ht="20.25" customHeight="1" x14ac:dyDescent="0.15">
      <c r="A3391" s="2" t="s">
        <v>2620</v>
      </c>
      <c r="B3391" s="2" t="s">
        <v>2621</v>
      </c>
      <c r="C3391" s="2">
        <v>0.08</v>
      </c>
      <c r="D3391" s="2">
        <v>0.996</v>
      </c>
      <c r="E3391" s="2" t="s">
        <v>44</v>
      </c>
    </row>
    <row r="3392" spans="1:5" ht="20.25" customHeight="1" x14ac:dyDescent="0.15">
      <c r="A3392" s="2" t="s">
        <v>2907</v>
      </c>
      <c r="B3392" s="2" t="s">
        <v>2908</v>
      </c>
      <c r="C3392" s="2">
        <v>0.08</v>
      </c>
      <c r="D3392" s="2">
        <v>8.5655000000000001</v>
      </c>
      <c r="E3392" s="2" t="s">
        <v>551</v>
      </c>
    </row>
    <row r="3393" spans="1:5" ht="20.25" customHeight="1" x14ac:dyDescent="0.15">
      <c r="A3393" s="2" t="s">
        <v>2933</v>
      </c>
      <c r="B3393" s="2" t="s">
        <v>2934</v>
      </c>
      <c r="C3393" s="2">
        <v>0.08</v>
      </c>
      <c r="D3393" s="2">
        <v>4.9608999999999996</v>
      </c>
      <c r="E3393" s="2" t="s">
        <v>149</v>
      </c>
    </row>
    <row r="3394" spans="1:5" ht="20.25" customHeight="1" x14ac:dyDescent="0.15">
      <c r="A3394" s="2" t="s">
        <v>3694</v>
      </c>
      <c r="B3394" s="2" t="s">
        <v>3695</v>
      </c>
      <c r="C3394" s="2">
        <v>0.08</v>
      </c>
      <c r="D3394" s="2">
        <v>27.802700000000002</v>
      </c>
      <c r="E3394" s="2" t="s">
        <v>371</v>
      </c>
    </row>
    <row r="3395" spans="1:5" ht="20.25" customHeight="1" x14ac:dyDescent="0.15">
      <c r="A3395" s="2" t="s">
        <v>3939</v>
      </c>
      <c r="B3395" s="2" t="s">
        <v>3940</v>
      </c>
      <c r="C3395" s="2">
        <v>0.08</v>
      </c>
      <c r="D3395" s="2">
        <v>0.8629</v>
      </c>
      <c r="E3395" s="2" t="s">
        <v>704</v>
      </c>
    </row>
    <row r="3396" spans="1:5" ht="20.25" customHeight="1" x14ac:dyDescent="0.15">
      <c r="A3396" s="2" t="s">
        <v>4642</v>
      </c>
      <c r="B3396" s="2" t="s">
        <v>4643</v>
      </c>
      <c r="C3396" s="2">
        <v>0.08</v>
      </c>
      <c r="D3396" s="2">
        <v>21.544599999999999</v>
      </c>
      <c r="E3396" s="2" t="s">
        <v>2355</v>
      </c>
    </row>
    <row r="3397" spans="1:5" ht="20.25" customHeight="1" x14ac:dyDescent="0.15">
      <c r="A3397" s="2" t="s">
        <v>4931</v>
      </c>
      <c r="B3397" s="2" t="s">
        <v>4932</v>
      </c>
      <c r="C3397" s="2">
        <v>0.08</v>
      </c>
      <c r="D3397" s="2">
        <v>0.96140000000000003</v>
      </c>
      <c r="E3397" s="2" t="s">
        <v>201</v>
      </c>
    </row>
    <row r="3398" spans="1:5" ht="20.25" customHeight="1" x14ac:dyDescent="0.15">
      <c r="A3398" s="2" t="s">
        <v>5744</v>
      </c>
      <c r="B3398" s="2" t="s">
        <v>5745</v>
      </c>
      <c r="C3398" s="2">
        <v>0.08</v>
      </c>
      <c r="D3398" s="2">
        <v>15.4451</v>
      </c>
      <c r="E3398" s="2" t="s">
        <v>391</v>
      </c>
    </row>
    <row r="3399" spans="1:5" ht="20.25" customHeight="1" x14ac:dyDescent="0.15">
      <c r="A3399" s="2" t="s">
        <v>5936</v>
      </c>
      <c r="B3399" s="2" t="s">
        <v>5937</v>
      </c>
      <c r="C3399" s="2">
        <v>0.08</v>
      </c>
      <c r="D3399" s="2">
        <v>37.646000000000001</v>
      </c>
      <c r="E3399" s="2" t="s">
        <v>1403</v>
      </c>
    </row>
    <row r="3400" spans="1:5" ht="20.25" customHeight="1" x14ac:dyDescent="0.15">
      <c r="A3400" s="2" t="s">
        <v>5968</v>
      </c>
      <c r="B3400" s="2" t="s">
        <v>5969</v>
      </c>
      <c r="C3400" s="2">
        <v>0.08</v>
      </c>
      <c r="D3400" s="2">
        <v>5.8516000000000004</v>
      </c>
      <c r="E3400" s="2" t="s">
        <v>322</v>
      </c>
    </row>
    <row r="3401" spans="1:5" ht="20.25" customHeight="1" x14ac:dyDescent="0.15">
      <c r="A3401" s="2" t="s">
        <v>6336</v>
      </c>
      <c r="B3401" s="2" t="s">
        <v>6337</v>
      </c>
      <c r="C3401" s="2">
        <v>0.08</v>
      </c>
      <c r="D3401" s="2">
        <v>1.0406</v>
      </c>
      <c r="E3401" s="2" t="s">
        <v>140</v>
      </c>
    </row>
    <row r="3402" spans="1:5" ht="20.25" customHeight="1" x14ac:dyDescent="0.15">
      <c r="A3402" s="2" t="s">
        <v>6434</v>
      </c>
      <c r="B3402" s="2" t="s">
        <v>6435</v>
      </c>
      <c r="C3402" s="2">
        <v>0.08</v>
      </c>
      <c r="D3402" s="2">
        <v>17.846</v>
      </c>
      <c r="E3402" s="2" t="s">
        <v>371</v>
      </c>
    </row>
    <row r="3403" spans="1:5" ht="20.25" customHeight="1" x14ac:dyDescent="0.15">
      <c r="A3403" s="2" t="s">
        <v>6540</v>
      </c>
      <c r="B3403" s="2" t="s">
        <v>6541</v>
      </c>
      <c r="C3403" s="2">
        <v>0.08</v>
      </c>
      <c r="D3403" s="2">
        <v>113.48520000000001</v>
      </c>
      <c r="E3403" s="2" t="s">
        <v>176</v>
      </c>
    </row>
    <row r="3404" spans="1:5" ht="20.25" customHeight="1" x14ac:dyDescent="0.15">
      <c r="A3404" s="2" t="s">
        <v>6548</v>
      </c>
      <c r="B3404" s="2" t="s">
        <v>6549</v>
      </c>
      <c r="C3404" s="2">
        <v>0.08</v>
      </c>
      <c r="D3404" s="2">
        <v>18.877600000000001</v>
      </c>
      <c r="E3404" s="2" t="s">
        <v>3246</v>
      </c>
    </row>
    <row r="3405" spans="1:5" ht="20.25" customHeight="1" x14ac:dyDescent="0.15">
      <c r="A3405" s="2" t="s">
        <v>7173</v>
      </c>
      <c r="B3405" s="2" t="s">
        <v>7174</v>
      </c>
      <c r="C3405" s="2">
        <v>0.08</v>
      </c>
      <c r="D3405" s="2">
        <v>8.8076000000000008</v>
      </c>
      <c r="E3405" s="2" t="s">
        <v>1091</v>
      </c>
    </row>
    <row r="3406" spans="1:5" ht="20.25" customHeight="1" x14ac:dyDescent="0.15">
      <c r="A3406" s="2" t="s">
        <v>7253</v>
      </c>
      <c r="B3406" s="2" t="s">
        <v>7254</v>
      </c>
      <c r="C3406" s="2">
        <v>0.08</v>
      </c>
      <c r="D3406" s="2">
        <v>3.2800000000000003E-2</v>
      </c>
      <c r="E3406" s="2" t="s">
        <v>750</v>
      </c>
    </row>
    <row r="3407" spans="1:5" ht="20.25" customHeight="1" x14ac:dyDescent="0.15">
      <c r="A3407" s="2" t="s">
        <v>8003</v>
      </c>
      <c r="B3407" s="2" t="s">
        <v>8004</v>
      </c>
      <c r="C3407" s="2">
        <v>0.08</v>
      </c>
      <c r="D3407" s="2">
        <v>146.82830000000001</v>
      </c>
      <c r="E3407" s="2" t="s">
        <v>2678</v>
      </c>
    </row>
    <row r="3408" spans="1:5" ht="20.25" customHeight="1" x14ac:dyDescent="0.15">
      <c r="A3408" s="2" t="s">
        <v>8113</v>
      </c>
      <c r="B3408" s="2" t="s">
        <v>8114</v>
      </c>
      <c r="C3408" s="2">
        <v>0.08</v>
      </c>
      <c r="D3408" s="2">
        <v>2.9339</v>
      </c>
      <c r="E3408" s="2" t="s">
        <v>86</v>
      </c>
    </row>
    <row r="3409" spans="1:5" ht="20.25" customHeight="1" x14ac:dyDescent="0.15">
      <c r="A3409" s="2" t="s">
        <v>8295</v>
      </c>
      <c r="B3409" s="2" t="s">
        <v>8296</v>
      </c>
      <c r="C3409" s="2">
        <v>0.08</v>
      </c>
      <c r="D3409" s="2">
        <v>1.274</v>
      </c>
      <c r="E3409" s="2" t="s">
        <v>2678</v>
      </c>
    </row>
    <row r="3410" spans="1:5" ht="20.25" customHeight="1" x14ac:dyDescent="0.15">
      <c r="A3410" s="2" t="s">
        <v>8379</v>
      </c>
      <c r="B3410" s="2" t="s">
        <v>8380</v>
      </c>
      <c r="C3410" s="2">
        <v>0.08</v>
      </c>
      <c r="D3410" s="2">
        <v>10.899800000000001</v>
      </c>
      <c r="E3410" s="2" t="s">
        <v>1102</v>
      </c>
    </row>
    <row r="3411" spans="1:5" ht="20.25" customHeight="1" x14ac:dyDescent="0.15">
      <c r="A3411" s="2" t="s">
        <v>2552</v>
      </c>
      <c r="B3411" s="2" t="s">
        <v>2553</v>
      </c>
      <c r="C3411" s="2">
        <v>7.0000000000000007E-2</v>
      </c>
      <c r="D3411" s="2">
        <v>6.0876999999999999</v>
      </c>
      <c r="E3411" s="2" t="s">
        <v>1094</v>
      </c>
    </row>
    <row r="3412" spans="1:5" ht="20.25" customHeight="1" x14ac:dyDescent="0.15">
      <c r="A3412" s="2" t="s">
        <v>2915</v>
      </c>
      <c r="B3412" s="2" t="s">
        <v>2916</v>
      </c>
      <c r="C3412" s="2">
        <v>7.0000000000000007E-2</v>
      </c>
      <c r="D3412" s="2">
        <v>0.63690000000000002</v>
      </c>
      <c r="E3412" s="2" t="s">
        <v>2917</v>
      </c>
    </row>
    <row r="3413" spans="1:5" ht="20.25" customHeight="1" x14ac:dyDescent="0.15">
      <c r="A3413" s="2" t="s">
        <v>5762</v>
      </c>
      <c r="B3413" s="2" t="s">
        <v>5763</v>
      </c>
      <c r="C3413" s="2">
        <v>7.0000000000000007E-2</v>
      </c>
      <c r="D3413" s="2">
        <v>3.1320999999999999</v>
      </c>
      <c r="E3413" s="2" t="s">
        <v>2930</v>
      </c>
    </row>
    <row r="3414" spans="1:5" ht="20.25" customHeight="1" x14ac:dyDescent="0.15">
      <c r="A3414" s="2" t="s">
        <v>5966</v>
      </c>
      <c r="B3414" s="2" t="s">
        <v>5967</v>
      </c>
      <c r="C3414" s="2">
        <v>7.0000000000000007E-2</v>
      </c>
      <c r="D3414" s="2">
        <v>7.2481</v>
      </c>
      <c r="E3414" s="2" t="s">
        <v>657</v>
      </c>
    </row>
    <row r="3415" spans="1:5" ht="20.25" customHeight="1" x14ac:dyDescent="0.15">
      <c r="A3415" s="2" t="s">
        <v>4058</v>
      </c>
      <c r="B3415" s="2" t="s">
        <v>4059</v>
      </c>
      <c r="C3415" s="2">
        <v>0.06</v>
      </c>
      <c r="D3415" s="2">
        <v>1.1188</v>
      </c>
      <c r="E3415" s="2" t="s">
        <v>1102</v>
      </c>
    </row>
    <row r="3416" spans="1:5" ht="20.25" customHeight="1" x14ac:dyDescent="0.15">
      <c r="A3416" s="2" t="s">
        <v>4502</v>
      </c>
      <c r="B3416" s="2" t="s">
        <v>4503</v>
      </c>
      <c r="C3416" s="2">
        <v>0.06</v>
      </c>
      <c r="D3416" s="2">
        <v>2.6122000000000001</v>
      </c>
      <c r="E3416" s="2" t="s">
        <v>1774</v>
      </c>
    </row>
    <row r="3417" spans="1:5" ht="20.25" customHeight="1" x14ac:dyDescent="0.15">
      <c r="A3417" s="2" t="s">
        <v>4769</v>
      </c>
      <c r="B3417" s="2" t="s">
        <v>4770</v>
      </c>
      <c r="C3417" s="2">
        <v>0.06</v>
      </c>
      <c r="D3417" s="2">
        <v>6.6379000000000001</v>
      </c>
      <c r="E3417" s="2" t="s">
        <v>171</v>
      </c>
    </row>
    <row r="3418" spans="1:5" ht="20.25" customHeight="1" x14ac:dyDescent="0.15">
      <c r="A3418" s="2" t="s">
        <v>5094</v>
      </c>
      <c r="B3418" s="2" t="s">
        <v>5095</v>
      </c>
      <c r="C3418" s="2">
        <v>0.06</v>
      </c>
      <c r="D3418" s="2">
        <v>17.877800000000001</v>
      </c>
      <c r="E3418" s="2" t="s">
        <v>193</v>
      </c>
    </row>
    <row r="3419" spans="1:5" ht="20.25" customHeight="1" x14ac:dyDescent="0.15">
      <c r="A3419" s="2" t="s">
        <v>5170</v>
      </c>
      <c r="B3419" s="2" t="s">
        <v>5171</v>
      </c>
      <c r="C3419" s="2">
        <v>0.06</v>
      </c>
      <c r="D3419" s="2">
        <v>2.5783999999999998</v>
      </c>
      <c r="E3419" s="2" t="s">
        <v>699</v>
      </c>
    </row>
    <row r="3420" spans="1:5" ht="20.25" customHeight="1" x14ac:dyDescent="0.15">
      <c r="A3420" s="2" t="s">
        <v>6074</v>
      </c>
      <c r="B3420" s="2" t="s">
        <v>6075</v>
      </c>
      <c r="C3420" s="2">
        <v>0.06</v>
      </c>
      <c r="D3420" s="2">
        <v>1.1373</v>
      </c>
      <c r="E3420" s="2" t="s">
        <v>1691</v>
      </c>
    </row>
    <row r="3421" spans="1:5" ht="20.25" customHeight="1" x14ac:dyDescent="0.15">
      <c r="A3421" s="2" t="s">
        <v>6110</v>
      </c>
      <c r="B3421" s="2" t="s">
        <v>6111</v>
      </c>
      <c r="C3421" s="2">
        <v>0.06</v>
      </c>
      <c r="D3421" s="2">
        <v>6.3190999999999997</v>
      </c>
      <c r="E3421" s="2" t="s">
        <v>1061</v>
      </c>
    </row>
    <row r="3422" spans="1:5" ht="20.25" customHeight="1" x14ac:dyDescent="0.15">
      <c r="A3422" s="2" t="s">
        <v>7367</v>
      </c>
      <c r="B3422" s="2" t="s">
        <v>7368</v>
      </c>
      <c r="C3422" s="2">
        <v>0.06</v>
      </c>
      <c r="D3422" s="2">
        <v>0.88870000000000005</v>
      </c>
      <c r="E3422" s="2" t="s">
        <v>299</v>
      </c>
    </row>
    <row r="3423" spans="1:5" ht="20.25" customHeight="1" x14ac:dyDescent="0.15">
      <c r="A3423" s="2" t="s">
        <v>7435</v>
      </c>
      <c r="B3423" s="2" t="s">
        <v>7436</v>
      </c>
      <c r="C3423" s="2">
        <v>0.06</v>
      </c>
      <c r="D3423" s="2">
        <v>28.274899999999999</v>
      </c>
      <c r="E3423" s="2" t="s">
        <v>299</v>
      </c>
    </row>
    <row r="3424" spans="1:5" ht="20.25" customHeight="1" x14ac:dyDescent="0.15">
      <c r="A3424" s="2" t="s">
        <v>8087</v>
      </c>
      <c r="B3424" s="2" t="s">
        <v>8088</v>
      </c>
      <c r="C3424" s="2">
        <v>0.06</v>
      </c>
      <c r="D3424" s="2">
        <v>128.24789999999999</v>
      </c>
      <c r="E3424" s="2" t="s">
        <v>406</v>
      </c>
    </row>
    <row r="3425" spans="1:5" ht="20.25" customHeight="1" x14ac:dyDescent="0.15">
      <c r="A3425" s="2" t="s">
        <v>8311</v>
      </c>
      <c r="B3425" s="2" t="s">
        <v>8312</v>
      </c>
      <c r="C3425" s="2">
        <v>0.06</v>
      </c>
      <c r="D3425" s="2">
        <v>250.64109999999999</v>
      </c>
      <c r="E3425" s="2" t="s">
        <v>2678</v>
      </c>
    </row>
    <row r="3426" spans="1:5" ht="20.25" customHeight="1" x14ac:dyDescent="0.15">
      <c r="A3426" s="2" t="s">
        <v>2242</v>
      </c>
      <c r="B3426" s="2" t="s">
        <v>2243</v>
      </c>
      <c r="C3426" s="2">
        <v>0.05</v>
      </c>
      <c r="D3426" s="2">
        <v>0.7641</v>
      </c>
      <c r="E3426" s="2" t="s">
        <v>1139</v>
      </c>
    </row>
    <row r="3427" spans="1:5" ht="20.25" customHeight="1" x14ac:dyDescent="0.15">
      <c r="A3427" s="2" t="s">
        <v>3706</v>
      </c>
      <c r="B3427" s="2" t="s">
        <v>3707</v>
      </c>
      <c r="C3427" s="2">
        <v>0.05</v>
      </c>
      <c r="D3427" s="2">
        <v>6.8547000000000002</v>
      </c>
      <c r="E3427" s="2" t="s">
        <v>630</v>
      </c>
    </row>
    <row r="3428" spans="1:5" ht="20.25" customHeight="1" x14ac:dyDescent="0.15">
      <c r="A3428" s="2" t="s">
        <v>4392</v>
      </c>
      <c r="B3428" s="2" t="s">
        <v>4393</v>
      </c>
      <c r="C3428" s="2">
        <v>0.05</v>
      </c>
      <c r="D3428" s="2">
        <v>8.6126000000000005</v>
      </c>
      <c r="E3428" s="2" t="s">
        <v>1034</v>
      </c>
    </row>
    <row r="3429" spans="1:5" ht="20.25" customHeight="1" x14ac:dyDescent="0.15">
      <c r="A3429" s="2" t="s">
        <v>4464</v>
      </c>
      <c r="B3429" s="2" t="s">
        <v>4465</v>
      </c>
      <c r="C3429" s="2">
        <v>0.05</v>
      </c>
      <c r="D3429" s="2">
        <v>7.1276000000000002</v>
      </c>
      <c r="E3429" s="2" t="s">
        <v>146</v>
      </c>
    </row>
    <row r="3430" spans="1:5" ht="20.25" customHeight="1" x14ac:dyDescent="0.15">
      <c r="A3430" s="2" t="s">
        <v>5627</v>
      </c>
      <c r="B3430" s="2" t="s">
        <v>5628</v>
      </c>
      <c r="C3430" s="2">
        <v>0.05</v>
      </c>
      <c r="D3430" s="2">
        <v>2.1764000000000001</v>
      </c>
      <c r="E3430" s="2" t="s">
        <v>704</v>
      </c>
    </row>
    <row r="3431" spans="1:5" ht="20.25" customHeight="1" x14ac:dyDescent="0.15">
      <c r="A3431" s="2" t="s">
        <v>6062</v>
      </c>
      <c r="B3431" s="2" t="s">
        <v>6063</v>
      </c>
      <c r="C3431" s="2">
        <v>0.05</v>
      </c>
      <c r="D3431" s="2">
        <v>63.817700000000002</v>
      </c>
      <c r="E3431" s="2" t="s">
        <v>35</v>
      </c>
    </row>
    <row r="3432" spans="1:5" ht="20.25" customHeight="1" x14ac:dyDescent="0.15">
      <c r="A3432" s="2" t="s">
        <v>6232</v>
      </c>
      <c r="B3432" s="2" t="s">
        <v>6233</v>
      </c>
      <c r="C3432" s="2">
        <v>0.05</v>
      </c>
      <c r="D3432" s="2">
        <v>14.264699999999999</v>
      </c>
      <c r="E3432" s="2" t="s">
        <v>1528</v>
      </c>
    </row>
    <row r="3433" spans="1:5" ht="20.25" customHeight="1" x14ac:dyDescent="0.15">
      <c r="A3433" s="2" t="s">
        <v>6815</v>
      </c>
      <c r="B3433" s="2" t="s">
        <v>6816</v>
      </c>
      <c r="C3433" s="2">
        <v>0.05</v>
      </c>
      <c r="D3433" s="2">
        <v>4.5292000000000003</v>
      </c>
      <c r="E3433" s="2" t="s">
        <v>385</v>
      </c>
    </row>
    <row r="3434" spans="1:5" ht="20.25" customHeight="1" x14ac:dyDescent="0.15">
      <c r="A3434" s="2" t="s">
        <v>7427</v>
      </c>
      <c r="B3434" s="2" t="s">
        <v>7428</v>
      </c>
      <c r="C3434" s="2">
        <v>0.05</v>
      </c>
      <c r="D3434" s="2">
        <v>13.243499999999999</v>
      </c>
      <c r="E3434" s="2" t="s">
        <v>3102</v>
      </c>
    </row>
    <row r="3435" spans="1:5" ht="20.25" customHeight="1" x14ac:dyDescent="0.15">
      <c r="A3435" s="2" t="s">
        <v>7589</v>
      </c>
      <c r="B3435" s="2" t="s">
        <v>7590</v>
      </c>
      <c r="C3435" s="2">
        <v>0.05</v>
      </c>
      <c r="D3435" s="2">
        <v>1.9984999999999999</v>
      </c>
      <c r="E3435" s="2" t="s">
        <v>1056</v>
      </c>
    </row>
    <row r="3436" spans="1:5" ht="20.25" customHeight="1" x14ac:dyDescent="0.15">
      <c r="A3436" s="2" t="s">
        <v>7831</v>
      </c>
      <c r="B3436" s="2" t="s">
        <v>7832</v>
      </c>
      <c r="C3436" s="2">
        <v>0.05</v>
      </c>
      <c r="D3436" s="2">
        <v>0.13969999999999999</v>
      </c>
      <c r="E3436" s="2" t="s">
        <v>704</v>
      </c>
    </row>
    <row r="3437" spans="1:5" ht="20.25" customHeight="1" x14ac:dyDescent="0.15">
      <c r="A3437" s="2" t="s">
        <v>7935</v>
      </c>
      <c r="B3437" s="2" t="s">
        <v>7936</v>
      </c>
      <c r="C3437" s="2">
        <v>0.05</v>
      </c>
      <c r="D3437" s="2">
        <v>5.0804999999999998</v>
      </c>
      <c r="E3437" s="2" t="s">
        <v>690</v>
      </c>
    </row>
    <row r="3438" spans="1:5" ht="20.25" customHeight="1" x14ac:dyDescent="0.15">
      <c r="A3438" s="2" t="s">
        <v>8307</v>
      </c>
      <c r="B3438" s="2" t="s">
        <v>8308</v>
      </c>
      <c r="C3438" s="2">
        <v>0.05</v>
      </c>
      <c r="D3438" s="2">
        <v>154.13579999999999</v>
      </c>
      <c r="E3438" s="2" t="s">
        <v>207</v>
      </c>
    </row>
    <row r="3439" spans="1:5" ht="20.25" customHeight="1" x14ac:dyDescent="0.15">
      <c r="A3439" s="2" t="s">
        <v>785</v>
      </c>
      <c r="B3439" s="2" t="s">
        <v>786</v>
      </c>
      <c r="C3439" s="2">
        <v>0.04</v>
      </c>
      <c r="D3439" s="2">
        <v>34.366999999999997</v>
      </c>
      <c r="E3439" s="2" t="s">
        <v>787</v>
      </c>
    </row>
    <row r="3440" spans="1:5" ht="20.25" customHeight="1" x14ac:dyDescent="0.15">
      <c r="A3440" s="2" t="s">
        <v>1286</v>
      </c>
      <c r="B3440" s="2" t="s">
        <v>1287</v>
      </c>
      <c r="C3440" s="2">
        <v>0.04</v>
      </c>
      <c r="D3440" s="2">
        <v>7.0118999999999998</v>
      </c>
      <c r="E3440" s="2" t="s">
        <v>100</v>
      </c>
    </row>
    <row r="3441" spans="1:5" ht="20.25" customHeight="1" x14ac:dyDescent="0.15">
      <c r="A3441" s="2" t="s">
        <v>2405</v>
      </c>
      <c r="B3441" s="2" t="s">
        <v>2406</v>
      </c>
      <c r="C3441" s="2">
        <v>0.04</v>
      </c>
      <c r="D3441" s="2">
        <v>4.9371</v>
      </c>
      <c r="E3441" s="2" t="s">
        <v>220</v>
      </c>
    </row>
    <row r="3442" spans="1:5" ht="20.25" customHeight="1" x14ac:dyDescent="0.15">
      <c r="A3442" s="2" t="s">
        <v>3657</v>
      </c>
      <c r="B3442" s="2" t="s">
        <v>3658</v>
      </c>
      <c r="C3442" s="2">
        <v>0.04</v>
      </c>
      <c r="D3442" s="2">
        <v>2.1783999999999999</v>
      </c>
      <c r="E3442" s="2" t="s">
        <v>126</v>
      </c>
    </row>
    <row r="3443" spans="1:5" ht="20.25" customHeight="1" x14ac:dyDescent="0.15">
      <c r="A3443" s="2" t="s">
        <v>3817</v>
      </c>
      <c r="B3443" s="2" t="s">
        <v>3818</v>
      </c>
      <c r="C3443" s="2">
        <v>0.04</v>
      </c>
      <c r="D3443" s="2">
        <v>3.5565000000000002</v>
      </c>
      <c r="E3443" s="2" t="s">
        <v>385</v>
      </c>
    </row>
    <row r="3444" spans="1:5" ht="20.25" customHeight="1" x14ac:dyDescent="0.15">
      <c r="A3444" s="2" t="s">
        <v>5086</v>
      </c>
      <c r="B3444" s="2" t="s">
        <v>5087</v>
      </c>
      <c r="C3444" s="2">
        <v>0.04</v>
      </c>
      <c r="D3444" s="2">
        <v>9.2741000000000007</v>
      </c>
      <c r="E3444" s="2" t="s">
        <v>185</v>
      </c>
    </row>
    <row r="3445" spans="1:5" ht="20.25" customHeight="1" x14ac:dyDescent="0.15">
      <c r="A3445" s="2" t="s">
        <v>5463</v>
      </c>
      <c r="B3445" s="2" t="s">
        <v>5464</v>
      </c>
      <c r="C3445" s="2">
        <v>0.04</v>
      </c>
      <c r="D3445" s="2">
        <v>1.5811999999999999</v>
      </c>
      <c r="E3445" s="2" t="s">
        <v>207</v>
      </c>
    </row>
    <row r="3446" spans="1:5" ht="20.25" customHeight="1" x14ac:dyDescent="0.15">
      <c r="A3446" s="2" t="s">
        <v>5956</v>
      </c>
      <c r="B3446" s="2" t="s">
        <v>5957</v>
      </c>
      <c r="C3446" s="2">
        <v>0.04</v>
      </c>
      <c r="D3446" s="2">
        <v>1.2843</v>
      </c>
      <c r="E3446" s="2" t="s">
        <v>299</v>
      </c>
    </row>
    <row r="3447" spans="1:5" ht="20.25" customHeight="1" x14ac:dyDescent="0.15">
      <c r="A3447" s="2" t="s">
        <v>6398</v>
      </c>
      <c r="B3447" s="2" t="s">
        <v>6399</v>
      </c>
      <c r="C3447" s="2">
        <v>0.04</v>
      </c>
      <c r="D3447" s="2">
        <v>7.7065000000000001</v>
      </c>
      <c r="E3447" s="2" t="s">
        <v>630</v>
      </c>
    </row>
    <row r="3448" spans="1:5" ht="20.25" customHeight="1" x14ac:dyDescent="0.15">
      <c r="A3448" s="2" t="s">
        <v>7361</v>
      </c>
      <c r="B3448" s="2" t="s">
        <v>7362</v>
      </c>
      <c r="C3448" s="2">
        <v>0.04</v>
      </c>
      <c r="D3448" s="2">
        <v>0.88590000000000002</v>
      </c>
      <c r="E3448" s="2" t="s">
        <v>713</v>
      </c>
    </row>
    <row r="3449" spans="1:5" ht="20.25" customHeight="1" x14ac:dyDescent="0.15">
      <c r="A3449" s="2" t="s">
        <v>7693</v>
      </c>
      <c r="B3449" s="2" t="s">
        <v>7694</v>
      </c>
      <c r="C3449" s="2">
        <v>0.04</v>
      </c>
      <c r="D3449" s="2">
        <v>31.964200000000002</v>
      </c>
      <c r="E3449" s="2" t="s">
        <v>3111</v>
      </c>
    </row>
    <row r="3450" spans="1:5" ht="20.25" customHeight="1" x14ac:dyDescent="0.15">
      <c r="A3450" s="2" t="s">
        <v>8117</v>
      </c>
      <c r="B3450" s="2" t="s">
        <v>8118</v>
      </c>
      <c r="C3450" s="2">
        <v>0.04</v>
      </c>
      <c r="D3450" s="2">
        <v>0.81040000000000001</v>
      </c>
      <c r="E3450" s="2" t="s">
        <v>2865</v>
      </c>
    </row>
    <row r="3451" spans="1:5" ht="20.25" customHeight="1" x14ac:dyDescent="0.15">
      <c r="A3451" s="2" t="s">
        <v>1646</v>
      </c>
      <c r="B3451" s="2" t="s">
        <v>1647</v>
      </c>
      <c r="C3451" s="2">
        <v>3.5000000000000003E-2</v>
      </c>
      <c r="D3451" s="2">
        <v>7.1139000000000001</v>
      </c>
      <c r="E3451" s="2" t="s">
        <v>185</v>
      </c>
    </row>
    <row r="3452" spans="1:5" ht="20.25" customHeight="1" x14ac:dyDescent="0.15">
      <c r="A3452" s="2" t="s">
        <v>435</v>
      </c>
      <c r="B3452" s="2" t="s">
        <v>436</v>
      </c>
      <c r="C3452" s="2">
        <v>0.03</v>
      </c>
      <c r="D3452" s="2">
        <v>1.1757</v>
      </c>
      <c r="E3452" s="2" t="s">
        <v>437</v>
      </c>
    </row>
    <row r="3453" spans="1:5" ht="20.25" customHeight="1" x14ac:dyDescent="0.15">
      <c r="A3453" s="2" t="s">
        <v>1208</v>
      </c>
      <c r="B3453" s="2" t="s">
        <v>1209</v>
      </c>
      <c r="C3453" s="2">
        <v>0.03</v>
      </c>
      <c r="D3453" s="2">
        <v>1.4991000000000001</v>
      </c>
      <c r="E3453" s="2" t="s">
        <v>1094</v>
      </c>
    </row>
    <row r="3454" spans="1:5" ht="20.25" customHeight="1" x14ac:dyDescent="0.15">
      <c r="A3454" s="2" t="s">
        <v>2395</v>
      </c>
      <c r="B3454" s="2" t="s">
        <v>2396</v>
      </c>
      <c r="C3454" s="2">
        <v>0.03</v>
      </c>
      <c r="D3454" s="2">
        <v>2.3235999999999999</v>
      </c>
      <c r="E3454" s="2" t="s">
        <v>787</v>
      </c>
    </row>
    <row r="3455" spans="1:5" ht="20.25" customHeight="1" x14ac:dyDescent="0.15">
      <c r="A3455" s="2" t="s">
        <v>2993</v>
      </c>
      <c r="B3455" s="2" t="s">
        <v>2994</v>
      </c>
      <c r="C3455" s="2">
        <v>0.03</v>
      </c>
      <c r="D3455" s="2">
        <v>0.2117</v>
      </c>
      <c r="E3455" s="2" t="s">
        <v>225</v>
      </c>
    </row>
    <row r="3456" spans="1:5" ht="20.25" customHeight="1" x14ac:dyDescent="0.15">
      <c r="A3456" s="2" t="s">
        <v>4340</v>
      </c>
      <c r="B3456" s="2" t="s">
        <v>4341</v>
      </c>
      <c r="C3456" s="2">
        <v>0.03</v>
      </c>
      <c r="D3456" s="2">
        <v>10.9602</v>
      </c>
      <c r="E3456" s="2" t="s">
        <v>265</v>
      </c>
    </row>
    <row r="3457" spans="1:5" ht="20.25" customHeight="1" x14ac:dyDescent="0.15">
      <c r="A3457" s="2" t="s">
        <v>4534</v>
      </c>
      <c r="B3457" s="2" t="s">
        <v>4535</v>
      </c>
      <c r="C3457" s="2">
        <v>0.03</v>
      </c>
      <c r="D3457" s="2">
        <v>2.8887</v>
      </c>
      <c r="E3457" s="2" t="s">
        <v>2063</v>
      </c>
    </row>
    <row r="3458" spans="1:5" ht="20.25" customHeight="1" x14ac:dyDescent="0.15">
      <c r="A3458" s="2" t="s">
        <v>4817</v>
      </c>
      <c r="B3458" s="2" t="s">
        <v>4818</v>
      </c>
      <c r="C3458" s="2">
        <v>0.03</v>
      </c>
      <c r="D3458" s="2">
        <v>6.9999999999999999E-4</v>
      </c>
      <c r="E3458" s="2" t="s">
        <v>152</v>
      </c>
    </row>
    <row r="3459" spans="1:5" ht="20.25" customHeight="1" x14ac:dyDescent="0.15">
      <c r="A3459" s="2" t="s">
        <v>5362</v>
      </c>
      <c r="B3459" s="2" t="s">
        <v>5363</v>
      </c>
      <c r="C3459" s="2">
        <v>0.03</v>
      </c>
      <c r="D3459" s="2">
        <v>7.6170999999999998</v>
      </c>
      <c r="E3459" s="2" t="s">
        <v>5364</v>
      </c>
    </row>
    <row r="3460" spans="1:5" ht="20.25" customHeight="1" x14ac:dyDescent="0.15">
      <c r="A3460" s="2" t="s">
        <v>6048</v>
      </c>
      <c r="B3460" s="2" t="s">
        <v>6049</v>
      </c>
      <c r="C3460" s="2">
        <v>0.03</v>
      </c>
      <c r="D3460" s="2">
        <v>10.409599999999999</v>
      </c>
      <c r="E3460" s="2" t="s">
        <v>667</v>
      </c>
    </row>
    <row r="3461" spans="1:5" ht="20.25" customHeight="1" x14ac:dyDescent="0.15">
      <c r="A3461" s="2" t="s">
        <v>6628</v>
      </c>
      <c r="B3461" s="2" t="s">
        <v>6629</v>
      </c>
      <c r="C3461" s="2">
        <v>0.03</v>
      </c>
      <c r="D3461" s="2">
        <v>12.8613</v>
      </c>
      <c r="E3461" s="2" t="s">
        <v>2038</v>
      </c>
    </row>
    <row r="3462" spans="1:5" ht="20.25" customHeight="1" x14ac:dyDescent="0.15">
      <c r="A3462" s="2" t="s">
        <v>6702</v>
      </c>
      <c r="B3462" s="2" t="s">
        <v>6703</v>
      </c>
      <c r="C3462" s="2">
        <v>0.03</v>
      </c>
      <c r="D3462" s="2">
        <v>185.22669999999999</v>
      </c>
      <c r="E3462" s="2" t="s">
        <v>2678</v>
      </c>
    </row>
    <row r="3463" spans="1:5" ht="20.25" customHeight="1" x14ac:dyDescent="0.15">
      <c r="A3463" s="2" t="s">
        <v>7049</v>
      </c>
      <c r="B3463" s="2" t="s">
        <v>7050</v>
      </c>
      <c r="C3463" s="2">
        <v>0.03</v>
      </c>
      <c r="D3463" s="2">
        <v>0.59899999999999998</v>
      </c>
      <c r="E3463" s="2" t="s">
        <v>483</v>
      </c>
    </row>
    <row r="3464" spans="1:5" ht="20.25" customHeight="1" x14ac:dyDescent="0.15">
      <c r="A3464" s="2" t="s">
        <v>7105</v>
      </c>
      <c r="B3464" s="2" t="s">
        <v>7106</v>
      </c>
      <c r="C3464" s="2">
        <v>0.03</v>
      </c>
      <c r="D3464" s="2">
        <v>1.7007000000000001</v>
      </c>
      <c r="E3464" s="2" t="s">
        <v>391</v>
      </c>
    </row>
    <row r="3465" spans="1:5" ht="20.25" customHeight="1" x14ac:dyDescent="0.15">
      <c r="A3465" s="2" t="s">
        <v>7287</v>
      </c>
      <c r="B3465" s="2" t="s">
        <v>7288</v>
      </c>
      <c r="C3465" s="2">
        <v>0.03</v>
      </c>
      <c r="D3465" s="2">
        <v>9.7152999999999992</v>
      </c>
      <c r="E3465" s="2" t="s">
        <v>111</v>
      </c>
    </row>
    <row r="3466" spans="1:5" ht="20.25" customHeight="1" x14ac:dyDescent="0.15">
      <c r="A3466" s="2" t="s">
        <v>7947</v>
      </c>
      <c r="B3466" s="2" t="s">
        <v>7948</v>
      </c>
      <c r="C3466" s="2">
        <v>0.03</v>
      </c>
      <c r="D3466" s="2">
        <v>5.4375</v>
      </c>
      <c r="E3466" s="2" t="s">
        <v>630</v>
      </c>
    </row>
    <row r="3467" spans="1:5" ht="20.25" customHeight="1" x14ac:dyDescent="0.15">
      <c r="A3467" s="2" t="s">
        <v>8305</v>
      </c>
      <c r="B3467" s="2" t="s">
        <v>8306</v>
      </c>
      <c r="C3467" s="2">
        <v>0.03</v>
      </c>
      <c r="D3467" s="2">
        <v>3.4316</v>
      </c>
      <c r="E3467" s="2" t="s">
        <v>4127</v>
      </c>
    </row>
    <row r="3468" spans="1:5" ht="20.25" customHeight="1" x14ac:dyDescent="0.15">
      <c r="A3468" s="2" t="s">
        <v>6118</v>
      </c>
      <c r="B3468" s="2" t="s">
        <v>6119</v>
      </c>
      <c r="C3468" s="2">
        <v>2.5000000000000001E-2</v>
      </c>
      <c r="D3468" s="2">
        <v>8.4350000000000005</v>
      </c>
      <c r="E3468" s="2" t="s">
        <v>1224</v>
      </c>
    </row>
    <row r="3469" spans="1:5" ht="20.25" customHeight="1" x14ac:dyDescent="0.15">
      <c r="A3469" s="2" t="s">
        <v>1189</v>
      </c>
      <c r="B3469" s="2" t="s">
        <v>1190</v>
      </c>
      <c r="C3469" s="2">
        <v>0.02</v>
      </c>
      <c r="D3469" s="2">
        <v>0.33029999999999998</v>
      </c>
      <c r="E3469" s="2" t="s">
        <v>38</v>
      </c>
    </row>
    <row r="3470" spans="1:5" ht="20.25" customHeight="1" x14ac:dyDescent="0.15">
      <c r="A3470" s="2" t="s">
        <v>2326</v>
      </c>
      <c r="B3470" s="2" t="s">
        <v>2327</v>
      </c>
      <c r="C3470" s="2">
        <v>0.02</v>
      </c>
      <c r="D3470" s="2">
        <v>4.0659000000000001</v>
      </c>
      <c r="E3470" s="2" t="s">
        <v>146</v>
      </c>
    </row>
    <row r="3471" spans="1:5" ht="20.25" customHeight="1" x14ac:dyDescent="0.15">
      <c r="A3471" s="2" t="s">
        <v>4382</v>
      </c>
      <c r="B3471" s="2" t="s">
        <v>4383</v>
      </c>
      <c r="C3471" s="2">
        <v>0.02</v>
      </c>
      <c r="D3471" s="2">
        <v>2.7105000000000001</v>
      </c>
      <c r="E3471" s="2" t="s">
        <v>7</v>
      </c>
    </row>
    <row r="3472" spans="1:5" ht="20.25" customHeight="1" x14ac:dyDescent="0.15">
      <c r="A3472" s="2" t="s">
        <v>4494</v>
      </c>
      <c r="B3472" s="2" t="s">
        <v>4495</v>
      </c>
      <c r="C3472" s="2">
        <v>0.02</v>
      </c>
      <c r="D3472" s="2">
        <v>1.11E-2</v>
      </c>
      <c r="E3472" s="2" t="s">
        <v>220</v>
      </c>
    </row>
    <row r="3473" spans="1:5" ht="20.25" customHeight="1" x14ac:dyDescent="0.15">
      <c r="A3473" s="2" t="s">
        <v>4831</v>
      </c>
      <c r="B3473" s="2" t="s">
        <v>4832</v>
      </c>
      <c r="C3473" s="2">
        <v>0.02</v>
      </c>
      <c r="D3473" s="2">
        <v>1.2545999999999999</v>
      </c>
      <c r="E3473" s="2" t="s">
        <v>1066</v>
      </c>
    </row>
    <row r="3474" spans="1:5" ht="20.25" customHeight="1" x14ac:dyDescent="0.15">
      <c r="A3474" s="2" t="s">
        <v>5104</v>
      </c>
      <c r="B3474" s="2" t="s">
        <v>5105</v>
      </c>
      <c r="C3474" s="2">
        <v>0.02</v>
      </c>
      <c r="D3474" s="2">
        <v>224.68700000000001</v>
      </c>
      <c r="E3474" s="2" t="s">
        <v>614</v>
      </c>
    </row>
    <row r="3475" spans="1:5" ht="20.25" customHeight="1" x14ac:dyDescent="0.15">
      <c r="A3475" s="2" t="s">
        <v>5276</v>
      </c>
      <c r="B3475" s="2" t="s">
        <v>5277</v>
      </c>
      <c r="C3475" s="2">
        <v>0.02</v>
      </c>
      <c r="D3475" s="2">
        <v>0.45600000000000002</v>
      </c>
      <c r="E3475" s="2" t="s">
        <v>459</v>
      </c>
    </row>
    <row r="3476" spans="1:5" ht="20.25" customHeight="1" x14ac:dyDescent="0.15">
      <c r="A3476" s="2" t="s">
        <v>1109</v>
      </c>
      <c r="B3476" s="2" t="s">
        <v>1110</v>
      </c>
      <c r="C3476" s="2">
        <v>0.01</v>
      </c>
      <c r="D3476" s="2">
        <v>1.1797</v>
      </c>
      <c r="E3476" s="2" t="s">
        <v>225</v>
      </c>
    </row>
    <row r="3477" spans="1:5" ht="20.25" customHeight="1" x14ac:dyDescent="0.15">
      <c r="A3477" s="2" t="s">
        <v>1766</v>
      </c>
      <c r="B3477" s="2" t="s">
        <v>1767</v>
      </c>
      <c r="C3477" s="2">
        <v>0.01</v>
      </c>
      <c r="D3477" s="2">
        <v>44.261800000000001</v>
      </c>
      <c r="E3477" s="2" t="s">
        <v>621</v>
      </c>
    </row>
    <row r="3478" spans="1:5" ht="20.25" customHeight="1" x14ac:dyDescent="0.15">
      <c r="A3478" s="2" t="s">
        <v>4538</v>
      </c>
      <c r="B3478" s="2" t="s">
        <v>4539</v>
      </c>
      <c r="C3478" s="2">
        <v>0.01</v>
      </c>
      <c r="D3478" s="2">
        <v>377.87009999999998</v>
      </c>
      <c r="E3478" s="2" t="s">
        <v>713</v>
      </c>
    </row>
    <row r="3479" spans="1:5" ht="20.25" customHeight="1" x14ac:dyDescent="0.15">
      <c r="A3479" s="2" t="s">
        <v>5800</v>
      </c>
      <c r="B3479" s="2" t="s">
        <v>5801</v>
      </c>
      <c r="C3479" s="2">
        <v>0.01</v>
      </c>
      <c r="D3479" s="2">
        <v>12.2117</v>
      </c>
      <c r="E3479" s="2" t="s">
        <v>542</v>
      </c>
    </row>
    <row r="3480" spans="1:5" ht="20.25" customHeight="1" x14ac:dyDescent="0.15">
      <c r="A3480" s="2" t="s">
        <v>6156</v>
      </c>
      <c r="B3480" s="2" t="s">
        <v>6157</v>
      </c>
      <c r="C3480" s="2">
        <v>0.01</v>
      </c>
      <c r="D3480" s="2">
        <v>2.4845999999999999</v>
      </c>
      <c r="E3480" s="2" t="s">
        <v>368</v>
      </c>
    </row>
    <row r="3481" spans="1:5" ht="20.25" customHeight="1" x14ac:dyDescent="0.15">
      <c r="A3481" s="2" t="s">
        <v>6190</v>
      </c>
      <c r="B3481" s="2" t="s">
        <v>6191</v>
      </c>
      <c r="C3481" s="2">
        <v>0.01</v>
      </c>
      <c r="D3481" s="2">
        <v>3.6227999999999998</v>
      </c>
      <c r="E3481" s="2" t="s">
        <v>220</v>
      </c>
    </row>
    <row r="3482" spans="1:5" ht="20.25" customHeight="1" x14ac:dyDescent="0.15">
      <c r="A3482" s="2" t="s">
        <v>6674</v>
      </c>
      <c r="B3482" s="2" t="s">
        <v>6675</v>
      </c>
      <c r="C3482" s="2">
        <v>0.01</v>
      </c>
      <c r="D3482" s="2">
        <v>8.8613</v>
      </c>
      <c r="E3482" s="2" t="s">
        <v>2463</v>
      </c>
    </row>
    <row r="3483" spans="1:5" ht="20.25" customHeight="1" x14ac:dyDescent="0.15">
      <c r="A3483" s="2" t="s">
        <v>7065</v>
      </c>
      <c r="B3483" s="2" t="s">
        <v>7066</v>
      </c>
      <c r="C3483" s="2">
        <v>0.01</v>
      </c>
      <c r="D3483" s="2">
        <v>22.391100000000002</v>
      </c>
      <c r="E3483" s="2" t="s">
        <v>204</v>
      </c>
    </row>
    <row r="3484" spans="1:5" ht="20.25" customHeight="1" x14ac:dyDescent="0.15">
      <c r="A3484" s="2" t="s">
        <v>7477</v>
      </c>
      <c r="B3484" s="2" t="s">
        <v>7478</v>
      </c>
      <c r="C3484" s="2">
        <v>0.01</v>
      </c>
      <c r="D3484" s="2">
        <v>5.7374999999999998</v>
      </c>
      <c r="E3484" s="2" t="s">
        <v>1459</v>
      </c>
    </row>
    <row r="3485" spans="1:5" ht="20.25" customHeight="1" x14ac:dyDescent="0.15">
      <c r="A3485" s="2" t="s">
        <v>7601</v>
      </c>
      <c r="B3485" s="2" t="s">
        <v>7602</v>
      </c>
      <c r="C3485" s="2">
        <v>0.01</v>
      </c>
      <c r="D3485" s="2">
        <v>7.0552000000000001</v>
      </c>
      <c r="E3485" s="2" t="s">
        <v>391</v>
      </c>
    </row>
    <row r="3486" spans="1:5" ht="20.25" customHeight="1" x14ac:dyDescent="0.15">
      <c r="A3486" s="2" t="s">
        <v>8285</v>
      </c>
      <c r="B3486" s="2" t="s">
        <v>8286</v>
      </c>
      <c r="C3486" s="2">
        <v>0.01</v>
      </c>
      <c r="D3486" s="2">
        <v>44.933599999999998</v>
      </c>
      <c r="E3486" s="2" t="s">
        <v>690</v>
      </c>
    </row>
    <row r="3487" spans="1:5" ht="20.25" customHeight="1" x14ac:dyDescent="0.15">
      <c r="A3487" s="2" t="s">
        <v>6760</v>
      </c>
      <c r="B3487" s="2" t="s">
        <v>6761</v>
      </c>
      <c r="C3487" s="2">
        <v>5.0000000000000001E-3</v>
      </c>
      <c r="D3487" s="2">
        <v>2.1168</v>
      </c>
      <c r="E3487" s="2" t="s">
        <v>1381</v>
      </c>
    </row>
    <row r="3488" spans="1:5" ht="20.25" customHeight="1" x14ac:dyDescent="0.15">
      <c r="A3488" s="2" t="s">
        <v>1700</v>
      </c>
      <c r="B3488" s="2" t="s">
        <v>1701</v>
      </c>
      <c r="C3488" s="2">
        <v>0</v>
      </c>
      <c r="D3488" s="2">
        <v>0.31280000000000002</v>
      </c>
      <c r="E3488" s="2" t="s">
        <v>322</v>
      </c>
    </row>
    <row r="3489" spans="1:5" ht="20.25" customHeight="1" x14ac:dyDescent="0.15">
      <c r="A3489" s="2" t="s">
        <v>2089</v>
      </c>
      <c r="B3489" s="2" t="s">
        <v>2090</v>
      </c>
      <c r="C3489" s="2">
        <v>0</v>
      </c>
      <c r="D3489" s="2">
        <v>9.5607000000000006</v>
      </c>
      <c r="E3489" s="2" t="s">
        <v>418</v>
      </c>
    </row>
    <row r="3490" spans="1:5" ht="20.25" customHeight="1" x14ac:dyDescent="0.15">
      <c r="A3490" s="2" t="s">
        <v>2194</v>
      </c>
      <c r="B3490" s="2" t="s">
        <v>2195</v>
      </c>
      <c r="C3490" s="2">
        <v>0</v>
      </c>
      <c r="D3490" s="2">
        <v>0.36559999999999998</v>
      </c>
      <c r="E3490" s="2" t="s">
        <v>100</v>
      </c>
    </row>
    <row r="3491" spans="1:5" ht="20.25" customHeight="1" x14ac:dyDescent="0.15">
      <c r="A3491" s="2" t="s">
        <v>4372</v>
      </c>
      <c r="B3491" s="2" t="s">
        <v>4373</v>
      </c>
      <c r="C3491" s="2">
        <v>0</v>
      </c>
      <c r="D3491" s="2">
        <v>1.3312999999999999</v>
      </c>
      <c r="E3491" s="2" t="s">
        <v>286</v>
      </c>
    </row>
    <row r="3492" spans="1:5" ht="20.25" customHeight="1" x14ac:dyDescent="0.15">
      <c r="A3492" s="2" t="s">
        <v>7545</v>
      </c>
      <c r="B3492" s="2" t="s">
        <v>7546</v>
      </c>
      <c r="C3492" s="2">
        <v>0</v>
      </c>
      <c r="D3492" s="2">
        <v>9.7387999999999995</v>
      </c>
      <c r="E3492" s="2" t="s">
        <v>152</v>
      </c>
    </row>
    <row r="3493" spans="1:5" ht="20.25" customHeight="1" x14ac:dyDescent="0.15">
      <c r="A3493" s="2" t="s">
        <v>7977</v>
      </c>
      <c r="B3493" s="2" t="s">
        <v>7978</v>
      </c>
      <c r="C3493" s="2">
        <v>0</v>
      </c>
      <c r="D3493" s="2">
        <v>5.4076000000000004</v>
      </c>
      <c r="E3493" s="2" t="s">
        <v>220</v>
      </c>
    </row>
    <row r="3494" spans="1:5" ht="20.25" customHeight="1" x14ac:dyDescent="0.15">
      <c r="A3494" s="2" t="s">
        <v>1656</v>
      </c>
      <c r="B3494" s="2" t="s">
        <v>1657</v>
      </c>
      <c r="C3494" s="2">
        <v>-0.01</v>
      </c>
      <c r="D3494" s="2">
        <v>11.3028</v>
      </c>
      <c r="E3494" s="2" t="s">
        <v>228</v>
      </c>
    </row>
    <row r="3495" spans="1:5" ht="20.25" customHeight="1" x14ac:dyDescent="0.15">
      <c r="A3495" s="2" t="s">
        <v>2244</v>
      </c>
      <c r="B3495" s="2" t="s">
        <v>2245</v>
      </c>
      <c r="C3495" s="2">
        <v>-0.01</v>
      </c>
      <c r="D3495" s="2">
        <v>71.812299999999993</v>
      </c>
      <c r="E3495" s="2" t="s">
        <v>638</v>
      </c>
    </row>
    <row r="3496" spans="1:5" ht="20.25" customHeight="1" x14ac:dyDescent="0.15">
      <c r="A3496" s="2" t="s">
        <v>3617</v>
      </c>
      <c r="B3496" s="2" t="s">
        <v>3618</v>
      </c>
      <c r="C3496" s="2">
        <v>-0.01</v>
      </c>
      <c r="D3496" s="2">
        <v>1.8788</v>
      </c>
      <c r="E3496" s="2" t="s">
        <v>220</v>
      </c>
    </row>
    <row r="3497" spans="1:5" ht="20.25" customHeight="1" x14ac:dyDescent="0.15">
      <c r="A3497" s="2" t="s">
        <v>6216</v>
      </c>
      <c r="B3497" s="2" t="s">
        <v>6217</v>
      </c>
      <c r="C3497" s="2">
        <v>-0.01</v>
      </c>
      <c r="D3497" s="2">
        <v>1.1152</v>
      </c>
      <c r="E3497" s="2" t="s">
        <v>421</v>
      </c>
    </row>
    <row r="3498" spans="1:5" ht="20.25" customHeight="1" x14ac:dyDescent="0.15">
      <c r="A3498" s="2" t="s">
        <v>7809</v>
      </c>
      <c r="B3498" s="2" t="s">
        <v>7810</v>
      </c>
      <c r="C3498" s="2">
        <v>-0.01</v>
      </c>
      <c r="D3498" s="2">
        <v>3.6757</v>
      </c>
      <c r="E3498" s="2" t="s">
        <v>3102</v>
      </c>
    </row>
    <row r="3499" spans="1:5" ht="20.25" customHeight="1" x14ac:dyDescent="0.15">
      <c r="A3499" s="2" t="s">
        <v>2564</v>
      </c>
      <c r="B3499" s="2" t="s">
        <v>2565</v>
      </c>
      <c r="C3499" s="2">
        <v>-0.02</v>
      </c>
      <c r="D3499" s="2">
        <v>15.758800000000001</v>
      </c>
      <c r="E3499" s="2" t="s">
        <v>1243</v>
      </c>
    </row>
    <row r="3500" spans="1:5" ht="20.25" customHeight="1" x14ac:dyDescent="0.15">
      <c r="A3500" s="2" t="s">
        <v>6632</v>
      </c>
      <c r="B3500" s="2" t="s">
        <v>6633</v>
      </c>
      <c r="C3500" s="2">
        <v>-0.02</v>
      </c>
      <c r="D3500" s="2">
        <v>4.1997</v>
      </c>
      <c r="E3500" s="2" t="s">
        <v>10</v>
      </c>
    </row>
    <row r="3501" spans="1:5" ht="20.25" customHeight="1" x14ac:dyDescent="0.15">
      <c r="A3501" s="2" t="s">
        <v>6648</v>
      </c>
      <c r="B3501" s="2" t="s">
        <v>6649</v>
      </c>
      <c r="C3501" s="2">
        <v>-0.02</v>
      </c>
      <c r="D3501" s="2">
        <v>13.0428</v>
      </c>
      <c r="E3501" s="2" t="s">
        <v>396</v>
      </c>
    </row>
    <row r="3502" spans="1:5" ht="20.25" customHeight="1" x14ac:dyDescent="0.15">
      <c r="A3502" s="2" t="s">
        <v>6710</v>
      </c>
      <c r="B3502" s="2" t="s">
        <v>6711</v>
      </c>
      <c r="C3502" s="2">
        <v>-0.02</v>
      </c>
      <c r="D3502" s="2">
        <v>5.2671000000000001</v>
      </c>
      <c r="E3502" s="2" t="s">
        <v>44</v>
      </c>
    </row>
    <row r="3503" spans="1:5" ht="20.25" customHeight="1" x14ac:dyDescent="0.15">
      <c r="A3503" s="2" t="s">
        <v>6813</v>
      </c>
      <c r="B3503" s="2" t="s">
        <v>6814</v>
      </c>
      <c r="C3503" s="2">
        <v>-0.02</v>
      </c>
      <c r="D3503" s="2">
        <v>51.448799999999999</v>
      </c>
      <c r="E3503" s="2" t="s">
        <v>1436</v>
      </c>
    </row>
    <row r="3504" spans="1:5" ht="20.25" customHeight="1" x14ac:dyDescent="0.15">
      <c r="A3504" s="2" t="s">
        <v>5866</v>
      </c>
      <c r="B3504" s="2" t="s">
        <v>5867</v>
      </c>
      <c r="C3504" s="2">
        <v>-0.03</v>
      </c>
      <c r="D3504" s="2">
        <v>29.648</v>
      </c>
      <c r="E3504" s="2" t="s">
        <v>421</v>
      </c>
    </row>
    <row r="3505" spans="1:5" ht="20.25" customHeight="1" x14ac:dyDescent="0.15">
      <c r="A3505" s="2" t="s">
        <v>6692</v>
      </c>
      <c r="B3505" s="2" t="s">
        <v>6693</v>
      </c>
      <c r="C3505" s="2">
        <v>-0.03</v>
      </c>
      <c r="D3505" s="2">
        <v>11.648199999999999</v>
      </c>
      <c r="E3505" s="2" t="s">
        <v>371</v>
      </c>
    </row>
    <row r="3506" spans="1:5" ht="20.25" customHeight="1" x14ac:dyDescent="0.15">
      <c r="A3506" s="2" t="s">
        <v>7309</v>
      </c>
      <c r="B3506" s="2" t="s">
        <v>7310</v>
      </c>
      <c r="C3506" s="2">
        <v>-0.03</v>
      </c>
      <c r="D3506" s="2">
        <v>1.0313000000000001</v>
      </c>
      <c r="E3506" s="2" t="s">
        <v>1997</v>
      </c>
    </row>
    <row r="3507" spans="1:5" ht="20.25" customHeight="1" x14ac:dyDescent="0.15">
      <c r="A3507" s="2" t="s">
        <v>7397</v>
      </c>
      <c r="B3507" s="2" t="s">
        <v>7398</v>
      </c>
      <c r="C3507" s="2">
        <v>-0.03</v>
      </c>
      <c r="D3507" s="2">
        <v>9.4321000000000002</v>
      </c>
      <c r="E3507" s="2" t="s">
        <v>5364</v>
      </c>
    </row>
    <row r="3508" spans="1:5" ht="20.25" customHeight="1" x14ac:dyDescent="0.15">
      <c r="A3508" s="2" t="s">
        <v>160</v>
      </c>
      <c r="B3508" s="2" t="s">
        <v>161</v>
      </c>
      <c r="C3508" s="2">
        <v>-0.04</v>
      </c>
      <c r="D3508" s="2">
        <v>0.1062</v>
      </c>
      <c r="E3508" s="2" t="s">
        <v>111</v>
      </c>
    </row>
    <row r="3509" spans="1:5" ht="20.25" customHeight="1" x14ac:dyDescent="0.15">
      <c r="A3509" s="2" t="s">
        <v>1306</v>
      </c>
      <c r="B3509" s="2" t="s">
        <v>1307</v>
      </c>
      <c r="C3509" s="2">
        <v>-0.04</v>
      </c>
      <c r="D3509" s="2">
        <v>0.36270000000000002</v>
      </c>
      <c r="E3509" s="2" t="s">
        <v>123</v>
      </c>
    </row>
    <row r="3510" spans="1:5" ht="20.25" customHeight="1" x14ac:dyDescent="0.15">
      <c r="A3510" s="2" t="s">
        <v>3024</v>
      </c>
      <c r="B3510" s="2" t="s">
        <v>3025</v>
      </c>
      <c r="C3510" s="2">
        <v>-0.04</v>
      </c>
      <c r="D3510" s="2">
        <v>0.54159999999999997</v>
      </c>
      <c r="E3510" s="2" t="s">
        <v>1142</v>
      </c>
    </row>
    <row r="3511" spans="1:5" ht="20.25" customHeight="1" x14ac:dyDescent="0.15">
      <c r="A3511" s="2" t="s">
        <v>4070</v>
      </c>
      <c r="B3511" s="2" t="s">
        <v>4071</v>
      </c>
      <c r="C3511" s="2">
        <v>-0.04</v>
      </c>
      <c r="D3511" s="2">
        <v>66.784300000000002</v>
      </c>
      <c r="E3511" s="2" t="s">
        <v>391</v>
      </c>
    </row>
    <row r="3512" spans="1:5" ht="20.25" customHeight="1" x14ac:dyDescent="0.15">
      <c r="A3512" s="2" t="s">
        <v>4552</v>
      </c>
      <c r="B3512" s="2" t="s">
        <v>4553</v>
      </c>
      <c r="C3512" s="2">
        <v>-0.04</v>
      </c>
      <c r="D3512" s="2">
        <v>0.40639999999999998</v>
      </c>
      <c r="E3512" s="2" t="s">
        <v>220</v>
      </c>
    </row>
    <row r="3513" spans="1:5" ht="20.25" customHeight="1" x14ac:dyDescent="0.15">
      <c r="A3513" s="2" t="s">
        <v>5978</v>
      </c>
      <c r="B3513" s="2" t="s">
        <v>5979</v>
      </c>
      <c r="C3513" s="2">
        <v>-0.04</v>
      </c>
      <c r="D3513" s="2">
        <v>3.8788</v>
      </c>
      <c r="E3513" s="2" t="s">
        <v>68</v>
      </c>
    </row>
    <row r="3514" spans="1:5" ht="20.25" customHeight="1" x14ac:dyDescent="0.15">
      <c r="A3514" s="2" t="s">
        <v>6010</v>
      </c>
      <c r="B3514" s="2" t="s">
        <v>6011</v>
      </c>
      <c r="C3514" s="2">
        <v>-0.04</v>
      </c>
      <c r="D3514" s="2">
        <v>10.6812</v>
      </c>
      <c r="E3514" s="2" t="s">
        <v>2151</v>
      </c>
    </row>
    <row r="3515" spans="1:5" ht="20.25" customHeight="1" x14ac:dyDescent="0.15">
      <c r="A3515" s="2" t="s">
        <v>6456</v>
      </c>
      <c r="B3515" s="2" t="s">
        <v>6457</v>
      </c>
      <c r="C3515" s="2">
        <v>-0.04</v>
      </c>
      <c r="D3515" s="2">
        <v>1.5652999999999999</v>
      </c>
      <c r="E3515" s="2" t="s">
        <v>406</v>
      </c>
    </row>
    <row r="3516" spans="1:5" ht="20.25" customHeight="1" x14ac:dyDescent="0.15">
      <c r="A3516" s="2" t="s">
        <v>6520</v>
      </c>
      <c r="B3516" s="2" t="s">
        <v>6521</v>
      </c>
      <c r="C3516" s="2">
        <v>-0.04</v>
      </c>
      <c r="D3516" s="2">
        <v>7.9886999999999997</v>
      </c>
      <c r="E3516" s="2" t="s">
        <v>35</v>
      </c>
    </row>
    <row r="3517" spans="1:5" ht="20.25" customHeight="1" x14ac:dyDescent="0.15">
      <c r="A3517" s="2" t="s">
        <v>8067</v>
      </c>
      <c r="B3517" s="2" t="s">
        <v>8068</v>
      </c>
      <c r="C3517" s="2">
        <v>-0.04</v>
      </c>
      <c r="D3517" s="2">
        <v>23.5688</v>
      </c>
      <c r="E3517" s="2" t="s">
        <v>89</v>
      </c>
    </row>
    <row r="3518" spans="1:5" ht="20.25" customHeight="1" x14ac:dyDescent="0.15">
      <c r="A3518" s="2" t="s">
        <v>1269</v>
      </c>
      <c r="B3518" s="2" t="s">
        <v>1270</v>
      </c>
      <c r="C3518" s="2">
        <v>-0.05</v>
      </c>
      <c r="D3518" s="2">
        <v>0.13170000000000001</v>
      </c>
      <c r="E3518" s="2" t="s">
        <v>100</v>
      </c>
    </row>
    <row r="3519" spans="1:5" ht="20.25" customHeight="1" x14ac:dyDescent="0.15">
      <c r="A3519" s="2" t="s">
        <v>2720</v>
      </c>
      <c r="B3519" s="2" t="s">
        <v>2721</v>
      </c>
      <c r="C3519" s="2">
        <v>-0.05</v>
      </c>
      <c r="D3519" s="2">
        <v>5.0566000000000004</v>
      </c>
      <c r="E3519" s="2" t="s">
        <v>146</v>
      </c>
    </row>
    <row r="3520" spans="1:5" ht="20.25" customHeight="1" x14ac:dyDescent="0.15">
      <c r="A3520" s="2" t="s">
        <v>3785</v>
      </c>
      <c r="B3520" s="2" t="s">
        <v>3786</v>
      </c>
      <c r="C3520" s="2">
        <v>-0.05</v>
      </c>
      <c r="D3520" s="2">
        <v>3.2774000000000001</v>
      </c>
      <c r="E3520" s="2" t="s">
        <v>542</v>
      </c>
    </row>
    <row r="3521" spans="1:5" ht="20.25" customHeight="1" x14ac:dyDescent="0.15">
      <c r="A3521" s="2" t="s">
        <v>4857</v>
      </c>
      <c r="B3521" s="2" t="s">
        <v>4858</v>
      </c>
      <c r="C3521" s="2">
        <v>-0.05</v>
      </c>
      <c r="D3521" s="2">
        <v>4.7388000000000003</v>
      </c>
      <c r="E3521" s="2" t="s">
        <v>299</v>
      </c>
    </row>
    <row r="3522" spans="1:5" ht="20.25" customHeight="1" x14ac:dyDescent="0.15">
      <c r="A3522" s="2" t="s">
        <v>5358</v>
      </c>
      <c r="B3522" s="2" t="s">
        <v>5359</v>
      </c>
      <c r="C3522" s="2">
        <v>-0.05</v>
      </c>
      <c r="D3522" s="2">
        <v>5.9172000000000002</v>
      </c>
      <c r="E3522" s="2" t="s">
        <v>1420</v>
      </c>
    </row>
    <row r="3523" spans="1:5" ht="20.25" customHeight="1" x14ac:dyDescent="0.15">
      <c r="A3523" s="2" t="s">
        <v>6696</v>
      </c>
      <c r="B3523" s="2" t="s">
        <v>6697</v>
      </c>
      <c r="C3523" s="2">
        <v>-0.05</v>
      </c>
      <c r="D3523" s="2">
        <v>2.9207000000000001</v>
      </c>
      <c r="E3523" s="2" t="s">
        <v>736</v>
      </c>
    </row>
    <row r="3524" spans="1:5" ht="20.25" customHeight="1" x14ac:dyDescent="0.15">
      <c r="A3524" s="2" t="s">
        <v>4486</v>
      </c>
      <c r="B3524" s="2" t="s">
        <v>4487</v>
      </c>
      <c r="C3524" s="2">
        <v>-0.06</v>
      </c>
      <c r="D3524" s="2">
        <v>36.893599999999999</v>
      </c>
      <c r="E3524" s="2" t="s">
        <v>1515</v>
      </c>
    </row>
    <row r="3525" spans="1:5" ht="20.25" customHeight="1" x14ac:dyDescent="0.15">
      <c r="A3525" s="2" t="s">
        <v>5174</v>
      </c>
      <c r="B3525" s="2" t="s">
        <v>5175</v>
      </c>
      <c r="C3525" s="2">
        <v>-0.06</v>
      </c>
      <c r="D3525" s="2">
        <v>0.44119999999999998</v>
      </c>
      <c r="E3525" s="2" t="s">
        <v>257</v>
      </c>
    </row>
    <row r="3526" spans="1:5" ht="20.25" customHeight="1" x14ac:dyDescent="0.15">
      <c r="A3526" s="2" t="s">
        <v>5296</v>
      </c>
      <c r="B3526" s="2" t="s">
        <v>5297</v>
      </c>
      <c r="C3526" s="2">
        <v>-0.06</v>
      </c>
      <c r="D3526" s="2">
        <v>4.8593999999999999</v>
      </c>
      <c r="E3526" s="2" t="s">
        <v>344</v>
      </c>
    </row>
    <row r="3527" spans="1:5" ht="20.25" customHeight="1" x14ac:dyDescent="0.15">
      <c r="A3527" s="2" t="s">
        <v>6983</v>
      </c>
      <c r="B3527" s="2" t="s">
        <v>6984</v>
      </c>
      <c r="C3527" s="2">
        <v>-0.06</v>
      </c>
      <c r="D3527" s="2">
        <v>1.3255999999999999</v>
      </c>
      <c r="E3527" s="2" t="s">
        <v>1486</v>
      </c>
    </row>
    <row r="3528" spans="1:5" ht="20.25" customHeight="1" x14ac:dyDescent="0.15">
      <c r="A3528" s="2" t="s">
        <v>7219</v>
      </c>
      <c r="B3528" s="2" t="s">
        <v>7220</v>
      </c>
      <c r="C3528" s="2">
        <v>-0.06</v>
      </c>
      <c r="D3528" s="2">
        <v>36.305799999999998</v>
      </c>
      <c r="E3528" s="2" t="s">
        <v>228</v>
      </c>
    </row>
    <row r="3529" spans="1:5" ht="20.25" customHeight="1" x14ac:dyDescent="0.15">
      <c r="A3529" s="2" t="s">
        <v>7659</v>
      </c>
      <c r="B3529" s="2" t="s">
        <v>7660</v>
      </c>
      <c r="C3529" s="2">
        <v>-0.06</v>
      </c>
      <c r="D3529" s="2">
        <v>0.1598</v>
      </c>
      <c r="E3529" s="2" t="s">
        <v>207</v>
      </c>
    </row>
    <row r="3530" spans="1:5" ht="20.25" customHeight="1" x14ac:dyDescent="0.15">
      <c r="A3530" s="2" t="s">
        <v>7803</v>
      </c>
      <c r="B3530" s="2" t="s">
        <v>7804</v>
      </c>
      <c r="C3530" s="2">
        <v>-0.06</v>
      </c>
      <c r="D3530" s="2">
        <v>1.3171999999999999</v>
      </c>
      <c r="E3530" s="2" t="s">
        <v>1145</v>
      </c>
    </row>
    <row r="3531" spans="1:5" ht="20.25" customHeight="1" x14ac:dyDescent="0.15">
      <c r="A3531" s="2" t="s">
        <v>3146</v>
      </c>
      <c r="B3531" s="2" t="s">
        <v>3147</v>
      </c>
      <c r="C3531" s="2">
        <v>-7.0000000000000007E-2</v>
      </c>
      <c r="D3531" s="2">
        <v>150.06370000000001</v>
      </c>
      <c r="E3531" s="2" t="s">
        <v>228</v>
      </c>
    </row>
    <row r="3532" spans="1:5" ht="20.25" customHeight="1" x14ac:dyDescent="0.15">
      <c r="A3532" s="2" t="s">
        <v>5112</v>
      </c>
      <c r="B3532" s="2" t="s">
        <v>5113</v>
      </c>
      <c r="C3532" s="2">
        <v>-7.0000000000000007E-2</v>
      </c>
      <c r="D3532" s="2">
        <v>52.405299999999997</v>
      </c>
      <c r="E3532" s="2" t="s">
        <v>2038</v>
      </c>
    </row>
    <row r="3533" spans="1:5" ht="20.25" customHeight="1" x14ac:dyDescent="0.15">
      <c r="A3533" s="2" t="s">
        <v>5541</v>
      </c>
      <c r="B3533" s="2" t="s">
        <v>5542</v>
      </c>
      <c r="C3533" s="2">
        <v>-7.0000000000000007E-2</v>
      </c>
      <c r="D3533" s="2">
        <v>81.632099999999994</v>
      </c>
      <c r="E3533" s="2" t="s">
        <v>1224</v>
      </c>
    </row>
    <row r="3534" spans="1:5" ht="20.25" customHeight="1" x14ac:dyDescent="0.15">
      <c r="A3534" s="2" t="s">
        <v>5916</v>
      </c>
      <c r="B3534" s="2" t="s">
        <v>5917</v>
      </c>
      <c r="C3534" s="2">
        <v>-7.0000000000000007E-2</v>
      </c>
      <c r="D3534" s="2">
        <v>1.7024999999999999</v>
      </c>
      <c r="E3534" s="2" t="s">
        <v>137</v>
      </c>
    </row>
    <row r="3535" spans="1:5" ht="20.25" customHeight="1" x14ac:dyDescent="0.15">
      <c r="A3535" s="2" t="s">
        <v>7249</v>
      </c>
      <c r="B3535" s="2" t="s">
        <v>7250</v>
      </c>
      <c r="C3535" s="2">
        <v>-7.0000000000000007E-2</v>
      </c>
      <c r="D3535" s="2">
        <v>0.64600000000000002</v>
      </c>
      <c r="E3535" s="2" t="s">
        <v>89</v>
      </c>
    </row>
    <row r="3536" spans="1:5" ht="20.25" customHeight="1" x14ac:dyDescent="0.15">
      <c r="A3536" s="2" t="s">
        <v>2006</v>
      </c>
      <c r="B3536" s="2" t="s">
        <v>2007</v>
      </c>
      <c r="C3536" s="2">
        <v>-0.08</v>
      </c>
      <c r="D3536" s="2">
        <v>3.9016999999999999</v>
      </c>
      <c r="E3536" s="2" t="s">
        <v>7</v>
      </c>
    </row>
    <row r="3537" spans="1:5" ht="20.25" customHeight="1" x14ac:dyDescent="0.15">
      <c r="A3537" s="2" t="s">
        <v>8039</v>
      </c>
      <c r="B3537" s="2" t="s">
        <v>8040</v>
      </c>
      <c r="C3537" s="2">
        <v>-0.08</v>
      </c>
      <c r="D3537" s="2">
        <v>8.9896999999999991</v>
      </c>
      <c r="E3537" s="2" t="s">
        <v>329</v>
      </c>
    </row>
    <row r="3538" spans="1:5" ht="20.25" customHeight="1" x14ac:dyDescent="0.15">
      <c r="A3538" s="2" t="s">
        <v>8149</v>
      </c>
      <c r="B3538" s="2" t="s">
        <v>8150</v>
      </c>
      <c r="C3538" s="2">
        <v>-0.08</v>
      </c>
      <c r="D3538" s="2">
        <v>24.3916</v>
      </c>
      <c r="E3538" s="2" t="s">
        <v>3190</v>
      </c>
    </row>
    <row r="3539" spans="1:5" ht="20.25" customHeight="1" x14ac:dyDescent="0.15">
      <c r="A3539" s="2" t="s">
        <v>8193</v>
      </c>
      <c r="B3539" s="2" t="s">
        <v>8194</v>
      </c>
      <c r="C3539" s="2">
        <v>-0.08</v>
      </c>
      <c r="D3539" s="2">
        <v>3.5758999999999999</v>
      </c>
      <c r="E3539" s="2" t="s">
        <v>339</v>
      </c>
    </row>
    <row r="3540" spans="1:5" ht="20.25" customHeight="1" x14ac:dyDescent="0.15">
      <c r="A3540" s="2" t="s">
        <v>2188</v>
      </c>
      <c r="B3540" s="2" t="s">
        <v>2189</v>
      </c>
      <c r="C3540" s="2">
        <v>-0.09</v>
      </c>
      <c r="D3540" s="2">
        <v>0.71799999999999997</v>
      </c>
      <c r="E3540" s="2" t="s">
        <v>271</v>
      </c>
    </row>
    <row r="3541" spans="1:5" ht="20.25" customHeight="1" x14ac:dyDescent="0.15">
      <c r="A3541" s="2" t="s">
        <v>3509</v>
      </c>
      <c r="B3541" s="2" t="s">
        <v>3510</v>
      </c>
      <c r="C3541" s="2">
        <v>-0.09</v>
      </c>
      <c r="D3541" s="2">
        <v>0.47849999999999998</v>
      </c>
      <c r="E3541" s="2" t="s">
        <v>220</v>
      </c>
    </row>
    <row r="3542" spans="1:5" ht="20.25" customHeight="1" x14ac:dyDescent="0.15">
      <c r="A3542" s="2" t="s">
        <v>3513</v>
      </c>
      <c r="B3542" s="2" t="s">
        <v>3514</v>
      </c>
      <c r="C3542" s="2">
        <v>-0.09</v>
      </c>
      <c r="D3542" s="2">
        <v>0.39229999999999998</v>
      </c>
      <c r="E3542" s="2" t="s">
        <v>220</v>
      </c>
    </row>
    <row r="3543" spans="1:5" ht="20.25" customHeight="1" x14ac:dyDescent="0.15">
      <c r="A3543" s="2" t="s">
        <v>4598</v>
      </c>
      <c r="B3543" s="2" t="s">
        <v>4599</v>
      </c>
      <c r="C3543" s="2">
        <v>-0.09</v>
      </c>
      <c r="D3543" s="2">
        <v>1.0085999999999999</v>
      </c>
      <c r="E3543" s="2" t="s">
        <v>86</v>
      </c>
    </row>
    <row r="3544" spans="1:5" ht="20.25" customHeight="1" x14ac:dyDescent="0.15">
      <c r="A3544" s="2" t="s">
        <v>6688</v>
      </c>
      <c r="B3544" s="2" t="s">
        <v>6689</v>
      </c>
      <c r="C3544" s="2">
        <v>-0.09</v>
      </c>
      <c r="D3544" s="2">
        <v>0.99119999999999997</v>
      </c>
      <c r="E3544" s="2" t="s">
        <v>638</v>
      </c>
    </row>
    <row r="3545" spans="1:5" ht="20.25" customHeight="1" x14ac:dyDescent="0.15">
      <c r="A3545" s="2" t="s">
        <v>7711</v>
      </c>
      <c r="B3545" s="2" t="s">
        <v>7712</v>
      </c>
      <c r="C3545" s="2">
        <v>-0.09</v>
      </c>
      <c r="D3545" s="2">
        <v>27.898199999999999</v>
      </c>
      <c r="E3545" s="2" t="s">
        <v>630</v>
      </c>
    </row>
    <row r="3546" spans="1:5" ht="20.25" customHeight="1" x14ac:dyDescent="0.15">
      <c r="A3546" s="2" t="s">
        <v>1135</v>
      </c>
      <c r="B3546" s="2" t="s">
        <v>1136</v>
      </c>
      <c r="C3546" s="2">
        <v>-0.1</v>
      </c>
      <c r="D3546" s="2">
        <v>31.591899999999999</v>
      </c>
      <c r="E3546" s="2" t="s">
        <v>245</v>
      </c>
    </row>
    <row r="3547" spans="1:5" ht="20.25" customHeight="1" x14ac:dyDescent="0.15">
      <c r="A3547" s="2" t="s">
        <v>3049</v>
      </c>
      <c r="B3547" s="2" t="s">
        <v>3050</v>
      </c>
      <c r="C3547" s="2">
        <v>-0.1</v>
      </c>
      <c r="D3547" s="2">
        <v>2.6936</v>
      </c>
      <c r="E3547" s="2" t="s">
        <v>1381</v>
      </c>
    </row>
    <row r="3548" spans="1:5" ht="20.25" customHeight="1" x14ac:dyDescent="0.15">
      <c r="A3548" s="2" t="s">
        <v>3501</v>
      </c>
      <c r="B3548" s="2" t="s">
        <v>3502</v>
      </c>
      <c r="C3548" s="2">
        <v>-0.1</v>
      </c>
      <c r="D3548" s="2">
        <v>1.9765999999999999</v>
      </c>
      <c r="E3548" s="2" t="s">
        <v>421</v>
      </c>
    </row>
    <row r="3549" spans="1:5" ht="20.25" customHeight="1" x14ac:dyDescent="0.15">
      <c r="A3549" s="2" t="s">
        <v>6080</v>
      </c>
      <c r="B3549" s="2" t="s">
        <v>6081</v>
      </c>
      <c r="C3549" s="2">
        <v>-0.1</v>
      </c>
      <c r="D3549" s="2">
        <v>52.384300000000003</v>
      </c>
      <c r="E3549" s="2" t="s">
        <v>81</v>
      </c>
    </row>
    <row r="3550" spans="1:5" ht="20.25" customHeight="1" x14ac:dyDescent="0.15">
      <c r="A3550" s="2" t="s">
        <v>7013</v>
      </c>
      <c r="B3550" s="2" t="s">
        <v>7014</v>
      </c>
      <c r="C3550" s="2">
        <v>-0.1</v>
      </c>
      <c r="D3550" s="2">
        <v>9.9013000000000009</v>
      </c>
      <c r="E3550" s="2" t="s">
        <v>5364</v>
      </c>
    </row>
    <row r="3551" spans="1:5" ht="20.25" customHeight="1" x14ac:dyDescent="0.15">
      <c r="A3551" s="2" t="s">
        <v>7407</v>
      </c>
      <c r="B3551" s="2" t="s">
        <v>7408</v>
      </c>
      <c r="C3551" s="2">
        <v>-0.1</v>
      </c>
      <c r="D3551" s="2">
        <v>33.680900000000001</v>
      </c>
      <c r="E3551" s="2" t="s">
        <v>228</v>
      </c>
    </row>
    <row r="3552" spans="1:5" ht="20.25" customHeight="1" x14ac:dyDescent="0.15">
      <c r="A3552" s="2" t="s">
        <v>8215</v>
      </c>
      <c r="B3552" s="2" t="s">
        <v>8216</v>
      </c>
      <c r="C3552" s="2">
        <v>-0.1</v>
      </c>
      <c r="D3552" s="2">
        <v>9.4347999999999992</v>
      </c>
      <c r="E3552" s="2" t="s">
        <v>371</v>
      </c>
    </row>
    <row r="3553" spans="1:5" ht="20.25" customHeight="1" x14ac:dyDescent="0.15">
      <c r="A3553" s="2" t="s">
        <v>4861</v>
      </c>
      <c r="B3553" s="2" t="s">
        <v>4862</v>
      </c>
      <c r="C3553" s="2">
        <v>-0.11</v>
      </c>
      <c r="D3553" s="2">
        <v>9.3687000000000005</v>
      </c>
      <c r="E3553" s="2" t="s">
        <v>240</v>
      </c>
    </row>
    <row r="3554" spans="1:5" ht="20.25" customHeight="1" x14ac:dyDescent="0.15">
      <c r="A3554" s="2" t="s">
        <v>6338</v>
      </c>
      <c r="B3554" s="2" t="s">
        <v>6339</v>
      </c>
      <c r="C3554" s="2">
        <v>-0.11</v>
      </c>
      <c r="D3554" s="2">
        <v>207.6002</v>
      </c>
      <c r="E3554" s="2" t="s">
        <v>89</v>
      </c>
    </row>
    <row r="3555" spans="1:5" ht="20.25" customHeight="1" x14ac:dyDescent="0.15">
      <c r="A3555" s="2" t="s">
        <v>7731</v>
      </c>
      <c r="B3555" s="2" t="s">
        <v>7732</v>
      </c>
      <c r="C3555" s="2">
        <v>-0.11</v>
      </c>
      <c r="D3555" s="2">
        <v>1.8797999999999999</v>
      </c>
      <c r="E3555" s="2" t="s">
        <v>257</v>
      </c>
    </row>
    <row r="3556" spans="1:5" ht="20.25" customHeight="1" x14ac:dyDescent="0.15">
      <c r="A3556" s="2" t="s">
        <v>7943</v>
      </c>
      <c r="B3556" s="2" t="s">
        <v>7944</v>
      </c>
      <c r="C3556" s="2">
        <v>-0.11</v>
      </c>
      <c r="D3556" s="2">
        <v>25.793199999999999</v>
      </c>
      <c r="E3556" s="2" t="s">
        <v>385</v>
      </c>
    </row>
    <row r="3557" spans="1:5" ht="20.25" customHeight="1" x14ac:dyDescent="0.15">
      <c r="A3557" s="2" t="s">
        <v>3489</v>
      </c>
      <c r="B3557" s="2" t="s">
        <v>3490</v>
      </c>
      <c r="C3557" s="2">
        <v>-0.12</v>
      </c>
      <c r="D3557" s="2">
        <v>2.5301999999999998</v>
      </c>
      <c r="E3557" s="2" t="s">
        <v>501</v>
      </c>
    </row>
    <row r="3558" spans="1:5" ht="20.25" customHeight="1" x14ac:dyDescent="0.15">
      <c r="A3558" s="2" t="s">
        <v>5842</v>
      </c>
      <c r="B3558" s="2" t="s">
        <v>5843</v>
      </c>
      <c r="C3558" s="2">
        <v>-0.12</v>
      </c>
      <c r="D3558" s="2">
        <v>17.046399999999998</v>
      </c>
      <c r="E3558" s="2" t="s">
        <v>2681</v>
      </c>
    </row>
    <row r="3559" spans="1:5" ht="20.25" customHeight="1" x14ac:dyDescent="0.15">
      <c r="A3559" s="2" t="s">
        <v>6286</v>
      </c>
      <c r="B3559" s="2" t="s">
        <v>6287</v>
      </c>
      <c r="C3559" s="2">
        <v>-0.12</v>
      </c>
      <c r="D3559" s="2">
        <v>97.061000000000007</v>
      </c>
      <c r="E3559" s="2" t="s">
        <v>1094</v>
      </c>
    </row>
    <row r="3560" spans="1:5" ht="20.25" customHeight="1" x14ac:dyDescent="0.15">
      <c r="A3560" s="2" t="s">
        <v>6390</v>
      </c>
      <c r="B3560" s="2" t="s">
        <v>6391</v>
      </c>
      <c r="C3560" s="2">
        <v>-0.12</v>
      </c>
      <c r="D3560" s="2">
        <v>37.1494</v>
      </c>
      <c r="E3560" s="2" t="s">
        <v>1094</v>
      </c>
    </row>
    <row r="3561" spans="1:5" ht="20.25" customHeight="1" x14ac:dyDescent="0.15">
      <c r="A3561" s="2" t="s">
        <v>433</v>
      </c>
      <c r="B3561" s="2" t="s">
        <v>434</v>
      </c>
      <c r="C3561" s="2">
        <v>-0.13</v>
      </c>
      <c r="D3561" s="2">
        <v>3.1573000000000002</v>
      </c>
      <c r="E3561" s="2" t="s">
        <v>245</v>
      </c>
    </row>
    <row r="3562" spans="1:5" ht="20.25" customHeight="1" x14ac:dyDescent="0.15">
      <c r="A3562" s="2" t="s">
        <v>1618</v>
      </c>
      <c r="B3562" s="2" t="s">
        <v>1619</v>
      </c>
      <c r="C3562" s="2">
        <v>-0.13</v>
      </c>
      <c r="D3562" s="2">
        <v>38.540399999999998</v>
      </c>
      <c r="E3562" s="2" t="s">
        <v>699</v>
      </c>
    </row>
    <row r="3563" spans="1:5" ht="20.25" customHeight="1" x14ac:dyDescent="0.15">
      <c r="A3563" s="2" t="s">
        <v>2500</v>
      </c>
      <c r="B3563" s="2" t="s">
        <v>2501</v>
      </c>
      <c r="C3563" s="2">
        <v>-0.13</v>
      </c>
      <c r="D3563" s="2">
        <v>9.6473999999999993</v>
      </c>
      <c r="E3563" s="2" t="s">
        <v>265</v>
      </c>
    </row>
    <row r="3564" spans="1:5" ht="20.25" customHeight="1" x14ac:dyDescent="0.15">
      <c r="A3564" s="2" t="s">
        <v>5250</v>
      </c>
      <c r="B3564" s="2" t="s">
        <v>5251</v>
      </c>
      <c r="C3564" s="2">
        <v>-0.13</v>
      </c>
      <c r="D3564" s="2">
        <v>168.97720000000001</v>
      </c>
      <c r="E3564" s="2" t="s">
        <v>403</v>
      </c>
    </row>
    <row r="3565" spans="1:5" ht="20.25" customHeight="1" x14ac:dyDescent="0.15">
      <c r="A3565" s="2" t="s">
        <v>6945</v>
      </c>
      <c r="B3565" s="2" t="s">
        <v>6946</v>
      </c>
      <c r="C3565" s="2">
        <v>-0.13</v>
      </c>
      <c r="D3565" s="2">
        <v>86.807599999999994</v>
      </c>
      <c r="E3565" s="2" t="s">
        <v>1691</v>
      </c>
    </row>
    <row r="3566" spans="1:5" ht="20.25" customHeight="1" x14ac:dyDescent="0.15">
      <c r="A3566" s="2" t="s">
        <v>3839</v>
      </c>
      <c r="B3566" s="2" t="s">
        <v>3840</v>
      </c>
      <c r="C3566" s="2">
        <v>-0.14000000000000001</v>
      </c>
      <c r="D3566" s="2">
        <v>13.2401</v>
      </c>
      <c r="E3566" s="2" t="s">
        <v>157</v>
      </c>
    </row>
    <row r="3567" spans="1:5" ht="20.25" customHeight="1" x14ac:dyDescent="0.15">
      <c r="A3567" s="2" t="s">
        <v>4789</v>
      </c>
      <c r="B3567" s="2" t="s">
        <v>4790</v>
      </c>
      <c r="C3567" s="2">
        <v>-0.14000000000000001</v>
      </c>
      <c r="D3567" s="2">
        <v>3202.3195999999998</v>
      </c>
      <c r="E3567" s="2" t="s">
        <v>605</v>
      </c>
    </row>
    <row r="3568" spans="1:5" ht="20.25" customHeight="1" x14ac:dyDescent="0.15">
      <c r="A3568" s="2" t="s">
        <v>7379</v>
      </c>
      <c r="B3568" s="2" t="s">
        <v>7380</v>
      </c>
      <c r="C3568" s="2">
        <v>-0.14000000000000001</v>
      </c>
      <c r="D3568" s="2">
        <v>2.5798000000000001</v>
      </c>
      <c r="E3568" s="2" t="s">
        <v>21</v>
      </c>
    </row>
    <row r="3569" spans="1:5" ht="20.25" customHeight="1" x14ac:dyDescent="0.15">
      <c r="A3569" s="2" t="s">
        <v>8053</v>
      </c>
      <c r="B3569" s="2" t="s">
        <v>8054</v>
      </c>
      <c r="C3569" s="2">
        <v>-0.14000000000000001</v>
      </c>
      <c r="D3569" s="2">
        <v>6.5438999999999998</v>
      </c>
      <c r="E3569" s="2" t="s">
        <v>245</v>
      </c>
    </row>
    <row r="3570" spans="1:5" ht="20.25" customHeight="1" x14ac:dyDescent="0.15">
      <c r="A3570" s="2" t="s">
        <v>3787</v>
      </c>
      <c r="B3570" s="2" t="s">
        <v>3788</v>
      </c>
      <c r="C3570" s="2">
        <v>-0.15</v>
      </c>
      <c r="D3570" s="2">
        <v>6.8691000000000004</v>
      </c>
      <c r="E3570" s="2" t="s">
        <v>371</v>
      </c>
    </row>
    <row r="3571" spans="1:5" ht="20.25" customHeight="1" x14ac:dyDescent="0.15">
      <c r="A3571" s="2" t="s">
        <v>5665</v>
      </c>
      <c r="B3571" s="2" t="s">
        <v>5666</v>
      </c>
      <c r="C3571" s="2">
        <v>-0.15</v>
      </c>
      <c r="D3571" s="2">
        <v>0.67530000000000001</v>
      </c>
      <c r="E3571" s="2" t="s">
        <v>750</v>
      </c>
    </row>
    <row r="3572" spans="1:5" ht="20.25" customHeight="1" x14ac:dyDescent="0.15">
      <c r="A3572" s="2" t="s">
        <v>3565</v>
      </c>
      <c r="B3572" s="2" t="s">
        <v>3566</v>
      </c>
      <c r="C3572" s="2">
        <v>-0.16</v>
      </c>
      <c r="D3572" s="2">
        <v>127.81319999999999</v>
      </c>
      <c r="E3572" s="2" t="s">
        <v>1248</v>
      </c>
    </row>
    <row r="3573" spans="1:5" ht="20.25" customHeight="1" x14ac:dyDescent="0.15">
      <c r="A3573" s="2" t="s">
        <v>5818</v>
      </c>
      <c r="B3573" s="2" t="s">
        <v>5819</v>
      </c>
      <c r="C3573" s="2">
        <v>-0.16</v>
      </c>
      <c r="D3573" s="2">
        <v>45.259</v>
      </c>
      <c r="E3573" s="2" t="s">
        <v>406</v>
      </c>
    </row>
    <row r="3574" spans="1:5" ht="20.25" customHeight="1" x14ac:dyDescent="0.15">
      <c r="A3574" s="2" t="s">
        <v>6326</v>
      </c>
      <c r="B3574" s="2" t="s">
        <v>6327</v>
      </c>
      <c r="C3574" s="2">
        <v>-0.16</v>
      </c>
      <c r="D3574" s="2">
        <v>0.36749999999999999</v>
      </c>
      <c r="E3574" s="2" t="s">
        <v>201</v>
      </c>
    </row>
    <row r="3575" spans="1:5" ht="20.25" customHeight="1" x14ac:dyDescent="0.15">
      <c r="A3575" s="2" t="s">
        <v>549</v>
      </c>
      <c r="B3575" s="2" t="s">
        <v>550</v>
      </c>
      <c r="C3575" s="2">
        <v>-0.18</v>
      </c>
      <c r="D3575" s="2">
        <v>6.1707000000000001</v>
      </c>
      <c r="E3575" s="2" t="s">
        <v>551</v>
      </c>
    </row>
    <row r="3576" spans="1:5" ht="20.25" customHeight="1" x14ac:dyDescent="0.15">
      <c r="A3576" s="2" t="s">
        <v>4434</v>
      </c>
      <c r="B3576" s="2" t="s">
        <v>4435</v>
      </c>
      <c r="C3576" s="2">
        <v>-0.18</v>
      </c>
      <c r="D3576" s="2">
        <v>0.2697</v>
      </c>
      <c r="E3576" s="2" t="s">
        <v>368</v>
      </c>
    </row>
    <row r="3577" spans="1:5" ht="20.25" customHeight="1" x14ac:dyDescent="0.15">
      <c r="A3577" s="2" t="s">
        <v>5126</v>
      </c>
      <c r="B3577" s="2" t="s">
        <v>5127</v>
      </c>
      <c r="C3577" s="2">
        <v>-0.18</v>
      </c>
      <c r="D3577" s="2">
        <v>152.0735</v>
      </c>
      <c r="E3577" s="2" t="s">
        <v>1969</v>
      </c>
    </row>
    <row r="3578" spans="1:5" ht="20.25" customHeight="1" x14ac:dyDescent="0.15">
      <c r="A3578" s="2" t="s">
        <v>6871</v>
      </c>
      <c r="B3578" s="2" t="s">
        <v>6872</v>
      </c>
      <c r="C3578" s="2">
        <v>-0.18</v>
      </c>
      <c r="D3578" s="2">
        <v>2.9001000000000001</v>
      </c>
      <c r="E3578" s="2" t="s">
        <v>406</v>
      </c>
    </row>
    <row r="3579" spans="1:5" ht="20.25" customHeight="1" x14ac:dyDescent="0.15">
      <c r="A3579" s="2" t="s">
        <v>7683</v>
      </c>
      <c r="B3579" s="2" t="s">
        <v>7684</v>
      </c>
      <c r="C3579" s="2">
        <v>-0.18</v>
      </c>
      <c r="D3579" s="2">
        <v>360.40530000000001</v>
      </c>
      <c r="E3579" s="2" t="s">
        <v>459</v>
      </c>
    </row>
    <row r="3580" spans="1:5" ht="20.25" customHeight="1" x14ac:dyDescent="0.15">
      <c r="A3580" s="2" t="s">
        <v>1799</v>
      </c>
      <c r="B3580" s="2" t="s">
        <v>1800</v>
      </c>
      <c r="C3580" s="2">
        <v>-0.19</v>
      </c>
      <c r="D3580" s="2">
        <v>5.9518000000000004</v>
      </c>
      <c r="E3580" s="2" t="s">
        <v>1801</v>
      </c>
    </row>
    <row r="3581" spans="1:5" ht="20.25" customHeight="1" x14ac:dyDescent="0.15">
      <c r="A3581" s="2" t="s">
        <v>1899</v>
      </c>
      <c r="B3581" s="2" t="s">
        <v>1900</v>
      </c>
      <c r="C3581" s="2">
        <v>-0.19</v>
      </c>
      <c r="D3581" s="2">
        <v>23.3964</v>
      </c>
      <c r="E3581" s="2" t="s">
        <v>371</v>
      </c>
    </row>
    <row r="3582" spans="1:5" ht="20.25" customHeight="1" x14ac:dyDescent="0.15">
      <c r="A3582" s="2" t="s">
        <v>4068</v>
      </c>
      <c r="B3582" s="2" t="s">
        <v>4069</v>
      </c>
      <c r="C3582" s="2">
        <v>-0.19</v>
      </c>
      <c r="D3582" s="2">
        <v>2.0796999999999999</v>
      </c>
      <c r="E3582" s="2" t="s">
        <v>35</v>
      </c>
    </row>
    <row r="3583" spans="1:5" ht="20.25" customHeight="1" x14ac:dyDescent="0.15">
      <c r="A3583" s="2" t="s">
        <v>4350</v>
      </c>
      <c r="B3583" s="2" t="s">
        <v>4351</v>
      </c>
      <c r="C3583" s="2">
        <v>-0.19</v>
      </c>
      <c r="D3583" s="2">
        <v>10.6312</v>
      </c>
      <c r="E3583" s="2" t="s">
        <v>265</v>
      </c>
    </row>
    <row r="3584" spans="1:5" ht="20.25" customHeight="1" x14ac:dyDescent="0.15">
      <c r="A3584" s="2" t="s">
        <v>4424</v>
      </c>
      <c r="B3584" s="2" t="s">
        <v>4425</v>
      </c>
      <c r="C3584" s="2">
        <v>-0.19</v>
      </c>
      <c r="D3584" s="2">
        <v>3.6880999999999999</v>
      </c>
      <c r="E3584" s="2" t="s">
        <v>3005</v>
      </c>
    </row>
    <row r="3585" spans="1:5" ht="20.25" customHeight="1" x14ac:dyDescent="0.15">
      <c r="A3585" s="2" t="s">
        <v>6634</v>
      </c>
      <c r="B3585" s="2" t="s">
        <v>6635</v>
      </c>
      <c r="C3585" s="2">
        <v>-0.19</v>
      </c>
      <c r="D3585" s="2">
        <v>6.5109000000000004</v>
      </c>
      <c r="E3585" s="2" t="s">
        <v>1268</v>
      </c>
    </row>
    <row r="3586" spans="1:5" ht="20.25" customHeight="1" x14ac:dyDescent="0.15">
      <c r="A3586" s="2" t="s">
        <v>7737</v>
      </c>
      <c r="B3586" s="2" t="s">
        <v>7738</v>
      </c>
      <c r="C3586" s="2">
        <v>-0.19</v>
      </c>
      <c r="D3586" s="2">
        <v>2.7040999999999999</v>
      </c>
      <c r="E3586" s="2" t="s">
        <v>2151</v>
      </c>
    </row>
    <row r="3587" spans="1:5" ht="20.25" customHeight="1" x14ac:dyDescent="0.15">
      <c r="A3587" s="2" t="s">
        <v>7871</v>
      </c>
      <c r="B3587" s="2" t="s">
        <v>7872</v>
      </c>
      <c r="C3587" s="2">
        <v>-0.19</v>
      </c>
      <c r="D3587" s="2">
        <v>2.1646999999999998</v>
      </c>
      <c r="E3587" s="2" t="s">
        <v>1282</v>
      </c>
    </row>
    <row r="3588" spans="1:5" ht="20.25" customHeight="1" x14ac:dyDescent="0.15">
      <c r="A3588" s="2" t="s">
        <v>7639</v>
      </c>
      <c r="B3588" s="2" t="s">
        <v>7640</v>
      </c>
      <c r="C3588" s="2">
        <v>-0.19500000000000001</v>
      </c>
      <c r="D3588" s="2">
        <v>8.0390999999999995</v>
      </c>
      <c r="E3588" s="2" t="s">
        <v>388</v>
      </c>
    </row>
    <row r="3589" spans="1:5" ht="20.25" customHeight="1" x14ac:dyDescent="0.15">
      <c r="A3589" s="2" t="s">
        <v>2827</v>
      </c>
      <c r="B3589" s="2" t="s">
        <v>2828</v>
      </c>
      <c r="C3589" s="2">
        <v>-0.2</v>
      </c>
      <c r="D3589" s="2">
        <v>6.1165000000000003</v>
      </c>
      <c r="E3589" s="2" t="s">
        <v>198</v>
      </c>
    </row>
    <row r="3590" spans="1:5" ht="20.25" customHeight="1" x14ac:dyDescent="0.15">
      <c r="A3590" s="2" t="s">
        <v>3561</v>
      </c>
      <c r="B3590" s="2" t="s">
        <v>3562</v>
      </c>
      <c r="C3590" s="2">
        <v>-0.2</v>
      </c>
      <c r="D3590" s="2">
        <v>0.39810000000000001</v>
      </c>
      <c r="E3590" s="2" t="s">
        <v>769</v>
      </c>
    </row>
    <row r="3591" spans="1:5" ht="20.25" customHeight="1" x14ac:dyDescent="0.15">
      <c r="A3591" s="2" t="s">
        <v>2057</v>
      </c>
      <c r="B3591" s="2" t="s">
        <v>2058</v>
      </c>
      <c r="C3591" s="2">
        <v>-0.21</v>
      </c>
      <c r="D3591" s="2">
        <v>14.3599</v>
      </c>
      <c r="E3591" s="2" t="s">
        <v>299</v>
      </c>
    </row>
    <row r="3592" spans="1:5" ht="20.25" customHeight="1" x14ac:dyDescent="0.15">
      <c r="A3592" s="2" t="s">
        <v>4891</v>
      </c>
      <c r="B3592" s="2" t="s">
        <v>4892</v>
      </c>
      <c r="C3592" s="2">
        <v>-0.22</v>
      </c>
      <c r="D3592" s="2">
        <v>3.2965</v>
      </c>
      <c r="E3592" s="2" t="s">
        <v>498</v>
      </c>
    </row>
    <row r="3593" spans="1:5" ht="20.25" customHeight="1" x14ac:dyDescent="0.15">
      <c r="A3593" s="2" t="s">
        <v>6140</v>
      </c>
      <c r="B3593" s="2" t="s">
        <v>6141</v>
      </c>
      <c r="C3593" s="2">
        <v>-0.22</v>
      </c>
      <c r="D3593" s="2">
        <v>7.1398000000000001</v>
      </c>
      <c r="E3593" s="2" t="s">
        <v>982</v>
      </c>
    </row>
    <row r="3594" spans="1:5" ht="20.25" customHeight="1" x14ac:dyDescent="0.15">
      <c r="A3594" s="2" t="s">
        <v>7595</v>
      </c>
      <c r="B3594" s="2" t="s">
        <v>7596</v>
      </c>
      <c r="C3594" s="2">
        <v>-0.22</v>
      </c>
      <c r="D3594" s="2">
        <v>3.4396</v>
      </c>
      <c r="E3594" s="2" t="s">
        <v>371</v>
      </c>
    </row>
    <row r="3595" spans="1:5" ht="20.25" customHeight="1" x14ac:dyDescent="0.15">
      <c r="A3595" s="2" t="s">
        <v>7703</v>
      </c>
      <c r="B3595" s="2" t="s">
        <v>7704</v>
      </c>
      <c r="C3595" s="2">
        <v>-0.22</v>
      </c>
      <c r="D3595" s="2">
        <v>4.4676</v>
      </c>
      <c r="E3595" s="2" t="s">
        <v>10</v>
      </c>
    </row>
    <row r="3596" spans="1:5" ht="20.25" customHeight="1" x14ac:dyDescent="0.15">
      <c r="A3596" s="2" t="s">
        <v>8083</v>
      </c>
      <c r="B3596" s="2" t="s">
        <v>8084</v>
      </c>
      <c r="C3596" s="2">
        <v>-0.22</v>
      </c>
      <c r="D3596" s="2">
        <v>1.9939</v>
      </c>
      <c r="E3596" s="2" t="s">
        <v>1608</v>
      </c>
    </row>
    <row r="3597" spans="1:5" ht="20.25" customHeight="1" x14ac:dyDescent="0.15">
      <c r="A3597" s="2" t="s">
        <v>8171</v>
      </c>
      <c r="B3597" s="2" t="s">
        <v>8172</v>
      </c>
      <c r="C3597" s="2">
        <v>-0.22</v>
      </c>
      <c r="D3597" s="2">
        <v>1.6153</v>
      </c>
      <c r="E3597" s="2" t="s">
        <v>265</v>
      </c>
    </row>
    <row r="3598" spans="1:5" ht="20.25" customHeight="1" x14ac:dyDescent="0.15">
      <c r="A3598" s="2" t="s">
        <v>1893</v>
      </c>
      <c r="B3598" s="2" t="s">
        <v>1894</v>
      </c>
      <c r="C3598" s="2">
        <v>-0.23</v>
      </c>
      <c r="D3598" s="2">
        <v>591.52539999999999</v>
      </c>
      <c r="E3598" s="2" t="s">
        <v>614</v>
      </c>
    </row>
    <row r="3599" spans="1:5" ht="20.25" customHeight="1" x14ac:dyDescent="0.15">
      <c r="A3599" s="2" t="s">
        <v>4020</v>
      </c>
      <c r="B3599" s="2" t="s">
        <v>4021</v>
      </c>
      <c r="C3599" s="2">
        <v>-0.23</v>
      </c>
      <c r="D3599" s="2">
        <v>36.273800000000001</v>
      </c>
      <c r="E3599" s="2" t="s">
        <v>265</v>
      </c>
    </row>
    <row r="3600" spans="1:5" ht="20.25" customHeight="1" x14ac:dyDescent="0.15">
      <c r="A3600" s="2" t="s">
        <v>4364</v>
      </c>
      <c r="B3600" s="2" t="s">
        <v>4365</v>
      </c>
      <c r="C3600" s="2">
        <v>-0.23</v>
      </c>
      <c r="D3600" s="2">
        <v>4.3103999999999996</v>
      </c>
      <c r="E3600" s="2" t="s">
        <v>201</v>
      </c>
    </row>
    <row r="3601" spans="1:5" ht="20.25" customHeight="1" x14ac:dyDescent="0.15">
      <c r="A3601" s="2" t="s">
        <v>6488</v>
      </c>
      <c r="B3601" s="2" t="s">
        <v>6489</v>
      </c>
      <c r="C3601" s="2">
        <v>-0.23</v>
      </c>
      <c r="D3601" s="2">
        <v>6.1212</v>
      </c>
      <c r="E3601" s="2" t="s">
        <v>220</v>
      </c>
    </row>
    <row r="3602" spans="1:5" ht="20.25" customHeight="1" x14ac:dyDescent="0.15">
      <c r="A3602" s="2" t="s">
        <v>7557</v>
      </c>
      <c r="B3602" s="2" t="s">
        <v>7558</v>
      </c>
      <c r="C3602" s="2">
        <v>-0.23</v>
      </c>
      <c r="D3602" s="2">
        <v>15.001899999999999</v>
      </c>
      <c r="E3602" s="2" t="s">
        <v>409</v>
      </c>
    </row>
    <row r="3603" spans="1:5" ht="20.25" customHeight="1" x14ac:dyDescent="0.15">
      <c r="A3603" s="2" t="s">
        <v>1089</v>
      </c>
      <c r="B3603" s="2" t="s">
        <v>1090</v>
      </c>
      <c r="C3603" s="2">
        <v>-0.24</v>
      </c>
      <c r="D3603" s="2">
        <v>1.014</v>
      </c>
      <c r="E3603" s="2" t="s">
        <v>1091</v>
      </c>
    </row>
    <row r="3604" spans="1:5" ht="20.25" customHeight="1" x14ac:dyDescent="0.15">
      <c r="A3604" s="2" t="s">
        <v>7247</v>
      </c>
      <c r="B3604" s="2" t="s">
        <v>7248</v>
      </c>
      <c r="C3604" s="2">
        <v>-0.24</v>
      </c>
      <c r="D3604" s="2">
        <v>45.547600000000003</v>
      </c>
      <c r="E3604" s="2" t="s">
        <v>589</v>
      </c>
    </row>
    <row r="3605" spans="1:5" ht="20.25" customHeight="1" x14ac:dyDescent="0.15">
      <c r="A3605" s="2" t="s">
        <v>7565</v>
      </c>
      <c r="B3605" s="2" t="s">
        <v>7566</v>
      </c>
      <c r="C3605" s="2">
        <v>-0.24</v>
      </c>
      <c r="D3605" s="2">
        <v>4.0521000000000003</v>
      </c>
      <c r="E3605" s="2" t="s">
        <v>4939</v>
      </c>
    </row>
    <row r="3606" spans="1:5" ht="20.25" customHeight="1" x14ac:dyDescent="0.15">
      <c r="A3606" s="2" t="s">
        <v>7747</v>
      </c>
      <c r="B3606" s="2" t="s">
        <v>7748</v>
      </c>
      <c r="C3606" s="2">
        <v>-0.24</v>
      </c>
      <c r="D3606" s="2">
        <v>0.30590000000000001</v>
      </c>
      <c r="E3606" s="2" t="s">
        <v>123</v>
      </c>
    </row>
    <row r="3607" spans="1:5" ht="20.25" customHeight="1" x14ac:dyDescent="0.15">
      <c r="A3607" s="2" t="s">
        <v>7763</v>
      </c>
      <c r="B3607" s="2" t="s">
        <v>7764</v>
      </c>
      <c r="C3607" s="2">
        <v>-0.24</v>
      </c>
      <c r="D3607" s="2">
        <v>89.612700000000004</v>
      </c>
      <c r="E3607" s="2" t="s">
        <v>3130</v>
      </c>
    </row>
    <row r="3608" spans="1:5" ht="20.25" customHeight="1" x14ac:dyDescent="0.15">
      <c r="A3608" s="2" t="s">
        <v>5218</v>
      </c>
      <c r="B3608" s="2" t="s">
        <v>5219</v>
      </c>
      <c r="C3608" s="2">
        <v>-0.25</v>
      </c>
      <c r="D3608" s="2">
        <v>5.0003000000000002</v>
      </c>
      <c r="E3608" s="2" t="s">
        <v>299</v>
      </c>
    </row>
    <row r="3609" spans="1:5" ht="20.25" customHeight="1" x14ac:dyDescent="0.15">
      <c r="A3609" s="2" t="s">
        <v>5465</v>
      </c>
      <c r="B3609" s="2" t="s">
        <v>5466</v>
      </c>
      <c r="C3609" s="2">
        <v>-0.25</v>
      </c>
      <c r="D3609" s="2">
        <v>55.294899999999998</v>
      </c>
      <c r="E3609" s="2" t="s">
        <v>690</v>
      </c>
    </row>
    <row r="3610" spans="1:5" ht="20.25" customHeight="1" x14ac:dyDescent="0.15">
      <c r="A3610" s="2" t="s">
        <v>7925</v>
      </c>
      <c r="B3610" s="2" t="s">
        <v>7926</v>
      </c>
      <c r="C3610" s="2">
        <v>-0.25</v>
      </c>
      <c r="D3610" s="2">
        <v>38.479999999999997</v>
      </c>
      <c r="E3610" s="2" t="s">
        <v>228</v>
      </c>
    </row>
    <row r="3611" spans="1:5" ht="20.25" customHeight="1" x14ac:dyDescent="0.15">
      <c r="A3611" s="2" t="s">
        <v>5212</v>
      </c>
      <c r="B3611" s="2" t="s">
        <v>5213</v>
      </c>
      <c r="C3611" s="2">
        <v>-0.26</v>
      </c>
      <c r="D3611" s="2">
        <v>2.4609999999999999</v>
      </c>
      <c r="E3611" s="2" t="s">
        <v>1285</v>
      </c>
    </row>
    <row r="3612" spans="1:5" ht="20.25" customHeight="1" x14ac:dyDescent="0.15">
      <c r="A3612" s="2" t="s">
        <v>5844</v>
      </c>
      <c r="B3612" s="2" t="s">
        <v>5845</v>
      </c>
      <c r="C3612" s="2">
        <v>-0.26</v>
      </c>
      <c r="D3612" s="2">
        <v>0.84570000000000001</v>
      </c>
      <c r="E3612" s="2" t="s">
        <v>176</v>
      </c>
    </row>
    <row r="3613" spans="1:5" ht="20.25" customHeight="1" x14ac:dyDescent="0.15">
      <c r="A3613" s="2" t="s">
        <v>6558</v>
      </c>
      <c r="B3613" s="2" t="s">
        <v>6559</v>
      </c>
      <c r="C3613" s="2">
        <v>-0.26</v>
      </c>
      <c r="D3613" s="2">
        <v>8.1608999999999998</v>
      </c>
      <c r="E3613" s="2" t="s">
        <v>3053</v>
      </c>
    </row>
    <row r="3614" spans="1:5" ht="20.25" customHeight="1" x14ac:dyDescent="0.15">
      <c r="A3614" s="2" t="s">
        <v>7647</v>
      </c>
      <c r="B3614" s="2" t="s">
        <v>7648</v>
      </c>
      <c r="C3614" s="2">
        <v>-0.26</v>
      </c>
      <c r="D3614" s="2">
        <v>15.869</v>
      </c>
      <c r="E3614" s="2" t="s">
        <v>41</v>
      </c>
    </row>
    <row r="3615" spans="1:5" ht="20.25" customHeight="1" x14ac:dyDescent="0.15">
      <c r="A3615" s="2" t="s">
        <v>7879</v>
      </c>
      <c r="B3615" s="2" t="s">
        <v>7880</v>
      </c>
      <c r="C3615" s="2">
        <v>-0.26</v>
      </c>
      <c r="D3615" s="2">
        <v>21.420400000000001</v>
      </c>
      <c r="E3615" s="2" t="s">
        <v>1285</v>
      </c>
    </row>
    <row r="3616" spans="1:5" ht="20.25" customHeight="1" x14ac:dyDescent="0.15">
      <c r="A3616" s="2" t="s">
        <v>3419</v>
      </c>
      <c r="B3616" s="2" t="s">
        <v>3420</v>
      </c>
      <c r="C3616" s="2">
        <v>-0.27</v>
      </c>
      <c r="D3616" s="2">
        <v>5.8064999999999998</v>
      </c>
      <c r="E3616" s="2" t="s">
        <v>225</v>
      </c>
    </row>
    <row r="3617" spans="1:5" ht="20.25" customHeight="1" x14ac:dyDescent="0.15">
      <c r="A3617" s="2" t="s">
        <v>4006</v>
      </c>
      <c r="B3617" s="2" t="s">
        <v>4007</v>
      </c>
      <c r="C3617" s="2">
        <v>-0.27</v>
      </c>
      <c r="D3617" s="2">
        <v>7.3788</v>
      </c>
      <c r="E3617" s="2" t="s">
        <v>299</v>
      </c>
    </row>
    <row r="3618" spans="1:5" ht="20.25" customHeight="1" x14ac:dyDescent="0.15">
      <c r="A3618" s="2" t="s">
        <v>4536</v>
      </c>
      <c r="B3618" s="2" t="s">
        <v>4537</v>
      </c>
      <c r="C3618" s="2">
        <v>-0.27</v>
      </c>
      <c r="D3618" s="2">
        <v>42.951599999999999</v>
      </c>
      <c r="E3618" s="2" t="s">
        <v>471</v>
      </c>
    </row>
    <row r="3619" spans="1:5" ht="20.25" customHeight="1" x14ac:dyDescent="0.15">
      <c r="A3619" s="2" t="s">
        <v>6346</v>
      </c>
      <c r="B3619" s="2" t="s">
        <v>6347</v>
      </c>
      <c r="C3619" s="2">
        <v>-0.27</v>
      </c>
      <c r="D3619" s="2">
        <v>3.5169999999999999</v>
      </c>
      <c r="E3619" s="2" t="s">
        <v>220</v>
      </c>
    </row>
    <row r="3620" spans="1:5" ht="20.25" customHeight="1" x14ac:dyDescent="0.15">
      <c r="A3620" s="2" t="s">
        <v>3559</v>
      </c>
      <c r="B3620" s="2" t="s">
        <v>3560</v>
      </c>
      <c r="C3620" s="2">
        <v>-0.28000000000000003</v>
      </c>
      <c r="D3620" s="2">
        <v>5.9977</v>
      </c>
      <c r="E3620" s="2" t="s">
        <v>630</v>
      </c>
    </row>
    <row r="3621" spans="1:5" ht="20.25" customHeight="1" x14ac:dyDescent="0.15">
      <c r="A3621" s="2" t="s">
        <v>7843</v>
      </c>
      <c r="B3621" s="2" t="s">
        <v>7844</v>
      </c>
      <c r="C3621" s="2">
        <v>-0.28000000000000003</v>
      </c>
      <c r="D3621" s="2">
        <v>0.37019999999999997</v>
      </c>
      <c r="E3621" s="2" t="s">
        <v>220</v>
      </c>
    </row>
    <row r="3622" spans="1:5" ht="20.25" customHeight="1" x14ac:dyDescent="0.15">
      <c r="A3622" s="2" t="s">
        <v>4370</v>
      </c>
      <c r="B3622" s="2" t="s">
        <v>4371</v>
      </c>
      <c r="C3622" s="2">
        <v>-0.28999999999999998</v>
      </c>
      <c r="D3622" s="2">
        <v>15.1867</v>
      </c>
      <c r="E3622" s="2" t="s">
        <v>476</v>
      </c>
    </row>
    <row r="3623" spans="1:5" ht="20.25" customHeight="1" x14ac:dyDescent="0.15">
      <c r="A3623" s="2" t="s">
        <v>5645</v>
      </c>
      <c r="B3623" s="2" t="s">
        <v>5646</v>
      </c>
      <c r="C3623" s="2">
        <v>-0.28999999999999998</v>
      </c>
      <c r="D3623" s="2">
        <v>6.7766000000000002</v>
      </c>
      <c r="E3623" s="2" t="s">
        <v>2463</v>
      </c>
    </row>
    <row r="3624" spans="1:5" ht="20.25" customHeight="1" x14ac:dyDescent="0.15">
      <c r="A3624" s="2" t="s">
        <v>5840</v>
      </c>
      <c r="B3624" s="2" t="s">
        <v>5841</v>
      </c>
      <c r="C3624" s="2">
        <v>-0.28999999999999998</v>
      </c>
      <c r="D3624" s="2">
        <v>11.0936</v>
      </c>
      <c r="E3624" s="2" t="s">
        <v>44</v>
      </c>
    </row>
    <row r="3625" spans="1:5" ht="20.25" customHeight="1" x14ac:dyDescent="0.15">
      <c r="A3625" s="2" t="s">
        <v>6576</v>
      </c>
      <c r="B3625" s="2" t="s">
        <v>6577</v>
      </c>
      <c r="C3625" s="2">
        <v>-0.28999999999999998</v>
      </c>
      <c r="D3625" s="2">
        <v>4.3457999999999997</v>
      </c>
      <c r="E3625" s="2" t="s">
        <v>403</v>
      </c>
    </row>
    <row r="3626" spans="1:5" ht="20.25" customHeight="1" x14ac:dyDescent="0.15">
      <c r="A3626" s="2" t="s">
        <v>7289</v>
      </c>
      <c r="B3626" s="2" t="s">
        <v>7290</v>
      </c>
      <c r="C3626" s="2">
        <v>-0.28999999999999998</v>
      </c>
      <c r="D3626" s="2">
        <v>13.3543</v>
      </c>
      <c r="E3626" s="2" t="s">
        <v>1878</v>
      </c>
    </row>
    <row r="3627" spans="1:5" ht="20.25" customHeight="1" x14ac:dyDescent="0.15">
      <c r="A3627" s="2" t="s">
        <v>4996</v>
      </c>
      <c r="B3627" s="2" t="s">
        <v>4997</v>
      </c>
      <c r="C3627" s="2">
        <v>-0.3</v>
      </c>
      <c r="D3627" s="2">
        <v>1.2241</v>
      </c>
      <c r="E3627" s="2" t="s">
        <v>21</v>
      </c>
    </row>
    <row r="3628" spans="1:5" ht="20.25" customHeight="1" x14ac:dyDescent="0.15">
      <c r="A3628" s="2" t="s">
        <v>7541</v>
      </c>
      <c r="B3628" s="2" t="s">
        <v>7542</v>
      </c>
      <c r="C3628" s="2">
        <v>-0.3</v>
      </c>
      <c r="D3628" s="2">
        <v>0.84699999999999998</v>
      </c>
      <c r="E3628" s="2" t="s">
        <v>529</v>
      </c>
    </row>
    <row r="3629" spans="1:5" ht="20.25" customHeight="1" x14ac:dyDescent="0.15">
      <c r="A3629" s="2" t="s">
        <v>7921</v>
      </c>
      <c r="B3629" s="2" t="s">
        <v>7922</v>
      </c>
      <c r="C3629" s="2">
        <v>-0.3</v>
      </c>
      <c r="D3629" s="2">
        <v>28.553899999999999</v>
      </c>
      <c r="E3629" s="2" t="s">
        <v>220</v>
      </c>
    </row>
    <row r="3630" spans="1:5" ht="20.25" customHeight="1" x14ac:dyDescent="0.15">
      <c r="A3630" s="2" t="s">
        <v>8107</v>
      </c>
      <c r="B3630" s="2" t="s">
        <v>8108</v>
      </c>
      <c r="C3630" s="2">
        <v>-0.3</v>
      </c>
      <c r="D3630" s="2">
        <v>0.92620000000000002</v>
      </c>
      <c r="E3630" s="2" t="s">
        <v>257</v>
      </c>
    </row>
    <row r="3631" spans="1:5" ht="20.25" customHeight="1" x14ac:dyDescent="0.15">
      <c r="A3631" s="2" t="s">
        <v>8129</v>
      </c>
      <c r="B3631" s="2" t="s">
        <v>8130</v>
      </c>
      <c r="C3631" s="2">
        <v>-0.3</v>
      </c>
      <c r="D3631" s="2">
        <v>31.595300000000002</v>
      </c>
      <c r="E3631" s="2" t="s">
        <v>690</v>
      </c>
    </row>
    <row r="3632" spans="1:5" ht="20.25" customHeight="1" x14ac:dyDescent="0.15">
      <c r="A3632" s="2" t="s">
        <v>7217</v>
      </c>
      <c r="B3632" s="2" t="s">
        <v>7218</v>
      </c>
      <c r="C3632" s="2">
        <v>-0.30499999999999999</v>
      </c>
      <c r="D3632" s="2">
        <v>3.6032999999999999</v>
      </c>
      <c r="E3632" s="2" t="s">
        <v>657</v>
      </c>
    </row>
    <row r="3633" spans="1:5" ht="20.25" customHeight="1" x14ac:dyDescent="0.15">
      <c r="A3633" s="2" t="s">
        <v>7503</v>
      </c>
      <c r="B3633" s="2" t="s">
        <v>7504</v>
      </c>
      <c r="C3633" s="2">
        <v>-0.31</v>
      </c>
      <c r="D3633" s="2">
        <v>4.7384000000000004</v>
      </c>
      <c r="E3633" s="2" t="s">
        <v>483</v>
      </c>
    </row>
    <row r="3634" spans="1:5" ht="20.25" customHeight="1" x14ac:dyDescent="0.15">
      <c r="A3634" s="2" t="s">
        <v>3629</v>
      </c>
      <c r="B3634" s="2" t="s">
        <v>3630</v>
      </c>
      <c r="C3634" s="2">
        <v>-0.32</v>
      </c>
      <c r="D3634" s="2">
        <v>11.210800000000001</v>
      </c>
      <c r="E3634" s="2" t="s">
        <v>664</v>
      </c>
    </row>
    <row r="3635" spans="1:5" ht="20.25" customHeight="1" x14ac:dyDescent="0.15">
      <c r="A3635" s="2" t="s">
        <v>5752</v>
      </c>
      <c r="B3635" s="2" t="s">
        <v>5753</v>
      </c>
      <c r="C3635" s="2">
        <v>-0.33</v>
      </c>
      <c r="D3635" s="2">
        <v>9.5859000000000005</v>
      </c>
      <c r="E3635" s="2" t="s">
        <v>371</v>
      </c>
    </row>
    <row r="3636" spans="1:5" ht="20.25" customHeight="1" x14ac:dyDescent="0.15">
      <c r="A3636" s="2" t="s">
        <v>7901</v>
      </c>
      <c r="B3636" s="2" t="s">
        <v>7902</v>
      </c>
      <c r="C3636" s="2">
        <v>-0.33</v>
      </c>
      <c r="D3636" s="2">
        <v>9.7154000000000007</v>
      </c>
      <c r="E3636" s="2" t="s">
        <v>3971</v>
      </c>
    </row>
    <row r="3637" spans="1:5" ht="20.25" customHeight="1" x14ac:dyDescent="0.15">
      <c r="A3637" s="2" t="s">
        <v>440</v>
      </c>
      <c r="B3637" s="2" t="s">
        <v>441</v>
      </c>
      <c r="C3637" s="2">
        <v>-0.34</v>
      </c>
      <c r="D3637" s="2">
        <v>2.9289000000000001</v>
      </c>
      <c r="E3637" s="2" t="s">
        <v>217</v>
      </c>
    </row>
    <row r="3638" spans="1:5" ht="20.25" customHeight="1" x14ac:dyDescent="0.15">
      <c r="A3638" s="2" t="s">
        <v>4544</v>
      </c>
      <c r="B3638" s="2" t="s">
        <v>4545</v>
      </c>
      <c r="C3638" s="2">
        <v>-0.34</v>
      </c>
      <c r="D3638" s="2">
        <v>7.5621999999999998</v>
      </c>
      <c r="E3638" s="2" t="s">
        <v>123</v>
      </c>
    </row>
    <row r="3639" spans="1:5" ht="20.25" customHeight="1" x14ac:dyDescent="0.15">
      <c r="A3639" s="2" t="s">
        <v>7677</v>
      </c>
      <c r="B3639" s="2" t="s">
        <v>7678</v>
      </c>
      <c r="C3639" s="2">
        <v>-0.34</v>
      </c>
      <c r="D3639" s="2">
        <v>2.66</v>
      </c>
      <c r="E3639" s="2" t="s">
        <v>471</v>
      </c>
    </row>
    <row r="3640" spans="1:5" ht="20.25" customHeight="1" x14ac:dyDescent="0.15">
      <c r="A3640" s="2" t="s">
        <v>8237</v>
      </c>
      <c r="B3640" s="2" t="s">
        <v>8238</v>
      </c>
      <c r="C3640" s="2">
        <v>-0.34</v>
      </c>
      <c r="D3640" s="2">
        <v>22.550899999999999</v>
      </c>
      <c r="E3640" s="2" t="s">
        <v>690</v>
      </c>
    </row>
    <row r="3641" spans="1:5" ht="20.25" customHeight="1" x14ac:dyDescent="0.15">
      <c r="A3641" s="2" t="s">
        <v>2853</v>
      </c>
      <c r="B3641" s="2" t="s">
        <v>2854</v>
      </c>
      <c r="C3641" s="2">
        <v>-0.35</v>
      </c>
      <c r="D3641" s="2">
        <v>62.613799999999998</v>
      </c>
      <c r="E3641" s="2" t="s">
        <v>396</v>
      </c>
    </row>
    <row r="3642" spans="1:5" ht="20.25" customHeight="1" x14ac:dyDescent="0.15">
      <c r="A3642" s="2" t="s">
        <v>3176</v>
      </c>
      <c r="B3642" s="2" t="s">
        <v>3177</v>
      </c>
      <c r="C3642" s="2">
        <v>-0.35</v>
      </c>
      <c r="D3642" s="2">
        <v>22.319299999999998</v>
      </c>
      <c r="E3642" s="2" t="s">
        <v>265</v>
      </c>
    </row>
    <row r="3643" spans="1:5" ht="20.25" customHeight="1" x14ac:dyDescent="0.15">
      <c r="A3643" s="2" t="s">
        <v>4859</v>
      </c>
      <c r="B3643" s="2" t="s">
        <v>4860</v>
      </c>
      <c r="C3643" s="2">
        <v>-0.35</v>
      </c>
      <c r="D3643" s="2">
        <v>32.7483</v>
      </c>
      <c r="E3643" s="2" t="s">
        <v>713</v>
      </c>
    </row>
    <row r="3644" spans="1:5" ht="20.25" customHeight="1" x14ac:dyDescent="0.15">
      <c r="A3644" s="2" t="s">
        <v>5084</v>
      </c>
      <c r="B3644" s="2" t="s">
        <v>5085</v>
      </c>
      <c r="C3644" s="2">
        <v>-0.35</v>
      </c>
      <c r="D3644" s="2">
        <v>81.574200000000005</v>
      </c>
      <c r="E3644" s="2" t="s">
        <v>137</v>
      </c>
    </row>
    <row r="3645" spans="1:5" ht="20.25" customHeight="1" x14ac:dyDescent="0.15">
      <c r="A3645" s="2" t="s">
        <v>6560</v>
      </c>
      <c r="B3645" s="2" t="s">
        <v>6561</v>
      </c>
      <c r="C3645" s="2">
        <v>-0.35</v>
      </c>
      <c r="D3645" s="2">
        <v>1.4352</v>
      </c>
      <c r="E3645" s="2" t="s">
        <v>3053</v>
      </c>
    </row>
    <row r="3646" spans="1:5" ht="20.25" customHeight="1" x14ac:dyDescent="0.15">
      <c r="A3646" s="2" t="s">
        <v>6584</v>
      </c>
      <c r="B3646" s="2" t="s">
        <v>6585</v>
      </c>
      <c r="C3646" s="2">
        <v>-0.35</v>
      </c>
      <c r="D3646" s="2">
        <v>131.06870000000001</v>
      </c>
      <c r="E3646" s="2" t="s">
        <v>633</v>
      </c>
    </row>
    <row r="3647" spans="1:5" ht="20.25" customHeight="1" x14ac:dyDescent="0.15">
      <c r="A3647" s="2" t="s">
        <v>7293</v>
      </c>
      <c r="B3647" s="2" t="s">
        <v>7294</v>
      </c>
      <c r="C3647" s="2">
        <v>-0.35</v>
      </c>
      <c r="D3647" s="2">
        <v>3.6446000000000001</v>
      </c>
      <c r="E3647" s="2" t="s">
        <v>704</v>
      </c>
    </row>
    <row r="3648" spans="1:5" ht="20.25" customHeight="1" x14ac:dyDescent="0.15">
      <c r="A3648" s="2" t="s">
        <v>7645</v>
      </c>
      <c r="B3648" s="2" t="s">
        <v>7646</v>
      </c>
      <c r="C3648" s="2">
        <v>-0.35</v>
      </c>
      <c r="D3648" s="2">
        <v>6.4595000000000002</v>
      </c>
      <c r="E3648" s="2" t="s">
        <v>862</v>
      </c>
    </row>
    <row r="3649" spans="1:5" ht="20.25" customHeight="1" x14ac:dyDescent="0.15">
      <c r="A3649" s="2" t="s">
        <v>1062</v>
      </c>
      <c r="B3649" s="2" t="s">
        <v>1063</v>
      </c>
      <c r="C3649" s="2">
        <v>-0.36</v>
      </c>
      <c r="D3649" s="2">
        <v>1.1771</v>
      </c>
      <c r="E3649" s="2" t="s">
        <v>281</v>
      </c>
    </row>
    <row r="3650" spans="1:5" ht="20.25" customHeight="1" x14ac:dyDescent="0.15">
      <c r="A3650" s="2" t="s">
        <v>4208</v>
      </c>
      <c r="B3650" s="2" t="s">
        <v>4209</v>
      </c>
      <c r="C3650" s="2">
        <v>-0.36</v>
      </c>
      <c r="D3650" s="2">
        <v>182.20750000000001</v>
      </c>
      <c r="E3650" s="2" t="s">
        <v>260</v>
      </c>
    </row>
    <row r="3651" spans="1:5" ht="20.25" customHeight="1" x14ac:dyDescent="0.15">
      <c r="A3651" s="2" t="s">
        <v>7165</v>
      </c>
      <c r="B3651" s="2" t="s">
        <v>7166</v>
      </c>
      <c r="C3651" s="2">
        <v>-0.36</v>
      </c>
      <c r="D3651" s="2">
        <v>9.9568999999999992</v>
      </c>
      <c r="E3651" s="2" t="s">
        <v>89</v>
      </c>
    </row>
    <row r="3652" spans="1:5" ht="20.25" customHeight="1" x14ac:dyDescent="0.15">
      <c r="A3652" s="2" t="s">
        <v>8235</v>
      </c>
      <c r="B3652" s="2" t="s">
        <v>8236</v>
      </c>
      <c r="C3652" s="2">
        <v>-0.36</v>
      </c>
      <c r="D3652" s="2">
        <v>9.0416000000000007</v>
      </c>
      <c r="E3652" s="2" t="s">
        <v>271</v>
      </c>
    </row>
    <row r="3653" spans="1:5" ht="20.25" customHeight="1" x14ac:dyDescent="0.15">
      <c r="A3653" s="2" t="s">
        <v>5507</v>
      </c>
      <c r="B3653" s="2" t="s">
        <v>5508</v>
      </c>
      <c r="C3653" s="2">
        <v>-0.38</v>
      </c>
      <c r="D3653" s="2">
        <v>2.8643000000000001</v>
      </c>
      <c r="E3653" s="2" t="s">
        <v>344</v>
      </c>
    </row>
    <row r="3654" spans="1:5" ht="20.25" customHeight="1" x14ac:dyDescent="0.15">
      <c r="A3654" s="2" t="s">
        <v>6672</v>
      </c>
      <c r="B3654" s="2" t="s">
        <v>6673</v>
      </c>
      <c r="C3654" s="2">
        <v>-0.38</v>
      </c>
      <c r="D3654" s="2">
        <v>1.6741999999999999</v>
      </c>
      <c r="E3654" s="2" t="s">
        <v>368</v>
      </c>
    </row>
    <row r="3655" spans="1:5" ht="20.25" customHeight="1" x14ac:dyDescent="0.15">
      <c r="A3655" s="2" t="s">
        <v>6394</v>
      </c>
      <c r="B3655" s="2" t="s">
        <v>6395</v>
      </c>
      <c r="C3655" s="2">
        <v>-0.38500000000000001</v>
      </c>
      <c r="D3655" s="2">
        <v>16.993400000000001</v>
      </c>
      <c r="E3655" s="2" t="s">
        <v>299</v>
      </c>
    </row>
    <row r="3656" spans="1:5" ht="20.25" customHeight="1" x14ac:dyDescent="0.15">
      <c r="A3656" s="2" t="s">
        <v>720</v>
      </c>
      <c r="B3656" s="2" t="s">
        <v>721</v>
      </c>
      <c r="C3656" s="2">
        <v>-0.39</v>
      </c>
      <c r="D3656" s="2">
        <v>12.881600000000001</v>
      </c>
      <c r="E3656" s="2" t="s">
        <v>245</v>
      </c>
    </row>
    <row r="3657" spans="1:5" ht="20.25" customHeight="1" x14ac:dyDescent="0.15">
      <c r="A3657" s="2" t="s">
        <v>2310</v>
      </c>
      <c r="B3657" s="2" t="s">
        <v>2311</v>
      </c>
      <c r="C3657" s="2">
        <v>-0.39</v>
      </c>
      <c r="D3657" s="2">
        <v>3.5722</v>
      </c>
      <c r="E3657" s="2" t="s">
        <v>149</v>
      </c>
    </row>
    <row r="3658" spans="1:5" ht="20.25" customHeight="1" x14ac:dyDescent="0.15">
      <c r="A3658" s="2" t="s">
        <v>3334</v>
      </c>
      <c r="B3658" s="2" t="s">
        <v>3335</v>
      </c>
      <c r="C3658" s="2">
        <v>-0.39</v>
      </c>
      <c r="D3658" s="2">
        <v>41.8324</v>
      </c>
      <c r="E3658" s="2" t="s">
        <v>35</v>
      </c>
    </row>
    <row r="3659" spans="1:5" ht="20.25" customHeight="1" x14ac:dyDescent="0.15">
      <c r="A3659" s="2" t="s">
        <v>4120</v>
      </c>
      <c r="B3659" s="2" t="s">
        <v>4121</v>
      </c>
      <c r="C3659" s="2">
        <v>-0.39</v>
      </c>
      <c r="D3659" s="2">
        <v>0.9667</v>
      </c>
      <c r="E3659" s="2" t="s">
        <v>4122</v>
      </c>
    </row>
    <row r="3660" spans="1:5" ht="20.25" customHeight="1" x14ac:dyDescent="0.15">
      <c r="A3660" s="2" t="s">
        <v>6526</v>
      </c>
      <c r="B3660" s="2" t="s">
        <v>6527</v>
      </c>
      <c r="C3660" s="2">
        <v>-0.39</v>
      </c>
      <c r="D3660" s="2">
        <v>43.765300000000003</v>
      </c>
      <c r="E3660" s="2" t="s">
        <v>220</v>
      </c>
    </row>
    <row r="3661" spans="1:5" ht="20.25" customHeight="1" x14ac:dyDescent="0.15">
      <c r="A3661" s="2" t="s">
        <v>7795</v>
      </c>
      <c r="B3661" s="2" t="s">
        <v>7796</v>
      </c>
      <c r="C3661" s="2">
        <v>-0.39</v>
      </c>
      <c r="D3661" s="2">
        <v>101.7439</v>
      </c>
      <c r="E3661" s="2" t="s">
        <v>630</v>
      </c>
    </row>
    <row r="3662" spans="1:5" ht="20.25" customHeight="1" x14ac:dyDescent="0.15">
      <c r="A3662" s="2" t="s">
        <v>1843</v>
      </c>
      <c r="B3662" s="2" t="s">
        <v>1844</v>
      </c>
      <c r="C3662" s="2">
        <v>-0.4</v>
      </c>
      <c r="D3662" s="2">
        <v>2.9422999999999999</v>
      </c>
      <c r="E3662" s="2" t="s">
        <v>220</v>
      </c>
    </row>
    <row r="3663" spans="1:5" ht="20.25" customHeight="1" x14ac:dyDescent="0.15">
      <c r="A3663" s="2" t="s">
        <v>2636</v>
      </c>
      <c r="B3663" s="2" t="s">
        <v>2637</v>
      </c>
      <c r="C3663" s="2">
        <v>-0.4</v>
      </c>
      <c r="D3663" s="2">
        <v>365.8177</v>
      </c>
      <c r="E3663" s="2" t="s">
        <v>193</v>
      </c>
    </row>
    <row r="3664" spans="1:5" ht="20.25" customHeight="1" x14ac:dyDescent="0.15">
      <c r="A3664" s="2" t="s">
        <v>2837</v>
      </c>
      <c r="B3664" s="2" t="s">
        <v>2838</v>
      </c>
      <c r="C3664" s="2">
        <v>-0.4</v>
      </c>
      <c r="D3664" s="2">
        <v>4.2717999999999998</v>
      </c>
      <c r="E3664" s="2" t="s">
        <v>217</v>
      </c>
    </row>
    <row r="3665" spans="1:5" ht="20.25" customHeight="1" x14ac:dyDescent="0.15">
      <c r="A3665" s="2" t="s">
        <v>5132</v>
      </c>
      <c r="B3665" s="2" t="s">
        <v>5133</v>
      </c>
      <c r="C3665" s="2">
        <v>-0.4</v>
      </c>
      <c r="D3665" s="2">
        <v>2.1472000000000002</v>
      </c>
      <c r="E3665" s="2" t="s">
        <v>344</v>
      </c>
    </row>
    <row r="3666" spans="1:5" ht="20.25" customHeight="1" x14ac:dyDescent="0.15">
      <c r="A3666" s="2" t="s">
        <v>7691</v>
      </c>
      <c r="B3666" s="2" t="s">
        <v>7692</v>
      </c>
      <c r="C3666" s="2">
        <v>-0.4</v>
      </c>
      <c r="D3666" s="2">
        <v>133.3415</v>
      </c>
      <c r="E3666" s="2" t="s">
        <v>260</v>
      </c>
    </row>
    <row r="3667" spans="1:5" ht="20.25" customHeight="1" x14ac:dyDescent="0.15">
      <c r="A3667" s="2" t="s">
        <v>2658</v>
      </c>
      <c r="B3667" s="2" t="s">
        <v>2659</v>
      </c>
      <c r="C3667" s="2">
        <v>-0.41</v>
      </c>
      <c r="D3667" s="2">
        <v>2.3405</v>
      </c>
      <c r="E3667" s="2" t="s">
        <v>260</v>
      </c>
    </row>
    <row r="3668" spans="1:5" ht="20.25" customHeight="1" x14ac:dyDescent="0.15">
      <c r="A3668" s="2" t="s">
        <v>4638</v>
      </c>
      <c r="B3668" s="2" t="s">
        <v>4639</v>
      </c>
      <c r="C3668" s="2">
        <v>-0.41</v>
      </c>
      <c r="D3668" s="2">
        <v>96.561700000000002</v>
      </c>
      <c r="E3668" s="2" t="s">
        <v>260</v>
      </c>
    </row>
    <row r="3669" spans="1:5" ht="20.25" customHeight="1" x14ac:dyDescent="0.15">
      <c r="A3669" s="2" t="s">
        <v>7127</v>
      </c>
      <c r="B3669" s="2" t="s">
        <v>7128</v>
      </c>
      <c r="C3669" s="2">
        <v>-0.41</v>
      </c>
      <c r="D3669" s="2">
        <v>11.859400000000001</v>
      </c>
      <c r="E3669" s="2" t="s">
        <v>44</v>
      </c>
    </row>
    <row r="3670" spans="1:5" ht="20.25" customHeight="1" x14ac:dyDescent="0.15">
      <c r="A3670" s="2" t="s">
        <v>7847</v>
      </c>
      <c r="B3670" s="2" t="s">
        <v>7848</v>
      </c>
      <c r="C3670" s="2">
        <v>-0.41</v>
      </c>
      <c r="D3670" s="2">
        <v>13.367900000000001</v>
      </c>
      <c r="E3670" s="2" t="s">
        <v>1091</v>
      </c>
    </row>
    <row r="3671" spans="1:5" ht="20.25" customHeight="1" x14ac:dyDescent="0.15">
      <c r="A3671" s="2" t="s">
        <v>4038</v>
      </c>
      <c r="B3671" s="2" t="s">
        <v>4039</v>
      </c>
      <c r="C3671" s="2">
        <v>-0.42</v>
      </c>
      <c r="D3671" s="2">
        <v>27.3157</v>
      </c>
      <c r="E3671" s="2" t="s">
        <v>647</v>
      </c>
    </row>
    <row r="3672" spans="1:5" ht="20.25" customHeight="1" x14ac:dyDescent="0.15">
      <c r="A3672" s="2" t="s">
        <v>4648</v>
      </c>
      <c r="B3672" s="2" t="s">
        <v>4649</v>
      </c>
      <c r="C3672" s="2">
        <v>-0.42</v>
      </c>
      <c r="D3672" s="2">
        <v>33.535499999999999</v>
      </c>
      <c r="E3672" s="2" t="s">
        <v>371</v>
      </c>
    </row>
    <row r="3673" spans="1:5" ht="20.25" customHeight="1" x14ac:dyDescent="0.15">
      <c r="A3673" s="2" t="s">
        <v>5856</v>
      </c>
      <c r="B3673" s="2" t="s">
        <v>5857</v>
      </c>
      <c r="C3673" s="2">
        <v>-0.42</v>
      </c>
      <c r="D3673" s="2">
        <v>12.4496</v>
      </c>
      <c r="E3673" s="2" t="s">
        <v>220</v>
      </c>
    </row>
    <row r="3674" spans="1:5" ht="20.25" customHeight="1" x14ac:dyDescent="0.15">
      <c r="A3674" s="2" t="s">
        <v>6004</v>
      </c>
      <c r="B3674" s="2" t="s">
        <v>6005</v>
      </c>
      <c r="C3674" s="2">
        <v>-0.42</v>
      </c>
      <c r="D3674" s="2">
        <v>5.4390999999999998</v>
      </c>
      <c r="E3674" s="2" t="s">
        <v>982</v>
      </c>
    </row>
    <row r="3675" spans="1:5" ht="20.25" customHeight="1" x14ac:dyDescent="0.15">
      <c r="A3675" s="2" t="s">
        <v>6504</v>
      </c>
      <c r="B3675" s="2" t="s">
        <v>6505</v>
      </c>
      <c r="C3675" s="2">
        <v>-0.42</v>
      </c>
      <c r="D3675" s="2">
        <v>21.123999999999999</v>
      </c>
      <c r="E3675" s="2" t="s">
        <v>3760</v>
      </c>
    </row>
    <row r="3676" spans="1:5" ht="20.25" customHeight="1" x14ac:dyDescent="0.15">
      <c r="A3676" s="2" t="s">
        <v>1083</v>
      </c>
      <c r="B3676" s="2" t="s">
        <v>1084</v>
      </c>
      <c r="C3676" s="2">
        <v>-0.43</v>
      </c>
      <c r="D3676" s="2">
        <v>2.1934999999999998</v>
      </c>
      <c r="E3676" s="2" t="s">
        <v>49</v>
      </c>
    </row>
    <row r="3677" spans="1:5" ht="20.25" customHeight="1" x14ac:dyDescent="0.15">
      <c r="A3677" s="2" t="s">
        <v>1513</v>
      </c>
      <c r="B3677" s="2" t="s">
        <v>1514</v>
      </c>
      <c r="C3677" s="2">
        <v>-0.43</v>
      </c>
      <c r="D3677" s="2">
        <v>4.6589999999999998</v>
      </c>
      <c r="E3677" s="2" t="s">
        <v>1515</v>
      </c>
    </row>
    <row r="3678" spans="1:5" ht="20.25" customHeight="1" x14ac:dyDescent="0.15">
      <c r="A3678" s="2" t="s">
        <v>5585</v>
      </c>
      <c r="B3678" s="2" t="s">
        <v>5586</v>
      </c>
      <c r="C3678" s="2">
        <v>-0.43</v>
      </c>
      <c r="D3678" s="2">
        <v>7.4017999999999997</v>
      </c>
      <c r="E3678" s="2" t="s">
        <v>344</v>
      </c>
    </row>
    <row r="3679" spans="1:5" ht="20.25" customHeight="1" x14ac:dyDescent="0.15">
      <c r="A3679" s="2" t="s">
        <v>6084</v>
      </c>
      <c r="B3679" s="2" t="s">
        <v>6085</v>
      </c>
      <c r="C3679" s="2">
        <v>-0.43</v>
      </c>
      <c r="D3679" s="2">
        <v>9.6762999999999995</v>
      </c>
      <c r="E3679" s="2" t="s">
        <v>299</v>
      </c>
    </row>
    <row r="3680" spans="1:5" ht="20.25" customHeight="1" x14ac:dyDescent="0.15">
      <c r="A3680" s="2" t="s">
        <v>6638</v>
      </c>
      <c r="B3680" s="2" t="s">
        <v>6639</v>
      </c>
      <c r="C3680" s="2">
        <v>-0.43</v>
      </c>
      <c r="D3680" s="2">
        <v>26.136900000000001</v>
      </c>
      <c r="E3680" s="2" t="s">
        <v>2678</v>
      </c>
    </row>
    <row r="3681" spans="1:5" ht="20.25" customHeight="1" x14ac:dyDescent="0.15">
      <c r="A3681" s="2" t="s">
        <v>8035</v>
      </c>
      <c r="B3681" s="2" t="s">
        <v>8036</v>
      </c>
      <c r="C3681" s="2">
        <v>-0.43</v>
      </c>
      <c r="D3681" s="2">
        <v>19.974299999999999</v>
      </c>
      <c r="E3681" s="2" t="s">
        <v>724</v>
      </c>
    </row>
    <row r="3682" spans="1:5" ht="20.25" customHeight="1" x14ac:dyDescent="0.15">
      <c r="A3682" s="2" t="s">
        <v>4156</v>
      </c>
      <c r="B3682" s="2" t="s">
        <v>4157</v>
      </c>
      <c r="C3682" s="2">
        <v>-0.44</v>
      </c>
      <c r="D3682" s="2">
        <v>3.835</v>
      </c>
      <c r="E3682" s="2" t="s">
        <v>60</v>
      </c>
    </row>
    <row r="3683" spans="1:5" ht="20.25" customHeight="1" x14ac:dyDescent="0.15">
      <c r="A3683" s="2" t="s">
        <v>4698</v>
      </c>
      <c r="B3683" s="2" t="s">
        <v>4699</v>
      </c>
      <c r="C3683" s="2">
        <v>-0.44</v>
      </c>
      <c r="D3683" s="2">
        <v>17.059899999999999</v>
      </c>
      <c r="E3683" s="2" t="s">
        <v>44</v>
      </c>
    </row>
    <row r="3684" spans="1:5" ht="20.25" customHeight="1" x14ac:dyDescent="0.15">
      <c r="A3684" s="2" t="s">
        <v>6785</v>
      </c>
      <c r="B3684" s="2" t="s">
        <v>6786</v>
      </c>
      <c r="C3684" s="2">
        <v>-0.44</v>
      </c>
      <c r="D3684" s="2">
        <v>92.618200000000002</v>
      </c>
      <c r="E3684" s="2" t="s">
        <v>149</v>
      </c>
    </row>
    <row r="3685" spans="1:5" ht="20.25" customHeight="1" x14ac:dyDescent="0.15">
      <c r="A3685" s="2" t="s">
        <v>7471</v>
      </c>
      <c r="B3685" s="2" t="s">
        <v>7472</v>
      </c>
      <c r="C3685" s="2">
        <v>-0.44</v>
      </c>
      <c r="D3685" s="2">
        <v>3.6436000000000002</v>
      </c>
      <c r="E3685" s="2" t="s">
        <v>35</v>
      </c>
    </row>
    <row r="3686" spans="1:5" ht="20.25" customHeight="1" x14ac:dyDescent="0.15">
      <c r="A3686" s="2" t="s">
        <v>7837</v>
      </c>
      <c r="B3686" s="2" t="s">
        <v>7838</v>
      </c>
      <c r="C3686" s="2">
        <v>-0.44</v>
      </c>
      <c r="D3686" s="2">
        <v>1.5025999999999999</v>
      </c>
      <c r="E3686" s="2" t="s">
        <v>3102</v>
      </c>
    </row>
    <row r="3687" spans="1:5" ht="20.25" customHeight="1" x14ac:dyDescent="0.15">
      <c r="A3687" s="2" t="s">
        <v>1349</v>
      </c>
      <c r="B3687" s="2" t="s">
        <v>1350</v>
      </c>
      <c r="C3687" s="2">
        <v>-0.45</v>
      </c>
      <c r="D3687" s="2">
        <v>0.95430000000000004</v>
      </c>
      <c r="E3687" s="2" t="s">
        <v>385</v>
      </c>
    </row>
    <row r="3688" spans="1:5" ht="20.25" customHeight="1" x14ac:dyDescent="0.15">
      <c r="A3688" s="2" t="s">
        <v>4476</v>
      </c>
      <c r="B3688" s="2" t="s">
        <v>4477</v>
      </c>
      <c r="C3688" s="2">
        <v>-0.45</v>
      </c>
      <c r="D3688" s="2">
        <v>5.2766000000000002</v>
      </c>
      <c r="E3688" s="2" t="s">
        <v>265</v>
      </c>
    </row>
    <row r="3689" spans="1:5" ht="20.25" customHeight="1" x14ac:dyDescent="0.15">
      <c r="A3689" s="2" t="s">
        <v>7607</v>
      </c>
      <c r="B3689" s="2" t="s">
        <v>7608</v>
      </c>
      <c r="C3689" s="2">
        <v>-0.45</v>
      </c>
      <c r="D3689" s="2">
        <v>598512.74679999996</v>
      </c>
      <c r="E3689" s="2" t="s">
        <v>1820</v>
      </c>
    </row>
    <row r="3690" spans="1:5" ht="20.25" customHeight="1" x14ac:dyDescent="0.15">
      <c r="A3690" s="2" t="s">
        <v>2997</v>
      </c>
      <c r="B3690" s="2" t="s">
        <v>2998</v>
      </c>
      <c r="C3690" s="2">
        <v>-0.46</v>
      </c>
      <c r="D3690" s="2">
        <v>4.3122999999999996</v>
      </c>
      <c r="E3690" s="2" t="s">
        <v>44</v>
      </c>
    </row>
    <row r="3691" spans="1:5" ht="20.25" customHeight="1" x14ac:dyDescent="0.15">
      <c r="A3691" s="2" t="s">
        <v>4110</v>
      </c>
      <c r="B3691" s="2" t="s">
        <v>4111</v>
      </c>
      <c r="C3691" s="2">
        <v>-0.46</v>
      </c>
      <c r="D3691" s="2">
        <v>18.8689</v>
      </c>
      <c r="E3691" s="2" t="s">
        <v>35</v>
      </c>
    </row>
    <row r="3692" spans="1:5" ht="20.25" customHeight="1" x14ac:dyDescent="0.15">
      <c r="A3692" s="2" t="s">
        <v>7213</v>
      </c>
      <c r="B3692" s="2" t="s">
        <v>7214</v>
      </c>
      <c r="C3692" s="2">
        <v>-0.46</v>
      </c>
      <c r="D3692" s="2">
        <v>40.391399999999997</v>
      </c>
      <c r="E3692" s="2" t="s">
        <v>1061</v>
      </c>
    </row>
    <row r="3693" spans="1:5" ht="20.25" customHeight="1" x14ac:dyDescent="0.15">
      <c r="A3693" s="2" t="s">
        <v>8095</v>
      </c>
      <c r="B3693" s="2" t="s">
        <v>8096</v>
      </c>
      <c r="C3693" s="2">
        <v>-0.46</v>
      </c>
      <c r="D3693" s="2">
        <v>6.085</v>
      </c>
      <c r="E3693" s="2" t="s">
        <v>371</v>
      </c>
    </row>
    <row r="3694" spans="1:5" ht="20.25" customHeight="1" x14ac:dyDescent="0.15">
      <c r="A3694" s="2" t="s">
        <v>5166</v>
      </c>
      <c r="B3694" s="2" t="s">
        <v>5167</v>
      </c>
      <c r="C3694" s="2">
        <v>-0.47</v>
      </c>
      <c r="D3694" s="2">
        <v>38.038400000000003</v>
      </c>
      <c r="E3694" s="2" t="s">
        <v>68</v>
      </c>
    </row>
    <row r="3695" spans="1:5" ht="20.25" customHeight="1" x14ac:dyDescent="0.15">
      <c r="A3695" s="2" t="s">
        <v>7629</v>
      </c>
      <c r="B3695" s="2" t="s">
        <v>7630</v>
      </c>
      <c r="C3695" s="2">
        <v>-0.47</v>
      </c>
      <c r="D3695" s="2">
        <v>19.6221</v>
      </c>
      <c r="E3695" s="2" t="s">
        <v>1034</v>
      </c>
    </row>
    <row r="3696" spans="1:5" ht="20.25" customHeight="1" x14ac:dyDescent="0.15">
      <c r="A3696" s="2" t="s">
        <v>7851</v>
      </c>
      <c r="B3696" s="2" t="s">
        <v>7852</v>
      </c>
      <c r="C3696" s="2">
        <v>-0.47</v>
      </c>
      <c r="D3696" s="2">
        <v>22.101900000000001</v>
      </c>
      <c r="E3696" s="2" t="s">
        <v>65</v>
      </c>
    </row>
    <row r="3697" spans="1:5" ht="20.25" customHeight="1" x14ac:dyDescent="0.15">
      <c r="A3697" s="2" t="s">
        <v>7139</v>
      </c>
      <c r="B3697" s="2" t="s">
        <v>7140</v>
      </c>
      <c r="C3697" s="2">
        <v>-0.47499999999999998</v>
      </c>
      <c r="D3697" s="2">
        <v>4.9985999999999997</v>
      </c>
      <c r="E3697" s="2" t="s">
        <v>86</v>
      </c>
    </row>
    <row r="3698" spans="1:5" ht="20.25" customHeight="1" x14ac:dyDescent="0.15">
      <c r="A3698" s="2" t="s">
        <v>6452</v>
      </c>
      <c r="B3698" s="2" t="s">
        <v>6453</v>
      </c>
      <c r="C3698" s="2">
        <v>-0.48</v>
      </c>
      <c r="D3698" s="2">
        <v>83.632400000000004</v>
      </c>
      <c r="E3698" s="2" t="s">
        <v>299</v>
      </c>
    </row>
    <row r="3699" spans="1:5" ht="20.25" customHeight="1" x14ac:dyDescent="0.15">
      <c r="A3699" s="2" t="s">
        <v>7123</v>
      </c>
      <c r="B3699" s="2" t="s">
        <v>7124</v>
      </c>
      <c r="C3699" s="2">
        <v>-0.48</v>
      </c>
      <c r="D3699" s="2">
        <v>3.9121999999999999</v>
      </c>
      <c r="E3699" s="2" t="s">
        <v>1145</v>
      </c>
    </row>
    <row r="3700" spans="1:5" ht="20.25" customHeight="1" x14ac:dyDescent="0.15">
      <c r="A3700" s="2" t="s">
        <v>8085</v>
      </c>
      <c r="B3700" s="2" t="s">
        <v>8086</v>
      </c>
      <c r="C3700" s="2">
        <v>-0.48</v>
      </c>
      <c r="D3700" s="2">
        <v>1.2002999999999999</v>
      </c>
      <c r="E3700" s="2" t="s">
        <v>769</v>
      </c>
    </row>
    <row r="3701" spans="1:5" ht="20.25" customHeight="1" x14ac:dyDescent="0.15">
      <c r="A3701" s="2" t="s">
        <v>7033</v>
      </c>
      <c r="B3701" s="2" t="s">
        <v>7034</v>
      </c>
      <c r="C3701" s="2">
        <v>-0.49</v>
      </c>
      <c r="D3701" s="2">
        <v>3.2381000000000002</v>
      </c>
      <c r="E3701" s="2" t="s">
        <v>704</v>
      </c>
    </row>
    <row r="3702" spans="1:5" ht="20.25" customHeight="1" x14ac:dyDescent="0.15">
      <c r="A3702" s="2" t="s">
        <v>3503</v>
      </c>
      <c r="B3702" s="2" t="s">
        <v>3504</v>
      </c>
      <c r="C3702" s="2">
        <v>-0.5</v>
      </c>
      <c r="D3702" s="2">
        <v>20.403199999999998</v>
      </c>
      <c r="E3702" s="2" t="s">
        <v>677</v>
      </c>
    </row>
    <row r="3703" spans="1:5" ht="20.25" customHeight="1" x14ac:dyDescent="0.15">
      <c r="A3703" s="2" t="s">
        <v>4745</v>
      </c>
      <c r="B3703" s="2" t="s">
        <v>4746</v>
      </c>
      <c r="C3703" s="2">
        <v>-0.5</v>
      </c>
      <c r="D3703" s="2">
        <v>6.1520000000000001</v>
      </c>
      <c r="E3703" s="2" t="s">
        <v>371</v>
      </c>
    </row>
    <row r="3704" spans="1:5" ht="20.25" customHeight="1" x14ac:dyDescent="0.15">
      <c r="A3704" s="2" t="s">
        <v>6012</v>
      </c>
      <c r="B3704" s="2" t="s">
        <v>6013</v>
      </c>
      <c r="C3704" s="2">
        <v>-0.5</v>
      </c>
      <c r="D3704" s="2">
        <v>14.075799999999999</v>
      </c>
      <c r="E3704" s="2" t="s">
        <v>225</v>
      </c>
    </row>
    <row r="3705" spans="1:5" ht="20.25" customHeight="1" x14ac:dyDescent="0.15">
      <c r="A3705" s="2" t="s">
        <v>6186</v>
      </c>
      <c r="B3705" s="2" t="s">
        <v>6187</v>
      </c>
      <c r="C3705" s="2">
        <v>-0.5</v>
      </c>
      <c r="D3705" s="2">
        <v>20.858599999999999</v>
      </c>
      <c r="E3705" s="2" t="s">
        <v>633</v>
      </c>
    </row>
    <row r="3706" spans="1:5" ht="20.25" customHeight="1" x14ac:dyDescent="0.15">
      <c r="A3706" s="2" t="s">
        <v>6408</v>
      </c>
      <c r="B3706" s="2" t="s">
        <v>6409</v>
      </c>
      <c r="C3706" s="2">
        <v>-0.5</v>
      </c>
      <c r="D3706" s="2">
        <v>1.7289000000000001</v>
      </c>
      <c r="E3706" s="2" t="s">
        <v>769</v>
      </c>
    </row>
    <row r="3707" spans="1:5" ht="20.25" customHeight="1" x14ac:dyDescent="0.15">
      <c r="A3707" s="2" t="s">
        <v>8267</v>
      </c>
      <c r="B3707" s="2" t="s">
        <v>8268</v>
      </c>
      <c r="C3707" s="2">
        <v>-0.5</v>
      </c>
      <c r="D3707" s="2">
        <v>6.3872</v>
      </c>
      <c r="E3707" s="2" t="s">
        <v>406</v>
      </c>
    </row>
    <row r="3708" spans="1:5" ht="20.25" customHeight="1" x14ac:dyDescent="0.15">
      <c r="A3708" s="2" t="s">
        <v>702</v>
      </c>
      <c r="B3708" s="2" t="s">
        <v>703</v>
      </c>
      <c r="C3708" s="2">
        <v>-0.51</v>
      </c>
      <c r="D3708" s="2">
        <v>13.711600000000001</v>
      </c>
      <c r="E3708" s="2" t="s">
        <v>704</v>
      </c>
    </row>
    <row r="3709" spans="1:5" ht="20.25" customHeight="1" x14ac:dyDescent="0.15">
      <c r="A3709" s="2" t="s">
        <v>3380</v>
      </c>
      <c r="B3709" s="2" t="s">
        <v>3381</v>
      </c>
      <c r="C3709" s="2">
        <v>-0.52</v>
      </c>
      <c r="D3709" s="2">
        <v>2.8814000000000002</v>
      </c>
      <c r="E3709" s="2" t="s">
        <v>3246</v>
      </c>
    </row>
    <row r="3710" spans="1:5" ht="20.25" customHeight="1" x14ac:dyDescent="0.15">
      <c r="A3710" s="2" t="s">
        <v>5766</v>
      </c>
      <c r="B3710" s="2" t="s">
        <v>5767</v>
      </c>
      <c r="C3710" s="2">
        <v>-0.52</v>
      </c>
      <c r="D3710" s="2">
        <v>5.4690000000000003</v>
      </c>
      <c r="E3710" s="2" t="s">
        <v>667</v>
      </c>
    </row>
    <row r="3711" spans="1:5" ht="20.25" customHeight="1" x14ac:dyDescent="0.15">
      <c r="A3711" s="2" t="s">
        <v>5858</v>
      </c>
      <c r="B3711" s="2" t="s">
        <v>5859</v>
      </c>
      <c r="C3711" s="2">
        <v>-0.52</v>
      </c>
      <c r="D3711" s="2">
        <v>14.273999999999999</v>
      </c>
      <c r="E3711" s="2" t="s">
        <v>1061</v>
      </c>
    </row>
    <row r="3712" spans="1:5" ht="20.25" customHeight="1" x14ac:dyDescent="0.15">
      <c r="A3712" s="2" t="s">
        <v>6833</v>
      </c>
      <c r="B3712" s="2" t="s">
        <v>6834</v>
      </c>
      <c r="C3712" s="2">
        <v>-0.52</v>
      </c>
      <c r="D3712" s="2">
        <v>2.5314000000000001</v>
      </c>
      <c r="E3712" s="2" t="s">
        <v>299</v>
      </c>
    </row>
    <row r="3713" spans="1:5" ht="20.25" customHeight="1" x14ac:dyDescent="0.15">
      <c r="A3713" s="2" t="s">
        <v>7983</v>
      </c>
      <c r="B3713" s="2" t="s">
        <v>7984</v>
      </c>
      <c r="C3713" s="2">
        <v>-0.52</v>
      </c>
      <c r="D3713" s="2">
        <v>194.68029999999999</v>
      </c>
      <c r="E3713" s="2" t="s">
        <v>140</v>
      </c>
    </row>
    <row r="3714" spans="1:5" ht="20.25" customHeight="1" x14ac:dyDescent="0.15">
      <c r="A3714" s="2" t="s">
        <v>8393</v>
      </c>
      <c r="B3714" s="2" t="s">
        <v>8394</v>
      </c>
      <c r="C3714" s="2">
        <v>-0.52</v>
      </c>
      <c r="D3714" s="2">
        <v>3.8862999999999999</v>
      </c>
      <c r="E3714" s="2" t="s">
        <v>41</v>
      </c>
    </row>
    <row r="3715" spans="1:5" ht="20.25" customHeight="1" x14ac:dyDescent="0.15">
      <c r="A3715" s="2" t="s">
        <v>6468</v>
      </c>
      <c r="B3715" s="2" t="s">
        <v>6469</v>
      </c>
      <c r="C3715" s="2">
        <v>-0.53</v>
      </c>
      <c r="D3715" s="2">
        <v>17.832899999999999</v>
      </c>
      <c r="E3715" s="2" t="s">
        <v>1282</v>
      </c>
    </row>
    <row r="3716" spans="1:5" ht="20.25" customHeight="1" x14ac:dyDescent="0.15">
      <c r="A3716" s="2" t="s">
        <v>6654</v>
      </c>
      <c r="B3716" s="2" t="s">
        <v>6655</v>
      </c>
      <c r="C3716" s="2">
        <v>-0.53</v>
      </c>
      <c r="D3716" s="2">
        <v>1.1104000000000001</v>
      </c>
      <c r="E3716" s="2" t="s">
        <v>1873</v>
      </c>
    </row>
    <row r="3717" spans="1:5" ht="20.25" customHeight="1" x14ac:dyDescent="0.15">
      <c r="A3717" s="2" t="s">
        <v>6658</v>
      </c>
      <c r="B3717" s="2" t="s">
        <v>6659</v>
      </c>
      <c r="C3717" s="2">
        <v>-0.53</v>
      </c>
      <c r="D3717" s="2">
        <v>1.5891999999999999</v>
      </c>
      <c r="E3717" s="2" t="s">
        <v>1224</v>
      </c>
    </row>
    <row r="3718" spans="1:5" ht="20.25" customHeight="1" x14ac:dyDescent="0.15">
      <c r="A3718" s="2" t="s">
        <v>8037</v>
      </c>
      <c r="B3718" s="2" t="s">
        <v>8038</v>
      </c>
      <c r="C3718" s="2">
        <v>-0.53</v>
      </c>
      <c r="D3718" s="2">
        <v>2.7530000000000001</v>
      </c>
      <c r="E3718" s="2" t="s">
        <v>1570</v>
      </c>
    </row>
    <row r="3719" spans="1:5" ht="20.25" customHeight="1" x14ac:dyDescent="0.15">
      <c r="A3719" s="2" t="s">
        <v>6078</v>
      </c>
      <c r="B3719" s="2" t="s">
        <v>6079</v>
      </c>
      <c r="C3719" s="2">
        <v>-0.54</v>
      </c>
      <c r="D3719" s="2">
        <v>1.974</v>
      </c>
      <c r="E3719" s="2" t="s">
        <v>299</v>
      </c>
    </row>
    <row r="3720" spans="1:5" ht="20.25" customHeight="1" x14ac:dyDescent="0.15">
      <c r="A3720" s="2" t="s">
        <v>8079</v>
      </c>
      <c r="B3720" s="2" t="s">
        <v>8080</v>
      </c>
      <c r="C3720" s="2">
        <v>-0.54</v>
      </c>
      <c r="D3720" s="2">
        <v>0.53129999999999999</v>
      </c>
      <c r="E3720" s="2" t="s">
        <v>799</v>
      </c>
    </row>
    <row r="3721" spans="1:5" ht="20.25" customHeight="1" x14ac:dyDescent="0.15">
      <c r="A3721" s="2" t="s">
        <v>2961</v>
      </c>
      <c r="B3721" s="2" t="s">
        <v>2962</v>
      </c>
      <c r="C3721" s="2">
        <v>-0.55000000000000004</v>
      </c>
      <c r="D3721" s="2">
        <v>1.5476000000000001</v>
      </c>
      <c r="E3721" s="2" t="s">
        <v>421</v>
      </c>
    </row>
    <row r="3722" spans="1:5" ht="20.25" customHeight="1" x14ac:dyDescent="0.15">
      <c r="A3722" s="2" t="s">
        <v>3020</v>
      </c>
      <c r="B3722" s="2" t="s">
        <v>3021</v>
      </c>
      <c r="C3722" s="2">
        <v>-0.55000000000000004</v>
      </c>
      <c r="D3722" s="2">
        <v>2.1856</v>
      </c>
      <c r="E3722" s="2" t="s">
        <v>204</v>
      </c>
    </row>
    <row r="3723" spans="1:5" ht="20.25" customHeight="1" x14ac:dyDescent="0.15">
      <c r="A3723" s="2" t="s">
        <v>4917</v>
      </c>
      <c r="B3723" s="2" t="s">
        <v>4918</v>
      </c>
      <c r="C3723" s="2">
        <v>-0.55000000000000004</v>
      </c>
      <c r="D3723" s="2">
        <v>12.3329</v>
      </c>
      <c r="E3723" s="2" t="s">
        <v>35</v>
      </c>
    </row>
    <row r="3724" spans="1:5" ht="20.25" customHeight="1" x14ac:dyDescent="0.15">
      <c r="A3724" s="2" t="s">
        <v>5669</v>
      </c>
      <c r="B3724" s="2" t="s">
        <v>5670</v>
      </c>
      <c r="C3724" s="2">
        <v>-0.55000000000000004</v>
      </c>
      <c r="D3724" s="2">
        <v>3.8835999999999999</v>
      </c>
      <c r="E3724" s="2" t="s">
        <v>3053</v>
      </c>
    </row>
    <row r="3725" spans="1:5" ht="20.25" customHeight="1" x14ac:dyDescent="0.15">
      <c r="A3725" s="2" t="s">
        <v>7277</v>
      </c>
      <c r="B3725" s="2" t="s">
        <v>7278</v>
      </c>
      <c r="C3725" s="2">
        <v>-0.55000000000000004</v>
      </c>
      <c r="D3725" s="2">
        <v>0.65029999999999999</v>
      </c>
      <c r="E3725" s="2" t="s">
        <v>1061</v>
      </c>
    </row>
    <row r="3726" spans="1:5" ht="20.25" customHeight="1" x14ac:dyDescent="0.15">
      <c r="A3726" s="2" t="s">
        <v>6889</v>
      </c>
      <c r="B3726" s="2" t="s">
        <v>6890</v>
      </c>
      <c r="C3726" s="2">
        <v>-0.56000000000000005</v>
      </c>
      <c r="D3726" s="2">
        <v>11.805</v>
      </c>
      <c r="E3726" s="2" t="s">
        <v>1099</v>
      </c>
    </row>
    <row r="3727" spans="1:5" ht="20.25" customHeight="1" x14ac:dyDescent="0.15">
      <c r="A3727" s="2" t="s">
        <v>4682</v>
      </c>
      <c r="B3727" s="2" t="s">
        <v>4683</v>
      </c>
      <c r="C3727" s="2">
        <v>-0.56999999999999995</v>
      </c>
      <c r="D3727" s="2">
        <v>2.3340000000000001</v>
      </c>
      <c r="E3727" s="2" t="s">
        <v>1099</v>
      </c>
    </row>
    <row r="3728" spans="1:5" ht="20.25" customHeight="1" x14ac:dyDescent="0.15">
      <c r="A3728" s="2" t="s">
        <v>5429</v>
      </c>
      <c r="B3728" s="2" t="s">
        <v>5430</v>
      </c>
      <c r="C3728" s="2">
        <v>-0.56999999999999995</v>
      </c>
      <c r="D3728" s="2">
        <v>21.962399999999999</v>
      </c>
      <c r="E3728" s="2" t="s">
        <v>225</v>
      </c>
    </row>
    <row r="3729" spans="1:5" ht="20.25" customHeight="1" x14ac:dyDescent="0.15">
      <c r="A3729" s="2" t="s">
        <v>5784</v>
      </c>
      <c r="B3729" s="2" t="s">
        <v>5785</v>
      </c>
      <c r="C3729" s="2">
        <v>-0.56999999999999995</v>
      </c>
      <c r="D3729" s="2">
        <v>19.013000000000002</v>
      </c>
      <c r="E3729" s="2" t="s">
        <v>633</v>
      </c>
    </row>
    <row r="3730" spans="1:5" ht="20.25" customHeight="1" x14ac:dyDescent="0.15">
      <c r="A3730" s="2" t="s">
        <v>6322</v>
      </c>
      <c r="B3730" s="2" t="s">
        <v>6323</v>
      </c>
      <c r="C3730" s="2">
        <v>-0.56999999999999995</v>
      </c>
      <c r="D3730" s="2">
        <v>10.9046</v>
      </c>
      <c r="E3730" s="2" t="s">
        <v>1712</v>
      </c>
    </row>
    <row r="3731" spans="1:5" ht="20.25" customHeight="1" x14ac:dyDescent="0.15">
      <c r="A3731" s="2" t="s">
        <v>7437</v>
      </c>
      <c r="B3731" s="2" t="s">
        <v>7438</v>
      </c>
      <c r="C3731" s="2">
        <v>-0.56999999999999995</v>
      </c>
      <c r="D3731" s="2">
        <v>30.726500000000001</v>
      </c>
      <c r="E3731" s="2" t="s">
        <v>201</v>
      </c>
    </row>
    <row r="3732" spans="1:5" ht="20.25" customHeight="1" x14ac:dyDescent="0.15">
      <c r="A3732" s="2" t="s">
        <v>4170</v>
      </c>
      <c r="B3732" s="2" t="s">
        <v>4171</v>
      </c>
      <c r="C3732" s="2">
        <v>-0.57999999999999996</v>
      </c>
      <c r="D3732" s="2">
        <v>31.372800000000002</v>
      </c>
      <c r="E3732" s="2" t="s">
        <v>1425</v>
      </c>
    </row>
    <row r="3733" spans="1:5" ht="20.25" customHeight="1" x14ac:dyDescent="0.15">
      <c r="A3733" s="2" t="s">
        <v>6728</v>
      </c>
      <c r="B3733" s="2" t="s">
        <v>6729</v>
      </c>
      <c r="C3733" s="2">
        <v>-0.57999999999999996</v>
      </c>
      <c r="D3733" s="2">
        <v>0.88959999999999995</v>
      </c>
      <c r="E3733" s="2" t="s">
        <v>403</v>
      </c>
    </row>
    <row r="3734" spans="1:5" ht="20.25" customHeight="1" x14ac:dyDescent="0.15">
      <c r="A3734" s="2" t="s">
        <v>7615</v>
      </c>
      <c r="B3734" s="2" t="s">
        <v>7616</v>
      </c>
      <c r="C3734" s="2">
        <v>-0.57999999999999996</v>
      </c>
      <c r="D3734" s="2">
        <v>11.9374</v>
      </c>
      <c r="E3734" s="2" t="s">
        <v>2344</v>
      </c>
    </row>
    <row r="3735" spans="1:5" ht="20.25" customHeight="1" x14ac:dyDescent="0.15">
      <c r="A3735" s="2" t="s">
        <v>8351</v>
      </c>
      <c r="B3735" s="2" t="s">
        <v>8352</v>
      </c>
      <c r="C3735" s="2">
        <v>-0.58499999999999996</v>
      </c>
      <c r="D3735" s="2">
        <v>4.7577999999999996</v>
      </c>
      <c r="E3735" s="2" t="s">
        <v>299</v>
      </c>
    </row>
    <row r="3736" spans="1:5" ht="20.25" customHeight="1" x14ac:dyDescent="0.15">
      <c r="A3736" s="2" t="s">
        <v>3746</v>
      </c>
      <c r="B3736" s="2" t="s">
        <v>3747</v>
      </c>
      <c r="C3736" s="2">
        <v>-0.59</v>
      </c>
      <c r="D3736" s="2">
        <v>4.7328999999999999</v>
      </c>
      <c r="E3736" s="2" t="s">
        <v>1608</v>
      </c>
    </row>
    <row r="3737" spans="1:5" ht="20.25" customHeight="1" x14ac:dyDescent="0.15">
      <c r="A3737" s="2" t="s">
        <v>4602</v>
      </c>
      <c r="B3737" s="2" t="s">
        <v>4603</v>
      </c>
      <c r="C3737" s="2">
        <v>-0.59</v>
      </c>
      <c r="D3737" s="2">
        <v>3.0143</v>
      </c>
      <c r="E3737" s="2" t="s">
        <v>385</v>
      </c>
    </row>
    <row r="3738" spans="1:5" ht="20.25" customHeight="1" x14ac:dyDescent="0.15">
      <c r="A3738" s="2" t="s">
        <v>4406</v>
      </c>
      <c r="B3738" s="2" t="s">
        <v>4407</v>
      </c>
      <c r="C3738" s="2">
        <v>-0.59499999999999997</v>
      </c>
      <c r="D3738" s="2">
        <v>4.6165000000000003</v>
      </c>
      <c r="E3738" s="2" t="s">
        <v>685</v>
      </c>
    </row>
    <row r="3739" spans="1:5" ht="20.25" customHeight="1" x14ac:dyDescent="0.15">
      <c r="A3739" s="2" t="s">
        <v>800</v>
      </c>
      <c r="B3739" s="2" t="s">
        <v>801</v>
      </c>
      <c r="C3739" s="2">
        <v>-0.61</v>
      </c>
      <c r="D3739" s="2">
        <v>5.0846</v>
      </c>
      <c r="E3739" s="2" t="s">
        <v>385</v>
      </c>
    </row>
    <row r="3740" spans="1:5" ht="20.25" customHeight="1" x14ac:dyDescent="0.15">
      <c r="A3740" s="2" t="s">
        <v>3278</v>
      </c>
      <c r="B3740" s="2" t="s">
        <v>3279</v>
      </c>
      <c r="C3740" s="2">
        <v>-0.61</v>
      </c>
      <c r="D3740" s="2">
        <v>9.6006999999999998</v>
      </c>
      <c r="E3740" s="2" t="s">
        <v>44</v>
      </c>
    </row>
    <row r="3741" spans="1:5" ht="20.25" customHeight="1" x14ac:dyDescent="0.15">
      <c r="A3741" s="2" t="s">
        <v>6706</v>
      </c>
      <c r="B3741" s="2" t="s">
        <v>6707</v>
      </c>
      <c r="C3741" s="2">
        <v>-0.61</v>
      </c>
      <c r="D3741" s="2">
        <v>8.4865999999999993</v>
      </c>
      <c r="E3741" s="2" t="s">
        <v>638</v>
      </c>
    </row>
    <row r="3742" spans="1:5" ht="20.25" customHeight="1" x14ac:dyDescent="0.15">
      <c r="A3742" s="2" t="s">
        <v>6865</v>
      </c>
      <c r="B3742" s="2" t="s">
        <v>6866</v>
      </c>
      <c r="C3742" s="2">
        <v>-0.61</v>
      </c>
      <c r="D3742" s="2">
        <v>14.6836</v>
      </c>
      <c r="E3742" s="2" t="s">
        <v>1099</v>
      </c>
    </row>
    <row r="3743" spans="1:5" ht="20.25" customHeight="1" x14ac:dyDescent="0.15">
      <c r="A3743" s="2" t="s">
        <v>932</v>
      </c>
      <c r="B3743" s="2" t="s">
        <v>933</v>
      </c>
      <c r="C3743" s="2">
        <v>-0.62</v>
      </c>
      <c r="D3743" s="2">
        <v>1.9807999999999999</v>
      </c>
      <c r="E3743" s="2" t="s">
        <v>217</v>
      </c>
    </row>
    <row r="3744" spans="1:5" ht="20.25" customHeight="1" x14ac:dyDescent="0.15">
      <c r="A3744" s="2" t="s">
        <v>1493</v>
      </c>
      <c r="B3744" s="2" t="s">
        <v>1494</v>
      </c>
      <c r="C3744" s="2">
        <v>-0.62</v>
      </c>
      <c r="D3744" s="2">
        <v>3.3077000000000001</v>
      </c>
      <c r="E3744" s="2" t="s">
        <v>21</v>
      </c>
    </row>
    <row r="3745" spans="1:5" ht="20.25" customHeight="1" x14ac:dyDescent="0.15">
      <c r="A3745" s="2" t="s">
        <v>3569</v>
      </c>
      <c r="B3745" s="2" t="s">
        <v>3570</v>
      </c>
      <c r="C3745" s="2">
        <v>-0.62</v>
      </c>
      <c r="D3745" s="2">
        <v>10.3345</v>
      </c>
      <c r="E3745" s="2" t="s">
        <v>60</v>
      </c>
    </row>
    <row r="3746" spans="1:5" ht="20.25" customHeight="1" x14ac:dyDescent="0.15">
      <c r="A3746" s="2" t="s">
        <v>3651</v>
      </c>
      <c r="B3746" s="2" t="s">
        <v>3652</v>
      </c>
      <c r="C3746" s="2">
        <v>-0.64</v>
      </c>
      <c r="D3746" s="2">
        <v>2.9205999999999999</v>
      </c>
      <c r="E3746" s="2" t="s">
        <v>225</v>
      </c>
    </row>
    <row r="3747" spans="1:5" ht="20.25" customHeight="1" x14ac:dyDescent="0.15">
      <c r="A3747" s="2" t="s">
        <v>3855</v>
      </c>
      <c r="B3747" s="2" t="s">
        <v>3856</v>
      </c>
      <c r="C3747" s="2">
        <v>-0.64</v>
      </c>
      <c r="D3747" s="2">
        <v>4.0147000000000004</v>
      </c>
      <c r="E3747" s="2" t="s">
        <v>638</v>
      </c>
    </row>
    <row r="3748" spans="1:5" ht="20.25" customHeight="1" x14ac:dyDescent="0.15">
      <c r="A3748" s="2" t="s">
        <v>4777</v>
      </c>
      <c r="B3748" s="2" t="s">
        <v>4778</v>
      </c>
      <c r="C3748" s="2">
        <v>-0.64</v>
      </c>
      <c r="D3748" s="2">
        <v>16.546199999999999</v>
      </c>
      <c r="E3748" s="2" t="s">
        <v>21</v>
      </c>
    </row>
    <row r="3749" spans="1:5" ht="20.25" customHeight="1" x14ac:dyDescent="0.15">
      <c r="A3749" s="2" t="s">
        <v>6134</v>
      </c>
      <c r="B3749" s="2" t="s">
        <v>6135</v>
      </c>
      <c r="C3749" s="2">
        <v>-0.64</v>
      </c>
      <c r="D3749" s="2">
        <v>8.2859999999999996</v>
      </c>
      <c r="E3749" s="2" t="s">
        <v>418</v>
      </c>
    </row>
    <row r="3750" spans="1:5" ht="20.25" customHeight="1" x14ac:dyDescent="0.15">
      <c r="A3750" s="2" t="s">
        <v>7179</v>
      </c>
      <c r="B3750" s="2" t="s">
        <v>7180</v>
      </c>
      <c r="C3750" s="2">
        <v>-0.64</v>
      </c>
      <c r="D3750" s="2">
        <v>7.5720999999999998</v>
      </c>
      <c r="E3750" s="2" t="s">
        <v>561</v>
      </c>
    </row>
    <row r="3751" spans="1:5" ht="20.25" customHeight="1" x14ac:dyDescent="0.15">
      <c r="A3751" s="2" t="s">
        <v>3070</v>
      </c>
      <c r="B3751" s="2" t="s">
        <v>3071</v>
      </c>
      <c r="C3751" s="2">
        <v>-0.65</v>
      </c>
      <c r="D3751" s="2">
        <v>43.721499999999999</v>
      </c>
      <c r="E3751" s="2" t="s">
        <v>149</v>
      </c>
    </row>
    <row r="3752" spans="1:5" ht="20.25" customHeight="1" x14ac:dyDescent="0.15">
      <c r="A3752" s="2" t="s">
        <v>4935</v>
      </c>
      <c r="B3752" s="2" t="s">
        <v>4936</v>
      </c>
      <c r="C3752" s="2">
        <v>-0.65</v>
      </c>
      <c r="D3752" s="2">
        <v>2.7890999999999999</v>
      </c>
      <c r="E3752" s="2" t="s">
        <v>677</v>
      </c>
    </row>
    <row r="3753" spans="1:5" ht="20.25" customHeight="1" x14ac:dyDescent="0.15">
      <c r="A3753" s="2" t="s">
        <v>6160</v>
      </c>
      <c r="B3753" s="2" t="s">
        <v>6161</v>
      </c>
      <c r="C3753" s="2">
        <v>-0.66</v>
      </c>
      <c r="D3753" s="2">
        <v>3.9470999999999998</v>
      </c>
      <c r="E3753" s="2" t="s">
        <v>1403</v>
      </c>
    </row>
    <row r="3754" spans="1:5" ht="20.25" customHeight="1" x14ac:dyDescent="0.15">
      <c r="A3754" s="2" t="s">
        <v>8265</v>
      </c>
      <c r="B3754" s="2" t="s">
        <v>8266</v>
      </c>
      <c r="C3754" s="2">
        <v>-0.66</v>
      </c>
      <c r="D3754" s="2">
        <v>83.623999999999995</v>
      </c>
      <c r="E3754" s="2" t="s">
        <v>1820</v>
      </c>
    </row>
    <row r="3755" spans="1:5" ht="20.25" customHeight="1" x14ac:dyDescent="0.15">
      <c r="A3755" s="2" t="s">
        <v>4114</v>
      </c>
      <c r="B3755" s="2" t="s">
        <v>4115</v>
      </c>
      <c r="C3755" s="2">
        <v>-0.67</v>
      </c>
      <c r="D3755" s="2">
        <v>2.8950999999999998</v>
      </c>
      <c r="E3755" s="2" t="s">
        <v>299</v>
      </c>
    </row>
    <row r="3756" spans="1:5" ht="20.25" customHeight="1" x14ac:dyDescent="0.15">
      <c r="A3756" s="2" t="s">
        <v>4158</v>
      </c>
      <c r="B3756" s="2" t="s">
        <v>4159</v>
      </c>
      <c r="C3756" s="2">
        <v>-0.67</v>
      </c>
      <c r="D3756" s="2">
        <v>103.0685</v>
      </c>
      <c r="E3756" s="2" t="s">
        <v>265</v>
      </c>
    </row>
    <row r="3757" spans="1:5" ht="20.25" customHeight="1" x14ac:dyDescent="0.15">
      <c r="A3757" s="2" t="s">
        <v>6356</v>
      </c>
      <c r="B3757" s="2" t="s">
        <v>6357</v>
      </c>
      <c r="C3757" s="2">
        <v>-0.67</v>
      </c>
      <c r="D3757" s="2">
        <v>22.516200000000001</v>
      </c>
      <c r="E3757" s="2" t="s">
        <v>421</v>
      </c>
    </row>
    <row r="3758" spans="1:5" ht="20.25" customHeight="1" x14ac:dyDescent="0.15">
      <c r="A3758" s="2" t="s">
        <v>6450</v>
      </c>
      <c r="B3758" s="2" t="s">
        <v>6451</v>
      </c>
      <c r="C3758" s="2">
        <v>-0.67</v>
      </c>
      <c r="D3758" s="2">
        <v>4.7521000000000004</v>
      </c>
      <c r="E3758" s="2" t="s">
        <v>2355</v>
      </c>
    </row>
    <row r="3759" spans="1:5" ht="20.25" customHeight="1" x14ac:dyDescent="0.15">
      <c r="A3759" s="2" t="s">
        <v>8123</v>
      </c>
      <c r="B3759" s="2" t="s">
        <v>8124</v>
      </c>
      <c r="C3759" s="2">
        <v>-0.67</v>
      </c>
      <c r="D3759" s="2">
        <v>10.2996</v>
      </c>
      <c r="E3759" s="2" t="s">
        <v>204</v>
      </c>
    </row>
    <row r="3760" spans="1:5" ht="20.25" customHeight="1" x14ac:dyDescent="0.15">
      <c r="A3760" s="2" t="s">
        <v>5764</v>
      </c>
      <c r="B3760" s="2" t="s">
        <v>5765</v>
      </c>
      <c r="C3760" s="2">
        <v>-0.68</v>
      </c>
      <c r="D3760" s="2">
        <v>62.054299999999998</v>
      </c>
      <c r="E3760" s="2" t="s">
        <v>228</v>
      </c>
    </row>
    <row r="3761" spans="1:5" ht="20.25" customHeight="1" x14ac:dyDescent="0.15">
      <c r="A3761" s="2" t="s">
        <v>3955</v>
      </c>
      <c r="B3761" s="2" t="s">
        <v>3956</v>
      </c>
      <c r="C3761" s="2">
        <v>-0.69</v>
      </c>
      <c r="D3761" s="2">
        <v>20.297899999999998</v>
      </c>
      <c r="E3761" s="2" t="s">
        <v>265</v>
      </c>
    </row>
    <row r="3762" spans="1:5" ht="20.25" customHeight="1" x14ac:dyDescent="0.15">
      <c r="A3762" s="2" t="s">
        <v>6432</v>
      </c>
      <c r="B3762" s="2" t="s">
        <v>6433</v>
      </c>
      <c r="C3762" s="2">
        <v>-0.69</v>
      </c>
      <c r="D3762" s="2">
        <v>14.0326</v>
      </c>
      <c r="E3762" s="2" t="s">
        <v>1801</v>
      </c>
    </row>
    <row r="3763" spans="1:5" ht="20.25" customHeight="1" x14ac:dyDescent="0.15">
      <c r="A3763" s="2" t="s">
        <v>7103</v>
      </c>
      <c r="B3763" s="2" t="s">
        <v>7104</v>
      </c>
      <c r="C3763" s="2">
        <v>-0.69</v>
      </c>
      <c r="D3763" s="2">
        <v>2.1951000000000001</v>
      </c>
      <c r="E3763" s="2" t="s">
        <v>391</v>
      </c>
    </row>
    <row r="3764" spans="1:5" ht="20.25" customHeight="1" x14ac:dyDescent="0.15">
      <c r="A3764" s="2" t="s">
        <v>7157</v>
      </c>
      <c r="B3764" s="2" t="s">
        <v>7158</v>
      </c>
      <c r="C3764" s="2">
        <v>-0.69</v>
      </c>
      <c r="D3764" s="2">
        <v>49.3718</v>
      </c>
      <c r="E3764" s="2" t="s">
        <v>204</v>
      </c>
    </row>
    <row r="3765" spans="1:5" ht="20.25" customHeight="1" x14ac:dyDescent="0.15">
      <c r="A3765" s="2" t="s">
        <v>8281</v>
      </c>
      <c r="B3765" s="2" t="s">
        <v>8282</v>
      </c>
      <c r="C3765" s="2">
        <v>-0.69</v>
      </c>
      <c r="D3765" s="2">
        <v>16.1052</v>
      </c>
      <c r="E3765" s="2" t="s">
        <v>220</v>
      </c>
    </row>
    <row r="3766" spans="1:5" ht="20.25" customHeight="1" x14ac:dyDescent="0.15">
      <c r="A3766" s="2" t="s">
        <v>3750</v>
      </c>
      <c r="B3766" s="2" t="s">
        <v>3751</v>
      </c>
      <c r="C3766" s="2">
        <v>-0.7</v>
      </c>
      <c r="D3766" s="2">
        <v>15.9076</v>
      </c>
      <c r="E3766" s="2" t="s">
        <v>1142</v>
      </c>
    </row>
    <row r="3767" spans="1:5" ht="20.25" customHeight="1" x14ac:dyDescent="0.15">
      <c r="A3767" s="2" t="s">
        <v>5792</v>
      </c>
      <c r="B3767" s="2" t="s">
        <v>5793</v>
      </c>
      <c r="C3767" s="2">
        <v>-0.7</v>
      </c>
      <c r="D3767" s="2">
        <v>2.8573</v>
      </c>
      <c r="E3767" s="2" t="s">
        <v>13</v>
      </c>
    </row>
    <row r="3768" spans="1:5" ht="20.25" customHeight="1" x14ac:dyDescent="0.15">
      <c r="A3768" s="2" t="s">
        <v>7963</v>
      </c>
      <c r="B3768" s="2" t="s">
        <v>7964</v>
      </c>
      <c r="C3768" s="2">
        <v>-0.7</v>
      </c>
      <c r="D3768" s="2">
        <v>9.9673999999999996</v>
      </c>
      <c r="E3768" s="2" t="s">
        <v>1263</v>
      </c>
    </row>
    <row r="3769" spans="1:5" ht="20.25" customHeight="1" x14ac:dyDescent="0.15">
      <c r="A3769" s="2" t="s">
        <v>5726</v>
      </c>
      <c r="B3769" s="2" t="s">
        <v>5727</v>
      </c>
      <c r="C3769" s="2">
        <v>-0.71</v>
      </c>
      <c r="D3769" s="2">
        <v>4.4234999999999998</v>
      </c>
      <c r="E3769" s="2" t="s">
        <v>498</v>
      </c>
    </row>
    <row r="3770" spans="1:5" ht="20.25" customHeight="1" x14ac:dyDescent="0.15">
      <c r="A3770" s="2" t="s">
        <v>6500</v>
      </c>
      <c r="B3770" s="2" t="s">
        <v>6501</v>
      </c>
      <c r="C3770" s="2">
        <v>-0.71</v>
      </c>
      <c r="D3770" s="2">
        <v>6.9047999999999998</v>
      </c>
      <c r="E3770" s="2" t="s">
        <v>677</v>
      </c>
    </row>
    <row r="3771" spans="1:5" ht="20.25" customHeight="1" x14ac:dyDescent="0.15">
      <c r="A3771" s="2" t="s">
        <v>6795</v>
      </c>
      <c r="B3771" s="2" t="s">
        <v>6796</v>
      </c>
      <c r="C3771" s="2">
        <v>-0.71</v>
      </c>
      <c r="D3771" s="2">
        <v>4.4151999999999996</v>
      </c>
      <c r="E3771" s="2" t="s">
        <v>506</v>
      </c>
    </row>
    <row r="3772" spans="1:5" ht="20.25" customHeight="1" x14ac:dyDescent="0.15">
      <c r="A3772" s="2" t="s">
        <v>6911</v>
      </c>
      <c r="B3772" s="2" t="s">
        <v>6912</v>
      </c>
      <c r="C3772" s="2">
        <v>-0.71</v>
      </c>
      <c r="D3772" s="2">
        <v>2.415</v>
      </c>
      <c r="E3772" s="2" t="s">
        <v>10</v>
      </c>
    </row>
    <row r="3773" spans="1:5" ht="20.25" customHeight="1" x14ac:dyDescent="0.15">
      <c r="A3773" s="2" t="s">
        <v>8331</v>
      </c>
      <c r="B3773" s="2" t="s">
        <v>8332</v>
      </c>
      <c r="C3773" s="2">
        <v>-0.72</v>
      </c>
      <c r="D3773" s="2">
        <v>38.744100000000003</v>
      </c>
      <c r="E3773" s="2" t="s">
        <v>2678</v>
      </c>
    </row>
    <row r="3774" spans="1:5" ht="20.25" customHeight="1" x14ac:dyDescent="0.15">
      <c r="A3774" s="2" t="s">
        <v>3497</v>
      </c>
      <c r="B3774" s="2" t="s">
        <v>3498</v>
      </c>
      <c r="C3774" s="2">
        <v>-0.73</v>
      </c>
      <c r="D3774" s="2">
        <v>13.768800000000001</v>
      </c>
      <c r="E3774" s="2" t="s">
        <v>86</v>
      </c>
    </row>
    <row r="3775" spans="1:5" ht="20.25" customHeight="1" x14ac:dyDescent="0.15">
      <c r="A3775" s="2" t="s">
        <v>4236</v>
      </c>
      <c r="B3775" s="2" t="s">
        <v>4237</v>
      </c>
      <c r="C3775" s="2">
        <v>-0.73</v>
      </c>
      <c r="D3775" s="2">
        <v>26.605399999999999</v>
      </c>
      <c r="E3775" s="2" t="s">
        <v>982</v>
      </c>
    </row>
    <row r="3776" spans="1:5" ht="20.25" customHeight="1" x14ac:dyDescent="0.15">
      <c r="A3776" s="2" t="s">
        <v>6708</v>
      </c>
      <c r="B3776" s="2" t="s">
        <v>6709</v>
      </c>
      <c r="C3776" s="2">
        <v>-0.73</v>
      </c>
      <c r="D3776" s="2">
        <v>52.454099999999997</v>
      </c>
      <c r="E3776" s="2" t="s">
        <v>89</v>
      </c>
    </row>
    <row r="3777" spans="1:5" ht="20.25" customHeight="1" x14ac:dyDescent="0.15">
      <c r="A3777" s="2" t="s">
        <v>5240</v>
      </c>
      <c r="B3777" s="2" t="s">
        <v>5241</v>
      </c>
      <c r="C3777" s="2">
        <v>-0.73499999999999999</v>
      </c>
      <c r="D3777" s="2">
        <v>14.173299999999999</v>
      </c>
      <c r="E3777" s="2" t="s">
        <v>371</v>
      </c>
    </row>
    <row r="3778" spans="1:5" ht="20.25" customHeight="1" x14ac:dyDescent="0.15">
      <c r="A3778" s="2" t="s">
        <v>279</v>
      </c>
      <c r="B3778" s="2" t="s">
        <v>280</v>
      </c>
      <c r="C3778" s="2">
        <v>-0.74</v>
      </c>
      <c r="D3778" s="2">
        <v>1.6407</v>
      </c>
      <c r="E3778" s="2" t="s">
        <v>281</v>
      </c>
    </row>
    <row r="3779" spans="1:5" ht="20.25" customHeight="1" x14ac:dyDescent="0.15">
      <c r="A3779" s="2" t="s">
        <v>8077</v>
      </c>
      <c r="B3779" s="2" t="s">
        <v>8078</v>
      </c>
      <c r="C3779" s="2">
        <v>-0.74</v>
      </c>
      <c r="D3779" s="2">
        <v>15.023999999999999</v>
      </c>
      <c r="E3779" s="2" t="s">
        <v>667</v>
      </c>
    </row>
    <row r="3780" spans="1:5" ht="20.25" customHeight="1" x14ac:dyDescent="0.15">
      <c r="A3780" s="2" t="s">
        <v>8247</v>
      </c>
      <c r="B3780" s="2" t="s">
        <v>8248</v>
      </c>
      <c r="C3780" s="2">
        <v>-0.74</v>
      </c>
      <c r="D3780" s="2">
        <v>10.0657</v>
      </c>
      <c r="E3780" s="2" t="s">
        <v>315</v>
      </c>
    </row>
    <row r="3781" spans="1:5" ht="20.25" customHeight="1" x14ac:dyDescent="0.15">
      <c r="A3781" s="2" t="s">
        <v>8231</v>
      </c>
      <c r="B3781" s="2" t="s">
        <v>8232</v>
      </c>
      <c r="C3781" s="2">
        <v>-0.75</v>
      </c>
      <c r="D3781" s="2">
        <v>2.7637</v>
      </c>
      <c r="E3781" s="2" t="s">
        <v>713</v>
      </c>
    </row>
    <row r="3782" spans="1:5" ht="20.25" customHeight="1" x14ac:dyDescent="0.15">
      <c r="A3782" s="2" t="s">
        <v>6969</v>
      </c>
      <c r="B3782" s="2" t="s">
        <v>6970</v>
      </c>
      <c r="C3782" s="2">
        <v>-0.76</v>
      </c>
      <c r="D3782" s="2">
        <v>29.002600000000001</v>
      </c>
      <c r="E3782" s="2" t="s">
        <v>1142</v>
      </c>
    </row>
    <row r="3783" spans="1:5" ht="20.25" customHeight="1" x14ac:dyDescent="0.15">
      <c r="A3783" s="2" t="s">
        <v>6981</v>
      </c>
      <c r="B3783" s="2" t="s">
        <v>6982</v>
      </c>
      <c r="C3783" s="2">
        <v>-0.76</v>
      </c>
      <c r="D3783" s="2">
        <v>34.038499999999999</v>
      </c>
      <c r="E3783" s="2" t="s">
        <v>784</v>
      </c>
    </row>
    <row r="3784" spans="1:5" ht="20.25" customHeight="1" x14ac:dyDescent="0.15">
      <c r="A3784" s="2" t="s">
        <v>6863</v>
      </c>
      <c r="B3784" s="2" t="s">
        <v>6864</v>
      </c>
      <c r="C3784" s="2">
        <v>-0.77</v>
      </c>
      <c r="D3784" s="2">
        <v>16.847000000000001</v>
      </c>
      <c r="E3784" s="2" t="s">
        <v>1099</v>
      </c>
    </row>
    <row r="3785" spans="1:5" ht="20.25" customHeight="1" x14ac:dyDescent="0.15">
      <c r="A3785" s="2" t="s">
        <v>5158</v>
      </c>
      <c r="B3785" s="2" t="s">
        <v>5159</v>
      </c>
      <c r="C3785" s="2">
        <v>-0.78</v>
      </c>
      <c r="D3785" s="2">
        <v>38.0336</v>
      </c>
      <c r="E3785" s="2" t="s">
        <v>713</v>
      </c>
    </row>
    <row r="3786" spans="1:5" ht="20.25" customHeight="1" x14ac:dyDescent="0.15">
      <c r="A3786" s="2" t="s">
        <v>5894</v>
      </c>
      <c r="B3786" s="2" t="s">
        <v>5895</v>
      </c>
      <c r="C3786" s="2">
        <v>-0.78</v>
      </c>
      <c r="D3786" s="2">
        <v>86.099599999999995</v>
      </c>
      <c r="E3786" s="2" t="s">
        <v>596</v>
      </c>
    </row>
    <row r="3787" spans="1:5" ht="20.25" customHeight="1" x14ac:dyDescent="0.15">
      <c r="A3787" s="2" t="s">
        <v>4779</v>
      </c>
      <c r="B3787" s="2" t="s">
        <v>4780</v>
      </c>
      <c r="C3787" s="2">
        <v>-0.79</v>
      </c>
      <c r="D3787" s="2">
        <v>5.3419999999999996</v>
      </c>
      <c r="E3787" s="2" t="s">
        <v>1873</v>
      </c>
    </row>
    <row r="3788" spans="1:5" ht="20.25" customHeight="1" x14ac:dyDescent="0.15">
      <c r="A3788" s="2" t="s">
        <v>6044</v>
      </c>
      <c r="B3788" s="2" t="s">
        <v>6045</v>
      </c>
      <c r="C3788" s="2">
        <v>-0.79</v>
      </c>
      <c r="D3788" s="2">
        <v>1.3472999999999999</v>
      </c>
      <c r="E3788" s="2" t="s">
        <v>483</v>
      </c>
    </row>
    <row r="3789" spans="1:5" ht="20.25" customHeight="1" x14ac:dyDescent="0.15">
      <c r="A3789" s="2" t="s">
        <v>6666</v>
      </c>
      <c r="B3789" s="2" t="s">
        <v>6667</v>
      </c>
      <c r="C3789" s="2">
        <v>-0.8</v>
      </c>
      <c r="D3789" s="2">
        <v>4.1487999999999996</v>
      </c>
      <c r="E3789" s="2" t="s">
        <v>501</v>
      </c>
    </row>
    <row r="3790" spans="1:5" ht="20.25" customHeight="1" x14ac:dyDescent="0.15">
      <c r="A3790" s="2" t="s">
        <v>7813</v>
      </c>
      <c r="B3790" s="2" t="s">
        <v>7814</v>
      </c>
      <c r="C3790" s="2">
        <v>-0.8</v>
      </c>
      <c r="D3790" s="2">
        <v>32.988</v>
      </c>
      <c r="E3790" s="2" t="s">
        <v>638</v>
      </c>
    </row>
    <row r="3791" spans="1:5" ht="20.25" customHeight="1" x14ac:dyDescent="0.15">
      <c r="A3791" s="2" t="s">
        <v>2312</v>
      </c>
      <c r="B3791" s="2" t="s">
        <v>2313</v>
      </c>
      <c r="C3791" s="2">
        <v>-0.81</v>
      </c>
      <c r="D3791" s="2">
        <v>21.094200000000001</v>
      </c>
      <c r="E3791" s="2" t="s">
        <v>371</v>
      </c>
    </row>
    <row r="3792" spans="1:5" ht="20.25" customHeight="1" x14ac:dyDescent="0.15">
      <c r="A3792" s="2" t="s">
        <v>4140</v>
      </c>
      <c r="B3792" s="2" t="s">
        <v>4141</v>
      </c>
      <c r="C3792" s="2">
        <v>-0.81</v>
      </c>
      <c r="D3792" s="2">
        <v>50.234000000000002</v>
      </c>
      <c r="E3792" s="2" t="s">
        <v>371</v>
      </c>
    </row>
    <row r="3793" spans="1:5" ht="20.25" customHeight="1" x14ac:dyDescent="0.15">
      <c r="A3793" s="2" t="s">
        <v>5461</v>
      </c>
      <c r="B3793" s="2" t="s">
        <v>5462</v>
      </c>
      <c r="C3793" s="2">
        <v>-0.81</v>
      </c>
      <c r="D3793" s="2">
        <v>45.5608</v>
      </c>
      <c r="E3793" s="2" t="s">
        <v>299</v>
      </c>
    </row>
    <row r="3794" spans="1:5" ht="20.25" customHeight="1" x14ac:dyDescent="0.15">
      <c r="A3794" s="2" t="s">
        <v>4913</v>
      </c>
      <c r="B3794" s="2" t="s">
        <v>4914</v>
      </c>
      <c r="C3794" s="2">
        <v>-0.82</v>
      </c>
      <c r="D3794" s="2">
        <v>18.2608</v>
      </c>
      <c r="E3794" s="2" t="s">
        <v>201</v>
      </c>
    </row>
    <row r="3795" spans="1:5" ht="20.25" customHeight="1" x14ac:dyDescent="0.15">
      <c r="A3795" s="2" t="s">
        <v>5026</v>
      </c>
      <c r="B3795" s="2" t="s">
        <v>5027</v>
      </c>
      <c r="C3795" s="2">
        <v>-0.82</v>
      </c>
      <c r="D3795" s="2">
        <v>18.947299999999998</v>
      </c>
      <c r="E3795" s="2" t="s">
        <v>409</v>
      </c>
    </row>
    <row r="3796" spans="1:5" ht="20.25" customHeight="1" x14ac:dyDescent="0.15">
      <c r="A3796" s="2" t="s">
        <v>5503</v>
      </c>
      <c r="B3796" s="2" t="s">
        <v>5504</v>
      </c>
      <c r="C3796" s="2">
        <v>-0.83</v>
      </c>
      <c r="D3796" s="2">
        <v>122.2351</v>
      </c>
      <c r="E3796" s="2" t="s">
        <v>1158</v>
      </c>
    </row>
    <row r="3797" spans="1:5" ht="20.25" customHeight="1" x14ac:dyDescent="0.15">
      <c r="A3797" s="2" t="s">
        <v>4123</v>
      </c>
      <c r="B3797" s="2" t="s">
        <v>4124</v>
      </c>
      <c r="C3797" s="2">
        <v>-0.84</v>
      </c>
      <c r="D3797" s="2">
        <v>6.8814000000000002</v>
      </c>
      <c r="E3797" s="2" t="s">
        <v>140</v>
      </c>
    </row>
    <row r="3798" spans="1:5" ht="20.25" customHeight="1" x14ac:dyDescent="0.15">
      <c r="A3798" s="2" t="s">
        <v>4674</v>
      </c>
      <c r="B3798" s="2" t="s">
        <v>4675</v>
      </c>
      <c r="C3798" s="2">
        <v>-0.84</v>
      </c>
      <c r="D3798" s="2">
        <v>12.347300000000001</v>
      </c>
      <c r="E3798" s="2" t="s">
        <v>299</v>
      </c>
    </row>
    <row r="3799" spans="1:5" ht="20.25" customHeight="1" x14ac:dyDescent="0.15">
      <c r="A3799" s="2" t="s">
        <v>6158</v>
      </c>
      <c r="B3799" s="2" t="s">
        <v>6159</v>
      </c>
      <c r="C3799" s="2">
        <v>-0.84</v>
      </c>
      <c r="D3799" s="2">
        <v>64.736800000000002</v>
      </c>
      <c r="E3799" s="2" t="s">
        <v>1248</v>
      </c>
    </row>
    <row r="3800" spans="1:5" ht="20.25" customHeight="1" x14ac:dyDescent="0.15">
      <c r="A3800" s="2" t="s">
        <v>8391</v>
      </c>
      <c r="B3800" s="2" t="s">
        <v>8392</v>
      </c>
      <c r="C3800" s="2">
        <v>-0.84</v>
      </c>
      <c r="D3800" s="2">
        <v>16.9316</v>
      </c>
      <c r="E3800" s="2" t="s">
        <v>201</v>
      </c>
    </row>
    <row r="3801" spans="1:5" ht="20.25" customHeight="1" x14ac:dyDescent="0.15">
      <c r="A3801" s="2" t="s">
        <v>8153</v>
      </c>
      <c r="B3801" s="2" t="s">
        <v>8154</v>
      </c>
      <c r="C3801" s="2">
        <v>-0.84499999999999997</v>
      </c>
      <c r="D3801" s="2">
        <v>8.0587999999999997</v>
      </c>
      <c r="E3801" s="2" t="s">
        <v>1243</v>
      </c>
    </row>
    <row r="3802" spans="1:5" ht="20.25" customHeight="1" x14ac:dyDescent="0.15">
      <c r="A3802" s="2" t="s">
        <v>6458</v>
      </c>
      <c r="B3802" s="2" t="s">
        <v>6459</v>
      </c>
      <c r="C3802" s="2">
        <v>-0.85</v>
      </c>
      <c r="D3802" s="2">
        <v>64.062100000000001</v>
      </c>
      <c r="E3802" s="2" t="s">
        <v>741</v>
      </c>
    </row>
    <row r="3803" spans="1:5" ht="20.25" customHeight="1" x14ac:dyDescent="0.15">
      <c r="A3803" s="2" t="s">
        <v>8225</v>
      </c>
      <c r="B3803" s="2" t="s">
        <v>8226</v>
      </c>
      <c r="C3803" s="2">
        <v>-0.85</v>
      </c>
      <c r="D3803" s="2">
        <v>29.301200000000001</v>
      </c>
      <c r="E3803" s="2" t="s">
        <v>260</v>
      </c>
    </row>
    <row r="3804" spans="1:5" ht="20.25" customHeight="1" x14ac:dyDescent="0.15">
      <c r="A3804" s="2" t="s">
        <v>1347</v>
      </c>
      <c r="B3804" s="2" t="s">
        <v>1348</v>
      </c>
      <c r="C3804" s="2">
        <v>-0.86</v>
      </c>
      <c r="D3804" s="2">
        <v>4.3052999999999999</v>
      </c>
      <c r="E3804" s="2" t="s">
        <v>371</v>
      </c>
    </row>
    <row r="3805" spans="1:5" ht="20.25" customHeight="1" x14ac:dyDescent="0.15">
      <c r="A3805" s="2" t="s">
        <v>3302</v>
      </c>
      <c r="B3805" s="2" t="s">
        <v>3303</v>
      </c>
      <c r="C3805" s="2">
        <v>-0.86</v>
      </c>
      <c r="D3805" s="2">
        <v>16.6724</v>
      </c>
      <c r="E3805" s="2" t="s">
        <v>44</v>
      </c>
    </row>
    <row r="3806" spans="1:5" ht="20.25" customHeight="1" x14ac:dyDescent="0.15">
      <c r="A3806" s="2" t="s">
        <v>4452</v>
      </c>
      <c r="B3806" s="2" t="s">
        <v>4453</v>
      </c>
      <c r="C3806" s="2">
        <v>-0.86</v>
      </c>
      <c r="D3806" s="2">
        <v>8.4016999999999999</v>
      </c>
      <c r="E3806" s="2" t="s">
        <v>143</v>
      </c>
    </row>
    <row r="3807" spans="1:5" ht="20.25" customHeight="1" x14ac:dyDescent="0.15">
      <c r="A3807" s="2" t="s">
        <v>5164</v>
      </c>
      <c r="B3807" s="2" t="s">
        <v>5165</v>
      </c>
      <c r="C3807" s="2">
        <v>-0.86</v>
      </c>
      <c r="D3807" s="2">
        <v>4.1315999999999997</v>
      </c>
      <c r="E3807" s="2" t="s">
        <v>344</v>
      </c>
    </row>
    <row r="3808" spans="1:5" ht="20.25" customHeight="1" x14ac:dyDescent="0.15">
      <c r="A3808" s="2" t="s">
        <v>7769</v>
      </c>
      <c r="B3808" s="2" t="s">
        <v>7770</v>
      </c>
      <c r="C3808" s="2">
        <v>-0.86</v>
      </c>
      <c r="D3808" s="2">
        <v>1.6978</v>
      </c>
      <c r="E3808" s="2" t="s">
        <v>5703</v>
      </c>
    </row>
    <row r="3809" spans="1:5" ht="20.25" customHeight="1" x14ac:dyDescent="0.15">
      <c r="A3809" s="2" t="s">
        <v>8119</v>
      </c>
      <c r="B3809" s="2" t="s">
        <v>8120</v>
      </c>
      <c r="C3809" s="2">
        <v>-0.86</v>
      </c>
      <c r="D3809" s="2">
        <v>4.6444000000000001</v>
      </c>
      <c r="E3809" s="2" t="s">
        <v>1870</v>
      </c>
    </row>
    <row r="3810" spans="1:5" ht="20.25" customHeight="1" x14ac:dyDescent="0.15">
      <c r="A3810" s="2" t="s">
        <v>4960</v>
      </c>
      <c r="B3810" s="2" t="s">
        <v>4961</v>
      </c>
      <c r="C3810" s="2">
        <v>-0.87</v>
      </c>
      <c r="D3810" s="2">
        <v>2.3302999999999998</v>
      </c>
      <c r="E3810" s="2" t="s">
        <v>35</v>
      </c>
    </row>
    <row r="3811" spans="1:5" ht="20.25" customHeight="1" x14ac:dyDescent="0.15">
      <c r="A3811" s="2" t="s">
        <v>5030</v>
      </c>
      <c r="B3811" s="2" t="s">
        <v>5031</v>
      </c>
      <c r="C3811" s="2">
        <v>-0.87</v>
      </c>
      <c r="D3811" s="2">
        <v>6.4478999999999997</v>
      </c>
      <c r="E3811" s="2" t="s">
        <v>630</v>
      </c>
    </row>
    <row r="3812" spans="1:5" ht="20.25" customHeight="1" x14ac:dyDescent="0.15">
      <c r="A3812" s="2" t="s">
        <v>5716</v>
      </c>
      <c r="B3812" s="2" t="s">
        <v>5717</v>
      </c>
      <c r="C3812" s="2">
        <v>-0.87</v>
      </c>
      <c r="D3812" s="2">
        <v>20.3034</v>
      </c>
      <c r="E3812" s="2" t="s">
        <v>551</v>
      </c>
    </row>
    <row r="3813" spans="1:5" ht="20.25" customHeight="1" x14ac:dyDescent="0.15">
      <c r="A3813" s="2" t="s">
        <v>1075</v>
      </c>
      <c r="B3813" s="2" t="s">
        <v>1076</v>
      </c>
      <c r="C3813" s="2">
        <v>-0.88</v>
      </c>
      <c r="D3813" s="2">
        <v>5.5214999999999996</v>
      </c>
      <c r="E3813" s="2" t="s">
        <v>704</v>
      </c>
    </row>
    <row r="3814" spans="1:5" ht="20.25" customHeight="1" x14ac:dyDescent="0.15">
      <c r="A3814" s="2" t="s">
        <v>3529</v>
      </c>
      <c r="B3814" s="2" t="s">
        <v>3530</v>
      </c>
      <c r="C3814" s="2">
        <v>-0.88</v>
      </c>
      <c r="D3814" s="2">
        <v>33.010399999999997</v>
      </c>
      <c r="E3814" s="2" t="s">
        <v>1094</v>
      </c>
    </row>
    <row r="3815" spans="1:5" ht="20.25" customHeight="1" x14ac:dyDescent="0.15">
      <c r="A3815" s="2" t="s">
        <v>4084</v>
      </c>
      <c r="B3815" s="2" t="s">
        <v>4085</v>
      </c>
      <c r="C3815" s="2">
        <v>-0.88</v>
      </c>
      <c r="D3815" s="2">
        <v>22.861899999999999</v>
      </c>
      <c r="E3815" s="2" t="s">
        <v>201</v>
      </c>
    </row>
    <row r="3816" spans="1:5" ht="20.25" customHeight="1" x14ac:dyDescent="0.15">
      <c r="A3816" s="2" t="s">
        <v>6919</v>
      </c>
      <c r="B3816" s="2" t="s">
        <v>6920</v>
      </c>
      <c r="C3816" s="2">
        <v>-0.88</v>
      </c>
      <c r="D3816" s="2">
        <v>14.2342</v>
      </c>
      <c r="E3816" s="2" t="s">
        <v>1142</v>
      </c>
    </row>
    <row r="3817" spans="1:5" ht="20.25" customHeight="1" x14ac:dyDescent="0.15">
      <c r="A3817" s="2" t="s">
        <v>7509</v>
      </c>
      <c r="B3817" s="2" t="s">
        <v>7510</v>
      </c>
      <c r="C3817" s="2">
        <v>-0.88</v>
      </c>
      <c r="D3817" s="2">
        <v>3.3809999999999998</v>
      </c>
      <c r="E3817" s="2" t="s">
        <v>784</v>
      </c>
    </row>
    <row r="3818" spans="1:5" ht="20.25" customHeight="1" x14ac:dyDescent="0.15">
      <c r="A3818" s="2" t="s">
        <v>7603</v>
      </c>
      <c r="B3818" s="2" t="s">
        <v>7604</v>
      </c>
      <c r="C3818" s="2">
        <v>-0.88</v>
      </c>
      <c r="D3818" s="2">
        <v>3.9169</v>
      </c>
      <c r="E3818" s="2" t="s">
        <v>1248</v>
      </c>
    </row>
    <row r="3819" spans="1:5" ht="20.25" customHeight="1" x14ac:dyDescent="0.15">
      <c r="A3819" s="2" t="s">
        <v>4430</v>
      </c>
      <c r="B3819" s="2" t="s">
        <v>4431</v>
      </c>
      <c r="C3819" s="2">
        <v>-0.89</v>
      </c>
      <c r="D3819" s="2">
        <v>27.8126</v>
      </c>
      <c r="E3819" s="2" t="s">
        <v>1969</v>
      </c>
    </row>
    <row r="3820" spans="1:5" ht="20.25" customHeight="1" x14ac:dyDescent="0.15">
      <c r="A3820" s="2" t="s">
        <v>8029</v>
      </c>
      <c r="B3820" s="2" t="s">
        <v>8030</v>
      </c>
      <c r="C3820" s="2">
        <v>-0.89</v>
      </c>
      <c r="D3820" s="2">
        <v>10.974299999999999</v>
      </c>
      <c r="E3820" s="2" t="s">
        <v>704</v>
      </c>
    </row>
    <row r="3821" spans="1:5" ht="20.25" customHeight="1" x14ac:dyDescent="0.15">
      <c r="A3821" s="2" t="s">
        <v>4845</v>
      </c>
      <c r="B3821" s="2" t="s">
        <v>4846</v>
      </c>
      <c r="C3821" s="2">
        <v>-0.91</v>
      </c>
      <c r="D3821" s="2">
        <v>28679.3207</v>
      </c>
      <c r="E3821" s="2" t="s">
        <v>374</v>
      </c>
    </row>
    <row r="3822" spans="1:5" ht="20.25" customHeight="1" x14ac:dyDescent="0.15">
      <c r="A3822" s="2" t="s">
        <v>6608</v>
      </c>
      <c r="B3822" s="2" t="s">
        <v>6609</v>
      </c>
      <c r="C3822" s="2">
        <v>-0.91</v>
      </c>
      <c r="D3822" s="2">
        <v>7.8712999999999997</v>
      </c>
      <c r="E3822" s="2" t="s">
        <v>299</v>
      </c>
    </row>
    <row r="3823" spans="1:5" ht="20.25" customHeight="1" x14ac:dyDescent="0.15">
      <c r="A3823" s="2" t="s">
        <v>6851</v>
      </c>
      <c r="B3823" s="2" t="s">
        <v>6852</v>
      </c>
      <c r="C3823" s="2">
        <v>-0.91500000000000004</v>
      </c>
      <c r="D3823" s="2">
        <v>7.6013000000000002</v>
      </c>
      <c r="E3823" s="2" t="s">
        <v>171</v>
      </c>
    </row>
    <row r="3824" spans="1:5" ht="20.25" customHeight="1" x14ac:dyDescent="0.15">
      <c r="A3824" s="2" t="s">
        <v>6801</v>
      </c>
      <c r="B3824" s="2" t="s">
        <v>6802</v>
      </c>
      <c r="C3824" s="2">
        <v>-0.92</v>
      </c>
      <c r="D3824" s="2">
        <v>334.48939999999999</v>
      </c>
      <c r="E3824" s="2" t="s">
        <v>1969</v>
      </c>
    </row>
    <row r="3825" spans="1:5" ht="20.25" customHeight="1" x14ac:dyDescent="0.15">
      <c r="A3825" s="2" t="s">
        <v>8111</v>
      </c>
      <c r="B3825" s="2" t="s">
        <v>8112</v>
      </c>
      <c r="C3825" s="2">
        <v>-0.93</v>
      </c>
      <c r="D3825" s="2">
        <v>19.882000000000001</v>
      </c>
      <c r="E3825" s="2" t="s">
        <v>1712</v>
      </c>
    </row>
    <row r="3826" spans="1:5" ht="20.25" customHeight="1" x14ac:dyDescent="0.15">
      <c r="A3826" s="2" t="s">
        <v>1795</v>
      </c>
      <c r="B3826" s="2" t="s">
        <v>1796</v>
      </c>
      <c r="C3826" s="2">
        <v>-0.94</v>
      </c>
      <c r="D3826" s="2">
        <v>5.5065999999999997</v>
      </c>
      <c r="E3826" s="2" t="s">
        <v>501</v>
      </c>
    </row>
    <row r="3827" spans="1:5" ht="20.25" customHeight="1" x14ac:dyDescent="0.15">
      <c r="A3827" s="2" t="s">
        <v>3773</v>
      </c>
      <c r="B3827" s="2" t="s">
        <v>3774</v>
      </c>
      <c r="C3827" s="2">
        <v>-0.94</v>
      </c>
      <c r="D3827" s="2">
        <v>8.4474999999999998</v>
      </c>
      <c r="E3827" s="2" t="s">
        <v>245</v>
      </c>
    </row>
    <row r="3828" spans="1:5" ht="20.25" customHeight="1" x14ac:dyDescent="0.15">
      <c r="A3828" s="2" t="s">
        <v>4907</v>
      </c>
      <c r="B3828" s="2" t="s">
        <v>4908</v>
      </c>
      <c r="C3828" s="2">
        <v>-0.94</v>
      </c>
      <c r="D3828" s="2">
        <v>6038.8175000000001</v>
      </c>
      <c r="E3828" s="2" t="s">
        <v>704</v>
      </c>
    </row>
    <row r="3829" spans="1:5" ht="20.25" customHeight="1" x14ac:dyDescent="0.15">
      <c r="A3829" s="2" t="s">
        <v>5435</v>
      </c>
      <c r="B3829" s="2" t="s">
        <v>5436</v>
      </c>
      <c r="C3829" s="2">
        <v>-0.94</v>
      </c>
      <c r="D3829" s="2">
        <v>36.688600000000001</v>
      </c>
      <c r="E3829" s="2" t="s">
        <v>1099</v>
      </c>
    </row>
    <row r="3830" spans="1:5" ht="20.25" customHeight="1" x14ac:dyDescent="0.15">
      <c r="A3830" s="2" t="s">
        <v>5593</v>
      </c>
      <c r="B3830" s="2" t="s">
        <v>5594</v>
      </c>
      <c r="C3830" s="2">
        <v>-0.94</v>
      </c>
      <c r="D3830" s="2">
        <v>13.7454</v>
      </c>
      <c r="E3830" s="2" t="s">
        <v>385</v>
      </c>
    </row>
    <row r="3831" spans="1:5" ht="20.25" customHeight="1" x14ac:dyDescent="0.15">
      <c r="A3831" s="2" t="s">
        <v>887</v>
      </c>
      <c r="B3831" s="2" t="s">
        <v>888</v>
      </c>
      <c r="C3831" s="2">
        <v>-0.95</v>
      </c>
      <c r="D3831" s="2">
        <v>558.54300000000001</v>
      </c>
      <c r="E3831" s="2" t="s">
        <v>140</v>
      </c>
    </row>
    <row r="3832" spans="1:5" ht="20.25" customHeight="1" x14ac:dyDescent="0.15">
      <c r="A3832" s="2" t="s">
        <v>6510</v>
      </c>
      <c r="B3832" s="2" t="s">
        <v>6511</v>
      </c>
      <c r="C3832" s="2">
        <v>-0.95</v>
      </c>
      <c r="D3832" s="2">
        <v>6.8106999999999998</v>
      </c>
      <c r="E3832" s="2" t="s">
        <v>385</v>
      </c>
    </row>
    <row r="3833" spans="1:5" ht="20.25" customHeight="1" x14ac:dyDescent="0.15">
      <c r="A3833" s="2" t="s">
        <v>4422</v>
      </c>
      <c r="B3833" s="2" t="s">
        <v>4423</v>
      </c>
      <c r="C3833" s="2">
        <v>-0.96</v>
      </c>
      <c r="D3833" s="2">
        <v>8.1074000000000002</v>
      </c>
      <c r="E3833" s="2" t="s">
        <v>769</v>
      </c>
    </row>
    <row r="3834" spans="1:5" ht="20.25" customHeight="1" x14ac:dyDescent="0.15">
      <c r="A3834" s="2" t="s">
        <v>7343</v>
      </c>
      <c r="B3834" s="2" t="s">
        <v>7344</v>
      </c>
      <c r="C3834" s="2">
        <v>-0.97</v>
      </c>
      <c r="D3834" s="2">
        <v>3.7048999999999999</v>
      </c>
      <c r="E3834" s="2" t="s">
        <v>4939</v>
      </c>
    </row>
    <row r="3835" spans="1:5" ht="20.25" customHeight="1" x14ac:dyDescent="0.15">
      <c r="A3835" s="2" t="s">
        <v>2959</v>
      </c>
      <c r="B3835" s="2" t="s">
        <v>2960</v>
      </c>
      <c r="C3835" s="2">
        <v>-0.98</v>
      </c>
      <c r="D3835" s="2">
        <v>57.290399999999998</v>
      </c>
      <c r="E3835" s="2" t="s">
        <v>371</v>
      </c>
    </row>
    <row r="3836" spans="1:5" ht="20.25" customHeight="1" x14ac:dyDescent="0.15">
      <c r="A3836" s="2" t="s">
        <v>3469</v>
      </c>
      <c r="B3836" s="2" t="s">
        <v>3470</v>
      </c>
      <c r="C3836" s="2">
        <v>-0.98</v>
      </c>
      <c r="D3836" s="2">
        <v>2.3102</v>
      </c>
      <c r="E3836" s="2" t="s">
        <v>207</v>
      </c>
    </row>
    <row r="3837" spans="1:5" ht="20.25" customHeight="1" x14ac:dyDescent="0.15">
      <c r="A3837" s="2" t="s">
        <v>6566</v>
      </c>
      <c r="B3837" s="2" t="s">
        <v>6567</v>
      </c>
      <c r="C3837" s="2">
        <v>-0.98</v>
      </c>
      <c r="D3837" s="2">
        <v>17.8371</v>
      </c>
      <c r="E3837" s="2" t="s">
        <v>265</v>
      </c>
    </row>
    <row r="3838" spans="1:5" ht="20.25" customHeight="1" x14ac:dyDescent="0.15">
      <c r="A3838" s="2" t="s">
        <v>8069</v>
      </c>
      <c r="B3838" s="2" t="s">
        <v>8070</v>
      </c>
      <c r="C3838" s="2">
        <v>-0.98</v>
      </c>
      <c r="D3838" s="2">
        <v>84.019599999999997</v>
      </c>
      <c r="E3838" s="2" t="s">
        <v>2681</v>
      </c>
    </row>
    <row r="3839" spans="1:5" ht="20.25" customHeight="1" x14ac:dyDescent="0.15">
      <c r="A3839" s="2" t="s">
        <v>8163</v>
      </c>
      <c r="B3839" s="2" t="s">
        <v>8164</v>
      </c>
      <c r="C3839" s="2">
        <v>-0.98</v>
      </c>
      <c r="D3839" s="2">
        <v>2.4666000000000001</v>
      </c>
      <c r="E3839" s="2" t="s">
        <v>204</v>
      </c>
    </row>
    <row r="3840" spans="1:5" ht="20.25" customHeight="1" x14ac:dyDescent="0.15">
      <c r="A3840" s="2" t="s">
        <v>3234</v>
      </c>
      <c r="B3840" s="2" t="s">
        <v>3235</v>
      </c>
      <c r="C3840" s="2">
        <v>-0.99</v>
      </c>
      <c r="D3840" s="2">
        <v>49.5137</v>
      </c>
      <c r="E3840" s="2" t="s">
        <v>68</v>
      </c>
    </row>
    <row r="3841" spans="1:5" ht="20.25" customHeight="1" x14ac:dyDescent="0.15">
      <c r="A3841" s="2" t="s">
        <v>3937</v>
      </c>
      <c r="B3841" s="2" t="s">
        <v>3938</v>
      </c>
      <c r="C3841" s="2">
        <v>-0.99</v>
      </c>
      <c r="D3841" s="2">
        <v>10.542899999999999</v>
      </c>
      <c r="E3841" s="2" t="s">
        <v>542</v>
      </c>
    </row>
    <row r="3842" spans="1:5" ht="20.25" customHeight="1" x14ac:dyDescent="0.15">
      <c r="A3842" s="2" t="s">
        <v>7383</v>
      </c>
      <c r="B3842" s="2" t="s">
        <v>7384</v>
      </c>
      <c r="C3842" s="2">
        <v>-0.99</v>
      </c>
      <c r="D3842" s="2">
        <v>20.691400000000002</v>
      </c>
      <c r="E3842" s="2" t="s">
        <v>245</v>
      </c>
    </row>
    <row r="3843" spans="1:5" ht="20.25" customHeight="1" x14ac:dyDescent="0.15">
      <c r="A3843" s="2" t="s">
        <v>8243</v>
      </c>
      <c r="B3843" s="2" t="s">
        <v>8244</v>
      </c>
      <c r="C3843" s="2">
        <v>-0.995</v>
      </c>
      <c r="D3843" s="2">
        <v>7.2267000000000001</v>
      </c>
      <c r="E3843" s="2" t="s">
        <v>52</v>
      </c>
    </row>
    <row r="3844" spans="1:5" ht="20.25" customHeight="1" x14ac:dyDescent="0.15">
      <c r="A3844" s="2" t="s">
        <v>1092</v>
      </c>
      <c r="B3844" s="2" t="s">
        <v>1093</v>
      </c>
      <c r="C3844" s="2">
        <v>-1</v>
      </c>
      <c r="D3844" s="2">
        <v>61.736600000000003</v>
      </c>
      <c r="E3844" s="2" t="s">
        <v>1094</v>
      </c>
    </row>
    <row r="3845" spans="1:5" ht="20.25" customHeight="1" x14ac:dyDescent="0.15">
      <c r="A3845" s="2" t="s">
        <v>2901</v>
      </c>
      <c r="B3845" s="2" t="s">
        <v>2902</v>
      </c>
      <c r="C3845" s="2">
        <v>-1.01</v>
      </c>
      <c r="D3845" s="2">
        <v>4.2699999999999996</v>
      </c>
      <c r="E3845" s="2" t="s">
        <v>7</v>
      </c>
    </row>
    <row r="3846" spans="1:5" ht="20.25" customHeight="1" x14ac:dyDescent="0.15">
      <c r="A3846" s="2" t="s">
        <v>3328</v>
      </c>
      <c r="B3846" s="2" t="s">
        <v>3329</v>
      </c>
      <c r="C3846" s="2">
        <v>-1.01</v>
      </c>
      <c r="D3846" s="2">
        <v>14.8635</v>
      </c>
      <c r="E3846" s="2" t="s">
        <v>185</v>
      </c>
    </row>
    <row r="3847" spans="1:5" ht="20.25" customHeight="1" x14ac:dyDescent="0.15">
      <c r="A3847" s="2" t="s">
        <v>3984</v>
      </c>
      <c r="B3847" s="2" t="s">
        <v>3985</v>
      </c>
      <c r="C3847" s="2">
        <v>-1.01</v>
      </c>
      <c r="D3847" s="2">
        <v>159.40289999999999</v>
      </c>
      <c r="E3847" s="2" t="s">
        <v>68</v>
      </c>
    </row>
    <row r="3848" spans="1:5" ht="20.25" customHeight="1" x14ac:dyDescent="0.15">
      <c r="A3848" s="2" t="s">
        <v>6116</v>
      </c>
      <c r="B3848" s="2" t="s">
        <v>6117</v>
      </c>
      <c r="C3848" s="2">
        <v>-1.01</v>
      </c>
      <c r="D3848" s="2">
        <v>29.569400000000002</v>
      </c>
      <c r="E3848" s="2" t="s">
        <v>391</v>
      </c>
    </row>
    <row r="3849" spans="1:5" ht="20.25" customHeight="1" x14ac:dyDescent="0.15">
      <c r="A3849" s="2" t="s">
        <v>8221</v>
      </c>
      <c r="B3849" s="2" t="s">
        <v>8222</v>
      </c>
      <c r="C3849" s="2">
        <v>-1.01</v>
      </c>
      <c r="D3849" s="2">
        <v>5.6889000000000003</v>
      </c>
      <c r="E3849" s="2" t="s">
        <v>1608</v>
      </c>
    </row>
    <row r="3850" spans="1:5" ht="20.25" customHeight="1" x14ac:dyDescent="0.15">
      <c r="A3850" s="2" t="s">
        <v>5607</v>
      </c>
      <c r="B3850" s="2" t="s">
        <v>5608</v>
      </c>
      <c r="C3850" s="2">
        <v>-1.02</v>
      </c>
      <c r="D3850" s="2">
        <v>23.888500000000001</v>
      </c>
      <c r="E3850" s="2" t="s">
        <v>385</v>
      </c>
    </row>
    <row r="3851" spans="1:5" ht="20.25" customHeight="1" x14ac:dyDescent="0.15">
      <c r="A3851" s="2" t="s">
        <v>6098</v>
      </c>
      <c r="B3851" s="2" t="s">
        <v>6099</v>
      </c>
      <c r="C3851" s="2">
        <v>-1.02</v>
      </c>
      <c r="D3851" s="2">
        <v>19.085699999999999</v>
      </c>
      <c r="E3851" s="2" t="s">
        <v>1459</v>
      </c>
    </row>
    <row r="3852" spans="1:5" ht="20.25" customHeight="1" x14ac:dyDescent="0.15">
      <c r="A3852" s="2" t="s">
        <v>6913</v>
      </c>
      <c r="B3852" s="2" t="s">
        <v>6914</v>
      </c>
      <c r="C3852" s="2">
        <v>-1.02</v>
      </c>
      <c r="D3852" s="2">
        <v>30.9025</v>
      </c>
      <c r="E3852" s="2" t="s">
        <v>1801</v>
      </c>
    </row>
    <row r="3853" spans="1:5" ht="20.25" customHeight="1" x14ac:dyDescent="0.15">
      <c r="A3853" s="2" t="s">
        <v>7109</v>
      </c>
      <c r="B3853" s="2" t="s">
        <v>7110</v>
      </c>
      <c r="C3853" s="2">
        <v>-1.02</v>
      </c>
      <c r="D3853" s="2">
        <v>12.6289</v>
      </c>
      <c r="E3853" s="2" t="s">
        <v>299</v>
      </c>
    </row>
    <row r="3854" spans="1:5" ht="20.25" customHeight="1" x14ac:dyDescent="0.15">
      <c r="A3854" s="2" t="s">
        <v>7867</v>
      </c>
      <c r="B3854" s="2" t="s">
        <v>7868</v>
      </c>
      <c r="C3854" s="2">
        <v>-1.02</v>
      </c>
      <c r="D3854" s="2">
        <v>7.7195999999999998</v>
      </c>
      <c r="E3854" s="2" t="s">
        <v>362</v>
      </c>
    </row>
    <row r="3855" spans="1:5" ht="20.25" customHeight="1" x14ac:dyDescent="0.15">
      <c r="A3855" s="2" t="s">
        <v>4106</v>
      </c>
      <c r="B3855" s="2" t="s">
        <v>4107</v>
      </c>
      <c r="C3855" s="2">
        <v>-1.03</v>
      </c>
      <c r="D3855" s="2">
        <v>1361.6706999999999</v>
      </c>
      <c r="E3855" s="2" t="s">
        <v>459</v>
      </c>
    </row>
    <row r="3856" spans="1:5" ht="20.25" customHeight="1" x14ac:dyDescent="0.15">
      <c r="A3856" s="2" t="s">
        <v>5485</v>
      </c>
      <c r="B3856" s="2" t="s">
        <v>5486</v>
      </c>
      <c r="C3856" s="2">
        <v>-1.03</v>
      </c>
      <c r="D3856" s="2">
        <v>58.140599999999999</v>
      </c>
      <c r="E3856" s="2" t="s">
        <v>1139</v>
      </c>
    </row>
    <row r="3857" spans="1:5" ht="20.25" customHeight="1" x14ac:dyDescent="0.15">
      <c r="A3857" s="2" t="s">
        <v>5499</v>
      </c>
      <c r="B3857" s="2" t="s">
        <v>5500</v>
      </c>
      <c r="C3857" s="2">
        <v>-1.03</v>
      </c>
      <c r="D3857" s="2">
        <v>1.6598999999999999</v>
      </c>
      <c r="E3857" s="2" t="s">
        <v>81</v>
      </c>
    </row>
    <row r="3858" spans="1:5" ht="20.25" customHeight="1" x14ac:dyDescent="0.15">
      <c r="A3858" s="2" t="s">
        <v>6244</v>
      </c>
      <c r="B3858" s="2" t="s">
        <v>6245</v>
      </c>
      <c r="C3858" s="2">
        <v>-1.04</v>
      </c>
      <c r="D3858" s="2">
        <v>46.985900000000001</v>
      </c>
      <c r="E3858" s="2" t="s">
        <v>198</v>
      </c>
    </row>
    <row r="3859" spans="1:5" ht="20.25" customHeight="1" x14ac:dyDescent="0.15">
      <c r="A3859" s="2" t="s">
        <v>8009</v>
      </c>
      <c r="B3859" s="2" t="s">
        <v>8010</v>
      </c>
      <c r="C3859" s="2">
        <v>-1.04</v>
      </c>
      <c r="D3859" s="2">
        <v>32.274999999999999</v>
      </c>
      <c r="E3859" s="2" t="s">
        <v>529</v>
      </c>
    </row>
    <row r="3860" spans="1:5" ht="20.25" customHeight="1" x14ac:dyDescent="0.15">
      <c r="A3860" s="2" t="s">
        <v>7825</v>
      </c>
      <c r="B3860" s="2" t="s">
        <v>7826</v>
      </c>
      <c r="C3860" s="2">
        <v>-1.05</v>
      </c>
      <c r="D3860" s="2">
        <v>5.8353999999999999</v>
      </c>
      <c r="E3860" s="2" t="s">
        <v>35</v>
      </c>
    </row>
    <row r="3861" spans="1:5" ht="20.25" customHeight="1" x14ac:dyDescent="0.15">
      <c r="A3861" s="2" t="s">
        <v>7487</v>
      </c>
      <c r="B3861" s="2" t="s">
        <v>7488</v>
      </c>
      <c r="C3861" s="2">
        <v>-1.06</v>
      </c>
      <c r="D3861" s="2">
        <v>194.19370000000001</v>
      </c>
      <c r="E3861" s="2" t="s">
        <v>982</v>
      </c>
    </row>
    <row r="3862" spans="1:5" ht="20.25" customHeight="1" x14ac:dyDescent="0.15">
      <c r="A3862" s="2" t="s">
        <v>7827</v>
      </c>
      <c r="B3862" s="2" t="s">
        <v>7828</v>
      </c>
      <c r="C3862" s="2">
        <v>-1.06</v>
      </c>
      <c r="D3862" s="2">
        <v>20.733899999999998</v>
      </c>
      <c r="E3862" s="2" t="s">
        <v>551</v>
      </c>
    </row>
    <row r="3863" spans="1:5" ht="20.25" customHeight="1" x14ac:dyDescent="0.15">
      <c r="A3863" s="2" t="s">
        <v>3060</v>
      </c>
      <c r="B3863" s="2" t="s">
        <v>3061</v>
      </c>
      <c r="C3863" s="2">
        <v>-1.0900000000000001</v>
      </c>
      <c r="D3863" s="2">
        <v>87.936599999999999</v>
      </c>
      <c r="E3863" s="2" t="s">
        <v>365</v>
      </c>
    </row>
    <row r="3864" spans="1:5" ht="20.25" customHeight="1" x14ac:dyDescent="0.15">
      <c r="A3864" s="2" t="s">
        <v>6769</v>
      </c>
      <c r="B3864" s="2" t="s">
        <v>6770</v>
      </c>
      <c r="C3864" s="2">
        <v>-1.0900000000000001</v>
      </c>
      <c r="D3864" s="2">
        <v>176.0967</v>
      </c>
      <c r="E3864" s="2" t="s">
        <v>2678</v>
      </c>
    </row>
    <row r="3865" spans="1:5" ht="20.25" customHeight="1" x14ac:dyDescent="0.15">
      <c r="A3865" s="2" t="s">
        <v>7125</v>
      </c>
      <c r="B3865" s="2" t="s">
        <v>7126</v>
      </c>
      <c r="C3865" s="2">
        <v>-1.0900000000000001</v>
      </c>
      <c r="D3865" s="2">
        <v>59.036200000000001</v>
      </c>
      <c r="E3865" s="2" t="s">
        <v>406</v>
      </c>
    </row>
    <row r="3866" spans="1:5" ht="20.25" customHeight="1" x14ac:dyDescent="0.15">
      <c r="A3866" s="2" t="s">
        <v>6350</v>
      </c>
      <c r="B3866" s="2" t="s">
        <v>6351</v>
      </c>
      <c r="C3866" s="2">
        <v>-1.1000000000000001</v>
      </c>
      <c r="D3866" s="2">
        <v>18.735199999999999</v>
      </c>
      <c r="E3866" s="2" t="s">
        <v>787</v>
      </c>
    </row>
    <row r="3867" spans="1:5" ht="20.25" customHeight="1" x14ac:dyDescent="0.15">
      <c r="A3867" s="2" t="s">
        <v>5565</v>
      </c>
      <c r="B3867" s="2" t="s">
        <v>5566</v>
      </c>
      <c r="C3867" s="2">
        <v>-1.1200000000000001</v>
      </c>
      <c r="D3867" s="2">
        <v>4.4246999999999996</v>
      </c>
      <c r="E3867" s="2" t="s">
        <v>403</v>
      </c>
    </row>
    <row r="3868" spans="1:5" ht="20.25" customHeight="1" x14ac:dyDescent="0.15">
      <c r="A3868" s="2" t="s">
        <v>5655</v>
      </c>
      <c r="B3868" s="2" t="s">
        <v>5656</v>
      </c>
      <c r="C3868" s="2">
        <v>-1.1200000000000001</v>
      </c>
      <c r="D3868" s="2">
        <v>9.5315999999999992</v>
      </c>
      <c r="E3868" s="2" t="s">
        <v>605</v>
      </c>
    </row>
    <row r="3869" spans="1:5" ht="20.25" customHeight="1" x14ac:dyDescent="0.15">
      <c r="A3869" s="2" t="s">
        <v>3034</v>
      </c>
      <c r="B3869" s="2" t="s">
        <v>3035</v>
      </c>
      <c r="C3869" s="2">
        <v>-1.1299999999999999</v>
      </c>
      <c r="D3869" s="2">
        <v>68.1875</v>
      </c>
      <c r="E3869" s="2" t="s">
        <v>403</v>
      </c>
    </row>
    <row r="3870" spans="1:5" ht="20.25" customHeight="1" x14ac:dyDescent="0.15">
      <c r="A3870" s="2" t="s">
        <v>6678</v>
      </c>
      <c r="B3870" s="2" t="s">
        <v>6679</v>
      </c>
      <c r="C3870" s="2">
        <v>-1.1299999999999999</v>
      </c>
      <c r="D3870" s="2">
        <v>1067.8706999999999</v>
      </c>
      <c r="E3870" s="2" t="s">
        <v>418</v>
      </c>
    </row>
    <row r="3871" spans="1:5" ht="20.25" customHeight="1" x14ac:dyDescent="0.15">
      <c r="A3871" s="2" t="s">
        <v>7431</v>
      </c>
      <c r="B3871" s="2" t="s">
        <v>7432</v>
      </c>
      <c r="C3871" s="2">
        <v>-1.1299999999999999</v>
      </c>
      <c r="D3871" s="2">
        <v>208.6046</v>
      </c>
      <c r="E3871" s="2" t="s">
        <v>1853</v>
      </c>
    </row>
    <row r="3872" spans="1:5" ht="20.25" customHeight="1" x14ac:dyDescent="0.15">
      <c r="A3872" s="2" t="s">
        <v>7441</v>
      </c>
      <c r="B3872" s="2" t="s">
        <v>7442</v>
      </c>
      <c r="C3872" s="2">
        <v>-1.1299999999999999</v>
      </c>
      <c r="D3872" s="2">
        <v>2.8035999999999999</v>
      </c>
      <c r="E3872" s="2" t="s">
        <v>44</v>
      </c>
    </row>
    <row r="3873" spans="1:5" ht="20.25" customHeight="1" x14ac:dyDescent="0.15">
      <c r="A3873" s="2" t="s">
        <v>8289</v>
      </c>
      <c r="B3873" s="2" t="s">
        <v>8290</v>
      </c>
      <c r="C3873" s="2">
        <v>-1.1299999999999999</v>
      </c>
      <c r="D3873" s="2">
        <v>32.325699999999998</v>
      </c>
      <c r="E3873" s="2" t="s">
        <v>1691</v>
      </c>
    </row>
    <row r="3874" spans="1:5" ht="20.25" customHeight="1" x14ac:dyDescent="0.15">
      <c r="A3874" s="2" t="s">
        <v>6991</v>
      </c>
      <c r="B3874" s="2" t="s">
        <v>6992</v>
      </c>
      <c r="C3874" s="2">
        <v>-1.1399999999999999</v>
      </c>
      <c r="D3874" s="2">
        <v>1.1932</v>
      </c>
      <c r="E3874" s="2" t="s">
        <v>201</v>
      </c>
    </row>
    <row r="3875" spans="1:5" ht="20.25" customHeight="1" x14ac:dyDescent="0.15">
      <c r="A3875" s="2" t="s">
        <v>5481</v>
      </c>
      <c r="B3875" s="2" t="s">
        <v>5482</v>
      </c>
      <c r="C3875" s="2">
        <v>-1.1599999999999999</v>
      </c>
      <c r="D3875" s="2">
        <v>8.1562999999999999</v>
      </c>
      <c r="E3875" s="2" t="s">
        <v>633</v>
      </c>
    </row>
    <row r="3876" spans="1:5" ht="20.25" customHeight="1" x14ac:dyDescent="0.15">
      <c r="A3876" s="2" t="s">
        <v>3214</v>
      </c>
      <c r="B3876" s="2" t="s">
        <v>3215</v>
      </c>
      <c r="C3876" s="2">
        <v>-1.17</v>
      </c>
      <c r="D3876" s="2">
        <v>12.457100000000001</v>
      </c>
      <c r="E3876" s="2" t="s">
        <v>371</v>
      </c>
    </row>
    <row r="3877" spans="1:5" ht="20.25" customHeight="1" x14ac:dyDescent="0.15">
      <c r="A3877" s="2" t="s">
        <v>7483</v>
      </c>
      <c r="B3877" s="2" t="s">
        <v>7484</v>
      </c>
      <c r="C3877" s="2">
        <v>-1.17</v>
      </c>
      <c r="D3877" s="2">
        <v>6.9250999999999996</v>
      </c>
      <c r="E3877" s="2" t="s">
        <v>385</v>
      </c>
    </row>
    <row r="3878" spans="1:5" ht="20.25" customHeight="1" x14ac:dyDescent="0.15">
      <c r="A3878" s="2" t="s">
        <v>8245</v>
      </c>
      <c r="B3878" s="2" t="s">
        <v>8246</v>
      </c>
      <c r="C3878" s="2">
        <v>-1.175</v>
      </c>
      <c r="D3878" s="2">
        <v>20.3979</v>
      </c>
      <c r="E3878" s="2" t="s">
        <v>1403</v>
      </c>
    </row>
    <row r="3879" spans="1:5" ht="20.25" customHeight="1" x14ac:dyDescent="0.15">
      <c r="A3879" s="2" t="s">
        <v>3068</v>
      </c>
      <c r="B3879" s="2" t="s">
        <v>3069</v>
      </c>
      <c r="C3879" s="2">
        <v>-1.18</v>
      </c>
      <c r="D3879" s="2">
        <v>20.189299999999999</v>
      </c>
      <c r="E3879" s="2" t="s">
        <v>1094</v>
      </c>
    </row>
    <row r="3880" spans="1:5" ht="20.25" customHeight="1" x14ac:dyDescent="0.15">
      <c r="A3880" s="2" t="s">
        <v>8131</v>
      </c>
      <c r="B3880" s="2" t="s">
        <v>8132</v>
      </c>
      <c r="C3880" s="2">
        <v>-1.18</v>
      </c>
      <c r="D3880" s="2">
        <v>6.1578999999999997</v>
      </c>
      <c r="E3880" s="2" t="s">
        <v>385</v>
      </c>
    </row>
    <row r="3881" spans="1:5" ht="20.25" customHeight="1" x14ac:dyDescent="0.15">
      <c r="A3881" s="2" t="s">
        <v>8397</v>
      </c>
      <c r="B3881" s="2" t="s">
        <v>8398</v>
      </c>
      <c r="C3881" s="2">
        <v>-1.18</v>
      </c>
      <c r="D3881" s="2">
        <v>23.6097</v>
      </c>
      <c r="E3881" s="2" t="s">
        <v>1099</v>
      </c>
    </row>
    <row r="3882" spans="1:5" ht="20.25" customHeight="1" x14ac:dyDescent="0.15">
      <c r="A3882" s="2" t="s">
        <v>2338</v>
      </c>
      <c r="B3882" s="2" t="s">
        <v>2339</v>
      </c>
      <c r="C3882" s="2">
        <v>-1.19</v>
      </c>
      <c r="D3882" s="2">
        <v>4.1113999999999997</v>
      </c>
      <c r="E3882" s="2" t="s">
        <v>1066</v>
      </c>
    </row>
    <row r="3883" spans="1:5" ht="20.25" customHeight="1" x14ac:dyDescent="0.15">
      <c r="A3883" s="2" t="s">
        <v>4540</v>
      </c>
      <c r="B3883" s="2" t="s">
        <v>4541</v>
      </c>
      <c r="C3883" s="2">
        <v>-1.19</v>
      </c>
      <c r="D3883" s="2">
        <v>31.580100000000002</v>
      </c>
      <c r="E3883" s="2" t="s">
        <v>385</v>
      </c>
    </row>
    <row r="3884" spans="1:5" ht="20.25" customHeight="1" x14ac:dyDescent="0.15">
      <c r="A3884" s="2" t="s">
        <v>7193</v>
      </c>
      <c r="B3884" s="2" t="s">
        <v>7194</v>
      </c>
      <c r="C3884" s="2">
        <v>-1.19</v>
      </c>
      <c r="D3884" s="2">
        <v>12.8104</v>
      </c>
      <c r="E3884" s="2" t="s">
        <v>198</v>
      </c>
    </row>
    <row r="3885" spans="1:5" ht="20.25" customHeight="1" x14ac:dyDescent="0.15">
      <c r="A3885" s="2" t="s">
        <v>3204</v>
      </c>
      <c r="B3885" s="2" t="s">
        <v>3205</v>
      </c>
      <c r="C3885" s="2">
        <v>-1.2</v>
      </c>
      <c r="D3885" s="2">
        <v>15.129099999999999</v>
      </c>
      <c r="E3885" s="2" t="s">
        <v>3053</v>
      </c>
    </row>
    <row r="3886" spans="1:5" ht="20.25" customHeight="1" x14ac:dyDescent="0.15">
      <c r="A3886" s="2" t="s">
        <v>5172</v>
      </c>
      <c r="B3886" s="2" t="s">
        <v>5173</v>
      </c>
      <c r="C3886" s="2">
        <v>-1.2</v>
      </c>
      <c r="D3886" s="2">
        <v>25.384</v>
      </c>
      <c r="E3886" s="2" t="s">
        <v>81</v>
      </c>
    </row>
    <row r="3887" spans="1:5" ht="20.25" customHeight="1" x14ac:dyDescent="0.15">
      <c r="A3887" s="2" t="s">
        <v>3704</v>
      </c>
      <c r="B3887" s="2" t="s">
        <v>3705</v>
      </c>
      <c r="C3887" s="2">
        <v>-1.21</v>
      </c>
      <c r="D3887" s="2">
        <v>752.69159999999999</v>
      </c>
      <c r="E3887" s="2" t="s">
        <v>299</v>
      </c>
    </row>
    <row r="3888" spans="1:5" ht="20.25" customHeight="1" x14ac:dyDescent="0.15">
      <c r="A3888" s="2" t="s">
        <v>2735</v>
      </c>
      <c r="B3888" s="2" t="s">
        <v>2736</v>
      </c>
      <c r="C3888" s="2">
        <v>-1.23</v>
      </c>
      <c r="D3888" s="2">
        <v>35.731299999999997</v>
      </c>
      <c r="E3888" s="2" t="s">
        <v>299</v>
      </c>
    </row>
    <row r="3889" spans="1:5" ht="20.25" customHeight="1" x14ac:dyDescent="0.15">
      <c r="A3889" s="2" t="s">
        <v>4622</v>
      </c>
      <c r="B3889" s="2" t="s">
        <v>4623</v>
      </c>
      <c r="C3889" s="2">
        <v>-1.23</v>
      </c>
      <c r="D3889" s="2">
        <v>2.1715</v>
      </c>
      <c r="E3889" s="2" t="s">
        <v>1066</v>
      </c>
    </row>
    <row r="3890" spans="1:5" ht="20.25" customHeight="1" x14ac:dyDescent="0.15">
      <c r="A3890" s="2" t="s">
        <v>4803</v>
      </c>
      <c r="B3890" s="2" t="s">
        <v>4804</v>
      </c>
      <c r="C3890" s="2">
        <v>-1.23</v>
      </c>
      <c r="D3890" s="2">
        <v>4.6973000000000003</v>
      </c>
      <c r="E3890" s="2" t="s">
        <v>1066</v>
      </c>
    </row>
    <row r="3891" spans="1:5" ht="20.25" customHeight="1" x14ac:dyDescent="0.15">
      <c r="A3891" s="2" t="s">
        <v>3825</v>
      </c>
      <c r="B3891" s="2" t="s">
        <v>3826</v>
      </c>
      <c r="C3891" s="2">
        <v>-1.24</v>
      </c>
      <c r="D3891" s="2">
        <v>106.0532</v>
      </c>
      <c r="E3891" s="2" t="s">
        <v>638</v>
      </c>
    </row>
    <row r="3892" spans="1:5" ht="20.25" customHeight="1" x14ac:dyDescent="0.15">
      <c r="A3892" s="2" t="s">
        <v>4614</v>
      </c>
      <c r="B3892" s="2" t="s">
        <v>4615</v>
      </c>
      <c r="C3892" s="2">
        <v>-1.2549999999999999</v>
      </c>
      <c r="D3892" s="2">
        <v>1.4100999999999999</v>
      </c>
      <c r="E3892" s="2" t="s">
        <v>1515</v>
      </c>
    </row>
    <row r="3893" spans="1:5" ht="20.25" customHeight="1" x14ac:dyDescent="0.15">
      <c r="A3893" s="2" t="s">
        <v>2360</v>
      </c>
      <c r="B3893" s="2" t="s">
        <v>2361</v>
      </c>
      <c r="C3893" s="2">
        <v>-1.27</v>
      </c>
      <c r="D3893" s="2">
        <v>58.811500000000002</v>
      </c>
      <c r="E3893" s="2" t="s">
        <v>542</v>
      </c>
    </row>
    <row r="3894" spans="1:5" ht="20.25" customHeight="1" x14ac:dyDescent="0.15">
      <c r="A3894" s="2" t="s">
        <v>8201</v>
      </c>
      <c r="B3894" s="2" t="s">
        <v>8202</v>
      </c>
      <c r="C3894" s="2">
        <v>-1.28</v>
      </c>
      <c r="D3894" s="2">
        <v>53.218299999999999</v>
      </c>
      <c r="E3894" s="2" t="s">
        <v>126</v>
      </c>
    </row>
    <row r="3895" spans="1:5" ht="20.25" customHeight="1" x14ac:dyDescent="0.15">
      <c r="A3895" s="2" t="s">
        <v>6302</v>
      </c>
      <c r="B3895" s="2" t="s">
        <v>6303</v>
      </c>
      <c r="C3895" s="2">
        <v>-1.3</v>
      </c>
      <c r="D3895" s="2">
        <v>15.997299999999999</v>
      </c>
      <c r="E3895" s="2" t="s">
        <v>630</v>
      </c>
    </row>
    <row r="3896" spans="1:5" ht="20.25" customHeight="1" x14ac:dyDescent="0.15">
      <c r="A3896" s="2" t="s">
        <v>3911</v>
      </c>
      <c r="B3896" s="2" t="s">
        <v>3912</v>
      </c>
      <c r="C3896" s="2">
        <v>-1.31</v>
      </c>
      <c r="D3896" s="2">
        <v>3.2745000000000002</v>
      </c>
      <c r="E3896" s="2" t="s">
        <v>799</v>
      </c>
    </row>
    <row r="3897" spans="1:5" ht="20.25" customHeight="1" x14ac:dyDescent="0.15">
      <c r="A3897" s="2" t="s">
        <v>4956</v>
      </c>
      <c r="B3897" s="2" t="s">
        <v>4957</v>
      </c>
      <c r="C3897" s="2">
        <v>-1.31</v>
      </c>
      <c r="D3897" s="2">
        <v>171.26679999999999</v>
      </c>
      <c r="E3897" s="2" t="s">
        <v>1094</v>
      </c>
    </row>
    <row r="3898" spans="1:5" ht="20.25" customHeight="1" x14ac:dyDescent="0.15">
      <c r="A3898" s="2" t="s">
        <v>5545</v>
      </c>
      <c r="B3898" s="2" t="s">
        <v>5546</v>
      </c>
      <c r="C3898" s="2">
        <v>-1.31</v>
      </c>
      <c r="D3898" s="2">
        <v>5.6429</v>
      </c>
      <c r="E3898" s="2" t="s">
        <v>958</v>
      </c>
    </row>
    <row r="3899" spans="1:5" ht="20.25" customHeight="1" x14ac:dyDescent="0.15">
      <c r="A3899" s="2" t="s">
        <v>5553</v>
      </c>
      <c r="B3899" s="2" t="s">
        <v>5554</v>
      </c>
      <c r="C3899" s="2">
        <v>-1.31</v>
      </c>
      <c r="D3899" s="2">
        <v>5.1390000000000002</v>
      </c>
      <c r="E3899" s="2" t="s">
        <v>459</v>
      </c>
    </row>
    <row r="3900" spans="1:5" ht="20.25" customHeight="1" x14ac:dyDescent="0.15">
      <c r="A3900" s="2" t="s">
        <v>6752</v>
      </c>
      <c r="B3900" s="2" t="s">
        <v>6753</v>
      </c>
      <c r="C3900" s="2">
        <v>-1.31</v>
      </c>
      <c r="D3900" s="2">
        <v>3.9807999999999999</v>
      </c>
      <c r="E3900" s="2" t="s">
        <v>3053</v>
      </c>
    </row>
    <row r="3901" spans="1:5" ht="20.25" customHeight="1" x14ac:dyDescent="0.15">
      <c r="A3901" s="2" t="s">
        <v>3913</v>
      </c>
      <c r="B3901" s="2" t="s">
        <v>3914</v>
      </c>
      <c r="C3901" s="2">
        <v>-1.32</v>
      </c>
      <c r="D3901" s="2">
        <v>10.070399999999999</v>
      </c>
      <c r="E3901" s="2" t="s">
        <v>1570</v>
      </c>
    </row>
    <row r="3902" spans="1:5" ht="20.25" customHeight="1" x14ac:dyDescent="0.15">
      <c r="A3902" s="2" t="s">
        <v>4480</v>
      </c>
      <c r="B3902" s="2" t="s">
        <v>4481</v>
      </c>
      <c r="C3902" s="2">
        <v>-1.32</v>
      </c>
      <c r="D3902" s="2">
        <v>11.537100000000001</v>
      </c>
      <c r="E3902" s="2" t="s">
        <v>260</v>
      </c>
    </row>
    <row r="3903" spans="1:5" ht="20.25" customHeight="1" x14ac:dyDescent="0.15">
      <c r="A3903" s="2" t="s">
        <v>4174</v>
      </c>
      <c r="B3903" s="2" t="s">
        <v>4175</v>
      </c>
      <c r="C3903" s="2">
        <v>-1.33</v>
      </c>
      <c r="D3903" s="2">
        <v>32.928800000000003</v>
      </c>
      <c r="E3903" s="2" t="s">
        <v>245</v>
      </c>
    </row>
    <row r="3904" spans="1:5" ht="20.25" customHeight="1" x14ac:dyDescent="0.15">
      <c r="A3904" s="2" t="s">
        <v>4180</v>
      </c>
      <c r="B3904" s="2" t="s">
        <v>4181</v>
      </c>
      <c r="C3904" s="2">
        <v>-1.33</v>
      </c>
      <c r="D3904" s="2">
        <v>6.3651999999999997</v>
      </c>
      <c r="E3904" s="2" t="s">
        <v>406</v>
      </c>
    </row>
    <row r="3905" spans="1:5" ht="20.25" customHeight="1" x14ac:dyDescent="0.15">
      <c r="A3905" s="2" t="s">
        <v>6787</v>
      </c>
      <c r="B3905" s="2" t="s">
        <v>6788</v>
      </c>
      <c r="C3905" s="2">
        <v>-1.33</v>
      </c>
      <c r="D3905" s="2">
        <v>14.178000000000001</v>
      </c>
      <c r="E3905" s="2" t="s">
        <v>385</v>
      </c>
    </row>
    <row r="3906" spans="1:5" ht="20.25" customHeight="1" x14ac:dyDescent="0.15">
      <c r="A3906" s="2" t="s">
        <v>7311</v>
      </c>
      <c r="B3906" s="2" t="s">
        <v>7312</v>
      </c>
      <c r="C3906" s="2">
        <v>-1.33</v>
      </c>
      <c r="D3906" s="2">
        <v>8.1219000000000001</v>
      </c>
      <c r="E3906" s="2" t="s">
        <v>3048</v>
      </c>
    </row>
    <row r="3907" spans="1:5" ht="20.25" customHeight="1" x14ac:dyDescent="0.15">
      <c r="A3907" s="2" t="s">
        <v>8303</v>
      </c>
      <c r="B3907" s="2" t="s">
        <v>8304</v>
      </c>
      <c r="C3907" s="2">
        <v>-1.335</v>
      </c>
      <c r="D3907" s="2">
        <v>8.3635999999999999</v>
      </c>
      <c r="E3907" s="2" t="s">
        <v>2678</v>
      </c>
    </row>
    <row r="3908" spans="1:5" ht="20.25" customHeight="1" x14ac:dyDescent="0.15">
      <c r="A3908" s="2" t="s">
        <v>8143</v>
      </c>
      <c r="B3908" s="2" t="s">
        <v>8144</v>
      </c>
      <c r="C3908" s="2">
        <v>-1.345</v>
      </c>
      <c r="D3908" s="2">
        <v>17.014399999999998</v>
      </c>
      <c r="E3908" s="2" t="s">
        <v>1608</v>
      </c>
    </row>
    <row r="3909" spans="1:5" ht="20.25" customHeight="1" x14ac:dyDescent="0.15">
      <c r="A3909" s="2" t="s">
        <v>1939</v>
      </c>
      <c r="B3909" s="2" t="s">
        <v>1940</v>
      </c>
      <c r="C3909" s="2">
        <v>-1.35</v>
      </c>
      <c r="D3909" s="2">
        <v>2.2299000000000002</v>
      </c>
      <c r="E3909" s="2" t="s">
        <v>13</v>
      </c>
    </row>
    <row r="3910" spans="1:5" ht="20.25" customHeight="1" x14ac:dyDescent="0.15">
      <c r="A3910" s="2" t="s">
        <v>7297</v>
      </c>
      <c r="B3910" s="2" t="s">
        <v>7298</v>
      </c>
      <c r="C3910" s="2">
        <v>-1.35</v>
      </c>
      <c r="D3910" s="2">
        <v>5.1920999999999999</v>
      </c>
      <c r="E3910" s="2" t="s">
        <v>1041</v>
      </c>
    </row>
    <row r="3911" spans="1:5" ht="20.25" customHeight="1" x14ac:dyDescent="0.15">
      <c r="A3911" s="2" t="s">
        <v>5561</v>
      </c>
      <c r="B3911" s="2" t="s">
        <v>5562</v>
      </c>
      <c r="C3911" s="2">
        <v>-1.36</v>
      </c>
      <c r="D3911" s="2">
        <v>13.04</v>
      </c>
      <c r="E3911" s="2" t="s">
        <v>44</v>
      </c>
    </row>
    <row r="3912" spans="1:5" ht="20.25" customHeight="1" x14ac:dyDescent="0.15">
      <c r="A3912" s="2" t="s">
        <v>2550</v>
      </c>
      <c r="B3912" s="2" t="s">
        <v>2551</v>
      </c>
      <c r="C3912" s="2">
        <v>-1.37</v>
      </c>
      <c r="D3912" s="2">
        <v>33.789499999999997</v>
      </c>
      <c r="E3912" s="2" t="s">
        <v>44</v>
      </c>
    </row>
    <row r="3913" spans="1:5" ht="20.25" customHeight="1" x14ac:dyDescent="0.15">
      <c r="A3913" s="2" t="s">
        <v>4278</v>
      </c>
      <c r="B3913" s="2" t="s">
        <v>4279</v>
      </c>
      <c r="C3913" s="2">
        <v>-1.37</v>
      </c>
      <c r="D3913" s="2">
        <v>20.642700000000001</v>
      </c>
      <c r="E3913" s="2" t="s">
        <v>3053</v>
      </c>
    </row>
    <row r="3914" spans="1:5" ht="20.25" customHeight="1" x14ac:dyDescent="0.15">
      <c r="A3914" s="2" t="s">
        <v>6915</v>
      </c>
      <c r="B3914" s="2" t="s">
        <v>6916</v>
      </c>
      <c r="C3914" s="2">
        <v>-1.37</v>
      </c>
      <c r="D3914" s="2">
        <v>11.3185</v>
      </c>
      <c r="E3914" s="2" t="s">
        <v>403</v>
      </c>
    </row>
    <row r="3915" spans="1:5" ht="20.25" customHeight="1" x14ac:dyDescent="0.15">
      <c r="A3915" s="2" t="s">
        <v>8409</v>
      </c>
      <c r="B3915" s="2" t="s">
        <v>8410</v>
      </c>
      <c r="C3915" s="2">
        <v>-1.38</v>
      </c>
      <c r="D3915" s="2">
        <v>95.315399999999997</v>
      </c>
      <c r="E3915" s="2" t="s">
        <v>385</v>
      </c>
    </row>
    <row r="3916" spans="1:5" ht="20.25" customHeight="1" x14ac:dyDescent="0.15">
      <c r="A3916" s="2" t="s">
        <v>5988</v>
      </c>
      <c r="B3916" s="2" t="s">
        <v>5989</v>
      </c>
      <c r="C3916" s="2">
        <v>-1.39</v>
      </c>
      <c r="D3916" s="2">
        <v>13.241300000000001</v>
      </c>
      <c r="E3916" s="2" t="s">
        <v>2678</v>
      </c>
    </row>
    <row r="3917" spans="1:5" ht="20.25" customHeight="1" x14ac:dyDescent="0.15">
      <c r="A3917" s="2" t="s">
        <v>7873</v>
      </c>
      <c r="B3917" s="2" t="s">
        <v>7874</v>
      </c>
      <c r="C3917" s="2">
        <v>-1.39</v>
      </c>
      <c r="D3917" s="2">
        <v>6.1433</v>
      </c>
      <c r="E3917" s="2" t="s">
        <v>916</v>
      </c>
    </row>
    <row r="3918" spans="1:5" ht="20.25" customHeight="1" x14ac:dyDescent="0.15">
      <c r="A3918" s="2" t="s">
        <v>3736</v>
      </c>
      <c r="B3918" s="2" t="s">
        <v>3737</v>
      </c>
      <c r="C3918" s="2">
        <v>-1.4</v>
      </c>
      <c r="D3918" s="2">
        <v>77.281800000000004</v>
      </c>
      <c r="E3918" s="2" t="s">
        <v>18</v>
      </c>
    </row>
    <row r="3919" spans="1:5" ht="20.25" customHeight="1" x14ac:dyDescent="0.15">
      <c r="A3919" s="2" t="s">
        <v>8015</v>
      </c>
      <c r="B3919" s="2" t="s">
        <v>8016</v>
      </c>
      <c r="C3919" s="2">
        <v>-1.4</v>
      </c>
      <c r="D3919" s="2">
        <v>71.790099999999995</v>
      </c>
      <c r="E3919" s="2" t="s">
        <v>1099</v>
      </c>
    </row>
    <row r="3920" spans="1:5" ht="20.25" customHeight="1" x14ac:dyDescent="0.15">
      <c r="A3920" s="2" t="s">
        <v>6742</v>
      </c>
      <c r="B3920" s="2" t="s">
        <v>6743</v>
      </c>
      <c r="C3920" s="2">
        <v>-1.41</v>
      </c>
      <c r="D3920" s="2">
        <v>11.6287</v>
      </c>
      <c r="E3920" s="2" t="s">
        <v>747</v>
      </c>
    </row>
    <row r="3921" spans="1:5" ht="20.25" customHeight="1" x14ac:dyDescent="0.15">
      <c r="A3921" s="2" t="s">
        <v>5836</v>
      </c>
      <c r="B3921" s="2" t="s">
        <v>5837</v>
      </c>
      <c r="C3921" s="2">
        <v>-1.43</v>
      </c>
      <c r="D3921" s="2">
        <v>27.618600000000001</v>
      </c>
      <c r="E3921" s="2" t="s">
        <v>198</v>
      </c>
    </row>
    <row r="3922" spans="1:5" ht="20.25" customHeight="1" x14ac:dyDescent="0.15">
      <c r="A3922" s="2" t="s">
        <v>6094</v>
      </c>
      <c r="B3922" s="2" t="s">
        <v>6095</v>
      </c>
      <c r="C3922" s="2">
        <v>-1.43</v>
      </c>
      <c r="D3922" s="2">
        <v>3.5276000000000001</v>
      </c>
      <c r="E3922" s="2" t="s">
        <v>3053</v>
      </c>
    </row>
    <row r="3923" spans="1:5" ht="20.25" customHeight="1" x14ac:dyDescent="0.15">
      <c r="A3923" s="2" t="s">
        <v>6965</v>
      </c>
      <c r="B3923" s="2" t="s">
        <v>6966</v>
      </c>
      <c r="C3923" s="2">
        <v>-1.43</v>
      </c>
      <c r="D3923" s="2">
        <v>41.1173</v>
      </c>
      <c r="E3923" s="2" t="s">
        <v>10</v>
      </c>
    </row>
    <row r="3924" spans="1:5" ht="20.25" customHeight="1" x14ac:dyDescent="0.15">
      <c r="A3924" s="2" t="s">
        <v>7605</v>
      </c>
      <c r="B3924" s="2" t="s">
        <v>7606</v>
      </c>
      <c r="C3924" s="2">
        <v>-1.43</v>
      </c>
      <c r="D3924" s="2">
        <v>186.03380000000001</v>
      </c>
      <c r="E3924" s="2" t="s">
        <v>44</v>
      </c>
    </row>
    <row r="3925" spans="1:5" ht="20.25" customHeight="1" x14ac:dyDescent="0.15">
      <c r="A3925" s="2" t="s">
        <v>215</v>
      </c>
      <c r="B3925" s="2" t="s">
        <v>216</v>
      </c>
      <c r="C3925" s="2">
        <v>-1.45</v>
      </c>
      <c r="D3925" s="2">
        <v>2.4399000000000002</v>
      </c>
      <c r="E3925" s="2" t="s">
        <v>217</v>
      </c>
    </row>
    <row r="3926" spans="1:5" ht="20.25" customHeight="1" x14ac:dyDescent="0.15">
      <c r="A3926" s="2" t="s">
        <v>5206</v>
      </c>
      <c r="B3926" s="2" t="s">
        <v>5207</v>
      </c>
      <c r="C3926" s="2">
        <v>-1.45</v>
      </c>
      <c r="D3926" s="2">
        <v>6.82</v>
      </c>
      <c r="E3926" s="2" t="s">
        <v>2724</v>
      </c>
    </row>
    <row r="3927" spans="1:5" ht="20.25" customHeight="1" x14ac:dyDescent="0.15">
      <c r="A3927" s="2" t="s">
        <v>8127</v>
      </c>
      <c r="B3927" s="2" t="s">
        <v>8128</v>
      </c>
      <c r="C3927" s="2">
        <v>-1.46</v>
      </c>
      <c r="D3927" s="2">
        <v>39.494700000000002</v>
      </c>
      <c r="E3927" s="2" t="s">
        <v>4939</v>
      </c>
    </row>
    <row r="3928" spans="1:5" ht="20.25" customHeight="1" x14ac:dyDescent="0.15">
      <c r="A3928" s="2" t="s">
        <v>3841</v>
      </c>
      <c r="B3928" s="2" t="s">
        <v>3842</v>
      </c>
      <c r="C3928" s="2">
        <v>-1.47</v>
      </c>
      <c r="D3928" s="2">
        <v>110.9028</v>
      </c>
      <c r="E3928" s="2" t="s">
        <v>2374</v>
      </c>
    </row>
    <row r="3929" spans="1:5" ht="20.25" customHeight="1" x14ac:dyDescent="0.15">
      <c r="A3929" s="2" t="s">
        <v>4759</v>
      </c>
      <c r="B3929" s="2" t="s">
        <v>4760</v>
      </c>
      <c r="C3929" s="2">
        <v>-1.48</v>
      </c>
      <c r="D3929" s="2">
        <v>5.0945</v>
      </c>
      <c r="E3929" s="2" t="s">
        <v>146</v>
      </c>
    </row>
    <row r="3930" spans="1:5" ht="20.25" customHeight="1" x14ac:dyDescent="0.15">
      <c r="A3930" s="2" t="s">
        <v>6470</v>
      </c>
      <c r="B3930" s="2" t="s">
        <v>6471</v>
      </c>
      <c r="C3930" s="2">
        <v>-1.48</v>
      </c>
      <c r="D3930" s="2">
        <v>10.094099999999999</v>
      </c>
      <c r="E3930" s="2" t="s">
        <v>299</v>
      </c>
    </row>
    <row r="3931" spans="1:5" ht="20.25" customHeight="1" x14ac:dyDescent="0.15">
      <c r="A3931" s="2" t="s">
        <v>7385</v>
      </c>
      <c r="B3931" s="2" t="s">
        <v>7386</v>
      </c>
      <c r="C3931" s="2">
        <v>-1.49</v>
      </c>
      <c r="D3931" s="2">
        <v>144.4922</v>
      </c>
      <c r="E3931" s="2" t="s">
        <v>4127</v>
      </c>
    </row>
    <row r="3932" spans="1:5" ht="20.25" customHeight="1" x14ac:dyDescent="0.15">
      <c r="A3932" s="2" t="s">
        <v>5738</v>
      </c>
      <c r="B3932" s="2" t="s">
        <v>5739</v>
      </c>
      <c r="C3932" s="2">
        <v>-1.4950000000000001</v>
      </c>
      <c r="D3932" s="2">
        <v>8.8260000000000005</v>
      </c>
      <c r="E3932" s="2" t="s">
        <v>2374</v>
      </c>
    </row>
    <row r="3933" spans="1:5" ht="20.25" customHeight="1" x14ac:dyDescent="0.15">
      <c r="A3933" s="2" t="s">
        <v>7521</v>
      </c>
      <c r="B3933" s="2" t="s">
        <v>7522</v>
      </c>
      <c r="C3933" s="2">
        <v>-1.51</v>
      </c>
      <c r="D3933" s="2">
        <v>3.8974000000000002</v>
      </c>
      <c r="E3933" s="2" t="s">
        <v>257</v>
      </c>
    </row>
    <row r="3934" spans="1:5" ht="20.25" customHeight="1" x14ac:dyDescent="0.15">
      <c r="A3934" s="2" t="s">
        <v>6762</v>
      </c>
      <c r="B3934" s="2" t="s">
        <v>6763</v>
      </c>
      <c r="C3934" s="2">
        <v>-1.52</v>
      </c>
      <c r="D3934" s="2">
        <v>27.7437</v>
      </c>
      <c r="E3934" s="2" t="s">
        <v>6764</v>
      </c>
    </row>
    <row r="3935" spans="1:5" ht="20.25" customHeight="1" x14ac:dyDescent="0.15">
      <c r="A3935" s="2" t="s">
        <v>7279</v>
      </c>
      <c r="B3935" s="2" t="s">
        <v>7280</v>
      </c>
      <c r="C3935" s="2">
        <v>-1.52</v>
      </c>
      <c r="D3935" s="2">
        <v>16.305399999999999</v>
      </c>
      <c r="E3935" s="2" t="s">
        <v>459</v>
      </c>
    </row>
    <row r="3936" spans="1:5" ht="20.25" customHeight="1" x14ac:dyDescent="0.15">
      <c r="A3936" s="2" t="s">
        <v>4727</v>
      </c>
      <c r="B3936" s="2" t="s">
        <v>4728</v>
      </c>
      <c r="C3936" s="2">
        <v>-1.53</v>
      </c>
      <c r="D3936" s="2">
        <v>38.665100000000002</v>
      </c>
      <c r="E3936" s="2" t="s">
        <v>630</v>
      </c>
    </row>
    <row r="3937" spans="1:5" ht="20.25" customHeight="1" x14ac:dyDescent="0.15">
      <c r="A3937" s="2" t="s">
        <v>6899</v>
      </c>
      <c r="B3937" s="2" t="s">
        <v>6900</v>
      </c>
      <c r="C3937" s="2">
        <v>-1.53</v>
      </c>
      <c r="D3937" s="2">
        <v>3.8216000000000001</v>
      </c>
      <c r="E3937" s="2" t="s">
        <v>677</v>
      </c>
    </row>
    <row r="3938" spans="1:5" ht="20.25" customHeight="1" x14ac:dyDescent="0.15">
      <c r="A3938" s="2" t="s">
        <v>3014</v>
      </c>
      <c r="B3938" s="2" t="s">
        <v>3015</v>
      </c>
      <c r="C3938" s="2">
        <v>-1.54</v>
      </c>
      <c r="D3938" s="2">
        <v>7.4794</v>
      </c>
      <c r="E3938" s="2" t="s">
        <v>286</v>
      </c>
    </row>
    <row r="3939" spans="1:5" ht="20.25" customHeight="1" x14ac:dyDescent="0.15">
      <c r="A3939" s="2" t="s">
        <v>8323</v>
      </c>
      <c r="B3939" s="2" t="s">
        <v>8324</v>
      </c>
      <c r="C3939" s="2">
        <v>-1.54</v>
      </c>
      <c r="D3939" s="2">
        <v>186.78749999999999</v>
      </c>
      <c r="E3939" s="2" t="s">
        <v>1173</v>
      </c>
    </row>
    <row r="3940" spans="1:5" ht="20.25" customHeight="1" x14ac:dyDescent="0.15">
      <c r="A3940" s="2" t="s">
        <v>8183</v>
      </c>
      <c r="B3940" s="2" t="s">
        <v>8184</v>
      </c>
      <c r="C3940" s="2">
        <v>-1.56</v>
      </c>
      <c r="D3940" s="2">
        <v>34.940399999999997</v>
      </c>
      <c r="E3940" s="2" t="s">
        <v>299</v>
      </c>
    </row>
    <row r="3941" spans="1:5" ht="20.25" customHeight="1" x14ac:dyDescent="0.15">
      <c r="A3941" s="2" t="s">
        <v>6740</v>
      </c>
      <c r="B3941" s="2" t="s">
        <v>6741</v>
      </c>
      <c r="C3941" s="2">
        <v>-1.57</v>
      </c>
      <c r="D3941" s="2">
        <v>13.674099999999999</v>
      </c>
      <c r="E3941" s="2" t="s">
        <v>10</v>
      </c>
    </row>
    <row r="3942" spans="1:5" ht="20.25" customHeight="1" x14ac:dyDescent="0.15">
      <c r="A3942" s="2" t="s">
        <v>5248</v>
      </c>
      <c r="B3942" s="2" t="s">
        <v>5249</v>
      </c>
      <c r="C3942" s="2">
        <v>-1.58</v>
      </c>
      <c r="D3942" s="2">
        <v>3.8815</v>
      </c>
      <c r="E3942" s="2" t="s">
        <v>529</v>
      </c>
    </row>
    <row r="3943" spans="1:5" ht="20.25" customHeight="1" x14ac:dyDescent="0.15">
      <c r="A3943" s="2" t="s">
        <v>7479</v>
      </c>
      <c r="B3943" s="2" t="s">
        <v>7480</v>
      </c>
      <c r="C3943" s="2">
        <v>-1.58</v>
      </c>
      <c r="D3943" s="2">
        <v>18.584299999999999</v>
      </c>
      <c r="E3943" s="2" t="s">
        <v>724</v>
      </c>
    </row>
    <row r="3944" spans="1:5" ht="20.25" customHeight="1" x14ac:dyDescent="0.15">
      <c r="A3944" s="2" t="s">
        <v>4498</v>
      </c>
      <c r="B3944" s="2" t="s">
        <v>4499</v>
      </c>
      <c r="C3944" s="2">
        <v>-1.59</v>
      </c>
      <c r="D3944" s="2">
        <v>88.777900000000002</v>
      </c>
      <c r="E3944" s="2" t="s">
        <v>299</v>
      </c>
    </row>
    <row r="3945" spans="1:5" ht="20.25" customHeight="1" x14ac:dyDescent="0.15">
      <c r="A3945" s="2" t="s">
        <v>7177</v>
      </c>
      <c r="B3945" s="2" t="s">
        <v>7178</v>
      </c>
      <c r="C3945" s="2">
        <v>-1.59</v>
      </c>
      <c r="D3945" s="2">
        <v>15.0182</v>
      </c>
      <c r="E3945" s="2" t="s">
        <v>1870</v>
      </c>
    </row>
    <row r="3946" spans="1:5" ht="20.25" customHeight="1" x14ac:dyDescent="0.15">
      <c r="A3946" s="2" t="s">
        <v>6738</v>
      </c>
      <c r="B3946" s="2" t="s">
        <v>6739</v>
      </c>
      <c r="C3946" s="2">
        <v>-1.62</v>
      </c>
      <c r="D3946" s="2">
        <v>30.8185</v>
      </c>
      <c r="E3946" s="2" t="s">
        <v>501</v>
      </c>
    </row>
    <row r="3947" spans="1:5" ht="20.25" customHeight="1" x14ac:dyDescent="0.15">
      <c r="A3947" s="2" t="s">
        <v>490</v>
      </c>
      <c r="B3947" s="2" t="s">
        <v>491</v>
      </c>
      <c r="C3947" s="2">
        <v>-1.63</v>
      </c>
      <c r="D3947" s="2">
        <v>83.538200000000003</v>
      </c>
      <c r="E3947" s="2" t="s">
        <v>217</v>
      </c>
    </row>
    <row r="3948" spans="1:5" ht="20.25" customHeight="1" x14ac:dyDescent="0.15">
      <c r="A3948" s="2" t="s">
        <v>4514</v>
      </c>
      <c r="B3948" s="2" t="s">
        <v>4515</v>
      </c>
      <c r="C3948" s="2">
        <v>-1.65</v>
      </c>
      <c r="D3948" s="2">
        <v>17.1281</v>
      </c>
      <c r="E3948" s="2" t="s">
        <v>245</v>
      </c>
    </row>
    <row r="3949" spans="1:5" ht="20.25" customHeight="1" x14ac:dyDescent="0.15">
      <c r="A3949" s="2" t="s">
        <v>2316</v>
      </c>
      <c r="B3949" s="2" t="s">
        <v>2317</v>
      </c>
      <c r="C3949" s="2">
        <v>-1.67</v>
      </c>
      <c r="D3949" s="2">
        <v>2.1539000000000001</v>
      </c>
      <c r="E3949" s="2" t="s">
        <v>123</v>
      </c>
    </row>
    <row r="3950" spans="1:5" ht="20.25" customHeight="1" x14ac:dyDescent="0.15">
      <c r="A3950" s="2" t="s">
        <v>2586</v>
      </c>
      <c r="B3950" s="2" t="s">
        <v>2587</v>
      </c>
      <c r="C3950" s="2">
        <v>-1.67</v>
      </c>
      <c r="D3950" s="2">
        <v>34.043100000000003</v>
      </c>
      <c r="E3950" s="2" t="s">
        <v>220</v>
      </c>
    </row>
    <row r="3951" spans="1:5" ht="20.25" customHeight="1" x14ac:dyDescent="0.15">
      <c r="A3951" s="2" t="s">
        <v>7689</v>
      </c>
      <c r="B3951" s="2" t="s">
        <v>7690</v>
      </c>
      <c r="C3951" s="2">
        <v>-1.67</v>
      </c>
      <c r="D3951" s="2">
        <v>11.723000000000001</v>
      </c>
      <c r="E3951" s="2" t="s">
        <v>52</v>
      </c>
    </row>
    <row r="3952" spans="1:5" ht="20.25" customHeight="1" x14ac:dyDescent="0.15">
      <c r="A3952" s="2" t="s">
        <v>4166</v>
      </c>
      <c r="B3952" s="2" t="s">
        <v>4167</v>
      </c>
      <c r="C3952" s="2">
        <v>-1.68</v>
      </c>
      <c r="D3952" s="2">
        <v>19.502099999999999</v>
      </c>
      <c r="E3952" s="2" t="s">
        <v>245</v>
      </c>
    </row>
    <row r="3953" spans="1:5" ht="20.25" customHeight="1" x14ac:dyDescent="0.15">
      <c r="A3953" s="2" t="s">
        <v>295</v>
      </c>
      <c r="B3953" s="2" t="s">
        <v>296</v>
      </c>
      <c r="C3953" s="2">
        <v>-1.69</v>
      </c>
      <c r="D3953" s="2">
        <v>2.4095</v>
      </c>
      <c r="E3953" s="2" t="s">
        <v>217</v>
      </c>
    </row>
    <row r="3954" spans="1:5" ht="20.25" customHeight="1" x14ac:dyDescent="0.15">
      <c r="A3954" s="2" t="s">
        <v>5972</v>
      </c>
      <c r="B3954" s="2" t="s">
        <v>5973</v>
      </c>
      <c r="C3954" s="2">
        <v>-1.7</v>
      </c>
      <c r="D3954" s="2">
        <v>7.6303000000000001</v>
      </c>
      <c r="E3954" s="2" t="s">
        <v>3246</v>
      </c>
    </row>
    <row r="3955" spans="1:5" ht="20.25" customHeight="1" x14ac:dyDescent="0.15">
      <c r="A3955" s="2" t="s">
        <v>8239</v>
      </c>
      <c r="B3955" s="2" t="s">
        <v>8240</v>
      </c>
      <c r="C3955" s="2">
        <v>-1.7</v>
      </c>
      <c r="D3955" s="2">
        <v>66.768600000000006</v>
      </c>
      <c r="E3955" s="2" t="s">
        <v>204</v>
      </c>
    </row>
    <row r="3956" spans="1:5" ht="20.25" customHeight="1" x14ac:dyDescent="0.15">
      <c r="A3956" s="2" t="s">
        <v>2899</v>
      </c>
      <c r="B3956" s="2" t="s">
        <v>2900</v>
      </c>
      <c r="C3956" s="2">
        <v>-1.73</v>
      </c>
      <c r="D3956" s="2">
        <v>22.697800000000001</v>
      </c>
      <c r="E3956" s="2" t="s">
        <v>231</v>
      </c>
    </row>
    <row r="3957" spans="1:5" ht="20.25" customHeight="1" x14ac:dyDescent="0.15">
      <c r="A3957" s="2" t="s">
        <v>5886</v>
      </c>
      <c r="B3957" s="2" t="s">
        <v>5887</v>
      </c>
      <c r="C3957" s="2">
        <v>-1.74</v>
      </c>
      <c r="D3957" s="2">
        <v>41.8735</v>
      </c>
      <c r="E3957" s="2" t="s">
        <v>542</v>
      </c>
    </row>
    <row r="3958" spans="1:5" ht="20.25" customHeight="1" x14ac:dyDescent="0.15">
      <c r="A3958" s="2" t="s">
        <v>6358</v>
      </c>
      <c r="B3958" s="2" t="s">
        <v>6359</v>
      </c>
      <c r="C3958" s="2">
        <v>-1.74</v>
      </c>
      <c r="D3958" s="2">
        <v>6.8105000000000002</v>
      </c>
      <c r="E3958" s="2" t="s">
        <v>690</v>
      </c>
    </row>
    <row r="3959" spans="1:5" ht="20.25" customHeight="1" x14ac:dyDescent="0.15">
      <c r="A3959" s="2" t="s">
        <v>7489</v>
      </c>
      <c r="B3959" s="2" t="s">
        <v>7490</v>
      </c>
      <c r="C3959" s="2">
        <v>-1.75</v>
      </c>
      <c r="D3959" s="2">
        <v>6.4710000000000001</v>
      </c>
      <c r="E3959" s="2" t="s">
        <v>385</v>
      </c>
    </row>
    <row r="3960" spans="1:5" ht="20.25" customHeight="1" x14ac:dyDescent="0.15">
      <c r="A3960" s="2" t="s">
        <v>2158</v>
      </c>
      <c r="B3960" s="2" t="s">
        <v>2159</v>
      </c>
      <c r="C3960" s="2">
        <v>-1.76</v>
      </c>
      <c r="D3960" s="2">
        <v>4.2087000000000003</v>
      </c>
      <c r="E3960" s="2" t="s">
        <v>228</v>
      </c>
    </row>
    <row r="3961" spans="1:5" ht="20.25" customHeight="1" x14ac:dyDescent="0.15">
      <c r="A3961" s="2" t="s">
        <v>6184</v>
      </c>
      <c r="B3961" s="2" t="s">
        <v>6185</v>
      </c>
      <c r="C3961" s="2">
        <v>-1.76</v>
      </c>
      <c r="D3961" s="2">
        <v>8.6754999999999995</v>
      </c>
      <c r="E3961" s="2" t="s">
        <v>271</v>
      </c>
    </row>
    <row r="3962" spans="1:5" ht="20.25" customHeight="1" x14ac:dyDescent="0.15">
      <c r="A3962" s="2" t="s">
        <v>6300</v>
      </c>
      <c r="B3962" s="2" t="s">
        <v>6301</v>
      </c>
      <c r="C3962" s="2">
        <v>-1.77</v>
      </c>
      <c r="D3962" s="2">
        <v>33.766399999999997</v>
      </c>
      <c r="E3962" s="2" t="s">
        <v>371</v>
      </c>
    </row>
    <row r="3963" spans="1:5" ht="20.25" customHeight="1" x14ac:dyDescent="0.15">
      <c r="A3963" s="2" t="s">
        <v>3397</v>
      </c>
      <c r="B3963" s="2" t="s">
        <v>3398</v>
      </c>
      <c r="C3963" s="2">
        <v>-1.79</v>
      </c>
      <c r="D3963" s="2">
        <v>76.374300000000005</v>
      </c>
      <c r="E3963" s="2" t="s">
        <v>1094</v>
      </c>
    </row>
    <row r="3964" spans="1:5" ht="20.25" customHeight="1" x14ac:dyDescent="0.15">
      <c r="A3964" s="2" t="s">
        <v>4620</v>
      </c>
      <c r="B3964" s="2" t="s">
        <v>4621</v>
      </c>
      <c r="C3964" s="2">
        <v>-1.8</v>
      </c>
      <c r="D3964" s="2">
        <v>5.5888999999999998</v>
      </c>
      <c r="E3964" s="2" t="s">
        <v>647</v>
      </c>
    </row>
    <row r="3965" spans="1:5" ht="20.25" customHeight="1" x14ac:dyDescent="0.15">
      <c r="A3965" s="2" t="s">
        <v>5750</v>
      </c>
      <c r="B3965" s="2" t="s">
        <v>5751</v>
      </c>
      <c r="C3965" s="2">
        <v>-1.81</v>
      </c>
      <c r="D3965" s="2">
        <v>20.3032</v>
      </c>
      <c r="E3965" s="2" t="s">
        <v>483</v>
      </c>
    </row>
    <row r="3966" spans="1:5" ht="20.25" customHeight="1" x14ac:dyDescent="0.15">
      <c r="A3966" s="2" t="s">
        <v>248</v>
      </c>
      <c r="B3966" s="2" t="s">
        <v>249</v>
      </c>
      <c r="C3966" s="2">
        <v>-1.82</v>
      </c>
      <c r="D3966" s="2">
        <v>3.0520999999999998</v>
      </c>
      <c r="E3966" s="2" t="s">
        <v>217</v>
      </c>
    </row>
    <row r="3967" spans="1:5" ht="20.25" customHeight="1" x14ac:dyDescent="0.15">
      <c r="A3967" s="2" t="s">
        <v>5822</v>
      </c>
      <c r="B3967" s="2" t="s">
        <v>5823</v>
      </c>
      <c r="C3967" s="2">
        <v>-1.82</v>
      </c>
      <c r="D3967" s="2">
        <v>398.41359999999997</v>
      </c>
      <c r="E3967" s="2" t="s">
        <v>818</v>
      </c>
    </row>
    <row r="3968" spans="1:5" ht="20.25" customHeight="1" x14ac:dyDescent="0.15">
      <c r="A3968" s="2" t="s">
        <v>6182</v>
      </c>
      <c r="B3968" s="2" t="s">
        <v>6183</v>
      </c>
      <c r="C3968" s="2">
        <v>-1.82</v>
      </c>
      <c r="D3968" s="2">
        <v>180.2704</v>
      </c>
      <c r="E3968" s="2" t="s">
        <v>1528</v>
      </c>
    </row>
    <row r="3969" spans="1:5" ht="20.25" customHeight="1" x14ac:dyDescent="0.15">
      <c r="A3969" s="2" t="s">
        <v>4358</v>
      </c>
      <c r="B3969" s="2" t="s">
        <v>4359</v>
      </c>
      <c r="C3969" s="2">
        <v>-1.83</v>
      </c>
      <c r="D3969" s="2">
        <v>20.770199999999999</v>
      </c>
      <c r="E3969" s="2" t="s">
        <v>385</v>
      </c>
    </row>
    <row r="3970" spans="1:5" ht="20.25" customHeight="1" x14ac:dyDescent="0.15">
      <c r="A3970" s="2" t="s">
        <v>1998</v>
      </c>
      <c r="B3970" s="2" t="s">
        <v>1999</v>
      </c>
      <c r="C3970" s="2">
        <v>-1.87</v>
      </c>
      <c r="D3970" s="2">
        <v>62.642800000000001</v>
      </c>
      <c r="E3970" s="2" t="s">
        <v>286</v>
      </c>
    </row>
    <row r="3971" spans="1:5" ht="20.25" customHeight="1" x14ac:dyDescent="0.15">
      <c r="A3971" s="2" t="s">
        <v>2079</v>
      </c>
      <c r="B3971" s="2" t="s">
        <v>2080</v>
      </c>
      <c r="C3971" s="2">
        <v>-1.87</v>
      </c>
      <c r="D3971" s="2">
        <v>69.951999999999998</v>
      </c>
      <c r="E3971" s="2" t="s">
        <v>201</v>
      </c>
    </row>
    <row r="3972" spans="1:5" ht="20.25" customHeight="1" x14ac:dyDescent="0.15">
      <c r="A3972" s="2" t="s">
        <v>5467</v>
      </c>
      <c r="B3972" s="2" t="s">
        <v>5468</v>
      </c>
      <c r="C3972" s="2">
        <v>-1.87</v>
      </c>
      <c r="D3972" s="2">
        <v>40.876399999999997</v>
      </c>
      <c r="E3972" s="2" t="s">
        <v>1403</v>
      </c>
    </row>
    <row r="3973" spans="1:5" ht="20.25" customHeight="1" x14ac:dyDescent="0.15">
      <c r="A3973" s="2" t="s">
        <v>7909</v>
      </c>
      <c r="B3973" s="2" t="s">
        <v>7910</v>
      </c>
      <c r="C3973" s="2">
        <v>-1.875</v>
      </c>
      <c r="D3973" s="2">
        <v>3.8447</v>
      </c>
      <c r="E3973" s="2" t="s">
        <v>2678</v>
      </c>
    </row>
    <row r="3974" spans="1:5" ht="20.25" customHeight="1" x14ac:dyDescent="0.15">
      <c r="A3974" s="2" t="s">
        <v>3505</v>
      </c>
      <c r="B3974" s="2" t="s">
        <v>3506</v>
      </c>
      <c r="C3974" s="2">
        <v>-1.88</v>
      </c>
      <c r="D3974" s="2">
        <v>27.053599999999999</v>
      </c>
      <c r="E3974" s="2" t="s">
        <v>371</v>
      </c>
    </row>
    <row r="3975" spans="1:5" ht="20.25" customHeight="1" x14ac:dyDescent="0.15">
      <c r="A3975" s="2" t="s">
        <v>6781</v>
      </c>
      <c r="B3975" s="2" t="s">
        <v>6782</v>
      </c>
      <c r="C3975" s="2">
        <v>-1.89</v>
      </c>
      <c r="D3975" s="2">
        <v>237.8415</v>
      </c>
      <c r="E3975" s="2" t="s">
        <v>747</v>
      </c>
    </row>
    <row r="3976" spans="1:5" ht="20.25" customHeight="1" x14ac:dyDescent="0.15">
      <c r="A3976" s="2" t="s">
        <v>4632</v>
      </c>
      <c r="B3976" s="2" t="s">
        <v>4633</v>
      </c>
      <c r="C3976" s="2">
        <v>-1.9</v>
      </c>
      <c r="D3976" s="2">
        <v>13.9975</v>
      </c>
      <c r="E3976" s="2" t="s">
        <v>146</v>
      </c>
    </row>
    <row r="3977" spans="1:5" ht="20.25" customHeight="1" x14ac:dyDescent="0.15">
      <c r="A3977" s="2" t="s">
        <v>5142</v>
      </c>
      <c r="B3977" s="2" t="s">
        <v>5143</v>
      </c>
      <c r="C3977" s="2">
        <v>-1.93</v>
      </c>
      <c r="D3977" s="2">
        <v>19.3066</v>
      </c>
      <c r="E3977" s="2" t="s">
        <v>1613</v>
      </c>
    </row>
    <row r="3978" spans="1:5" ht="20.25" customHeight="1" x14ac:dyDescent="0.15">
      <c r="A3978" s="2" t="s">
        <v>5595</v>
      </c>
      <c r="B3978" s="2" t="s">
        <v>5596</v>
      </c>
      <c r="C3978" s="2">
        <v>-1.95</v>
      </c>
      <c r="D3978" s="2">
        <v>215.80799999999999</v>
      </c>
      <c r="E3978" s="2" t="s">
        <v>1873</v>
      </c>
    </row>
    <row r="3979" spans="1:5" ht="20.25" customHeight="1" x14ac:dyDescent="0.15">
      <c r="A3979" s="2" t="s">
        <v>5537</v>
      </c>
      <c r="B3979" s="2" t="s">
        <v>5538</v>
      </c>
      <c r="C3979" s="2">
        <v>-1.96</v>
      </c>
      <c r="D3979" s="2">
        <v>79.543899999999994</v>
      </c>
      <c r="E3979" s="2" t="s">
        <v>1099</v>
      </c>
    </row>
    <row r="3980" spans="1:5" ht="20.25" customHeight="1" x14ac:dyDescent="0.15">
      <c r="A3980" s="2" t="s">
        <v>6596</v>
      </c>
      <c r="B3980" s="2" t="s">
        <v>6597</v>
      </c>
      <c r="C3980" s="2">
        <v>-1.96</v>
      </c>
      <c r="D3980" s="2">
        <v>105.9111</v>
      </c>
      <c r="E3980" s="2" t="s">
        <v>374</v>
      </c>
    </row>
    <row r="3981" spans="1:5" ht="20.25" customHeight="1" x14ac:dyDescent="0.15">
      <c r="A3981" s="2" t="s">
        <v>1696</v>
      </c>
      <c r="B3981" s="2" t="s">
        <v>1697</v>
      </c>
      <c r="C3981" s="2">
        <v>-1.97</v>
      </c>
      <c r="D3981" s="2">
        <v>14.111800000000001</v>
      </c>
      <c r="E3981" s="2" t="s">
        <v>657</v>
      </c>
    </row>
    <row r="3982" spans="1:5" ht="20.25" customHeight="1" x14ac:dyDescent="0.15">
      <c r="A3982" s="2" t="s">
        <v>7339</v>
      </c>
      <c r="B3982" s="2" t="s">
        <v>7340</v>
      </c>
      <c r="C3982" s="2">
        <v>-1.98</v>
      </c>
      <c r="D3982" s="2">
        <v>23.313800000000001</v>
      </c>
      <c r="E3982" s="2" t="s">
        <v>1403</v>
      </c>
    </row>
    <row r="3983" spans="1:5" ht="20.25" customHeight="1" x14ac:dyDescent="0.15">
      <c r="A3983" s="2" t="s">
        <v>3541</v>
      </c>
      <c r="B3983" s="2" t="s">
        <v>3542</v>
      </c>
      <c r="C3983" s="2">
        <v>-2</v>
      </c>
      <c r="D3983" s="2">
        <v>43.398899999999998</v>
      </c>
      <c r="E3983" s="2" t="s">
        <v>713</v>
      </c>
    </row>
    <row r="3984" spans="1:5" ht="20.25" customHeight="1" x14ac:dyDescent="0.15">
      <c r="A3984" s="2" t="s">
        <v>1772</v>
      </c>
      <c r="B3984" s="2" t="s">
        <v>1773</v>
      </c>
      <c r="C3984" s="2">
        <v>-2.0099999999999998</v>
      </c>
      <c r="D3984" s="2">
        <v>78.825500000000005</v>
      </c>
      <c r="E3984" s="2" t="s">
        <v>1774</v>
      </c>
    </row>
    <row r="3985" spans="1:5" ht="20.25" customHeight="1" x14ac:dyDescent="0.15">
      <c r="A3985" s="2" t="s">
        <v>7861</v>
      </c>
      <c r="B3985" s="2" t="s">
        <v>7862</v>
      </c>
      <c r="C3985" s="2">
        <v>-2.0299999999999998</v>
      </c>
      <c r="D3985" s="2">
        <v>17.206900000000001</v>
      </c>
      <c r="E3985" s="2" t="s">
        <v>2344</v>
      </c>
    </row>
    <row r="3986" spans="1:5" ht="20.25" customHeight="1" x14ac:dyDescent="0.15">
      <c r="A3986" s="2" t="s">
        <v>4718</v>
      </c>
      <c r="B3986" s="2" t="s">
        <v>4719</v>
      </c>
      <c r="C3986" s="2">
        <v>-2.06</v>
      </c>
      <c r="D3986" s="2">
        <v>254.6576</v>
      </c>
      <c r="E3986" s="2" t="s">
        <v>4720</v>
      </c>
    </row>
    <row r="3987" spans="1:5" ht="20.25" customHeight="1" x14ac:dyDescent="0.15">
      <c r="A3987" s="2" t="s">
        <v>7727</v>
      </c>
      <c r="B3987" s="2" t="s">
        <v>7728</v>
      </c>
      <c r="C3987" s="2">
        <v>-2.0699999999999998</v>
      </c>
      <c r="D3987" s="2">
        <v>504.0274</v>
      </c>
      <c r="E3987" s="2" t="s">
        <v>245</v>
      </c>
    </row>
    <row r="3988" spans="1:5" ht="20.25" customHeight="1" x14ac:dyDescent="0.15">
      <c r="A3988" s="2" t="s">
        <v>6180</v>
      </c>
      <c r="B3988" s="2" t="s">
        <v>6181</v>
      </c>
      <c r="C3988" s="2">
        <v>-2.09</v>
      </c>
      <c r="D3988" s="2">
        <v>14.335699999999999</v>
      </c>
      <c r="E3988" s="2" t="s">
        <v>4246</v>
      </c>
    </row>
    <row r="3989" spans="1:5" ht="20.25" customHeight="1" x14ac:dyDescent="0.15">
      <c r="A3989" s="2" t="s">
        <v>6869</v>
      </c>
      <c r="B3989" s="2" t="s">
        <v>6870</v>
      </c>
      <c r="C3989" s="2">
        <v>-2.1</v>
      </c>
      <c r="D3989" s="2">
        <v>11.388199999999999</v>
      </c>
      <c r="E3989" s="2" t="s">
        <v>1094</v>
      </c>
    </row>
    <row r="3990" spans="1:5" ht="20.25" customHeight="1" x14ac:dyDescent="0.15">
      <c r="A3990" s="2" t="s">
        <v>2562</v>
      </c>
      <c r="B3990" s="2" t="s">
        <v>2563</v>
      </c>
      <c r="C3990" s="2">
        <v>-2.1349999999999998</v>
      </c>
      <c r="D3990" s="2">
        <v>9.3747000000000007</v>
      </c>
      <c r="E3990" s="2" t="s">
        <v>421</v>
      </c>
    </row>
    <row r="3991" spans="1:5" ht="20.25" customHeight="1" x14ac:dyDescent="0.15">
      <c r="A3991" s="2" t="s">
        <v>5469</v>
      </c>
      <c r="B3991" s="2" t="s">
        <v>5470</v>
      </c>
      <c r="C3991" s="2">
        <v>-2.15</v>
      </c>
      <c r="D3991" s="2">
        <v>35.940800000000003</v>
      </c>
      <c r="E3991" s="2" t="s">
        <v>1248</v>
      </c>
    </row>
    <row r="3992" spans="1:5" ht="20.25" customHeight="1" x14ac:dyDescent="0.15">
      <c r="A3992" s="2" t="s">
        <v>5260</v>
      </c>
      <c r="B3992" s="2" t="s">
        <v>5261</v>
      </c>
      <c r="C3992" s="2">
        <v>-2.1800000000000002</v>
      </c>
      <c r="D3992" s="2">
        <v>328.6866</v>
      </c>
      <c r="E3992" s="2" t="s">
        <v>299</v>
      </c>
    </row>
    <row r="3993" spans="1:5" ht="20.25" customHeight="1" x14ac:dyDescent="0.15">
      <c r="A3993" s="2" t="s">
        <v>8099</v>
      </c>
      <c r="B3993" s="2" t="s">
        <v>8100</v>
      </c>
      <c r="C3993" s="2">
        <v>-2.19</v>
      </c>
      <c r="D3993" s="2">
        <v>272.92349999999999</v>
      </c>
      <c r="E3993" s="2" t="s">
        <v>1139</v>
      </c>
    </row>
    <row r="3994" spans="1:5" ht="20.25" customHeight="1" x14ac:dyDescent="0.15">
      <c r="A3994" s="2" t="s">
        <v>8255</v>
      </c>
      <c r="B3994" s="2" t="s">
        <v>8256</v>
      </c>
      <c r="C3994" s="2">
        <v>-2.23</v>
      </c>
      <c r="D3994" s="2">
        <v>48.286499999999997</v>
      </c>
      <c r="E3994" s="2" t="s">
        <v>704</v>
      </c>
    </row>
    <row r="3995" spans="1:5" ht="20.25" customHeight="1" x14ac:dyDescent="0.15">
      <c r="A3995" s="2" t="s">
        <v>7875</v>
      </c>
      <c r="B3995" s="2" t="s">
        <v>7876</v>
      </c>
      <c r="C3995" s="2">
        <v>-2.25</v>
      </c>
      <c r="D3995" s="2">
        <v>61.828200000000002</v>
      </c>
      <c r="E3995" s="2" t="s">
        <v>260</v>
      </c>
    </row>
    <row r="3996" spans="1:5" ht="20.25" customHeight="1" x14ac:dyDescent="0.15">
      <c r="A3996" s="2" t="s">
        <v>8299</v>
      </c>
      <c r="B3996" s="2" t="s">
        <v>8300</v>
      </c>
      <c r="C3996" s="2">
        <v>-2.25</v>
      </c>
      <c r="D3996" s="2">
        <v>37.597099999999998</v>
      </c>
      <c r="E3996" s="2" t="s">
        <v>265</v>
      </c>
    </row>
    <row r="3997" spans="1:5" ht="20.25" customHeight="1" x14ac:dyDescent="0.15">
      <c r="A3997" s="2" t="s">
        <v>6809</v>
      </c>
      <c r="B3997" s="2" t="s">
        <v>6810</v>
      </c>
      <c r="C3997" s="2">
        <v>-2.2799999999999998</v>
      </c>
      <c r="D3997" s="2">
        <v>36.922899999999998</v>
      </c>
      <c r="E3997" s="2" t="s">
        <v>862</v>
      </c>
    </row>
    <row r="3998" spans="1:5" ht="20.25" customHeight="1" x14ac:dyDescent="0.15">
      <c r="A3998" s="2" t="s">
        <v>5577</v>
      </c>
      <c r="B3998" s="2" t="s">
        <v>5578</v>
      </c>
      <c r="C3998" s="2">
        <v>-2.3450000000000002</v>
      </c>
      <c r="D3998" s="2">
        <v>1.7624</v>
      </c>
      <c r="E3998" s="2" t="s">
        <v>41</v>
      </c>
    </row>
    <row r="3999" spans="1:5" ht="20.25" customHeight="1" x14ac:dyDescent="0.15">
      <c r="A3999" s="2" t="s">
        <v>6933</v>
      </c>
      <c r="B3999" s="2" t="s">
        <v>6934</v>
      </c>
      <c r="C3999" s="2">
        <v>-2.36</v>
      </c>
      <c r="D3999" s="2">
        <v>17.585599999999999</v>
      </c>
      <c r="E3999" s="2" t="s">
        <v>245</v>
      </c>
    </row>
    <row r="4000" spans="1:5" ht="20.25" customHeight="1" x14ac:dyDescent="0.15">
      <c r="A4000" s="2" t="s">
        <v>7985</v>
      </c>
      <c r="B4000" s="2" t="s">
        <v>7986</v>
      </c>
      <c r="C4000" s="2">
        <v>-2.42</v>
      </c>
      <c r="D4000" s="2">
        <v>47.745899999999999</v>
      </c>
      <c r="E4000" s="2" t="s">
        <v>736</v>
      </c>
    </row>
    <row r="4001" spans="1:5" ht="20.25" customHeight="1" x14ac:dyDescent="0.15">
      <c r="A4001" s="2" t="s">
        <v>4196</v>
      </c>
      <c r="B4001" s="2" t="s">
        <v>4197</v>
      </c>
      <c r="C4001" s="2">
        <v>-2.44</v>
      </c>
      <c r="D4001" s="2">
        <v>28.651199999999999</v>
      </c>
      <c r="E4001" s="2" t="s">
        <v>462</v>
      </c>
    </row>
    <row r="4002" spans="1:5" ht="20.25" customHeight="1" x14ac:dyDescent="0.15">
      <c r="A4002" s="2" t="s">
        <v>6610</v>
      </c>
      <c r="B4002" s="2" t="s">
        <v>6611</v>
      </c>
      <c r="C4002" s="2">
        <v>-2.4500000000000002</v>
      </c>
      <c r="D4002" s="2">
        <v>22559.062900000001</v>
      </c>
      <c r="E4002" s="2" t="s">
        <v>260</v>
      </c>
    </row>
    <row r="4003" spans="1:5" ht="20.25" customHeight="1" x14ac:dyDescent="0.15">
      <c r="A4003" s="2" t="s">
        <v>6348</v>
      </c>
      <c r="B4003" s="2" t="s">
        <v>6349</v>
      </c>
      <c r="C4003" s="2">
        <v>-2.52</v>
      </c>
      <c r="D4003" s="2">
        <v>42.804000000000002</v>
      </c>
      <c r="E4003" s="2" t="s">
        <v>35</v>
      </c>
    </row>
    <row r="4004" spans="1:5" ht="20.25" customHeight="1" x14ac:dyDescent="0.15">
      <c r="A4004" s="2" t="s">
        <v>7715</v>
      </c>
      <c r="B4004" s="2" t="s">
        <v>7716</v>
      </c>
      <c r="C4004" s="2">
        <v>-2.52</v>
      </c>
      <c r="D4004" s="2">
        <v>174.54259999999999</v>
      </c>
      <c r="E4004" s="2" t="s">
        <v>421</v>
      </c>
    </row>
    <row r="4005" spans="1:5" ht="20.25" customHeight="1" x14ac:dyDescent="0.15">
      <c r="A4005" s="2" t="s">
        <v>5523</v>
      </c>
      <c r="B4005" s="2" t="s">
        <v>5524</v>
      </c>
      <c r="C4005" s="2">
        <v>-2.5299999999999998</v>
      </c>
      <c r="D4005" s="2">
        <v>16.661200000000001</v>
      </c>
      <c r="E4005" s="2" t="s">
        <v>44</v>
      </c>
    </row>
    <row r="4006" spans="1:5" ht="20.25" customHeight="1" x14ac:dyDescent="0.15">
      <c r="A4006" s="2" t="s">
        <v>7395</v>
      </c>
      <c r="B4006" s="2" t="s">
        <v>7396</v>
      </c>
      <c r="C4006" s="2">
        <v>-2.54</v>
      </c>
      <c r="D4006" s="2">
        <v>27.677800000000001</v>
      </c>
      <c r="E4006" s="2" t="s">
        <v>2917</v>
      </c>
    </row>
    <row r="4007" spans="1:5" ht="20.25" customHeight="1" x14ac:dyDescent="0.15">
      <c r="A4007" s="2" t="s">
        <v>8321</v>
      </c>
      <c r="B4007" s="2" t="s">
        <v>8322</v>
      </c>
      <c r="C4007" s="2">
        <v>-2.6</v>
      </c>
      <c r="D4007" s="2">
        <v>14.9664</v>
      </c>
      <c r="E4007" s="2" t="s">
        <v>265</v>
      </c>
    </row>
    <row r="4008" spans="1:5" ht="20.25" customHeight="1" x14ac:dyDescent="0.15">
      <c r="A4008" s="2" t="s">
        <v>6260</v>
      </c>
      <c r="B4008" s="2" t="s">
        <v>6261</v>
      </c>
      <c r="C4008" s="2">
        <v>-2.61</v>
      </c>
      <c r="D4008" s="2">
        <v>67.402799999999999</v>
      </c>
      <c r="E4008" s="2" t="s">
        <v>21</v>
      </c>
    </row>
    <row r="4009" spans="1:5" ht="20.25" customHeight="1" x14ac:dyDescent="0.15">
      <c r="A4009" s="2" t="s">
        <v>7829</v>
      </c>
      <c r="B4009" s="2" t="s">
        <v>7830</v>
      </c>
      <c r="C4009" s="2">
        <v>-2.61</v>
      </c>
      <c r="D4009" s="2">
        <v>61.780099999999997</v>
      </c>
      <c r="E4009" s="2" t="s">
        <v>630</v>
      </c>
    </row>
    <row r="4010" spans="1:5" ht="20.25" customHeight="1" x14ac:dyDescent="0.15">
      <c r="A4010" s="2" t="s">
        <v>3120</v>
      </c>
      <c r="B4010" s="2" t="s">
        <v>3121</v>
      </c>
      <c r="C4010" s="2">
        <v>-2.64</v>
      </c>
      <c r="D4010" s="2">
        <v>2977.0506</v>
      </c>
      <c r="E4010" s="2" t="s">
        <v>299</v>
      </c>
    </row>
    <row r="4011" spans="1:5" ht="20.25" customHeight="1" x14ac:dyDescent="0.15">
      <c r="A4011" s="2" t="s">
        <v>5505</v>
      </c>
      <c r="B4011" s="2" t="s">
        <v>5506</v>
      </c>
      <c r="C4011" s="2">
        <v>-2.64</v>
      </c>
      <c r="D4011" s="2">
        <v>29.995000000000001</v>
      </c>
      <c r="E4011" s="2" t="s">
        <v>245</v>
      </c>
    </row>
    <row r="4012" spans="1:5" ht="20.25" customHeight="1" x14ac:dyDescent="0.15">
      <c r="A4012" s="2" t="s">
        <v>6168</v>
      </c>
      <c r="B4012" s="2" t="s">
        <v>6169</v>
      </c>
      <c r="C4012" s="2">
        <v>-2.66</v>
      </c>
      <c r="D4012" s="2">
        <v>7.4295</v>
      </c>
      <c r="E4012" s="2" t="s">
        <v>149</v>
      </c>
    </row>
    <row r="4013" spans="1:5" ht="20.25" customHeight="1" x14ac:dyDescent="0.15">
      <c r="A4013" s="2" t="s">
        <v>770</v>
      </c>
      <c r="B4013" s="2" t="s">
        <v>771</v>
      </c>
      <c r="C4013" s="2">
        <v>-2.69</v>
      </c>
      <c r="D4013" s="2">
        <v>73.179900000000004</v>
      </c>
      <c r="E4013" s="2" t="s">
        <v>299</v>
      </c>
    </row>
    <row r="4014" spans="1:5" ht="20.25" customHeight="1" x14ac:dyDescent="0.15">
      <c r="A4014" s="2" t="s">
        <v>4811</v>
      </c>
      <c r="B4014" s="2" t="s">
        <v>4812</v>
      </c>
      <c r="C4014" s="2">
        <v>-2.72</v>
      </c>
      <c r="D4014" s="2">
        <v>190460.90700000001</v>
      </c>
      <c r="E4014" s="2" t="s">
        <v>207</v>
      </c>
    </row>
    <row r="4015" spans="1:5" ht="20.25" customHeight="1" x14ac:dyDescent="0.15">
      <c r="A4015" s="2" t="s">
        <v>6340</v>
      </c>
      <c r="B4015" s="2" t="s">
        <v>6341</v>
      </c>
      <c r="C4015" s="2">
        <v>-2.75</v>
      </c>
      <c r="D4015" s="2">
        <v>20.545999999999999</v>
      </c>
      <c r="E4015" s="2" t="s">
        <v>385</v>
      </c>
    </row>
    <row r="4016" spans="1:5" ht="20.25" customHeight="1" x14ac:dyDescent="0.15">
      <c r="A4016" s="2" t="s">
        <v>3601</v>
      </c>
      <c r="B4016" s="2" t="s">
        <v>3602</v>
      </c>
      <c r="C4016" s="2">
        <v>-2.79</v>
      </c>
      <c r="D4016" s="2">
        <v>623.19730000000004</v>
      </c>
      <c r="E4016" s="2" t="s">
        <v>1873</v>
      </c>
    </row>
    <row r="4017" spans="1:5" ht="20.25" customHeight="1" x14ac:dyDescent="0.15">
      <c r="A4017" s="2" t="s">
        <v>7281</v>
      </c>
      <c r="B4017" s="2" t="s">
        <v>7282</v>
      </c>
      <c r="C4017" s="2">
        <v>-2.8</v>
      </c>
      <c r="D4017" s="2">
        <v>577.65470000000005</v>
      </c>
      <c r="E4017" s="2" t="s">
        <v>52</v>
      </c>
    </row>
    <row r="4018" spans="1:5" ht="20.25" customHeight="1" x14ac:dyDescent="0.15">
      <c r="A4018" s="2" t="s">
        <v>7713</v>
      </c>
      <c r="B4018" s="2" t="s">
        <v>7714</v>
      </c>
      <c r="C4018" s="2">
        <v>-2.82</v>
      </c>
      <c r="D4018" s="2">
        <v>28.808</v>
      </c>
      <c r="E4018" s="2" t="s">
        <v>52</v>
      </c>
    </row>
    <row r="4019" spans="1:5" ht="20.25" customHeight="1" x14ac:dyDescent="0.15">
      <c r="A4019" s="2" t="s">
        <v>7681</v>
      </c>
      <c r="B4019" s="2" t="s">
        <v>7682</v>
      </c>
      <c r="C4019" s="2">
        <v>-2.87</v>
      </c>
      <c r="D4019" s="2">
        <v>11.2187</v>
      </c>
      <c r="E4019" s="2" t="s">
        <v>299</v>
      </c>
    </row>
    <row r="4020" spans="1:5" ht="20.25" customHeight="1" x14ac:dyDescent="0.15">
      <c r="A4020" s="2" t="s">
        <v>7463</v>
      </c>
      <c r="B4020" s="2" t="s">
        <v>7464</v>
      </c>
      <c r="C4020" s="2">
        <v>-2.88</v>
      </c>
      <c r="D4020" s="2">
        <v>730.82010000000002</v>
      </c>
      <c r="E4020" s="2" t="s">
        <v>3760</v>
      </c>
    </row>
    <row r="4021" spans="1:5" ht="20.25" customHeight="1" x14ac:dyDescent="0.15">
      <c r="A4021" s="2" t="s">
        <v>3244</v>
      </c>
      <c r="B4021" s="2" t="s">
        <v>3245</v>
      </c>
      <c r="C4021" s="2">
        <v>-2.89</v>
      </c>
      <c r="D4021" s="2">
        <v>91.149100000000004</v>
      </c>
      <c r="E4021" s="2" t="s">
        <v>3246</v>
      </c>
    </row>
    <row r="4022" spans="1:5" ht="20.25" customHeight="1" x14ac:dyDescent="0.15">
      <c r="A4022" s="2" t="s">
        <v>6328</v>
      </c>
      <c r="B4022" s="2" t="s">
        <v>6329</v>
      </c>
      <c r="C4022" s="2">
        <v>-2.92</v>
      </c>
      <c r="D4022" s="2">
        <v>26.557500000000001</v>
      </c>
      <c r="E4022" s="2" t="s">
        <v>322</v>
      </c>
    </row>
    <row r="4023" spans="1:5" ht="20.25" customHeight="1" x14ac:dyDescent="0.15">
      <c r="A4023" s="2" t="s">
        <v>8279</v>
      </c>
      <c r="B4023" s="2" t="s">
        <v>8280</v>
      </c>
      <c r="C4023" s="2">
        <v>-2.93</v>
      </c>
      <c r="D4023" s="2">
        <v>41.508600000000001</v>
      </c>
      <c r="E4023" s="2" t="s">
        <v>744</v>
      </c>
    </row>
    <row r="4024" spans="1:5" ht="20.25" customHeight="1" x14ac:dyDescent="0.15">
      <c r="A4024" s="2" t="s">
        <v>8335</v>
      </c>
      <c r="B4024" s="2" t="s">
        <v>8336</v>
      </c>
      <c r="C4024" s="2">
        <v>-2.93</v>
      </c>
      <c r="D4024" s="2">
        <v>29.8094</v>
      </c>
      <c r="E4024" s="2" t="s">
        <v>257</v>
      </c>
    </row>
    <row r="4025" spans="1:5" ht="20.25" customHeight="1" x14ac:dyDescent="0.15">
      <c r="A4025" s="2" t="s">
        <v>3409</v>
      </c>
      <c r="B4025" s="2" t="s">
        <v>3410</v>
      </c>
      <c r="C4025" s="2">
        <v>-2.99</v>
      </c>
      <c r="D4025" s="2">
        <v>3684.1595000000002</v>
      </c>
      <c r="E4025" s="2" t="s">
        <v>2678</v>
      </c>
    </row>
    <row r="4026" spans="1:5" ht="20.25" customHeight="1" x14ac:dyDescent="0.15">
      <c r="A4026" s="2" t="s">
        <v>6442</v>
      </c>
      <c r="B4026" s="2" t="s">
        <v>6443</v>
      </c>
      <c r="C4026" s="2">
        <v>-3</v>
      </c>
      <c r="D4026" s="2">
        <v>19.897400000000001</v>
      </c>
      <c r="E4026" s="2" t="s">
        <v>1094</v>
      </c>
    </row>
    <row r="4027" spans="1:5" ht="20.25" customHeight="1" x14ac:dyDescent="0.15">
      <c r="A4027" s="2" t="s">
        <v>4182</v>
      </c>
      <c r="B4027" s="2" t="s">
        <v>4183</v>
      </c>
      <c r="C4027" s="2">
        <v>-3.07</v>
      </c>
      <c r="D4027" s="2">
        <v>1.8129</v>
      </c>
      <c r="E4027" s="2" t="s">
        <v>299</v>
      </c>
    </row>
    <row r="4028" spans="1:5" ht="20.25" customHeight="1" x14ac:dyDescent="0.15">
      <c r="A4028" s="2" t="s">
        <v>7787</v>
      </c>
      <c r="B4028" s="2" t="s">
        <v>7788</v>
      </c>
      <c r="C4028" s="2">
        <v>-3.09</v>
      </c>
      <c r="D4028" s="2">
        <v>257.31700000000001</v>
      </c>
      <c r="E4028" s="2" t="s">
        <v>10</v>
      </c>
    </row>
    <row r="4029" spans="1:5" ht="20.25" customHeight="1" x14ac:dyDescent="0.15">
      <c r="A4029" s="2" t="s">
        <v>6250</v>
      </c>
      <c r="B4029" s="2" t="s">
        <v>6251</v>
      </c>
      <c r="C4029" s="2">
        <v>-3.1</v>
      </c>
      <c r="D4029" s="2">
        <v>514.68089999999995</v>
      </c>
      <c r="E4029" s="2" t="s">
        <v>1263</v>
      </c>
    </row>
    <row r="4030" spans="1:5" ht="20.25" customHeight="1" x14ac:dyDescent="0.15">
      <c r="A4030" s="2" t="s">
        <v>7413</v>
      </c>
      <c r="B4030" s="2" t="s">
        <v>7414</v>
      </c>
      <c r="C4030" s="2">
        <v>-3.14</v>
      </c>
      <c r="D4030" s="2">
        <v>29.776399999999999</v>
      </c>
      <c r="E4030" s="2" t="s">
        <v>1613</v>
      </c>
    </row>
    <row r="4031" spans="1:5" ht="20.25" customHeight="1" x14ac:dyDescent="0.15">
      <c r="A4031" s="2" t="s">
        <v>7815</v>
      </c>
      <c r="B4031" s="2" t="s">
        <v>7816</v>
      </c>
      <c r="C4031" s="2">
        <v>-3.16</v>
      </c>
      <c r="D4031" s="2">
        <v>8.8533000000000008</v>
      </c>
      <c r="E4031" s="2" t="s">
        <v>501</v>
      </c>
    </row>
    <row r="4032" spans="1:5" ht="20.25" customHeight="1" x14ac:dyDescent="0.15">
      <c r="A4032" s="2" t="s">
        <v>4765</v>
      </c>
      <c r="B4032" s="2" t="s">
        <v>4766</v>
      </c>
      <c r="C4032" s="2">
        <v>-3.2</v>
      </c>
      <c r="D4032" s="2">
        <v>11.1889</v>
      </c>
      <c r="E4032" s="2" t="s">
        <v>4246</v>
      </c>
    </row>
    <row r="4033" spans="1:5" ht="20.25" customHeight="1" x14ac:dyDescent="0.15">
      <c r="A4033" s="2" t="s">
        <v>1538</v>
      </c>
      <c r="B4033" s="2" t="s">
        <v>1539</v>
      </c>
      <c r="C4033" s="2">
        <v>-3.2349999999999999</v>
      </c>
      <c r="D4033" s="2">
        <v>34.499899999999997</v>
      </c>
      <c r="E4033" s="2" t="s">
        <v>245</v>
      </c>
    </row>
    <row r="4034" spans="1:5" ht="20.25" customHeight="1" x14ac:dyDescent="0.15">
      <c r="A4034" s="2" t="s">
        <v>6036</v>
      </c>
      <c r="B4034" s="2" t="s">
        <v>6037</v>
      </c>
      <c r="C4034" s="2">
        <v>-3.24</v>
      </c>
      <c r="D4034" s="2">
        <v>184.7627</v>
      </c>
      <c r="E4034" s="2" t="s">
        <v>1094</v>
      </c>
    </row>
    <row r="4035" spans="1:5" ht="20.25" customHeight="1" x14ac:dyDescent="0.15">
      <c r="A4035" s="2" t="s">
        <v>7811</v>
      </c>
      <c r="B4035" s="2" t="s">
        <v>7812</v>
      </c>
      <c r="C4035" s="2">
        <v>-3.26</v>
      </c>
      <c r="D4035" s="2">
        <v>14.786</v>
      </c>
      <c r="E4035" s="2" t="s">
        <v>1145</v>
      </c>
    </row>
    <row r="4036" spans="1:5" ht="20.25" customHeight="1" x14ac:dyDescent="0.15">
      <c r="A4036" s="2" t="s">
        <v>8329</v>
      </c>
      <c r="B4036" s="2" t="s">
        <v>8330</v>
      </c>
      <c r="C4036" s="2">
        <v>-3.29</v>
      </c>
      <c r="D4036" s="2">
        <v>30.183599999999998</v>
      </c>
      <c r="E4036" s="2" t="s">
        <v>630</v>
      </c>
    </row>
    <row r="4037" spans="1:5" ht="20.25" customHeight="1" x14ac:dyDescent="0.15">
      <c r="A4037" s="2" t="s">
        <v>8091</v>
      </c>
      <c r="B4037" s="2" t="s">
        <v>8092</v>
      </c>
      <c r="C4037" s="2">
        <v>-3.32</v>
      </c>
      <c r="D4037" s="2">
        <v>286.5136</v>
      </c>
      <c r="E4037" s="2" t="s">
        <v>713</v>
      </c>
    </row>
    <row r="4038" spans="1:5" ht="20.25" customHeight="1" x14ac:dyDescent="0.15">
      <c r="A4038" s="2" t="s">
        <v>2710</v>
      </c>
      <c r="B4038" s="2" t="s">
        <v>2711</v>
      </c>
      <c r="C4038" s="2">
        <v>-3.33</v>
      </c>
      <c r="D4038" s="2">
        <v>3999.3053</v>
      </c>
      <c r="E4038" s="2" t="s">
        <v>18</v>
      </c>
    </row>
    <row r="4039" spans="1:5" ht="20.25" customHeight="1" x14ac:dyDescent="0.15">
      <c r="A4039" s="2" t="s">
        <v>4568</v>
      </c>
      <c r="B4039" s="2" t="s">
        <v>4569</v>
      </c>
      <c r="C4039" s="2">
        <v>-3.37</v>
      </c>
      <c r="D4039" s="2">
        <v>79.656999999999996</v>
      </c>
      <c r="E4039" s="2" t="s">
        <v>630</v>
      </c>
    </row>
    <row r="4040" spans="1:5" ht="20.25" customHeight="1" x14ac:dyDescent="0.15">
      <c r="A4040" s="2" t="s">
        <v>7721</v>
      </c>
      <c r="B4040" s="2" t="s">
        <v>7722</v>
      </c>
      <c r="C4040" s="2">
        <v>-3.37</v>
      </c>
      <c r="D4040" s="2">
        <v>75.437899999999999</v>
      </c>
      <c r="E4040" s="2" t="s">
        <v>257</v>
      </c>
    </row>
    <row r="4041" spans="1:5" ht="20.25" customHeight="1" x14ac:dyDescent="0.15">
      <c r="A4041" s="2" t="s">
        <v>3199</v>
      </c>
      <c r="B4041" s="2" t="s">
        <v>3200</v>
      </c>
      <c r="C4041" s="2">
        <v>-3.42</v>
      </c>
      <c r="D4041" s="2">
        <v>3386.4726999999998</v>
      </c>
      <c r="E4041" s="2" t="s">
        <v>1243</v>
      </c>
    </row>
    <row r="4042" spans="1:5" ht="20.25" customHeight="1" x14ac:dyDescent="0.15">
      <c r="A4042" s="2" t="s">
        <v>893</v>
      </c>
      <c r="B4042" s="2" t="s">
        <v>894</v>
      </c>
      <c r="C4042" s="2">
        <v>-3.46</v>
      </c>
      <c r="D4042" s="2">
        <v>500.68689999999998</v>
      </c>
      <c r="E4042" s="2" t="s">
        <v>65</v>
      </c>
    </row>
    <row r="4043" spans="1:5" ht="20.25" customHeight="1" x14ac:dyDescent="0.15">
      <c r="A4043" s="2" t="s">
        <v>2486</v>
      </c>
      <c r="B4043" s="2" t="s">
        <v>2487</v>
      </c>
      <c r="C4043" s="2">
        <v>-3.51</v>
      </c>
      <c r="D4043" s="2">
        <v>18.9648</v>
      </c>
      <c r="E4043" s="2" t="s">
        <v>123</v>
      </c>
    </row>
    <row r="4044" spans="1:5" ht="20.25" customHeight="1" x14ac:dyDescent="0.15">
      <c r="A4044" s="2" t="s">
        <v>5304</v>
      </c>
      <c r="B4044" s="2" t="s">
        <v>5305</v>
      </c>
      <c r="C4044" s="2">
        <v>-3.51</v>
      </c>
      <c r="D4044" s="2">
        <v>63.838999999999999</v>
      </c>
      <c r="E4044" s="2" t="s">
        <v>385</v>
      </c>
    </row>
    <row r="4045" spans="1:5" ht="20.25" customHeight="1" x14ac:dyDescent="0.15">
      <c r="A4045" s="2" t="s">
        <v>2975</v>
      </c>
      <c r="B4045" s="2" t="s">
        <v>2976</v>
      </c>
      <c r="C4045" s="2">
        <v>-3.53</v>
      </c>
      <c r="D4045" s="2">
        <v>6726.2956999999997</v>
      </c>
      <c r="E4045" s="2" t="s">
        <v>501</v>
      </c>
    </row>
    <row r="4046" spans="1:5" ht="20.25" customHeight="1" x14ac:dyDescent="0.15">
      <c r="A4046" s="2" t="s">
        <v>7587</v>
      </c>
      <c r="B4046" s="2" t="s">
        <v>7588</v>
      </c>
      <c r="C4046" s="2">
        <v>-3.84</v>
      </c>
      <c r="D4046" s="2">
        <v>582.71950000000004</v>
      </c>
      <c r="E4046" s="2" t="s">
        <v>421</v>
      </c>
    </row>
    <row r="4047" spans="1:5" ht="20.25" customHeight="1" x14ac:dyDescent="0.15">
      <c r="A4047" s="2" t="s">
        <v>7059</v>
      </c>
      <c r="B4047" s="2" t="s">
        <v>7060</v>
      </c>
      <c r="C4047" s="2">
        <v>-3.86</v>
      </c>
      <c r="D4047" s="2">
        <v>39.338700000000003</v>
      </c>
      <c r="E4047" s="2" t="s">
        <v>188</v>
      </c>
    </row>
    <row r="4048" spans="1:5" ht="20.25" customHeight="1" x14ac:dyDescent="0.15">
      <c r="A4048" s="2" t="s">
        <v>3931</v>
      </c>
      <c r="B4048" s="2" t="s">
        <v>3932</v>
      </c>
      <c r="C4048" s="2">
        <v>-3.89</v>
      </c>
      <c r="D4048" s="2">
        <v>99.055700000000002</v>
      </c>
      <c r="E4048" s="2" t="s">
        <v>171</v>
      </c>
    </row>
    <row r="4049" spans="1:5" ht="20.25" customHeight="1" x14ac:dyDescent="0.15">
      <c r="A4049" s="2" t="s">
        <v>158</v>
      </c>
      <c r="B4049" s="2" t="s">
        <v>159</v>
      </c>
      <c r="C4049" s="2">
        <v>-3.92</v>
      </c>
      <c r="D4049" s="2">
        <v>20.552199999999999</v>
      </c>
      <c r="E4049" s="2" t="s">
        <v>18</v>
      </c>
    </row>
    <row r="4050" spans="1:5" ht="20.25" customHeight="1" x14ac:dyDescent="0.15">
      <c r="A4050" s="2" t="s">
        <v>8209</v>
      </c>
      <c r="B4050" s="2" t="s">
        <v>8210</v>
      </c>
      <c r="C4050" s="2">
        <v>-3.92</v>
      </c>
      <c r="D4050" s="2">
        <v>190.9819</v>
      </c>
      <c r="E4050" s="2" t="s">
        <v>430</v>
      </c>
    </row>
    <row r="4051" spans="1:5" ht="20.25" customHeight="1" x14ac:dyDescent="0.15">
      <c r="A4051" s="2" t="s">
        <v>7417</v>
      </c>
      <c r="B4051" s="2" t="s">
        <v>7418</v>
      </c>
      <c r="C4051" s="2">
        <v>-3.9550000000000001</v>
      </c>
      <c r="D4051" s="2">
        <v>2.6677</v>
      </c>
      <c r="E4051" s="2" t="s">
        <v>44</v>
      </c>
    </row>
    <row r="4052" spans="1:5" ht="20.25" customHeight="1" x14ac:dyDescent="0.15">
      <c r="A4052" s="2" t="s">
        <v>221</v>
      </c>
      <c r="B4052" s="2" t="s">
        <v>222</v>
      </c>
      <c r="C4052" s="2">
        <v>-3.96</v>
      </c>
      <c r="D4052" s="2">
        <v>2.5224000000000002</v>
      </c>
      <c r="E4052" s="2" t="s">
        <v>185</v>
      </c>
    </row>
    <row r="4053" spans="1:5" ht="20.25" customHeight="1" x14ac:dyDescent="0.15">
      <c r="A4053" s="2" t="s">
        <v>8025</v>
      </c>
      <c r="B4053" s="2" t="s">
        <v>8026</v>
      </c>
      <c r="C4053" s="2">
        <v>-3.96</v>
      </c>
      <c r="D4053" s="2">
        <v>48.6937</v>
      </c>
      <c r="E4053" s="2" t="s">
        <v>1173</v>
      </c>
    </row>
    <row r="4054" spans="1:5" ht="20.25" customHeight="1" x14ac:dyDescent="0.15">
      <c r="A4054" s="2" t="s">
        <v>6618</v>
      </c>
      <c r="B4054" s="2" t="s">
        <v>6619</v>
      </c>
      <c r="C4054" s="2">
        <v>-4.0199999999999996</v>
      </c>
      <c r="D4054" s="2">
        <v>623.42370000000005</v>
      </c>
      <c r="E4054" s="2" t="s">
        <v>371</v>
      </c>
    </row>
    <row r="4055" spans="1:5" ht="20.25" customHeight="1" x14ac:dyDescent="0.15">
      <c r="A4055" s="2" t="s">
        <v>2926</v>
      </c>
      <c r="B4055" s="2" t="s">
        <v>2927</v>
      </c>
      <c r="C4055" s="2">
        <v>-4.16</v>
      </c>
      <c r="D4055" s="2">
        <v>24.395800000000001</v>
      </c>
      <c r="E4055" s="2" t="s">
        <v>371</v>
      </c>
    </row>
    <row r="4056" spans="1:5" ht="20.25" customHeight="1" x14ac:dyDescent="0.15">
      <c r="A4056" s="2" t="s">
        <v>4572</v>
      </c>
      <c r="B4056" s="2" t="s">
        <v>4573</v>
      </c>
      <c r="C4056" s="2">
        <v>-4.17</v>
      </c>
      <c r="D4056" s="2">
        <v>614.25429999999994</v>
      </c>
      <c r="E4056" s="2" t="s">
        <v>1224</v>
      </c>
    </row>
    <row r="4057" spans="1:5" ht="20.25" customHeight="1" x14ac:dyDescent="0.15">
      <c r="A4057" s="2" t="s">
        <v>4994</v>
      </c>
      <c r="B4057" s="2" t="s">
        <v>4995</v>
      </c>
      <c r="C4057" s="2">
        <v>-4.29</v>
      </c>
      <c r="D4057" s="2">
        <v>64.444500000000005</v>
      </c>
      <c r="E4057" s="2" t="s">
        <v>690</v>
      </c>
    </row>
    <row r="4058" spans="1:5" ht="20.25" customHeight="1" x14ac:dyDescent="0.15">
      <c r="A4058" s="2" t="s">
        <v>4944</v>
      </c>
      <c r="B4058" s="2" t="s">
        <v>4945</v>
      </c>
      <c r="C4058" s="2">
        <v>-4.3899999999999997</v>
      </c>
      <c r="D4058" s="2">
        <v>39.775599999999997</v>
      </c>
      <c r="E4058" s="2" t="s">
        <v>371</v>
      </c>
    </row>
    <row r="4059" spans="1:5" ht="20.25" customHeight="1" x14ac:dyDescent="0.15">
      <c r="A4059" s="2" t="s">
        <v>564</v>
      </c>
      <c r="B4059" s="2" t="s">
        <v>565</v>
      </c>
      <c r="C4059" s="2">
        <v>-4.54</v>
      </c>
      <c r="D4059" s="2">
        <v>9.3698999999999995</v>
      </c>
      <c r="E4059" s="2" t="s">
        <v>18</v>
      </c>
    </row>
    <row r="4060" spans="1:5" ht="20.25" customHeight="1" x14ac:dyDescent="0.15">
      <c r="A4060" s="2" t="s">
        <v>8141</v>
      </c>
      <c r="B4060" s="2" t="s">
        <v>8142</v>
      </c>
      <c r="C4060" s="2">
        <v>-4.6500000000000004</v>
      </c>
      <c r="D4060" s="2">
        <v>63.083599999999997</v>
      </c>
      <c r="E4060" s="2" t="s">
        <v>605</v>
      </c>
    </row>
    <row r="4061" spans="1:5" ht="20.25" customHeight="1" x14ac:dyDescent="0.15">
      <c r="A4061" s="2" t="s">
        <v>5930</v>
      </c>
      <c r="B4061" s="2" t="s">
        <v>5931</v>
      </c>
      <c r="C4061" s="2">
        <v>-4.71</v>
      </c>
      <c r="D4061" s="2">
        <v>10.734</v>
      </c>
      <c r="E4061" s="2" t="s">
        <v>13</v>
      </c>
    </row>
    <row r="4062" spans="1:5" ht="20.25" customHeight="1" x14ac:dyDescent="0.15">
      <c r="A4062" s="2" t="s">
        <v>6194</v>
      </c>
      <c r="B4062" s="2" t="s">
        <v>6195</v>
      </c>
      <c r="C4062" s="2">
        <v>-4.72</v>
      </c>
      <c r="D4062" s="2">
        <v>40.9315</v>
      </c>
      <c r="E4062" s="2" t="s">
        <v>198</v>
      </c>
    </row>
    <row r="4063" spans="1:5" ht="20.25" customHeight="1" x14ac:dyDescent="0.15">
      <c r="A4063" s="2" t="s">
        <v>952</v>
      </c>
      <c r="B4063" s="2" t="s">
        <v>953</v>
      </c>
      <c r="C4063" s="2">
        <v>-5.08</v>
      </c>
      <c r="D4063" s="2">
        <v>1546.3936000000001</v>
      </c>
      <c r="E4063" s="2" t="s">
        <v>322</v>
      </c>
    </row>
    <row r="4064" spans="1:5" ht="20.25" customHeight="1" x14ac:dyDescent="0.15">
      <c r="A4064" s="2" t="s">
        <v>1030</v>
      </c>
      <c r="B4064" s="2" t="s">
        <v>1031</v>
      </c>
      <c r="C4064" s="2">
        <v>-5.14</v>
      </c>
      <c r="D4064" s="2">
        <v>12.0876</v>
      </c>
      <c r="E4064" s="2" t="s">
        <v>677</v>
      </c>
    </row>
    <row r="4065" spans="1:5" ht="20.25" customHeight="1" x14ac:dyDescent="0.15">
      <c r="A4065" s="2" t="s">
        <v>5954</v>
      </c>
      <c r="B4065" s="2" t="s">
        <v>5955</v>
      </c>
      <c r="C4065" s="2">
        <v>-5.18</v>
      </c>
      <c r="D4065" s="2">
        <v>131.7585</v>
      </c>
      <c r="E4065" s="2" t="s">
        <v>1608</v>
      </c>
    </row>
    <row r="4066" spans="1:5" ht="20.25" customHeight="1" x14ac:dyDescent="0.15">
      <c r="A4066" s="2" t="s">
        <v>3537</v>
      </c>
      <c r="B4066" s="2" t="s">
        <v>3538</v>
      </c>
      <c r="C4066" s="2">
        <v>-5.23</v>
      </c>
      <c r="D4066" s="2">
        <v>1518.2122999999999</v>
      </c>
      <c r="E4066" s="2" t="s">
        <v>44</v>
      </c>
    </row>
    <row r="4067" spans="1:5" ht="20.25" customHeight="1" x14ac:dyDescent="0.15">
      <c r="A4067" s="2" t="s">
        <v>7859</v>
      </c>
      <c r="B4067" s="2" t="s">
        <v>7860</v>
      </c>
      <c r="C4067" s="2">
        <v>-5.34</v>
      </c>
      <c r="D4067" s="2">
        <v>635.59339999999997</v>
      </c>
      <c r="E4067" s="2" t="s">
        <v>1870</v>
      </c>
    </row>
    <row r="4068" spans="1:5" ht="20.25" customHeight="1" x14ac:dyDescent="0.15">
      <c r="A4068" s="2" t="s">
        <v>5790</v>
      </c>
      <c r="B4068" s="2" t="s">
        <v>5791</v>
      </c>
      <c r="C4068" s="2">
        <v>-5.49</v>
      </c>
      <c r="D4068" s="2">
        <v>9.9266000000000005</v>
      </c>
      <c r="E4068" s="2" t="s">
        <v>677</v>
      </c>
    </row>
    <row r="4069" spans="1:5" ht="20.25" customHeight="1" x14ac:dyDescent="0.15">
      <c r="A4069" s="2" t="s">
        <v>1343</v>
      </c>
      <c r="B4069" s="2" t="s">
        <v>1344</v>
      </c>
      <c r="C4069" s="2">
        <v>-5.66</v>
      </c>
      <c r="D4069" s="2">
        <v>309.84100000000001</v>
      </c>
      <c r="E4069" s="2" t="s">
        <v>44</v>
      </c>
    </row>
    <row r="4070" spans="1:5" ht="20.25" customHeight="1" x14ac:dyDescent="0.15">
      <c r="A4070" s="2" t="s">
        <v>8223</v>
      </c>
      <c r="B4070" s="2" t="s">
        <v>8224</v>
      </c>
      <c r="C4070" s="2">
        <v>-5.98</v>
      </c>
      <c r="D4070" s="2">
        <v>148.32400000000001</v>
      </c>
      <c r="E4070" s="2" t="s">
        <v>1994</v>
      </c>
    </row>
    <row r="4071" spans="1:5" ht="20.25" customHeight="1" x14ac:dyDescent="0.15">
      <c r="A4071" s="2" t="s">
        <v>7003</v>
      </c>
      <c r="B4071" s="2" t="s">
        <v>7004</v>
      </c>
      <c r="C4071" s="2">
        <v>-6.24</v>
      </c>
      <c r="D4071" s="2">
        <v>8366.7047999999995</v>
      </c>
      <c r="E4071" s="2" t="s">
        <v>4246</v>
      </c>
    </row>
    <row r="4072" spans="1:5" ht="20.25" customHeight="1" x14ac:dyDescent="0.15">
      <c r="A4072" s="2" t="s">
        <v>2484</v>
      </c>
      <c r="B4072" s="2" t="s">
        <v>2485</v>
      </c>
      <c r="C4072" s="2">
        <v>-6.59</v>
      </c>
      <c r="D4072" s="2">
        <v>36.631500000000003</v>
      </c>
      <c r="E4072" s="2" t="s">
        <v>677</v>
      </c>
    </row>
    <row r="4073" spans="1:5" ht="20.25" customHeight="1" x14ac:dyDescent="0.15">
      <c r="A4073" s="2" t="s">
        <v>7263</v>
      </c>
      <c r="B4073" s="2" t="s">
        <v>7264</v>
      </c>
      <c r="C4073" s="2">
        <v>-6.83</v>
      </c>
      <c r="D4073" s="2">
        <v>91.515299999999996</v>
      </c>
      <c r="E4073" s="2" t="s">
        <v>299</v>
      </c>
    </row>
    <row r="4074" spans="1:5" ht="20.25" customHeight="1" x14ac:dyDescent="0.15">
      <c r="A4074" s="2" t="s">
        <v>6905</v>
      </c>
      <c r="B4074" s="2" t="s">
        <v>6906</v>
      </c>
      <c r="C4074" s="2">
        <v>-7.09</v>
      </c>
      <c r="D4074" s="2">
        <v>173.29400000000001</v>
      </c>
      <c r="E4074" s="2" t="s">
        <v>391</v>
      </c>
    </row>
    <row r="4075" spans="1:5" ht="20.25" customHeight="1" x14ac:dyDescent="0.15">
      <c r="A4075" s="2" t="s">
        <v>8275</v>
      </c>
      <c r="B4075" s="2" t="s">
        <v>8276</v>
      </c>
      <c r="C4075" s="2">
        <v>-7.76</v>
      </c>
      <c r="D4075" s="2">
        <v>1845.6008999999999</v>
      </c>
      <c r="E4075" s="2" t="s">
        <v>2678</v>
      </c>
    </row>
    <row r="4076" spans="1:5" ht="20.25" customHeight="1" x14ac:dyDescent="0.15">
      <c r="A4076" s="2" t="s">
        <v>3451</v>
      </c>
      <c r="B4076" s="2" t="s">
        <v>3452</v>
      </c>
      <c r="C4076" s="2">
        <v>-8.08</v>
      </c>
      <c r="D4076" s="2">
        <v>1576.4833000000001</v>
      </c>
      <c r="E4076" s="2" t="s">
        <v>35</v>
      </c>
    </row>
    <row r="4077" spans="1:5" ht="20.25" customHeight="1" x14ac:dyDescent="0.15">
      <c r="A4077" s="2" t="s">
        <v>112</v>
      </c>
      <c r="B4077" s="2" t="s">
        <v>113</v>
      </c>
      <c r="C4077" s="2">
        <v>-8.64</v>
      </c>
      <c r="D4077" s="2">
        <v>18.558599999999998</v>
      </c>
      <c r="E4077" s="2" t="s">
        <v>44</v>
      </c>
    </row>
    <row r="4078" spans="1:5" ht="20.25" customHeight="1" x14ac:dyDescent="0.15">
      <c r="A4078" s="2" t="s">
        <v>8189</v>
      </c>
      <c r="B4078" s="2" t="s">
        <v>8190</v>
      </c>
      <c r="C4078" s="2">
        <v>-9.8800000000000008</v>
      </c>
      <c r="D4078" s="2">
        <v>12.4404</v>
      </c>
      <c r="E4078" s="2" t="s">
        <v>299</v>
      </c>
    </row>
    <row r="4079" spans="1:5" ht="20.25" customHeight="1" x14ac:dyDescent="0.15">
      <c r="A4079" s="2" t="s">
        <v>8251</v>
      </c>
      <c r="B4079" s="2" t="s">
        <v>8252</v>
      </c>
      <c r="C4079" s="2">
        <v>-12.15</v>
      </c>
      <c r="D4079" s="2">
        <v>770.3723</v>
      </c>
      <c r="E4079" s="2" t="s">
        <v>356</v>
      </c>
    </row>
    <row r="4080" spans="1:5" ht="20.25" customHeight="1" x14ac:dyDescent="0.15">
      <c r="A4080" s="2" t="s">
        <v>8361</v>
      </c>
      <c r="B4080" s="2" t="s">
        <v>8362</v>
      </c>
      <c r="C4080" s="2">
        <v>-12.16</v>
      </c>
      <c r="D4080" s="2">
        <v>1093.9775999999999</v>
      </c>
      <c r="E4080" s="2" t="s">
        <v>430</v>
      </c>
    </row>
    <row r="4081" spans="1:5" ht="20.25" customHeight="1" x14ac:dyDescent="0.15">
      <c r="A4081" s="2" t="s">
        <v>7623</v>
      </c>
      <c r="B4081" s="2" t="s">
        <v>7624</v>
      </c>
      <c r="C4081" s="2">
        <v>-14.7</v>
      </c>
      <c r="D4081" s="2">
        <v>730.19929999999999</v>
      </c>
      <c r="E4081" s="2" t="s">
        <v>638</v>
      </c>
    </row>
    <row r="4082" spans="1:5" ht="20.25" customHeight="1" x14ac:dyDescent="0.15">
      <c r="A4082" s="2" t="s">
        <v>1466</v>
      </c>
      <c r="B4082" s="2" t="s">
        <v>1467</v>
      </c>
      <c r="C4082" s="2">
        <v>-15.83</v>
      </c>
      <c r="D4082" s="2">
        <v>172.87389999999999</v>
      </c>
      <c r="E4082" s="2" t="s">
        <v>677</v>
      </c>
    </row>
  </sheetData>
  <autoFilter ref="A1:E4082">
    <sortState ref="A2:E4082">
      <sortCondition descending="1" ref="C1:C4082"/>
    </sortState>
  </autoFilter>
  <phoneticPr fontId="2" type="noConversion"/>
  <pageMargins left="0.7" right="0.7" top="0.75" bottom="0.75" header="0.3" footer="0.3"/>
  <pageSetup paperSize="9" orientation="portrait" r:id="rId1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0"/>
  <sheetViews>
    <sheetView workbookViewId="0"/>
  </sheetViews>
  <sheetFormatPr defaultRowHeight="14.25" x14ac:dyDescent="0.15"/>
  <cols>
    <col min="1" max="1" width="9" style="5"/>
    <col min="2" max="2" width="9" style="6"/>
  </cols>
  <sheetData>
    <row r="1" spans="1:2" x14ac:dyDescent="0.15">
      <c r="A1" s="3" t="s">
        <v>8419</v>
      </c>
      <c r="B1" s="4" t="s">
        <v>8420</v>
      </c>
    </row>
    <row r="2" spans="1:2" x14ac:dyDescent="0.15">
      <c r="A2" s="5" t="s">
        <v>558</v>
      </c>
      <c r="B2" s="6" t="s">
        <v>557</v>
      </c>
    </row>
    <row r="3" spans="1:2" x14ac:dyDescent="0.15">
      <c r="A3" s="5" t="s">
        <v>8421</v>
      </c>
      <c r="B3" s="6" t="s">
        <v>8422</v>
      </c>
    </row>
    <row r="4" spans="1:2" x14ac:dyDescent="0.15">
      <c r="A4" s="5" t="s">
        <v>1090</v>
      </c>
      <c r="B4" s="6" t="s">
        <v>1089</v>
      </c>
    </row>
    <row r="5" spans="1:2" x14ac:dyDescent="0.15">
      <c r="A5" s="5" t="s">
        <v>775</v>
      </c>
      <c r="B5" s="6" t="s">
        <v>774</v>
      </c>
    </row>
    <row r="6" spans="1:2" x14ac:dyDescent="0.15">
      <c r="A6" s="5" t="s">
        <v>461</v>
      </c>
      <c r="B6" s="6" t="s">
        <v>460</v>
      </c>
    </row>
    <row r="7" spans="1:2" x14ac:dyDescent="0.15">
      <c r="A7" s="5" t="s">
        <v>654</v>
      </c>
      <c r="B7" s="6" t="s">
        <v>653</v>
      </c>
    </row>
    <row r="8" spans="1:2" x14ac:dyDescent="0.15">
      <c r="A8" s="5" t="s">
        <v>175</v>
      </c>
      <c r="B8" s="6" t="s">
        <v>174</v>
      </c>
    </row>
    <row r="9" spans="1:2" x14ac:dyDescent="0.15">
      <c r="A9" s="5" t="s">
        <v>8423</v>
      </c>
      <c r="B9" s="6" t="s">
        <v>8424</v>
      </c>
    </row>
    <row r="10" spans="1:2" x14ac:dyDescent="0.15">
      <c r="A10" s="5" t="s">
        <v>8425</v>
      </c>
      <c r="B10" s="6" t="s">
        <v>8426</v>
      </c>
    </row>
    <row r="11" spans="1:2" x14ac:dyDescent="0.15">
      <c r="A11" s="5" t="s">
        <v>351</v>
      </c>
      <c r="B11" s="6" t="s">
        <v>350</v>
      </c>
    </row>
    <row r="12" spans="1:2" x14ac:dyDescent="0.15">
      <c r="A12" s="5" t="s">
        <v>85</v>
      </c>
      <c r="B12" s="6" t="s">
        <v>84</v>
      </c>
    </row>
    <row r="13" spans="1:2" x14ac:dyDescent="0.15">
      <c r="A13" s="5" t="s">
        <v>411</v>
      </c>
      <c r="B13" s="6" t="s">
        <v>410</v>
      </c>
    </row>
    <row r="14" spans="1:2" x14ac:dyDescent="0.15">
      <c r="A14" s="5" t="s">
        <v>20</v>
      </c>
      <c r="B14" s="6" t="s">
        <v>19</v>
      </c>
    </row>
    <row r="15" spans="1:2" x14ac:dyDescent="0.15">
      <c r="A15" s="5" t="s">
        <v>676</v>
      </c>
      <c r="B15" s="6" t="s">
        <v>675</v>
      </c>
    </row>
    <row r="16" spans="1:2" x14ac:dyDescent="0.15">
      <c r="A16" s="5" t="s">
        <v>8427</v>
      </c>
      <c r="B16" s="6" t="s">
        <v>8428</v>
      </c>
    </row>
    <row r="17" spans="1:2" x14ac:dyDescent="0.15">
      <c r="A17" s="5" t="s">
        <v>8429</v>
      </c>
      <c r="B17" s="6" t="s">
        <v>8430</v>
      </c>
    </row>
    <row r="18" spans="1:2" x14ac:dyDescent="0.15">
      <c r="A18" s="5" t="s">
        <v>1082</v>
      </c>
      <c r="B18" s="6" t="s">
        <v>1081</v>
      </c>
    </row>
    <row r="19" spans="1:2" x14ac:dyDescent="0.15">
      <c r="A19" s="5" t="s">
        <v>275</v>
      </c>
      <c r="B19" s="6" t="s">
        <v>274</v>
      </c>
    </row>
    <row r="20" spans="1:2" x14ac:dyDescent="0.15">
      <c r="A20" s="5" t="s">
        <v>8431</v>
      </c>
      <c r="B20" s="6" t="s">
        <v>8432</v>
      </c>
    </row>
    <row r="21" spans="1:2" x14ac:dyDescent="0.15">
      <c r="A21" s="5" t="s">
        <v>729</v>
      </c>
      <c r="B21" s="6" t="s">
        <v>728</v>
      </c>
    </row>
    <row r="22" spans="1:2" x14ac:dyDescent="0.15">
      <c r="A22" s="5" t="s">
        <v>548</v>
      </c>
      <c r="B22" s="6" t="s">
        <v>547</v>
      </c>
    </row>
    <row r="23" spans="1:2" x14ac:dyDescent="0.15">
      <c r="A23" s="5" t="s">
        <v>1126</v>
      </c>
      <c r="B23" s="6" t="s">
        <v>1125</v>
      </c>
    </row>
    <row r="24" spans="1:2" x14ac:dyDescent="0.15">
      <c r="A24" s="5" t="s">
        <v>413</v>
      </c>
      <c r="B24" s="6" t="s">
        <v>412</v>
      </c>
    </row>
    <row r="25" spans="1:2" x14ac:dyDescent="0.15">
      <c r="A25" s="5" t="s">
        <v>91</v>
      </c>
      <c r="B25" s="6" t="s">
        <v>90</v>
      </c>
    </row>
    <row r="26" spans="1:2" x14ac:dyDescent="0.15">
      <c r="A26" s="5" t="s">
        <v>402</v>
      </c>
      <c r="B26" s="6" t="s">
        <v>401</v>
      </c>
    </row>
    <row r="27" spans="1:2" x14ac:dyDescent="0.15">
      <c r="A27" s="5" t="s">
        <v>876</v>
      </c>
      <c r="B27" s="6" t="s">
        <v>875</v>
      </c>
    </row>
    <row r="28" spans="1:2" x14ac:dyDescent="0.15">
      <c r="A28" s="5" t="s">
        <v>173</v>
      </c>
      <c r="B28" s="6" t="s">
        <v>172</v>
      </c>
    </row>
    <row r="29" spans="1:2" x14ac:dyDescent="0.15">
      <c r="A29" s="5" t="s">
        <v>717</v>
      </c>
      <c r="B29" s="6" t="s">
        <v>716</v>
      </c>
    </row>
    <row r="30" spans="1:2" x14ac:dyDescent="0.15">
      <c r="A30" s="5" t="s">
        <v>965</v>
      </c>
      <c r="B30" s="6" t="s">
        <v>964</v>
      </c>
    </row>
    <row r="31" spans="1:2" x14ac:dyDescent="0.15">
      <c r="A31" s="5" t="s">
        <v>432</v>
      </c>
      <c r="B31" s="6" t="s">
        <v>431</v>
      </c>
    </row>
    <row r="32" spans="1:2" x14ac:dyDescent="0.15">
      <c r="A32" s="5" t="s">
        <v>580</v>
      </c>
      <c r="B32" s="6" t="s">
        <v>579</v>
      </c>
    </row>
    <row r="33" spans="1:2" x14ac:dyDescent="0.15">
      <c r="A33" s="5" t="s">
        <v>783</v>
      </c>
      <c r="B33" s="6" t="s">
        <v>782</v>
      </c>
    </row>
    <row r="34" spans="1:2" x14ac:dyDescent="0.15">
      <c r="A34" s="5" t="s">
        <v>953</v>
      </c>
      <c r="B34" s="6" t="s">
        <v>952</v>
      </c>
    </row>
    <row r="35" spans="1:2" x14ac:dyDescent="0.15">
      <c r="A35" s="5" t="s">
        <v>148</v>
      </c>
      <c r="B35" s="6" t="s">
        <v>147</v>
      </c>
    </row>
    <row r="36" spans="1:2" x14ac:dyDescent="0.15">
      <c r="A36" s="5" t="s">
        <v>312</v>
      </c>
      <c r="B36" s="6" t="s">
        <v>311</v>
      </c>
    </row>
    <row r="37" spans="1:2" x14ac:dyDescent="0.15">
      <c r="A37" s="5" t="s">
        <v>163</v>
      </c>
      <c r="B37" s="6" t="s">
        <v>162</v>
      </c>
    </row>
    <row r="38" spans="1:2" x14ac:dyDescent="0.15">
      <c r="A38" s="5" t="s">
        <v>8433</v>
      </c>
      <c r="B38" s="6" t="s">
        <v>8434</v>
      </c>
    </row>
    <row r="39" spans="1:2" x14ac:dyDescent="0.15">
      <c r="A39" s="5" t="s">
        <v>627</v>
      </c>
      <c r="B39" s="6" t="s">
        <v>626</v>
      </c>
    </row>
    <row r="40" spans="1:2" x14ac:dyDescent="0.15">
      <c r="A40" s="5" t="s">
        <v>618</v>
      </c>
      <c r="B40" s="6" t="s">
        <v>617</v>
      </c>
    </row>
    <row r="41" spans="1:2" x14ac:dyDescent="0.15">
      <c r="A41" s="5" t="s">
        <v>920</v>
      </c>
      <c r="B41" s="6" t="s">
        <v>919</v>
      </c>
    </row>
    <row r="42" spans="1:2" x14ac:dyDescent="0.15">
      <c r="A42" s="5" t="s">
        <v>674</v>
      </c>
      <c r="B42" s="6" t="s">
        <v>673</v>
      </c>
    </row>
    <row r="43" spans="1:2" x14ac:dyDescent="0.15">
      <c r="A43" s="5" t="s">
        <v>8435</v>
      </c>
      <c r="B43" s="6" t="s">
        <v>8436</v>
      </c>
    </row>
    <row r="44" spans="1:2" x14ac:dyDescent="0.15">
      <c r="A44" s="5" t="s">
        <v>12</v>
      </c>
      <c r="B44" s="6" t="s">
        <v>11</v>
      </c>
    </row>
    <row r="45" spans="1:2" x14ac:dyDescent="0.15">
      <c r="A45" s="5" t="s">
        <v>969</v>
      </c>
      <c r="B45" s="6" t="s">
        <v>968</v>
      </c>
    </row>
    <row r="46" spans="1:2" x14ac:dyDescent="0.15">
      <c r="A46" s="5" t="s">
        <v>8437</v>
      </c>
      <c r="B46" s="6" t="s">
        <v>8438</v>
      </c>
    </row>
    <row r="47" spans="1:2" x14ac:dyDescent="0.15">
      <c r="A47" s="5" t="s">
        <v>1098</v>
      </c>
      <c r="B47" s="6" t="s">
        <v>1097</v>
      </c>
    </row>
    <row r="48" spans="1:2" x14ac:dyDescent="0.15">
      <c r="A48" s="5" t="s">
        <v>582</v>
      </c>
      <c r="B48" s="6" t="s">
        <v>581</v>
      </c>
    </row>
    <row r="49" spans="1:2" x14ac:dyDescent="0.15">
      <c r="A49" s="5" t="s">
        <v>635</v>
      </c>
      <c r="B49" s="6" t="s">
        <v>634</v>
      </c>
    </row>
    <row r="50" spans="1:2" x14ac:dyDescent="0.15">
      <c r="A50" s="5" t="s">
        <v>928</v>
      </c>
      <c r="B50" s="6" t="s">
        <v>927</v>
      </c>
    </row>
    <row r="51" spans="1:2" x14ac:dyDescent="0.15">
      <c r="A51" s="5" t="s">
        <v>1019</v>
      </c>
      <c r="B51" s="6" t="s">
        <v>1018</v>
      </c>
    </row>
    <row r="52" spans="1:2" x14ac:dyDescent="0.15">
      <c r="A52" s="5" t="s">
        <v>510</v>
      </c>
      <c r="B52" s="6" t="s">
        <v>509</v>
      </c>
    </row>
    <row r="53" spans="1:2" x14ac:dyDescent="0.15">
      <c r="A53" s="5" t="s">
        <v>187</v>
      </c>
      <c r="B53" s="6" t="s">
        <v>186</v>
      </c>
    </row>
    <row r="54" spans="1:2" x14ac:dyDescent="0.15">
      <c r="A54" s="5" t="s">
        <v>1116</v>
      </c>
      <c r="B54" s="6" t="s">
        <v>1115</v>
      </c>
    </row>
    <row r="55" spans="1:2" x14ac:dyDescent="0.15">
      <c r="A55" s="5" t="s">
        <v>1045</v>
      </c>
      <c r="B55" s="6" t="s">
        <v>1044</v>
      </c>
    </row>
    <row r="56" spans="1:2" x14ac:dyDescent="0.15">
      <c r="A56" s="5" t="s">
        <v>771</v>
      </c>
      <c r="B56" s="6" t="s">
        <v>770</v>
      </c>
    </row>
    <row r="57" spans="1:2" x14ac:dyDescent="0.15">
      <c r="A57" s="5" t="s">
        <v>8439</v>
      </c>
      <c r="B57" s="6" t="s">
        <v>8440</v>
      </c>
    </row>
    <row r="58" spans="1:2" x14ac:dyDescent="0.15">
      <c r="A58" s="5" t="s">
        <v>539</v>
      </c>
      <c r="B58" s="6" t="s">
        <v>538</v>
      </c>
    </row>
    <row r="59" spans="1:2" x14ac:dyDescent="0.15">
      <c r="A59" s="5" t="s">
        <v>986</v>
      </c>
      <c r="B59" s="6" t="s">
        <v>985</v>
      </c>
    </row>
    <row r="60" spans="1:2" x14ac:dyDescent="0.15">
      <c r="A60" s="5" t="s">
        <v>578</v>
      </c>
      <c r="B60" s="6" t="s">
        <v>577</v>
      </c>
    </row>
    <row r="61" spans="1:2" x14ac:dyDescent="0.15">
      <c r="A61" s="5" t="s">
        <v>83</v>
      </c>
      <c r="B61" s="6" t="s">
        <v>82</v>
      </c>
    </row>
    <row r="62" spans="1:2" x14ac:dyDescent="0.15">
      <c r="A62" s="5" t="s">
        <v>180</v>
      </c>
      <c r="B62" s="6" t="s">
        <v>179</v>
      </c>
    </row>
    <row r="63" spans="1:2" x14ac:dyDescent="0.15">
      <c r="A63" s="5" t="s">
        <v>9</v>
      </c>
      <c r="B63" s="6" t="s">
        <v>8</v>
      </c>
    </row>
    <row r="64" spans="1:2" x14ac:dyDescent="0.15">
      <c r="A64" s="5" t="s">
        <v>526</v>
      </c>
      <c r="B64" s="6" t="s">
        <v>525</v>
      </c>
    </row>
    <row r="65" spans="1:2" x14ac:dyDescent="0.15">
      <c r="A65" s="5" t="s">
        <v>31</v>
      </c>
      <c r="B65" s="6" t="s">
        <v>30</v>
      </c>
    </row>
    <row r="66" spans="1:2" x14ac:dyDescent="0.15">
      <c r="A66" s="5" t="s">
        <v>1194</v>
      </c>
      <c r="B66" s="6" t="s">
        <v>1193</v>
      </c>
    </row>
    <row r="67" spans="1:2" x14ac:dyDescent="0.15">
      <c r="A67" s="5" t="s">
        <v>237</v>
      </c>
      <c r="B67" s="6" t="s">
        <v>236</v>
      </c>
    </row>
    <row r="68" spans="1:2" x14ac:dyDescent="0.15">
      <c r="A68" s="5" t="s">
        <v>1295</v>
      </c>
      <c r="B68" s="6" t="s">
        <v>1294</v>
      </c>
    </row>
    <row r="69" spans="1:2" x14ac:dyDescent="0.15">
      <c r="A69" s="5" t="s">
        <v>880</v>
      </c>
      <c r="B69" s="6" t="s">
        <v>879</v>
      </c>
    </row>
    <row r="70" spans="1:2" x14ac:dyDescent="0.15">
      <c r="A70" s="5" t="s">
        <v>468</v>
      </c>
      <c r="B70" s="6" t="s">
        <v>467</v>
      </c>
    </row>
    <row r="71" spans="1:2" x14ac:dyDescent="0.15">
      <c r="A71" s="5" t="s">
        <v>508</v>
      </c>
      <c r="B71" s="6" t="s">
        <v>507</v>
      </c>
    </row>
    <row r="72" spans="1:2" x14ac:dyDescent="0.15">
      <c r="A72" s="5" t="s">
        <v>355</v>
      </c>
      <c r="B72" s="6" t="s">
        <v>354</v>
      </c>
    </row>
    <row r="73" spans="1:2" x14ac:dyDescent="0.15">
      <c r="A73" s="5" t="s">
        <v>820</v>
      </c>
      <c r="B73" s="6" t="s">
        <v>819</v>
      </c>
    </row>
    <row r="74" spans="1:2" x14ac:dyDescent="0.15">
      <c r="A74" s="5" t="s">
        <v>8441</v>
      </c>
      <c r="B74" s="6" t="s">
        <v>8442</v>
      </c>
    </row>
    <row r="75" spans="1:2" x14ac:dyDescent="0.15">
      <c r="A75" s="5" t="s">
        <v>46</v>
      </c>
      <c r="B75" s="6" t="s">
        <v>45</v>
      </c>
    </row>
    <row r="76" spans="1:2" x14ac:dyDescent="0.15">
      <c r="A76" s="5" t="s">
        <v>206</v>
      </c>
      <c r="B76" s="6" t="s">
        <v>205</v>
      </c>
    </row>
    <row r="77" spans="1:2" x14ac:dyDescent="0.15">
      <c r="A77" s="5" t="s">
        <v>48</v>
      </c>
      <c r="B77" s="6" t="s">
        <v>47</v>
      </c>
    </row>
    <row r="78" spans="1:2" x14ac:dyDescent="0.15">
      <c r="A78" s="5" t="s">
        <v>926</v>
      </c>
      <c r="B78" s="6" t="s">
        <v>925</v>
      </c>
    </row>
    <row r="79" spans="1:2" x14ac:dyDescent="0.15">
      <c r="A79" s="5" t="s">
        <v>8443</v>
      </c>
      <c r="B79" s="6" t="s">
        <v>8444</v>
      </c>
    </row>
    <row r="80" spans="1:2" x14ac:dyDescent="0.15">
      <c r="A80" s="5" t="s">
        <v>326</v>
      </c>
      <c r="B80" s="6" t="s">
        <v>325</v>
      </c>
    </row>
    <row r="81" spans="1:2" x14ac:dyDescent="0.15">
      <c r="A81" s="5" t="s">
        <v>367</v>
      </c>
      <c r="B81" s="6" t="s">
        <v>366</v>
      </c>
    </row>
    <row r="82" spans="1:2" x14ac:dyDescent="0.15">
      <c r="A82" s="5" t="s">
        <v>1002</v>
      </c>
      <c r="B82" s="6" t="s">
        <v>1001</v>
      </c>
    </row>
    <row r="83" spans="1:2" x14ac:dyDescent="0.15">
      <c r="A83" s="5" t="s">
        <v>1031</v>
      </c>
      <c r="B83" s="6" t="s">
        <v>8445</v>
      </c>
    </row>
    <row r="84" spans="1:2" x14ac:dyDescent="0.15">
      <c r="A84" s="5" t="s">
        <v>78</v>
      </c>
      <c r="B84" s="6" t="s">
        <v>77</v>
      </c>
    </row>
    <row r="85" spans="1:2" x14ac:dyDescent="0.15">
      <c r="A85" s="5" t="s">
        <v>602</v>
      </c>
      <c r="B85" s="6" t="s">
        <v>601</v>
      </c>
    </row>
    <row r="86" spans="1:2" x14ac:dyDescent="0.15">
      <c r="A86" s="5" t="s">
        <v>922</v>
      </c>
      <c r="B86" s="6" t="s">
        <v>921</v>
      </c>
    </row>
    <row r="87" spans="1:2" x14ac:dyDescent="0.15">
      <c r="A87" s="5" t="s">
        <v>833</v>
      </c>
      <c r="B87" s="6" t="s">
        <v>832</v>
      </c>
    </row>
    <row r="88" spans="1:2" x14ac:dyDescent="0.15">
      <c r="A88" s="5" t="s">
        <v>449</v>
      </c>
      <c r="B88" s="6" t="s">
        <v>448</v>
      </c>
    </row>
    <row r="89" spans="1:2" x14ac:dyDescent="0.15">
      <c r="A89" s="5" t="s">
        <v>541</v>
      </c>
      <c r="B89" s="6" t="s">
        <v>540</v>
      </c>
    </row>
    <row r="90" spans="1:2" x14ac:dyDescent="0.15">
      <c r="A90" s="5" t="s">
        <v>8446</v>
      </c>
      <c r="B90" s="6" t="s">
        <v>8447</v>
      </c>
    </row>
    <row r="91" spans="1:2" x14ac:dyDescent="0.15">
      <c r="A91" s="5" t="s">
        <v>8448</v>
      </c>
      <c r="B91" s="6" t="s">
        <v>8449</v>
      </c>
    </row>
    <row r="92" spans="1:2" x14ac:dyDescent="0.15">
      <c r="A92" s="5" t="s">
        <v>1008</v>
      </c>
      <c r="B92" s="6" t="s">
        <v>1007</v>
      </c>
    </row>
    <row r="93" spans="1:2" x14ac:dyDescent="0.15">
      <c r="A93" s="5" t="s">
        <v>544</v>
      </c>
      <c r="B93" s="6" t="s">
        <v>543</v>
      </c>
    </row>
    <row r="94" spans="1:2" x14ac:dyDescent="0.15">
      <c r="A94" s="5" t="s">
        <v>651</v>
      </c>
      <c r="B94" s="6" t="s">
        <v>650</v>
      </c>
    </row>
    <row r="95" spans="1:2" x14ac:dyDescent="0.15">
      <c r="A95" s="5" t="s">
        <v>786</v>
      </c>
      <c r="B95" s="6" t="s">
        <v>785</v>
      </c>
    </row>
    <row r="96" spans="1:2" x14ac:dyDescent="0.15">
      <c r="A96" s="5" t="s">
        <v>746</v>
      </c>
      <c r="B96" s="6" t="s">
        <v>745</v>
      </c>
    </row>
    <row r="97" spans="1:2" x14ac:dyDescent="0.15">
      <c r="A97" s="5" t="s">
        <v>203</v>
      </c>
      <c r="B97" s="6" t="s">
        <v>202</v>
      </c>
    </row>
    <row r="98" spans="1:2" x14ac:dyDescent="0.15">
      <c r="A98" s="5" t="s">
        <v>609</v>
      </c>
      <c r="B98" s="6" t="s">
        <v>608</v>
      </c>
    </row>
    <row r="99" spans="1:2" x14ac:dyDescent="0.15">
      <c r="A99" s="5" t="s">
        <v>8450</v>
      </c>
      <c r="B99" s="6" t="s">
        <v>8451</v>
      </c>
    </row>
    <row r="100" spans="1:2" x14ac:dyDescent="0.15">
      <c r="A100" s="5" t="s">
        <v>8452</v>
      </c>
      <c r="B100" s="6" t="s">
        <v>8453</v>
      </c>
    </row>
    <row r="101" spans="1:2" x14ac:dyDescent="0.15">
      <c r="A101" s="5" t="s">
        <v>595</v>
      </c>
      <c r="B101" s="6" t="s">
        <v>594</v>
      </c>
    </row>
    <row r="102" spans="1:2" x14ac:dyDescent="0.15">
      <c r="A102" s="5" t="s">
        <v>1065</v>
      </c>
      <c r="B102" s="6" t="s">
        <v>1064</v>
      </c>
    </row>
    <row r="103" spans="1:2" x14ac:dyDescent="0.15">
      <c r="A103" s="5" t="s">
        <v>915</v>
      </c>
      <c r="B103" s="6" t="s">
        <v>914</v>
      </c>
    </row>
    <row r="104" spans="1:2" x14ac:dyDescent="0.15">
      <c r="A104" s="5" t="s">
        <v>1004</v>
      </c>
      <c r="B104" s="6" t="s">
        <v>1003</v>
      </c>
    </row>
    <row r="105" spans="1:2" x14ac:dyDescent="0.15">
      <c r="A105" s="5" t="s">
        <v>62</v>
      </c>
      <c r="B105" s="6" t="s">
        <v>61</v>
      </c>
    </row>
    <row r="106" spans="1:2" x14ac:dyDescent="0.15">
      <c r="A106" s="5" t="s">
        <v>227</v>
      </c>
      <c r="B106" s="6" t="s">
        <v>226</v>
      </c>
    </row>
    <row r="107" spans="1:2" x14ac:dyDescent="0.15">
      <c r="A107" s="5" t="s">
        <v>393</v>
      </c>
      <c r="B107" s="6" t="s">
        <v>392</v>
      </c>
    </row>
    <row r="108" spans="1:2" x14ac:dyDescent="0.15">
      <c r="A108" s="5" t="s">
        <v>8454</v>
      </c>
      <c r="B108" s="6" t="s">
        <v>8455</v>
      </c>
    </row>
    <row r="109" spans="1:2" x14ac:dyDescent="0.15">
      <c r="A109" s="5" t="s">
        <v>1356</v>
      </c>
      <c r="B109" s="6" t="s">
        <v>1355</v>
      </c>
    </row>
    <row r="110" spans="1:2" x14ac:dyDescent="0.15">
      <c r="A110" s="5" t="s">
        <v>8456</v>
      </c>
      <c r="B110" s="6" t="s">
        <v>8457</v>
      </c>
    </row>
    <row r="111" spans="1:2" x14ac:dyDescent="0.15">
      <c r="A111" s="5" t="s">
        <v>1147</v>
      </c>
      <c r="B111" s="6" t="s">
        <v>1146</v>
      </c>
    </row>
    <row r="112" spans="1:2" x14ac:dyDescent="0.15">
      <c r="A112" s="5" t="s">
        <v>321</v>
      </c>
      <c r="B112" s="6" t="s">
        <v>320</v>
      </c>
    </row>
    <row r="113" spans="1:2" x14ac:dyDescent="0.15">
      <c r="A113" s="5" t="s">
        <v>1265</v>
      </c>
      <c r="B113" s="6" t="s">
        <v>1264</v>
      </c>
    </row>
    <row r="114" spans="1:2" x14ac:dyDescent="0.15">
      <c r="A114" s="5" t="s">
        <v>8458</v>
      </c>
      <c r="B114" s="6" t="s">
        <v>8459</v>
      </c>
    </row>
    <row r="115" spans="1:2" x14ac:dyDescent="0.15">
      <c r="A115" s="5" t="s">
        <v>8460</v>
      </c>
      <c r="B115" s="6" t="s">
        <v>8461</v>
      </c>
    </row>
    <row r="116" spans="1:2" x14ac:dyDescent="0.15">
      <c r="A116" s="5" t="s">
        <v>1021</v>
      </c>
      <c r="B116" s="6" t="s">
        <v>1020</v>
      </c>
    </row>
    <row r="117" spans="1:2" x14ac:dyDescent="0.15">
      <c r="A117" s="5" t="s">
        <v>735</v>
      </c>
      <c r="B117" s="6" t="s">
        <v>734</v>
      </c>
    </row>
    <row r="118" spans="1:2" x14ac:dyDescent="0.15">
      <c r="A118" s="5" t="s">
        <v>533</v>
      </c>
      <c r="B118" s="6" t="s">
        <v>532</v>
      </c>
    </row>
    <row r="119" spans="1:2" x14ac:dyDescent="0.15">
      <c r="A119" s="5" t="s">
        <v>307</v>
      </c>
      <c r="B119" s="6" t="s">
        <v>306</v>
      </c>
    </row>
    <row r="120" spans="1:2" x14ac:dyDescent="0.15">
      <c r="A120" s="5" t="s">
        <v>584</v>
      </c>
      <c r="B120" s="6" t="s">
        <v>583</v>
      </c>
    </row>
    <row r="121" spans="1:2" x14ac:dyDescent="0.15">
      <c r="A121" s="5" t="s">
        <v>967</v>
      </c>
      <c r="B121" s="6" t="s">
        <v>966</v>
      </c>
    </row>
    <row r="122" spans="1:2" x14ac:dyDescent="0.15">
      <c r="A122" s="5" t="s">
        <v>197</v>
      </c>
      <c r="B122" s="6" t="s">
        <v>196</v>
      </c>
    </row>
    <row r="123" spans="1:2" x14ac:dyDescent="0.15">
      <c r="A123" s="5" t="s">
        <v>482</v>
      </c>
      <c r="B123" s="6" t="s">
        <v>481</v>
      </c>
    </row>
    <row r="124" spans="1:2" x14ac:dyDescent="0.15">
      <c r="A124" s="5" t="s">
        <v>8462</v>
      </c>
      <c r="B124" s="6" t="s">
        <v>8463</v>
      </c>
    </row>
    <row r="125" spans="1:2" x14ac:dyDescent="0.15">
      <c r="A125" s="5" t="s">
        <v>1230</v>
      </c>
      <c r="B125" s="6" t="s">
        <v>1229</v>
      </c>
    </row>
    <row r="126" spans="1:2" x14ac:dyDescent="0.15">
      <c r="A126" s="5" t="s">
        <v>8464</v>
      </c>
      <c r="B126" s="6" t="s">
        <v>8465</v>
      </c>
    </row>
    <row r="127" spans="1:2" x14ac:dyDescent="0.15">
      <c r="A127" s="5" t="s">
        <v>8466</v>
      </c>
      <c r="B127" s="6" t="s">
        <v>8467</v>
      </c>
    </row>
    <row r="128" spans="1:2" x14ac:dyDescent="0.15">
      <c r="A128" s="5" t="s">
        <v>8468</v>
      </c>
      <c r="B128" s="6" t="s">
        <v>8469</v>
      </c>
    </row>
    <row r="129" spans="1:2" x14ac:dyDescent="0.15">
      <c r="A129" s="5" t="s">
        <v>556</v>
      </c>
      <c r="B129" s="6" t="s">
        <v>555</v>
      </c>
    </row>
    <row r="130" spans="1:2" x14ac:dyDescent="0.15">
      <c r="A130" s="5" t="s">
        <v>15</v>
      </c>
      <c r="B130" s="6" t="s">
        <v>14</v>
      </c>
    </row>
    <row r="131" spans="1:2" x14ac:dyDescent="0.15">
      <c r="A131" s="5" t="s">
        <v>1160</v>
      </c>
      <c r="B131" s="6" t="s">
        <v>1159</v>
      </c>
    </row>
    <row r="132" spans="1:2" x14ac:dyDescent="0.15">
      <c r="A132" s="5" t="s">
        <v>466</v>
      </c>
      <c r="B132" s="6" t="s">
        <v>465</v>
      </c>
    </row>
    <row r="133" spans="1:2" x14ac:dyDescent="0.15">
      <c r="A133" s="5" t="s">
        <v>8470</v>
      </c>
      <c r="B133" s="6" t="s">
        <v>8471</v>
      </c>
    </row>
    <row r="134" spans="1:2" x14ac:dyDescent="0.15">
      <c r="A134" s="5" t="s">
        <v>8472</v>
      </c>
      <c r="B134" s="6" t="s">
        <v>8473</v>
      </c>
    </row>
    <row r="135" spans="1:2" x14ac:dyDescent="0.15">
      <c r="A135" s="5" t="s">
        <v>8474</v>
      </c>
      <c r="B135" s="6" t="s">
        <v>8475</v>
      </c>
    </row>
    <row r="136" spans="1:2" x14ac:dyDescent="0.15">
      <c r="A136" s="5" t="s">
        <v>343</v>
      </c>
      <c r="B136" s="6" t="s">
        <v>342</v>
      </c>
    </row>
    <row r="137" spans="1:2" x14ac:dyDescent="0.15">
      <c r="A137" s="5" t="s">
        <v>576</v>
      </c>
      <c r="B137" s="6" t="s">
        <v>575</v>
      </c>
    </row>
    <row r="138" spans="1:2" x14ac:dyDescent="0.15">
      <c r="A138" s="5" t="s">
        <v>8476</v>
      </c>
      <c r="B138" s="6" t="s">
        <v>8477</v>
      </c>
    </row>
    <row r="139" spans="1:2" x14ac:dyDescent="0.15">
      <c r="A139" s="5" t="s">
        <v>1289</v>
      </c>
      <c r="B139" s="6" t="s">
        <v>1288</v>
      </c>
    </row>
    <row r="140" spans="1:2" x14ac:dyDescent="0.15">
      <c r="A140" s="5" t="s">
        <v>679</v>
      </c>
      <c r="B140" s="6" t="s">
        <v>678</v>
      </c>
    </row>
    <row r="141" spans="1:2" x14ac:dyDescent="0.15">
      <c r="A141" s="5" t="s">
        <v>835</v>
      </c>
      <c r="B141" s="6" t="s">
        <v>834</v>
      </c>
    </row>
    <row r="142" spans="1:2" x14ac:dyDescent="0.15">
      <c r="A142" s="5" t="s">
        <v>1315</v>
      </c>
      <c r="B142" s="6" t="s">
        <v>1314</v>
      </c>
    </row>
    <row r="143" spans="1:2" x14ac:dyDescent="0.15">
      <c r="A143" s="5" t="s">
        <v>505</v>
      </c>
      <c r="B143" s="6" t="s">
        <v>504</v>
      </c>
    </row>
    <row r="144" spans="1:2" x14ac:dyDescent="0.15">
      <c r="A144" s="5" t="s">
        <v>145</v>
      </c>
      <c r="B144" s="6" t="s">
        <v>144</v>
      </c>
    </row>
    <row r="145" spans="1:2" x14ac:dyDescent="0.15">
      <c r="A145" s="5" t="s">
        <v>288</v>
      </c>
      <c r="B145" s="6" t="s">
        <v>287</v>
      </c>
    </row>
    <row r="146" spans="1:2" x14ac:dyDescent="0.15">
      <c r="A146" s="5" t="s">
        <v>133</v>
      </c>
      <c r="B146" s="6" t="s">
        <v>132</v>
      </c>
    </row>
    <row r="147" spans="1:2" x14ac:dyDescent="0.15">
      <c r="A147" s="5" t="s">
        <v>34</v>
      </c>
      <c r="B147" s="6" t="s">
        <v>33</v>
      </c>
    </row>
    <row r="148" spans="1:2" x14ac:dyDescent="0.15">
      <c r="A148" s="5" t="s">
        <v>8478</v>
      </c>
      <c r="B148" s="6" t="s">
        <v>8479</v>
      </c>
    </row>
    <row r="149" spans="1:2" x14ac:dyDescent="0.15">
      <c r="A149" s="5" t="s">
        <v>224</v>
      </c>
      <c r="B149" s="6" t="s">
        <v>223</v>
      </c>
    </row>
    <row r="150" spans="1:2" x14ac:dyDescent="0.15">
      <c r="A150" s="5" t="s">
        <v>8480</v>
      </c>
      <c r="B150" s="6" t="s">
        <v>8481</v>
      </c>
    </row>
    <row r="151" spans="1:2" x14ac:dyDescent="0.15">
      <c r="A151" s="5" t="s">
        <v>909</v>
      </c>
      <c r="B151" s="6" t="s">
        <v>908</v>
      </c>
    </row>
    <row r="152" spans="1:2" x14ac:dyDescent="0.15">
      <c r="A152" s="5" t="s">
        <v>8482</v>
      </c>
      <c r="B152" s="6" t="s">
        <v>8483</v>
      </c>
    </row>
    <row r="153" spans="1:2" x14ac:dyDescent="0.15">
      <c r="A153" s="5" t="s">
        <v>712</v>
      </c>
      <c r="B153" s="6" t="s">
        <v>711</v>
      </c>
    </row>
    <row r="154" spans="1:2" x14ac:dyDescent="0.15">
      <c r="A154" s="5" t="s">
        <v>791</v>
      </c>
      <c r="B154" s="6" t="s">
        <v>790</v>
      </c>
    </row>
    <row r="155" spans="1:2" x14ac:dyDescent="0.15">
      <c r="A155" s="5" t="s">
        <v>723</v>
      </c>
      <c r="B155" s="6" t="s">
        <v>722</v>
      </c>
    </row>
    <row r="156" spans="1:2" x14ac:dyDescent="0.15">
      <c r="A156" s="5" t="s">
        <v>8484</v>
      </c>
      <c r="B156" s="6" t="s">
        <v>8485</v>
      </c>
    </row>
    <row r="157" spans="1:2" x14ac:dyDescent="0.15">
      <c r="A157" s="5" t="s">
        <v>616</v>
      </c>
      <c r="B157" s="6" t="s">
        <v>615</v>
      </c>
    </row>
    <row r="158" spans="1:2" x14ac:dyDescent="0.15">
      <c r="A158" s="5" t="s">
        <v>125</v>
      </c>
      <c r="B158" s="6" t="s">
        <v>124</v>
      </c>
    </row>
    <row r="159" spans="1:2" x14ac:dyDescent="0.15">
      <c r="A159" s="5" t="s">
        <v>1284</v>
      </c>
      <c r="B159" s="6" t="s">
        <v>1283</v>
      </c>
    </row>
    <row r="160" spans="1:2" x14ac:dyDescent="0.15">
      <c r="A160" s="5" t="s">
        <v>845</v>
      </c>
      <c r="B160" s="6" t="s">
        <v>844</v>
      </c>
    </row>
    <row r="161" spans="1:2" x14ac:dyDescent="0.15">
      <c r="A161" s="5" t="s">
        <v>1342</v>
      </c>
      <c r="B161" s="6" t="s">
        <v>1341</v>
      </c>
    </row>
    <row r="162" spans="1:2" x14ac:dyDescent="0.15">
      <c r="A162" s="5" t="s">
        <v>8486</v>
      </c>
      <c r="B162" s="6" t="s">
        <v>8487</v>
      </c>
    </row>
    <row r="163" spans="1:2" x14ac:dyDescent="0.15">
      <c r="A163" s="5" t="s">
        <v>518</v>
      </c>
      <c r="B163" s="6" t="s">
        <v>8488</v>
      </c>
    </row>
    <row r="164" spans="1:2" x14ac:dyDescent="0.15">
      <c r="A164" s="5" t="s">
        <v>907</v>
      </c>
      <c r="B164" s="6" t="s">
        <v>906</v>
      </c>
    </row>
    <row r="165" spans="1:2" x14ac:dyDescent="0.15">
      <c r="A165" s="5" t="s">
        <v>23</v>
      </c>
      <c r="B165" s="6" t="s">
        <v>22</v>
      </c>
    </row>
    <row r="166" spans="1:2" x14ac:dyDescent="0.15">
      <c r="A166" s="5" t="s">
        <v>8489</v>
      </c>
      <c r="B166" s="6" t="s">
        <v>8490</v>
      </c>
    </row>
    <row r="167" spans="1:2" x14ac:dyDescent="0.15">
      <c r="A167" s="5" t="s">
        <v>573</v>
      </c>
      <c r="B167" s="6" t="s">
        <v>572</v>
      </c>
    </row>
    <row r="168" spans="1:2" x14ac:dyDescent="0.15">
      <c r="A168" s="5" t="s">
        <v>156</v>
      </c>
      <c r="B168" s="6" t="s">
        <v>155</v>
      </c>
    </row>
    <row r="169" spans="1:2" x14ac:dyDescent="0.15">
      <c r="A169" s="5" t="s">
        <v>242</v>
      </c>
      <c r="B169" s="6" t="s">
        <v>241</v>
      </c>
    </row>
    <row r="170" spans="1:2" x14ac:dyDescent="0.15">
      <c r="A170" s="5" t="s">
        <v>8491</v>
      </c>
      <c r="B170" s="6" t="s">
        <v>8492</v>
      </c>
    </row>
    <row r="171" spans="1:2" x14ac:dyDescent="0.15">
      <c r="A171" s="5" t="s">
        <v>493</v>
      </c>
      <c r="B171" s="6" t="s">
        <v>492</v>
      </c>
    </row>
    <row r="172" spans="1:2" x14ac:dyDescent="0.15">
      <c r="A172" s="5" t="s">
        <v>454</v>
      </c>
      <c r="B172" s="6" t="s">
        <v>453</v>
      </c>
    </row>
    <row r="173" spans="1:2" x14ac:dyDescent="0.15">
      <c r="A173" s="5" t="s">
        <v>67</v>
      </c>
      <c r="B173" s="6" t="s">
        <v>66</v>
      </c>
    </row>
    <row r="174" spans="1:2" x14ac:dyDescent="0.15">
      <c r="A174" s="5" t="s">
        <v>8493</v>
      </c>
      <c r="B174" s="6" t="s">
        <v>8494</v>
      </c>
    </row>
    <row r="175" spans="1:2" x14ac:dyDescent="0.15">
      <c r="A175" s="5" t="s">
        <v>130</v>
      </c>
      <c r="B175" s="6" t="s">
        <v>129</v>
      </c>
    </row>
    <row r="176" spans="1:2" x14ac:dyDescent="0.15">
      <c r="A176" s="5" t="s">
        <v>8495</v>
      </c>
      <c r="B176" s="6" t="s">
        <v>8496</v>
      </c>
    </row>
    <row r="177" spans="1:2" x14ac:dyDescent="0.15">
      <c r="A177" s="5" t="s">
        <v>195</v>
      </c>
      <c r="B177" s="6" t="s">
        <v>194</v>
      </c>
    </row>
    <row r="178" spans="1:2" x14ac:dyDescent="0.15">
      <c r="A178" s="5" t="s">
        <v>405</v>
      </c>
      <c r="B178" s="6" t="s">
        <v>404</v>
      </c>
    </row>
    <row r="179" spans="1:2" x14ac:dyDescent="0.15">
      <c r="A179" s="5" t="s">
        <v>1118</v>
      </c>
      <c r="B179" s="6" t="s">
        <v>1117</v>
      </c>
    </row>
    <row r="180" spans="1:2" x14ac:dyDescent="0.15">
      <c r="A180" s="5" t="s">
        <v>8497</v>
      </c>
      <c r="B180" s="6" t="s">
        <v>8498</v>
      </c>
    </row>
    <row r="181" spans="1:2" x14ac:dyDescent="0.15">
      <c r="A181" s="5" t="s">
        <v>8499</v>
      </c>
      <c r="B181" s="6" t="s">
        <v>8500</v>
      </c>
    </row>
    <row r="182" spans="1:2" x14ac:dyDescent="0.15">
      <c r="A182" s="5" t="s">
        <v>378</v>
      </c>
      <c r="B182" s="6" t="s">
        <v>377</v>
      </c>
    </row>
    <row r="183" spans="1:2" x14ac:dyDescent="0.15">
      <c r="A183" s="5" t="s">
        <v>984</v>
      </c>
      <c r="B183" s="6" t="s">
        <v>983</v>
      </c>
    </row>
    <row r="184" spans="1:2" x14ac:dyDescent="0.15">
      <c r="A184" s="5" t="s">
        <v>1242</v>
      </c>
      <c r="B184" s="6" t="s">
        <v>1241</v>
      </c>
    </row>
    <row r="185" spans="1:2" x14ac:dyDescent="0.15">
      <c r="A185" s="5" t="s">
        <v>740</v>
      </c>
      <c r="B185" s="6" t="s">
        <v>739</v>
      </c>
    </row>
    <row r="186" spans="1:2" x14ac:dyDescent="0.15">
      <c r="A186" s="5" t="s">
        <v>54</v>
      </c>
      <c r="B186" s="6" t="s">
        <v>53</v>
      </c>
    </row>
    <row r="187" spans="1:2" x14ac:dyDescent="0.15">
      <c r="A187" s="5" t="s">
        <v>8501</v>
      </c>
      <c r="B187" s="6" t="s">
        <v>8502</v>
      </c>
    </row>
    <row r="188" spans="1:2" x14ac:dyDescent="0.15">
      <c r="A188" s="5" t="s">
        <v>570</v>
      </c>
      <c r="B188" s="6" t="s">
        <v>569</v>
      </c>
    </row>
    <row r="189" spans="1:2" x14ac:dyDescent="0.15">
      <c r="A189" s="5" t="s">
        <v>646</v>
      </c>
      <c r="B189" s="6" t="s">
        <v>645</v>
      </c>
    </row>
    <row r="190" spans="1:2" x14ac:dyDescent="0.15">
      <c r="A190" s="5" t="s">
        <v>1138</v>
      </c>
      <c r="B190" s="6" t="s">
        <v>1137</v>
      </c>
    </row>
    <row r="191" spans="1:2" x14ac:dyDescent="0.15">
      <c r="A191" s="5" t="s">
        <v>373</v>
      </c>
      <c r="B191" s="6" t="s">
        <v>372</v>
      </c>
    </row>
    <row r="192" spans="1:2" x14ac:dyDescent="0.15">
      <c r="A192" s="5" t="s">
        <v>298</v>
      </c>
      <c r="B192" s="6" t="s">
        <v>297</v>
      </c>
    </row>
    <row r="193" spans="1:2" x14ac:dyDescent="0.15">
      <c r="A193" s="5" t="s">
        <v>706</v>
      </c>
      <c r="B193" s="6" t="s">
        <v>705</v>
      </c>
    </row>
    <row r="194" spans="1:2" x14ac:dyDescent="0.15">
      <c r="A194" s="5" t="s">
        <v>161</v>
      </c>
      <c r="B194" s="6" t="s">
        <v>160</v>
      </c>
    </row>
    <row r="195" spans="1:2" x14ac:dyDescent="0.15">
      <c r="A195" s="5" t="s">
        <v>8503</v>
      </c>
      <c r="B195" s="6" t="s">
        <v>8504</v>
      </c>
    </row>
    <row r="196" spans="1:2" x14ac:dyDescent="0.15">
      <c r="A196" s="5" t="s">
        <v>696</v>
      </c>
      <c r="B196" s="6" t="s">
        <v>695</v>
      </c>
    </row>
    <row r="197" spans="1:2" x14ac:dyDescent="0.15">
      <c r="A197" s="5" t="s">
        <v>1076</v>
      </c>
      <c r="B197" s="6" t="s">
        <v>1075</v>
      </c>
    </row>
    <row r="198" spans="1:2" x14ac:dyDescent="0.15">
      <c r="A198" s="5" t="s">
        <v>37</v>
      </c>
      <c r="B198" s="6" t="s">
        <v>36</v>
      </c>
    </row>
    <row r="199" spans="1:2" x14ac:dyDescent="0.15">
      <c r="A199" s="5" t="s">
        <v>831</v>
      </c>
      <c r="B199" s="6" t="s">
        <v>830</v>
      </c>
    </row>
    <row r="200" spans="1:2" x14ac:dyDescent="0.15">
      <c r="A200" s="5" t="s">
        <v>8505</v>
      </c>
      <c r="B200" s="6" t="s">
        <v>8506</v>
      </c>
    </row>
    <row r="201" spans="1:2" x14ac:dyDescent="0.15">
      <c r="A201" s="5" t="s">
        <v>8507</v>
      </c>
      <c r="B201" s="6" t="s">
        <v>8508</v>
      </c>
    </row>
    <row r="202" spans="1:2" x14ac:dyDescent="0.15">
      <c r="A202" s="5" t="s">
        <v>417</v>
      </c>
      <c r="B202" s="6" t="s">
        <v>416</v>
      </c>
    </row>
    <row r="203" spans="1:2" x14ac:dyDescent="0.15">
      <c r="A203" s="5" t="s">
        <v>8509</v>
      </c>
      <c r="B203" s="6" t="s">
        <v>8510</v>
      </c>
    </row>
    <row r="204" spans="1:2" x14ac:dyDescent="0.15">
      <c r="A204" s="5" t="s">
        <v>8511</v>
      </c>
      <c r="B204" s="6" t="s">
        <v>8512</v>
      </c>
    </row>
    <row r="205" spans="1:2" x14ac:dyDescent="0.15">
      <c r="A205" s="5" t="s">
        <v>1084</v>
      </c>
      <c r="B205" s="6" t="s">
        <v>1083</v>
      </c>
    </row>
    <row r="206" spans="1:2" x14ac:dyDescent="0.15">
      <c r="A206" s="5" t="s">
        <v>8513</v>
      </c>
      <c r="B206" s="6" t="s">
        <v>8514</v>
      </c>
    </row>
    <row r="207" spans="1:2" x14ac:dyDescent="0.15">
      <c r="A207" s="5" t="s">
        <v>8515</v>
      </c>
      <c r="B207" s="6" t="s">
        <v>8516</v>
      </c>
    </row>
    <row r="208" spans="1:2" x14ac:dyDescent="0.15">
      <c r="A208" s="5" t="s">
        <v>567</v>
      </c>
      <c r="B208" s="6" t="s">
        <v>566</v>
      </c>
    </row>
    <row r="209" spans="1:2" x14ac:dyDescent="0.15">
      <c r="A209" s="5" t="s">
        <v>491</v>
      </c>
      <c r="B209" s="6" t="s">
        <v>490</v>
      </c>
    </row>
    <row r="210" spans="1:2" x14ac:dyDescent="0.15">
      <c r="A210" s="5" t="s">
        <v>1201</v>
      </c>
      <c r="B210" s="6" t="s">
        <v>1200</v>
      </c>
    </row>
    <row r="211" spans="1:2" x14ac:dyDescent="0.15">
      <c r="A211" s="5" t="s">
        <v>998</v>
      </c>
      <c r="B211" s="6" t="s">
        <v>997</v>
      </c>
    </row>
    <row r="212" spans="1:2" x14ac:dyDescent="0.15">
      <c r="A212" s="5" t="s">
        <v>110</v>
      </c>
      <c r="B212" s="6" t="s">
        <v>109</v>
      </c>
    </row>
    <row r="213" spans="1:2" x14ac:dyDescent="0.15">
      <c r="A213" s="5" t="s">
        <v>324</v>
      </c>
      <c r="B213" s="6" t="s">
        <v>323</v>
      </c>
    </row>
    <row r="214" spans="1:2" x14ac:dyDescent="0.15">
      <c r="A214" s="5" t="s">
        <v>890</v>
      </c>
      <c r="B214" s="6" t="s">
        <v>889</v>
      </c>
    </row>
    <row r="215" spans="1:2" x14ac:dyDescent="0.15">
      <c r="A215" s="5" t="s">
        <v>758</v>
      </c>
      <c r="B215" s="6" t="s">
        <v>757</v>
      </c>
    </row>
    <row r="216" spans="1:2" x14ac:dyDescent="0.15">
      <c r="A216" s="5" t="s">
        <v>8517</v>
      </c>
      <c r="B216" s="6" t="s">
        <v>8518</v>
      </c>
    </row>
    <row r="217" spans="1:2" x14ac:dyDescent="0.15">
      <c r="A217" s="5" t="s">
        <v>1130</v>
      </c>
      <c r="B217" s="6" t="s">
        <v>1129</v>
      </c>
    </row>
    <row r="218" spans="1:2" x14ac:dyDescent="0.15">
      <c r="A218" s="5" t="s">
        <v>524</v>
      </c>
      <c r="B218" s="6" t="s">
        <v>523</v>
      </c>
    </row>
    <row r="219" spans="1:2" x14ac:dyDescent="0.15">
      <c r="A219" s="5" t="s">
        <v>1033</v>
      </c>
      <c r="B219" s="6" t="s">
        <v>1032</v>
      </c>
    </row>
    <row r="220" spans="1:2" x14ac:dyDescent="0.15">
      <c r="A220" s="5" t="s">
        <v>611</v>
      </c>
      <c r="B220" s="6" t="s">
        <v>610</v>
      </c>
    </row>
    <row r="221" spans="1:2" x14ac:dyDescent="0.15">
      <c r="A221" s="5" t="s">
        <v>8519</v>
      </c>
      <c r="B221" s="6" t="s">
        <v>8520</v>
      </c>
    </row>
    <row r="222" spans="1:2" x14ac:dyDescent="0.15">
      <c r="A222" s="5" t="s">
        <v>305</v>
      </c>
      <c r="B222" s="6" t="s">
        <v>8521</v>
      </c>
    </row>
    <row r="223" spans="1:2" x14ac:dyDescent="0.15">
      <c r="A223" s="5" t="s">
        <v>390</v>
      </c>
      <c r="B223" s="6" t="s">
        <v>389</v>
      </c>
    </row>
    <row r="224" spans="1:2" x14ac:dyDescent="0.15">
      <c r="A224" s="5" t="s">
        <v>8522</v>
      </c>
      <c r="B224" s="6" t="s">
        <v>8523</v>
      </c>
    </row>
    <row r="225" spans="1:2" x14ac:dyDescent="0.15">
      <c r="A225" s="5" t="s">
        <v>170</v>
      </c>
      <c r="B225" s="6" t="s">
        <v>169</v>
      </c>
    </row>
    <row r="226" spans="1:2" x14ac:dyDescent="0.15">
      <c r="A226" s="5" t="s">
        <v>940</v>
      </c>
      <c r="B226" s="6" t="s">
        <v>939</v>
      </c>
    </row>
    <row r="227" spans="1:2" x14ac:dyDescent="0.15">
      <c r="A227" s="5" t="s">
        <v>1380</v>
      </c>
      <c r="B227" s="6" t="s">
        <v>1379</v>
      </c>
    </row>
    <row r="228" spans="1:2" x14ac:dyDescent="0.15">
      <c r="A228" s="5" t="s">
        <v>764</v>
      </c>
      <c r="B228" s="6" t="s">
        <v>763</v>
      </c>
    </row>
    <row r="229" spans="1:2" x14ac:dyDescent="0.15">
      <c r="A229" s="5" t="s">
        <v>8524</v>
      </c>
      <c r="B229" s="6" t="s">
        <v>8525</v>
      </c>
    </row>
    <row r="230" spans="1:2" x14ac:dyDescent="0.15">
      <c r="A230" s="5" t="s">
        <v>684</v>
      </c>
      <c r="B230" s="6" t="s">
        <v>683</v>
      </c>
    </row>
    <row r="231" spans="1:2" x14ac:dyDescent="0.15">
      <c r="A231" s="5" t="s">
        <v>8526</v>
      </c>
      <c r="B231" s="6" t="s">
        <v>8527</v>
      </c>
    </row>
    <row r="232" spans="1:2" x14ac:dyDescent="0.15">
      <c r="A232" s="5" t="s">
        <v>642</v>
      </c>
      <c r="B232" s="6" t="s">
        <v>641</v>
      </c>
    </row>
    <row r="233" spans="1:2" x14ac:dyDescent="0.15">
      <c r="A233" s="5" t="s">
        <v>8528</v>
      </c>
      <c r="B233" s="6" t="s">
        <v>8529</v>
      </c>
    </row>
    <row r="234" spans="1:2" x14ac:dyDescent="0.15">
      <c r="A234" s="5" t="s">
        <v>829</v>
      </c>
      <c r="B234" s="6" t="s">
        <v>828</v>
      </c>
    </row>
    <row r="235" spans="1:2" x14ac:dyDescent="0.15">
      <c r="A235" s="5" t="s">
        <v>1074</v>
      </c>
      <c r="B235" s="6" t="s">
        <v>1073</v>
      </c>
    </row>
    <row r="236" spans="1:2" x14ac:dyDescent="0.15">
      <c r="A236" s="5" t="s">
        <v>1192</v>
      </c>
      <c r="B236" s="6" t="s">
        <v>1191</v>
      </c>
    </row>
    <row r="237" spans="1:2" x14ac:dyDescent="0.15">
      <c r="A237" s="5" t="s">
        <v>151</v>
      </c>
      <c r="B237" s="6" t="s">
        <v>150</v>
      </c>
    </row>
    <row r="238" spans="1:2" x14ac:dyDescent="0.15">
      <c r="A238" s="5" t="s">
        <v>1185</v>
      </c>
      <c r="B238" s="6" t="s">
        <v>1184</v>
      </c>
    </row>
    <row r="239" spans="1:2" x14ac:dyDescent="0.15">
      <c r="A239" s="5" t="s">
        <v>625</v>
      </c>
      <c r="B239" s="6" t="s">
        <v>624</v>
      </c>
    </row>
    <row r="240" spans="1:2" x14ac:dyDescent="0.15">
      <c r="A240" s="5" t="s">
        <v>1215</v>
      </c>
      <c r="B240" s="6" t="s">
        <v>1214</v>
      </c>
    </row>
    <row r="241" spans="1:2" x14ac:dyDescent="0.15">
      <c r="A241" s="5" t="s">
        <v>283</v>
      </c>
      <c r="B241" s="6" t="s">
        <v>282</v>
      </c>
    </row>
    <row r="242" spans="1:2" x14ac:dyDescent="0.15">
      <c r="A242" s="5" t="s">
        <v>211</v>
      </c>
      <c r="B242" s="6" t="s">
        <v>210</v>
      </c>
    </row>
    <row r="243" spans="1:2" x14ac:dyDescent="0.15">
      <c r="A243" s="5" t="s">
        <v>899</v>
      </c>
      <c r="B243" s="6" t="s">
        <v>898</v>
      </c>
    </row>
    <row r="244" spans="1:2" x14ac:dyDescent="0.15">
      <c r="A244" s="5" t="s">
        <v>1027</v>
      </c>
      <c r="B244" s="6" t="s">
        <v>1026</v>
      </c>
    </row>
    <row r="245" spans="1:2" x14ac:dyDescent="0.15">
      <c r="A245" s="5" t="s">
        <v>1267</v>
      </c>
      <c r="B245" s="6" t="s">
        <v>1266</v>
      </c>
    </row>
    <row r="246" spans="1:2" x14ac:dyDescent="0.15">
      <c r="A246" s="5" t="s">
        <v>857</v>
      </c>
      <c r="B246" s="6" t="s">
        <v>856</v>
      </c>
    </row>
    <row r="247" spans="1:2" x14ac:dyDescent="0.15">
      <c r="A247" s="5" t="s">
        <v>219</v>
      </c>
      <c r="B247" s="6" t="s">
        <v>218</v>
      </c>
    </row>
    <row r="248" spans="1:2" x14ac:dyDescent="0.15">
      <c r="A248" s="5" t="s">
        <v>1291</v>
      </c>
      <c r="B248" s="6" t="s">
        <v>1290</v>
      </c>
    </row>
    <row r="249" spans="1:2" x14ac:dyDescent="0.15">
      <c r="A249" s="5" t="s">
        <v>659</v>
      </c>
      <c r="B249" s="6" t="s">
        <v>658</v>
      </c>
    </row>
    <row r="250" spans="1:2" x14ac:dyDescent="0.15">
      <c r="A250" s="5" t="s">
        <v>434</v>
      </c>
      <c r="B250" s="6" t="s">
        <v>433</v>
      </c>
    </row>
    <row r="251" spans="1:2" x14ac:dyDescent="0.15">
      <c r="A251" s="5" t="s">
        <v>882</v>
      </c>
      <c r="B251" s="6" t="s">
        <v>881</v>
      </c>
    </row>
    <row r="252" spans="1:2" x14ac:dyDescent="0.15">
      <c r="A252" s="5" t="s">
        <v>182</v>
      </c>
      <c r="B252" s="6" t="s">
        <v>181</v>
      </c>
    </row>
    <row r="253" spans="1:2" x14ac:dyDescent="0.15">
      <c r="A253" s="5" t="s">
        <v>896</v>
      </c>
      <c r="B253" s="6" t="s">
        <v>895</v>
      </c>
    </row>
    <row r="254" spans="1:2" x14ac:dyDescent="0.15">
      <c r="A254" s="5" t="s">
        <v>6697</v>
      </c>
      <c r="B254" s="6" t="s">
        <v>6696</v>
      </c>
    </row>
    <row r="255" spans="1:2" x14ac:dyDescent="0.15">
      <c r="A255" s="5" t="s">
        <v>456</v>
      </c>
      <c r="B255" s="6" t="s">
        <v>455</v>
      </c>
    </row>
    <row r="256" spans="1:2" x14ac:dyDescent="0.15">
      <c r="A256" s="5" t="s">
        <v>216</v>
      </c>
      <c r="B256" s="6" t="s">
        <v>215</v>
      </c>
    </row>
    <row r="257" spans="1:2" x14ac:dyDescent="0.15">
      <c r="A257" s="5" t="s">
        <v>8530</v>
      </c>
      <c r="B257" s="6" t="s">
        <v>8531</v>
      </c>
    </row>
    <row r="258" spans="1:2" x14ac:dyDescent="0.15">
      <c r="A258" s="5" t="s">
        <v>8532</v>
      </c>
      <c r="B258" s="6" t="s">
        <v>8533</v>
      </c>
    </row>
    <row r="259" spans="1:2" x14ac:dyDescent="0.15">
      <c r="A259" s="5" t="s">
        <v>644</v>
      </c>
      <c r="B259" s="6" t="s">
        <v>643</v>
      </c>
    </row>
    <row r="260" spans="1:2" x14ac:dyDescent="0.15">
      <c r="A260" s="5" t="s">
        <v>8534</v>
      </c>
      <c r="B260" s="6" t="s">
        <v>8535</v>
      </c>
    </row>
    <row r="261" spans="1:2" x14ac:dyDescent="0.15">
      <c r="A261" s="5" t="s">
        <v>935</v>
      </c>
      <c r="B261" s="6" t="s">
        <v>934</v>
      </c>
    </row>
    <row r="262" spans="1:2" x14ac:dyDescent="0.15">
      <c r="A262" s="5" t="s">
        <v>698</v>
      </c>
      <c r="B262" s="6" t="s">
        <v>697</v>
      </c>
    </row>
    <row r="263" spans="1:2" x14ac:dyDescent="0.15">
      <c r="A263" s="5" t="s">
        <v>159</v>
      </c>
      <c r="B263" s="6" t="s">
        <v>158</v>
      </c>
    </row>
    <row r="264" spans="1:2" x14ac:dyDescent="0.15">
      <c r="A264" s="5" t="s">
        <v>1313</v>
      </c>
      <c r="B264" s="6" t="s">
        <v>1312</v>
      </c>
    </row>
    <row r="265" spans="1:2" x14ac:dyDescent="0.15">
      <c r="A265" s="5" t="s">
        <v>8536</v>
      </c>
      <c r="B265" s="6" t="s">
        <v>8537</v>
      </c>
    </row>
    <row r="266" spans="1:2" x14ac:dyDescent="0.15">
      <c r="A266" s="5" t="s">
        <v>8538</v>
      </c>
      <c r="B266" s="6" t="s">
        <v>8539</v>
      </c>
    </row>
    <row r="267" spans="1:2" x14ac:dyDescent="0.15">
      <c r="A267" s="5" t="s">
        <v>500</v>
      </c>
      <c r="B267" s="6" t="s">
        <v>499</v>
      </c>
    </row>
    <row r="268" spans="1:2" x14ac:dyDescent="0.15">
      <c r="A268" s="5" t="s">
        <v>8540</v>
      </c>
      <c r="B268" s="6" t="s">
        <v>8541</v>
      </c>
    </row>
    <row r="269" spans="1:2" x14ac:dyDescent="0.15">
      <c r="A269" s="5" t="s">
        <v>937</v>
      </c>
      <c r="B269" s="6" t="s">
        <v>936</v>
      </c>
    </row>
    <row r="270" spans="1:2" x14ac:dyDescent="0.15">
      <c r="A270" s="5" t="s">
        <v>73</v>
      </c>
      <c r="B270" s="6" t="s">
        <v>72</v>
      </c>
    </row>
    <row r="271" spans="1:2" x14ac:dyDescent="0.15">
      <c r="A271" s="5" t="s">
        <v>8542</v>
      </c>
      <c r="B271" s="6" t="s">
        <v>8543</v>
      </c>
    </row>
    <row r="272" spans="1:2" x14ac:dyDescent="0.15">
      <c r="A272" s="5" t="s">
        <v>17</v>
      </c>
      <c r="B272" s="6" t="s">
        <v>16</v>
      </c>
    </row>
    <row r="273" spans="1:2" x14ac:dyDescent="0.15">
      <c r="A273" s="5" t="s">
        <v>809</v>
      </c>
      <c r="B273" s="6" t="s">
        <v>808</v>
      </c>
    </row>
    <row r="274" spans="1:2" x14ac:dyDescent="0.15">
      <c r="A274" s="5" t="s">
        <v>233</v>
      </c>
      <c r="B274" s="6" t="s">
        <v>232</v>
      </c>
    </row>
    <row r="275" spans="1:2" x14ac:dyDescent="0.15">
      <c r="A275" s="5" t="s">
        <v>963</v>
      </c>
      <c r="B275" s="6" t="s">
        <v>962</v>
      </c>
    </row>
    <row r="276" spans="1:2" x14ac:dyDescent="0.15">
      <c r="A276" s="5" t="s">
        <v>768</v>
      </c>
      <c r="B276" s="6" t="s">
        <v>767</v>
      </c>
    </row>
    <row r="277" spans="1:2" x14ac:dyDescent="0.15">
      <c r="A277" s="5" t="s">
        <v>1114</v>
      </c>
      <c r="B277" s="6" t="s">
        <v>1113</v>
      </c>
    </row>
    <row r="278" spans="1:2" x14ac:dyDescent="0.15">
      <c r="A278" s="5" t="s">
        <v>136</v>
      </c>
      <c r="B278" s="6" t="s">
        <v>135</v>
      </c>
    </row>
    <row r="279" spans="1:2" x14ac:dyDescent="0.15">
      <c r="A279" s="5" t="s">
        <v>1149</v>
      </c>
      <c r="B279" s="6" t="s">
        <v>1148</v>
      </c>
    </row>
    <row r="280" spans="1:2" x14ac:dyDescent="0.15">
      <c r="A280" s="5" t="s">
        <v>8544</v>
      </c>
      <c r="B280" s="6" t="s">
        <v>8545</v>
      </c>
    </row>
    <row r="281" spans="1:2" x14ac:dyDescent="0.15">
      <c r="A281" s="5" t="s">
        <v>598</v>
      </c>
      <c r="B281" s="6" t="s">
        <v>597</v>
      </c>
    </row>
    <row r="282" spans="1:2" x14ac:dyDescent="0.15">
      <c r="A282" s="5" t="s">
        <v>1120</v>
      </c>
      <c r="B282" s="6" t="s">
        <v>1119</v>
      </c>
    </row>
    <row r="283" spans="1:2" x14ac:dyDescent="0.15">
      <c r="A283" s="5" t="s">
        <v>262</v>
      </c>
      <c r="B283" s="6" t="s">
        <v>261</v>
      </c>
    </row>
    <row r="284" spans="1:2" x14ac:dyDescent="0.15">
      <c r="A284" s="5" t="s">
        <v>8546</v>
      </c>
      <c r="B284" s="6" t="s">
        <v>8547</v>
      </c>
    </row>
    <row r="285" spans="1:2" x14ac:dyDescent="0.15">
      <c r="A285" s="5" t="s">
        <v>376</v>
      </c>
      <c r="B285" s="6" t="s">
        <v>375</v>
      </c>
    </row>
    <row r="286" spans="1:2" x14ac:dyDescent="0.15">
      <c r="A286" s="5" t="s">
        <v>1340</v>
      </c>
      <c r="B286" s="6" t="s">
        <v>1339</v>
      </c>
    </row>
    <row r="287" spans="1:2" x14ac:dyDescent="0.15">
      <c r="A287" s="5" t="s">
        <v>1038</v>
      </c>
      <c r="B287" s="6" t="s">
        <v>1037</v>
      </c>
    </row>
    <row r="288" spans="1:2" x14ac:dyDescent="0.15">
      <c r="A288" s="5" t="s">
        <v>88</v>
      </c>
      <c r="B288" s="6" t="s">
        <v>87</v>
      </c>
    </row>
    <row r="289" spans="1:2" x14ac:dyDescent="0.15">
      <c r="A289" s="5" t="s">
        <v>593</v>
      </c>
      <c r="B289" s="6" t="s">
        <v>592</v>
      </c>
    </row>
    <row r="290" spans="1:2" x14ac:dyDescent="0.15">
      <c r="A290" s="5" t="s">
        <v>8548</v>
      </c>
      <c r="B290" s="6" t="s">
        <v>8549</v>
      </c>
    </row>
    <row r="291" spans="1:2" x14ac:dyDescent="0.15">
      <c r="A291" s="5" t="s">
        <v>663</v>
      </c>
      <c r="B291" s="6" t="s">
        <v>662</v>
      </c>
    </row>
    <row r="292" spans="1:2" x14ac:dyDescent="0.15">
      <c r="A292" s="5" t="s">
        <v>280</v>
      </c>
      <c r="B292" s="6" t="s">
        <v>279</v>
      </c>
    </row>
    <row r="293" spans="1:2" x14ac:dyDescent="0.15">
      <c r="A293" s="5" t="s">
        <v>8550</v>
      </c>
      <c r="B293" s="6" t="s">
        <v>8551</v>
      </c>
    </row>
    <row r="294" spans="1:2" x14ac:dyDescent="0.15">
      <c r="A294" s="5" t="s">
        <v>779</v>
      </c>
      <c r="B294" s="6" t="s">
        <v>778</v>
      </c>
    </row>
    <row r="295" spans="1:2" x14ac:dyDescent="0.15">
      <c r="A295" s="5" t="s">
        <v>8552</v>
      </c>
      <c r="B295" s="6" t="s">
        <v>8553</v>
      </c>
    </row>
    <row r="296" spans="1:2" x14ac:dyDescent="0.15">
      <c r="A296" s="5" t="s">
        <v>222</v>
      </c>
      <c r="B296" s="6" t="s">
        <v>8554</v>
      </c>
    </row>
    <row r="297" spans="1:2" x14ac:dyDescent="0.15">
      <c r="A297" s="5" t="s">
        <v>1392</v>
      </c>
      <c r="B297" s="6" t="s">
        <v>1391</v>
      </c>
    </row>
    <row r="298" spans="1:2" x14ac:dyDescent="0.15">
      <c r="A298" s="5" t="s">
        <v>822</v>
      </c>
      <c r="B298" s="6" t="s">
        <v>821</v>
      </c>
    </row>
    <row r="299" spans="1:2" x14ac:dyDescent="0.15">
      <c r="A299" s="5" t="s">
        <v>537</v>
      </c>
      <c r="B299" s="6" t="s">
        <v>536</v>
      </c>
    </row>
    <row r="300" spans="1:2" x14ac:dyDescent="0.15">
      <c r="A300" s="5" t="s">
        <v>8555</v>
      </c>
      <c r="B300" s="6" t="s">
        <v>8556</v>
      </c>
    </row>
    <row r="301" spans="1:2" x14ac:dyDescent="0.15">
      <c r="A301" s="5" t="s">
        <v>1181</v>
      </c>
      <c r="B301" s="6" t="s">
        <v>1180</v>
      </c>
    </row>
    <row r="302" spans="1:2" x14ac:dyDescent="0.15">
      <c r="A302" s="5" t="s">
        <v>8557</v>
      </c>
      <c r="B302" s="6" t="s">
        <v>8558</v>
      </c>
    </row>
    <row r="303" spans="1:2" x14ac:dyDescent="0.15">
      <c r="A303" s="5" t="s">
        <v>303</v>
      </c>
      <c r="B303" s="6" t="s">
        <v>302</v>
      </c>
    </row>
    <row r="304" spans="1:2" x14ac:dyDescent="0.15">
      <c r="A304" s="5" t="s">
        <v>1080</v>
      </c>
      <c r="B304" s="6" t="s">
        <v>1079</v>
      </c>
    </row>
    <row r="305" spans="1:2" x14ac:dyDescent="0.15">
      <c r="A305" s="5" t="s">
        <v>1122</v>
      </c>
      <c r="B305" s="6" t="s">
        <v>1121</v>
      </c>
    </row>
    <row r="306" spans="1:2" x14ac:dyDescent="0.15">
      <c r="A306" s="5" t="s">
        <v>264</v>
      </c>
      <c r="B306" s="6" t="s">
        <v>263</v>
      </c>
    </row>
    <row r="307" spans="1:2" x14ac:dyDescent="0.15">
      <c r="A307" s="5" t="s">
        <v>1013</v>
      </c>
      <c r="B307" s="6" t="s">
        <v>1012</v>
      </c>
    </row>
    <row r="308" spans="1:2" x14ac:dyDescent="0.15">
      <c r="A308" s="5" t="s">
        <v>464</v>
      </c>
      <c r="B308" s="6" t="s">
        <v>463</v>
      </c>
    </row>
    <row r="309" spans="1:2" x14ac:dyDescent="0.15">
      <c r="A309" s="5" t="s">
        <v>239</v>
      </c>
      <c r="B309" s="6" t="s">
        <v>238</v>
      </c>
    </row>
    <row r="310" spans="1:2" x14ac:dyDescent="0.15">
      <c r="A310" s="5" t="s">
        <v>8559</v>
      </c>
      <c r="B310" s="6" t="s">
        <v>8560</v>
      </c>
    </row>
    <row r="311" spans="1:2" x14ac:dyDescent="0.15">
      <c r="A311" s="5" t="s">
        <v>811</v>
      </c>
      <c r="B311" s="6" t="s">
        <v>810</v>
      </c>
    </row>
    <row r="312" spans="1:2" x14ac:dyDescent="0.15">
      <c r="A312" s="5" t="s">
        <v>292</v>
      </c>
      <c r="B312" s="6" t="s">
        <v>291</v>
      </c>
    </row>
    <row r="313" spans="1:2" x14ac:dyDescent="0.15">
      <c r="A313" s="5" t="s">
        <v>487</v>
      </c>
      <c r="B313" s="6" t="s">
        <v>486</v>
      </c>
    </row>
    <row r="314" spans="1:2" x14ac:dyDescent="0.15">
      <c r="A314" s="5" t="s">
        <v>8561</v>
      </c>
      <c r="B314" s="6" t="s">
        <v>8562</v>
      </c>
    </row>
    <row r="315" spans="1:2" x14ac:dyDescent="0.15">
      <c r="A315" s="5" t="s">
        <v>117</v>
      </c>
      <c r="B315" s="6" t="s">
        <v>116</v>
      </c>
    </row>
    <row r="316" spans="1:2" x14ac:dyDescent="0.15">
      <c r="A316" s="5" t="s">
        <v>1277</v>
      </c>
      <c r="B316" s="6" t="s">
        <v>1276</v>
      </c>
    </row>
    <row r="317" spans="1:2" x14ac:dyDescent="0.15">
      <c r="A317" s="5" t="s">
        <v>694</v>
      </c>
      <c r="B317" s="6" t="s">
        <v>693</v>
      </c>
    </row>
    <row r="318" spans="1:2" x14ac:dyDescent="0.15">
      <c r="A318" s="5" t="s">
        <v>560</v>
      </c>
      <c r="B318" s="6" t="s">
        <v>559</v>
      </c>
    </row>
    <row r="319" spans="1:2" x14ac:dyDescent="0.15">
      <c r="A319" s="5" t="s">
        <v>721</v>
      </c>
      <c r="B319" s="6" t="s">
        <v>720</v>
      </c>
    </row>
    <row r="320" spans="1:2" x14ac:dyDescent="0.15">
      <c r="A320" s="5" t="s">
        <v>341</v>
      </c>
      <c r="B320" s="6" t="s">
        <v>340</v>
      </c>
    </row>
    <row r="321" spans="1:2" x14ac:dyDescent="0.15">
      <c r="A321" s="5" t="s">
        <v>458</v>
      </c>
      <c r="B321" s="6" t="s">
        <v>457</v>
      </c>
    </row>
    <row r="322" spans="1:2" x14ac:dyDescent="0.15">
      <c r="A322" s="5" t="s">
        <v>420</v>
      </c>
      <c r="B322" s="6" t="s">
        <v>419</v>
      </c>
    </row>
    <row r="323" spans="1:2" x14ac:dyDescent="0.15">
      <c r="A323" s="5" t="s">
        <v>165</v>
      </c>
      <c r="B323" s="6" t="s">
        <v>164</v>
      </c>
    </row>
    <row r="324" spans="1:2" x14ac:dyDescent="0.15">
      <c r="A324" s="5" t="s">
        <v>513</v>
      </c>
      <c r="B324" s="6" t="s">
        <v>512</v>
      </c>
    </row>
    <row r="325" spans="1:2" x14ac:dyDescent="0.15">
      <c r="A325" s="5" t="s">
        <v>70</v>
      </c>
      <c r="B325" s="6" t="s">
        <v>69</v>
      </c>
    </row>
    <row r="326" spans="1:2" x14ac:dyDescent="0.15">
      <c r="A326" s="5" t="s">
        <v>249</v>
      </c>
      <c r="B326" s="6" t="s">
        <v>248</v>
      </c>
    </row>
    <row r="327" spans="1:2" x14ac:dyDescent="0.15">
      <c r="A327" s="5" t="s">
        <v>1232</v>
      </c>
      <c r="B327" s="6" t="s">
        <v>1231</v>
      </c>
    </row>
    <row r="328" spans="1:2" x14ac:dyDescent="0.15">
      <c r="A328" s="5" t="s">
        <v>8563</v>
      </c>
      <c r="B328" s="6" t="s">
        <v>8564</v>
      </c>
    </row>
    <row r="329" spans="1:2" x14ac:dyDescent="0.15">
      <c r="A329" s="5" t="s">
        <v>913</v>
      </c>
      <c r="B329" s="6" t="s">
        <v>912</v>
      </c>
    </row>
    <row r="330" spans="1:2" x14ac:dyDescent="0.15">
      <c r="A330" s="5" t="s">
        <v>273</v>
      </c>
      <c r="B330" s="6" t="s">
        <v>272</v>
      </c>
    </row>
    <row r="331" spans="1:2" x14ac:dyDescent="0.15">
      <c r="A331" s="5" t="s">
        <v>99</v>
      </c>
      <c r="B331" s="6" t="s">
        <v>98</v>
      </c>
    </row>
    <row r="332" spans="1:2" x14ac:dyDescent="0.15">
      <c r="A332" s="5" t="s">
        <v>105</v>
      </c>
      <c r="B332" s="6" t="s">
        <v>104</v>
      </c>
    </row>
    <row r="333" spans="1:2" x14ac:dyDescent="0.15">
      <c r="A333" s="5" t="s">
        <v>400</v>
      </c>
      <c r="B333" s="6" t="s">
        <v>399</v>
      </c>
    </row>
    <row r="334" spans="1:2" x14ac:dyDescent="0.15">
      <c r="A334" s="5" t="s">
        <v>59</v>
      </c>
      <c r="B334" s="6" t="s">
        <v>58</v>
      </c>
    </row>
    <row r="335" spans="1:2" x14ac:dyDescent="0.15">
      <c r="A335" s="5" t="s">
        <v>666</v>
      </c>
      <c r="B335" s="6" t="s">
        <v>665</v>
      </c>
    </row>
    <row r="336" spans="1:2" x14ac:dyDescent="0.15">
      <c r="A336" s="5" t="s">
        <v>192</v>
      </c>
      <c r="B336" s="6" t="s">
        <v>191</v>
      </c>
    </row>
    <row r="337" spans="1:2" x14ac:dyDescent="0.15">
      <c r="A337" s="5" t="s">
        <v>94</v>
      </c>
      <c r="B337" s="6" t="s">
        <v>93</v>
      </c>
    </row>
    <row r="338" spans="1:2" x14ac:dyDescent="0.15">
      <c r="A338" s="5" t="s">
        <v>97</v>
      </c>
      <c r="B338" s="6" t="s">
        <v>96</v>
      </c>
    </row>
    <row r="339" spans="1:2" x14ac:dyDescent="0.15">
      <c r="A339" s="5" t="s">
        <v>317</v>
      </c>
      <c r="B339" s="6" t="s">
        <v>316</v>
      </c>
    </row>
    <row r="340" spans="1:2" x14ac:dyDescent="0.15">
      <c r="A340" s="5" t="s">
        <v>531</v>
      </c>
      <c r="B340" s="6" t="s">
        <v>530</v>
      </c>
    </row>
    <row r="341" spans="1:2" x14ac:dyDescent="0.15">
      <c r="A341" s="5" t="s">
        <v>824</v>
      </c>
      <c r="B341" s="6" t="s">
        <v>823</v>
      </c>
    </row>
    <row r="342" spans="1:2" x14ac:dyDescent="0.15">
      <c r="A342" s="5" t="s">
        <v>1198</v>
      </c>
      <c r="B342" s="6" t="s">
        <v>1197</v>
      </c>
    </row>
    <row r="343" spans="1:2" x14ac:dyDescent="0.15">
      <c r="A343" s="5" t="s">
        <v>1072</v>
      </c>
      <c r="B343" s="6" t="s">
        <v>1071</v>
      </c>
    </row>
    <row r="344" spans="1:2" x14ac:dyDescent="0.15">
      <c r="A344" s="5" t="s">
        <v>1170</v>
      </c>
      <c r="B344" s="6" t="s">
        <v>1169</v>
      </c>
    </row>
    <row r="345" spans="1:2" x14ac:dyDescent="0.15">
      <c r="A345" s="5" t="s">
        <v>726</v>
      </c>
      <c r="B345" s="6" t="s">
        <v>725</v>
      </c>
    </row>
    <row r="346" spans="1:2" x14ac:dyDescent="0.15">
      <c r="A346" s="5" t="s">
        <v>8565</v>
      </c>
      <c r="B346" s="6" t="s">
        <v>8566</v>
      </c>
    </row>
    <row r="347" spans="1:2" x14ac:dyDescent="0.15">
      <c r="A347" s="5" t="s">
        <v>384</v>
      </c>
      <c r="B347" s="6" t="s">
        <v>383</v>
      </c>
    </row>
    <row r="348" spans="1:2" x14ac:dyDescent="0.15">
      <c r="A348" s="5" t="s">
        <v>837</v>
      </c>
      <c r="B348" s="6" t="s">
        <v>836</v>
      </c>
    </row>
    <row r="349" spans="1:2" x14ac:dyDescent="0.15">
      <c r="A349" s="5" t="s">
        <v>1036</v>
      </c>
      <c r="B349" s="6" t="s">
        <v>1035</v>
      </c>
    </row>
    <row r="350" spans="1:2" x14ac:dyDescent="0.15">
      <c r="A350" s="5" t="s">
        <v>878</v>
      </c>
      <c r="B350" s="6" t="s">
        <v>877</v>
      </c>
    </row>
    <row r="351" spans="1:2" x14ac:dyDescent="0.15">
      <c r="A351" s="5" t="s">
        <v>387</v>
      </c>
      <c r="B351" s="6" t="s">
        <v>386</v>
      </c>
    </row>
    <row r="352" spans="1:2" x14ac:dyDescent="0.15">
      <c r="A352" s="5" t="s">
        <v>436</v>
      </c>
      <c r="B352" s="6" t="s">
        <v>435</v>
      </c>
    </row>
    <row r="353" spans="1:2" x14ac:dyDescent="0.15">
      <c r="A353" s="5" t="s">
        <v>733</v>
      </c>
      <c r="B353" s="6" t="s">
        <v>732</v>
      </c>
    </row>
    <row r="354" spans="1:2" x14ac:dyDescent="0.15">
      <c r="A354" s="5" t="s">
        <v>423</v>
      </c>
      <c r="B354" s="6" t="s">
        <v>422</v>
      </c>
    </row>
    <row r="355" spans="1:2" x14ac:dyDescent="0.15">
      <c r="A355" s="5" t="s">
        <v>190</v>
      </c>
      <c r="B355" s="6" t="s">
        <v>189</v>
      </c>
    </row>
    <row r="356" spans="1:2" x14ac:dyDescent="0.15">
      <c r="A356" s="5" t="s">
        <v>661</v>
      </c>
      <c r="B356" s="6" t="s">
        <v>660</v>
      </c>
    </row>
    <row r="357" spans="1:2" x14ac:dyDescent="0.15">
      <c r="A357" s="5" t="s">
        <v>102</v>
      </c>
      <c r="B357" s="6" t="s">
        <v>101</v>
      </c>
    </row>
    <row r="358" spans="1:2" x14ac:dyDescent="0.15">
      <c r="A358" s="5" t="s">
        <v>632</v>
      </c>
      <c r="B358" s="6" t="s">
        <v>631</v>
      </c>
    </row>
    <row r="359" spans="1:2" x14ac:dyDescent="0.15">
      <c r="A359" s="5" t="s">
        <v>380</v>
      </c>
      <c r="B359" s="6" t="s">
        <v>379</v>
      </c>
    </row>
    <row r="360" spans="1:2" x14ac:dyDescent="0.15">
      <c r="A360" s="5" t="s">
        <v>139</v>
      </c>
      <c r="B360" s="6" t="s">
        <v>138</v>
      </c>
    </row>
    <row r="361" spans="1:2" x14ac:dyDescent="0.15">
      <c r="A361" s="5" t="s">
        <v>349</v>
      </c>
      <c r="B361" s="6" t="s">
        <v>348</v>
      </c>
    </row>
    <row r="362" spans="1:2" x14ac:dyDescent="0.15">
      <c r="A362" s="5" t="s">
        <v>1155</v>
      </c>
      <c r="B362" s="6" t="s">
        <v>1154</v>
      </c>
    </row>
    <row r="363" spans="1:2" x14ac:dyDescent="0.15">
      <c r="A363" s="5" t="s">
        <v>855</v>
      </c>
      <c r="B363" s="6" t="s">
        <v>854</v>
      </c>
    </row>
    <row r="364" spans="1:2" x14ac:dyDescent="0.15">
      <c r="A364" s="5" t="s">
        <v>1177</v>
      </c>
      <c r="B364" s="6" t="s">
        <v>1176</v>
      </c>
    </row>
    <row r="365" spans="1:2" x14ac:dyDescent="0.15">
      <c r="A365" s="5" t="s">
        <v>43</v>
      </c>
      <c r="B365" s="6" t="s">
        <v>42</v>
      </c>
    </row>
    <row r="366" spans="1:2" x14ac:dyDescent="0.15">
      <c r="A366" s="5" t="s">
        <v>398</v>
      </c>
      <c r="B366" s="6" t="s">
        <v>397</v>
      </c>
    </row>
    <row r="367" spans="1:2" x14ac:dyDescent="0.15">
      <c r="A367" s="5" t="s">
        <v>689</v>
      </c>
      <c r="B367" s="6" t="s">
        <v>688</v>
      </c>
    </row>
    <row r="368" spans="1:2" x14ac:dyDescent="0.15">
      <c r="A368" s="5" t="s">
        <v>591</v>
      </c>
      <c r="B368" s="6" t="s">
        <v>590</v>
      </c>
    </row>
    <row r="369" spans="1:2" x14ac:dyDescent="0.15">
      <c r="A369" s="5" t="s">
        <v>1394</v>
      </c>
      <c r="B369" s="6" t="s">
        <v>1393</v>
      </c>
    </row>
    <row r="370" spans="1:2" x14ac:dyDescent="0.15">
      <c r="A370" s="5" t="s">
        <v>947</v>
      </c>
      <c r="B370" s="6" t="s">
        <v>946</v>
      </c>
    </row>
    <row r="371" spans="1:2" x14ac:dyDescent="0.15">
      <c r="A371" s="5" t="s">
        <v>8567</v>
      </c>
      <c r="B371" s="6" t="s">
        <v>8568</v>
      </c>
    </row>
    <row r="372" spans="1:2" x14ac:dyDescent="0.15">
      <c r="A372" s="5" t="s">
        <v>918</v>
      </c>
      <c r="B372" s="6" t="s">
        <v>917</v>
      </c>
    </row>
    <row r="373" spans="1:2" x14ac:dyDescent="0.15">
      <c r="A373" s="5" t="s">
        <v>849</v>
      </c>
      <c r="B373" s="6" t="s">
        <v>848</v>
      </c>
    </row>
    <row r="374" spans="1:2" x14ac:dyDescent="0.15">
      <c r="A374" s="5" t="s">
        <v>640</v>
      </c>
      <c r="B374" s="6" t="s">
        <v>639</v>
      </c>
    </row>
    <row r="375" spans="1:2" x14ac:dyDescent="0.15">
      <c r="A375" s="5" t="s">
        <v>522</v>
      </c>
      <c r="B375" s="6" t="s">
        <v>521</v>
      </c>
    </row>
    <row r="376" spans="1:2" x14ac:dyDescent="0.15">
      <c r="A376" s="5" t="s">
        <v>296</v>
      </c>
      <c r="B376" s="6" t="s">
        <v>295</v>
      </c>
    </row>
    <row r="377" spans="1:2" x14ac:dyDescent="0.15">
      <c r="A377" s="5" t="s">
        <v>1132</v>
      </c>
      <c r="B377" s="6" t="s">
        <v>1131</v>
      </c>
    </row>
    <row r="378" spans="1:2" x14ac:dyDescent="0.15">
      <c r="A378" s="5" t="s">
        <v>57</v>
      </c>
      <c r="B378" s="6" t="s">
        <v>56</v>
      </c>
    </row>
    <row r="379" spans="1:2" x14ac:dyDescent="0.15">
      <c r="A379" s="5" t="s">
        <v>1047</v>
      </c>
      <c r="B379" s="6" t="s">
        <v>1046</v>
      </c>
    </row>
    <row r="380" spans="1:2" x14ac:dyDescent="0.15">
      <c r="A380" s="5" t="s">
        <v>957</v>
      </c>
      <c r="B380" s="6" t="s">
        <v>956</v>
      </c>
    </row>
    <row r="381" spans="1:2" x14ac:dyDescent="0.15">
      <c r="A381" s="5" t="s">
        <v>346</v>
      </c>
      <c r="B381" s="6" t="s">
        <v>345</v>
      </c>
    </row>
    <row r="382" spans="1:2" x14ac:dyDescent="0.15">
      <c r="A382" s="5" t="s">
        <v>955</v>
      </c>
      <c r="B382" s="6" t="s">
        <v>954</v>
      </c>
    </row>
    <row r="383" spans="1:2" x14ac:dyDescent="0.15">
      <c r="A383" s="5" t="s">
        <v>353</v>
      </c>
      <c r="B383" s="6" t="s">
        <v>352</v>
      </c>
    </row>
    <row r="384" spans="1:2" x14ac:dyDescent="0.15">
      <c r="A384" s="5" t="s">
        <v>1274</v>
      </c>
      <c r="B384" s="6" t="s">
        <v>1273</v>
      </c>
    </row>
    <row r="385" spans="1:2" x14ac:dyDescent="0.15">
      <c r="A385" s="5" t="s">
        <v>874</v>
      </c>
      <c r="B385" s="6" t="s">
        <v>873</v>
      </c>
    </row>
    <row r="386" spans="1:2" x14ac:dyDescent="0.15">
      <c r="A386" s="5" t="s">
        <v>1136</v>
      </c>
      <c r="B386" s="6" t="s">
        <v>1135</v>
      </c>
    </row>
    <row r="387" spans="1:2" x14ac:dyDescent="0.15">
      <c r="A387" s="5" t="s">
        <v>960</v>
      </c>
      <c r="B387" s="6" t="s">
        <v>959</v>
      </c>
    </row>
    <row r="388" spans="1:2" x14ac:dyDescent="0.15">
      <c r="A388" s="5" t="s">
        <v>886</v>
      </c>
      <c r="B388" s="6" t="s">
        <v>885</v>
      </c>
    </row>
    <row r="389" spans="1:2" x14ac:dyDescent="0.15">
      <c r="A389" s="5" t="s">
        <v>773</v>
      </c>
      <c r="B389" s="6" t="s">
        <v>772</v>
      </c>
    </row>
    <row r="390" spans="1:2" x14ac:dyDescent="0.15">
      <c r="A390" s="5" t="s">
        <v>1006</v>
      </c>
      <c r="B390" s="6" t="s">
        <v>1005</v>
      </c>
    </row>
    <row r="391" spans="1:2" x14ac:dyDescent="0.15">
      <c r="A391" s="5" t="s">
        <v>600</v>
      </c>
      <c r="B391" s="6" t="s">
        <v>599</v>
      </c>
    </row>
    <row r="392" spans="1:2" x14ac:dyDescent="0.15">
      <c r="A392" s="5" t="s">
        <v>994</v>
      </c>
      <c r="B392" s="6" t="s">
        <v>993</v>
      </c>
    </row>
    <row r="393" spans="1:2" x14ac:dyDescent="0.15">
      <c r="A393" s="5" t="s">
        <v>358</v>
      </c>
      <c r="B393" s="6" t="s">
        <v>8569</v>
      </c>
    </row>
    <row r="394" spans="1:2" x14ac:dyDescent="0.15">
      <c r="A394" s="5" t="s">
        <v>1104</v>
      </c>
      <c r="B394" s="6" t="s">
        <v>1103</v>
      </c>
    </row>
    <row r="395" spans="1:2" x14ac:dyDescent="0.15">
      <c r="A395" s="5" t="s">
        <v>244</v>
      </c>
      <c r="B395" s="6" t="s">
        <v>243</v>
      </c>
    </row>
    <row r="396" spans="1:2" x14ac:dyDescent="0.15">
      <c r="A396" s="5" t="s">
        <v>489</v>
      </c>
      <c r="B396" s="6" t="s">
        <v>488</v>
      </c>
    </row>
    <row r="397" spans="1:2" x14ac:dyDescent="0.15">
      <c r="A397" s="5" t="s">
        <v>256</v>
      </c>
      <c r="B397" s="6" t="s">
        <v>255</v>
      </c>
    </row>
    <row r="398" spans="1:2" x14ac:dyDescent="0.15">
      <c r="A398" s="5" t="s">
        <v>8570</v>
      </c>
      <c r="B398" s="6" t="s">
        <v>8571</v>
      </c>
    </row>
    <row r="399" spans="1:2" x14ac:dyDescent="0.15">
      <c r="A399" s="5" t="s">
        <v>943</v>
      </c>
      <c r="B399" s="6" t="s">
        <v>942</v>
      </c>
    </row>
    <row r="400" spans="1:2" x14ac:dyDescent="0.15">
      <c r="A400" s="5" t="s">
        <v>270</v>
      </c>
      <c r="B400" s="6" t="s">
        <v>269</v>
      </c>
    </row>
    <row r="401" spans="1:2" x14ac:dyDescent="0.15">
      <c r="A401" s="5" t="s">
        <v>470</v>
      </c>
      <c r="B401" s="6" t="s">
        <v>469</v>
      </c>
    </row>
    <row r="402" spans="1:2" x14ac:dyDescent="0.15">
      <c r="A402" s="5" t="s">
        <v>200</v>
      </c>
      <c r="B402" s="6" t="s">
        <v>199</v>
      </c>
    </row>
    <row r="403" spans="1:2" x14ac:dyDescent="0.15">
      <c r="A403" s="5" t="s">
        <v>1015</v>
      </c>
      <c r="B403" s="6" t="s">
        <v>1014</v>
      </c>
    </row>
    <row r="404" spans="1:2" x14ac:dyDescent="0.15">
      <c r="A404" s="5" t="s">
        <v>230</v>
      </c>
      <c r="B404" s="6" t="s">
        <v>229</v>
      </c>
    </row>
    <row r="405" spans="1:2" x14ac:dyDescent="0.15">
      <c r="A405" s="5" t="s">
        <v>80</v>
      </c>
      <c r="B405" s="6" t="s">
        <v>79</v>
      </c>
    </row>
    <row r="406" spans="1:2" x14ac:dyDescent="0.15">
      <c r="A406" s="5" t="s">
        <v>128</v>
      </c>
      <c r="B406" s="6" t="s">
        <v>127</v>
      </c>
    </row>
    <row r="407" spans="1:2" x14ac:dyDescent="0.15">
      <c r="A407" s="5" t="s">
        <v>8572</v>
      </c>
      <c r="B407" s="6" t="s">
        <v>8573</v>
      </c>
    </row>
    <row r="408" spans="1:2" x14ac:dyDescent="0.15">
      <c r="A408" s="5" t="s">
        <v>841</v>
      </c>
      <c r="B408" s="6" t="s">
        <v>840</v>
      </c>
    </row>
    <row r="409" spans="1:2" x14ac:dyDescent="0.15">
      <c r="A409" s="5" t="s">
        <v>142</v>
      </c>
      <c r="B409" s="6" t="s">
        <v>141</v>
      </c>
    </row>
    <row r="410" spans="1:2" x14ac:dyDescent="0.15">
      <c r="A410" s="5" t="s">
        <v>550</v>
      </c>
      <c r="B410" s="6" t="s">
        <v>8574</v>
      </c>
    </row>
    <row r="411" spans="1:2" x14ac:dyDescent="0.15">
      <c r="A411" s="5" t="s">
        <v>8575</v>
      </c>
      <c r="B411" s="6" t="s">
        <v>8576</v>
      </c>
    </row>
    <row r="412" spans="1:2" x14ac:dyDescent="0.15">
      <c r="A412" s="5" t="s">
        <v>766</v>
      </c>
      <c r="B412" s="6" t="s">
        <v>765</v>
      </c>
    </row>
    <row r="413" spans="1:2" x14ac:dyDescent="0.15">
      <c r="A413" s="5" t="s">
        <v>1223</v>
      </c>
      <c r="B413" s="6" t="s">
        <v>1222</v>
      </c>
    </row>
    <row r="414" spans="1:2" x14ac:dyDescent="0.15">
      <c r="A414" s="5" t="s">
        <v>370</v>
      </c>
      <c r="B414" s="6" t="s">
        <v>369</v>
      </c>
    </row>
    <row r="415" spans="1:2" x14ac:dyDescent="0.15">
      <c r="A415" s="5" t="s">
        <v>930</v>
      </c>
      <c r="B415" s="6" t="s">
        <v>929</v>
      </c>
    </row>
    <row r="416" spans="1:2" x14ac:dyDescent="0.15">
      <c r="A416" s="5" t="s">
        <v>565</v>
      </c>
      <c r="B416" s="6" t="s">
        <v>564</v>
      </c>
    </row>
    <row r="417" spans="1:2" x14ac:dyDescent="0.15">
      <c r="A417" s="5" t="s">
        <v>122</v>
      </c>
      <c r="B417" s="6" t="s">
        <v>8577</v>
      </c>
    </row>
    <row r="418" spans="1:2" x14ac:dyDescent="0.15">
      <c r="A418" s="5" t="s">
        <v>301</v>
      </c>
      <c r="B418" s="6" t="s">
        <v>300</v>
      </c>
    </row>
    <row r="419" spans="1:2" x14ac:dyDescent="0.15">
      <c r="A419" s="5" t="s">
        <v>1761</v>
      </c>
      <c r="B419" s="6" t="s">
        <v>1760</v>
      </c>
    </row>
    <row r="420" spans="1:2" x14ac:dyDescent="0.15">
      <c r="A420" s="5" t="s">
        <v>743</v>
      </c>
      <c r="B420" s="6" t="s">
        <v>742</v>
      </c>
    </row>
    <row r="421" spans="1:2" x14ac:dyDescent="0.15">
      <c r="A421" s="5" t="s">
        <v>586</v>
      </c>
      <c r="B421" s="6" t="s">
        <v>585</v>
      </c>
    </row>
    <row r="422" spans="1:2" x14ac:dyDescent="0.15">
      <c r="A422" s="5" t="s">
        <v>1128</v>
      </c>
      <c r="B422" s="6" t="s">
        <v>1127</v>
      </c>
    </row>
    <row r="423" spans="1:2" x14ac:dyDescent="0.15">
      <c r="A423" s="5" t="s">
        <v>1063</v>
      </c>
      <c r="B423" s="6" t="s">
        <v>1062</v>
      </c>
    </row>
    <row r="424" spans="1:2" x14ac:dyDescent="0.15">
      <c r="A424" s="5" t="s">
        <v>168</v>
      </c>
      <c r="B424" s="6" t="s">
        <v>167</v>
      </c>
    </row>
    <row r="425" spans="1:2" x14ac:dyDescent="0.15">
      <c r="A425" s="5" t="s">
        <v>620</v>
      </c>
      <c r="B425" s="6" t="s">
        <v>619</v>
      </c>
    </row>
    <row r="426" spans="1:2" x14ac:dyDescent="0.15">
      <c r="A426" s="5" t="s">
        <v>1093</v>
      </c>
      <c r="B426" s="6" t="s">
        <v>1092</v>
      </c>
    </row>
    <row r="427" spans="1:2" x14ac:dyDescent="0.15">
      <c r="A427" s="5" t="s">
        <v>497</v>
      </c>
      <c r="B427" s="6" t="s">
        <v>496</v>
      </c>
    </row>
    <row r="428" spans="1:2" x14ac:dyDescent="0.15">
      <c r="A428" s="5" t="s">
        <v>988</v>
      </c>
      <c r="B428" s="6" t="s">
        <v>987</v>
      </c>
    </row>
    <row r="429" spans="1:2" x14ac:dyDescent="0.15">
      <c r="A429" s="5" t="s">
        <v>892</v>
      </c>
      <c r="B429" s="6" t="s">
        <v>891</v>
      </c>
    </row>
    <row r="430" spans="1:2" x14ac:dyDescent="0.15">
      <c r="A430" s="5" t="s">
        <v>8578</v>
      </c>
      <c r="B430" s="6" t="s">
        <v>8579</v>
      </c>
    </row>
    <row r="431" spans="1:2" x14ac:dyDescent="0.15">
      <c r="A431" s="5" t="s">
        <v>251</v>
      </c>
      <c r="B431" s="6" t="s">
        <v>250</v>
      </c>
    </row>
    <row r="432" spans="1:2" x14ac:dyDescent="0.15">
      <c r="A432" s="5" t="s">
        <v>425</v>
      </c>
      <c r="B432" s="6" t="s">
        <v>424</v>
      </c>
    </row>
    <row r="433" spans="1:2" x14ac:dyDescent="0.15">
      <c r="A433" s="5" t="s">
        <v>817</v>
      </c>
      <c r="B433" s="6" t="s">
        <v>816</v>
      </c>
    </row>
    <row r="434" spans="1:2" x14ac:dyDescent="0.15">
      <c r="A434" s="5" t="s">
        <v>1141</v>
      </c>
      <c r="B434" s="6" t="s">
        <v>1140</v>
      </c>
    </row>
    <row r="435" spans="1:2" x14ac:dyDescent="0.15">
      <c r="A435" s="5" t="s">
        <v>535</v>
      </c>
      <c r="B435" s="6" t="s">
        <v>534</v>
      </c>
    </row>
    <row r="436" spans="1:2" x14ac:dyDescent="0.15">
      <c r="A436" s="5" t="s">
        <v>859</v>
      </c>
      <c r="B436" s="6" t="s">
        <v>858</v>
      </c>
    </row>
    <row r="437" spans="1:2" x14ac:dyDescent="0.15">
      <c r="A437" s="5" t="s">
        <v>516</v>
      </c>
      <c r="B437" s="6" t="s">
        <v>515</v>
      </c>
    </row>
    <row r="438" spans="1:2" x14ac:dyDescent="0.15">
      <c r="A438" s="5" t="s">
        <v>8580</v>
      </c>
      <c r="B438" s="6" t="s">
        <v>8581</v>
      </c>
    </row>
    <row r="439" spans="1:2" x14ac:dyDescent="0.15">
      <c r="A439" s="5" t="s">
        <v>872</v>
      </c>
      <c r="B439" s="6" t="s">
        <v>871</v>
      </c>
    </row>
    <row r="440" spans="1:2" x14ac:dyDescent="0.15">
      <c r="A440" s="5" t="s">
        <v>762</v>
      </c>
      <c r="B440" s="6" t="s">
        <v>761</v>
      </c>
    </row>
    <row r="441" spans="1:2" x14ac:dyDescent="0.15">
      <c r="A441" s="5" t="s">
        <v>1134</v>
      </c>
      <c r="B441" s="6" t="s">
        <v>1133</v>
      </c>
    </row>
    <row r="442" spans="1:2" x14ac:dyDescent="0.15">
      <c r="A442" s="5" t="s">
        <v>1049</v>
      </c>
      <c r="B442" s="6" t="s">
        <v>1048</v>
      </c>
    </row>
    <row r="443" spans="1:2" x14ac:dyDescent="0.15">
      <c r="A443" s="5" t="s">
        <v>1000</v>
      </c>
      <c r="B443" s="6" t="s">
        <v>999</v>
      </c>
    </row>
    <row r="444" spans="1:2" x14ac:dyDescent="0.15">
      <c r="A444" s="5" t="s">
        <v>731</v>
      </c>
      <c r="B444" s="6" t="s">
        <v>730</v>
      </c>
    </row>
    <row r="445" spans="1:2" x14ac:dyDescent="0.15">
      <c r="A445" s="5" t="s">
        <v>656</v>
      </c>
      <c r="B445" s="6" t="s">
        <v>655</v>
      </c>
    </row>
    <row r="446" spans="1:2" x14ac:dyDescent="0.15">
      <c r="A446" s="5" t="s">
        <v>184</v>
      </c>
      <c r="B446" s="6" t="s">
        <v>183</v>
      </c>
    </row>
    <row r="447" spans="1:2" x14ac:dyDescent="0.15">
      <c r="A447" s="5" t="s">
        <v>977</v>
      </c>
      <c r="B447" s="6" t="s">
        <v>976</v>
      </c>
    </row>
    <row r="448" spans="1:2" x14ac:dyDescent="0.15">
      <c r="A448" s="5" t="s">
        <v>445</v>
      </c>
      <c r="B448" s="6" t="s">
        <v>444</v>
      </c>
    </row>
    <row r="449" spans="1:2" x14ac:dyDescent="0.15">
      <c r="A449" s="5" t="s">
        <v>681</v>
      </c>
      <c r="B449" s="6" t="s">
        <v>680</v>
      </c>
    </row>
    <row r="450" spans="1:2" x14ac:dyDescent="0.15">
      <c r="A450" s="5" t="s">
        <v>520</v>
      </c>
      <c r="B450" s="6" t="s">
        <v>519</v>
      </c>
    </row>
    <row r="451" spans="1:2" x14ac:dyDescent="0.15">
      <c r="A451" s="5" t="s">
        <v>623</v>
      </c>
      <c r="B451" s="6" t="s">
        <v>622</v>
      </c>
    </row>
    <row r="452" spans="1:2" x14ac:dyDescent="0.15">
      <c r="A452" s="5" t="s">
        <v>285</v>
      </c>
      <c r="B452" s="6" t="s">
        <v>284</v>
      </c>
    </row>
    <row r="453" spans="1:2" x14ac:dyDescent="0.15">
      <c r="A453" s="5" t="s">
        <v>613</v>
      </c>
      <c r="B453" s="6" t="s">
        <v>612</v>
      </c>
    </row>
    <row r="454" spans="1:2" x14ac:dyDescent="0.15">
      <c r="A454" s="5" t="s">
        <v>1272</v>
      </c>
      <c r="B454" s="6" t="s">
        <v>1271</v>
      </c>
    </row>
    <row r="455" spans="1:2" x14ac:dyDescent="0.15">
      <c r="A455" s="5" t="s">
        <v>8582</v>
      </c>
      <c r="B455" s="6" t="s">
        <v>8583</v>
      </c>
    </row>
    <row r="456" spans="1:2" x14ac:dyDescent="0.15">
      <c r="A456" s="5" t="s">
        <v>119</v>
      </c>
      <c r="B456" s="6" t="s">
        <v>118</v>
      </c>
    </row>
    <row r="457" spans="1:2" x14ac:dyDescent="0.15">
      <c r="A457" s="5" t="s">
        <v>1060</v>
      </c>
      <c r="B457" s="6" t="s">
        <v>1059</v>
      </c>
    </row>
    <row r="458" spans="1:2" x14ac:dyDescent="0.15">
      <c r="A458" s="5" t="s">
        <v>247</v>
      </c>
      <c r="B458" s="6" t="s">
        <v>246</v>
      </c>
    </row>
    <row r="459" spans="1:2" x14ac:dyDescent="0.15">
      <c r="A459" s="5" t="s">
        <v>1183</v>
      </c>
      <c r="B459" s="6" t="s">
        <v>1182</v>
      </c>
    </row>
    <row r="460" spans="1:2" x14ac:dyDescent="0.15">
      <c r="A460" s="5" t="s">
        <v>441</v>
      </c>
      <c r="B460" s="6" t="s">
        <v>440</v>
      </c>
    </row>
    <row r="461" spans="1:2" x14ac:dyDescent="0.15">
      <c r="A461" s="5" t="s">
        <v>710</v>
      </c>
      <c r="B461" s="6" t="s">
        <v>709</v>
      </c>
    </row>
    <row r="462" spans="1:2" x14ac:dyDescent="0.15">
      <c r="A462" s="5" t="s">
        <v>692</v>
      </c>
      <c r="B462" s="6" t="s">
        <v>691</v>
      </c>
    </row>
    <row r="463" spans="1:2" x14ac:dyDescent="0.15">
      <c r="A463" s="5" t="s">
        <v>553</v>
      </c>
      <c r="B463" s="6" t="s">
        <v>552</v>
      </c>
    </row>
    <row r="464" spans="1:2" x14ac:dyDescent="0.15">
      <c r="A464" s="5" t="s">
        <v>903</v>
      </c>
      <c r="B464" s="6" t="s">
        <v>902</v>
      </c>
    </row>
    <row r="465" spans="1:2" x14ac:dyDescent="0.15">
      <c r="A465" s="5" t="s">
        <v>495</v>
      </c>
      <c r="B465" s="6" t="s">
        <v>494</v>
      </c>
    </row>
    <row r="466" spans="1:2" x14ac:dyDescent="0.15">
      <c r="A466" s="5" t="s">
        <v>1411</v>
      </c>
      <c r="B466" s="6" t="s">
        <v>1410</v>
      </c>
    </row>
    <row r="467" spans="1:2" x14ac:dyDescent="0.15">
      <c r="A467" s="5" t="s">
        <v>803</v>
      </c>
      <c r="B467" s="6" t="s">
        <v>802</v>
      </c>
    </row>
    <row r="468" spans="1:2" x14ac:dyDescent="0.15">
      <c r="A468" s="5" t="s">
        <v>781</v>
      </c>
      <c r="B468" s="6" t="s">
        <v>780</v>
      </c>
    </row>
    <row r="469" spans="1:2" x14ac:dyDescent="0.15">
      <c r="A469" s="5" t="s">
        <v>51</v>
      </c>
      <c r="B469" s="6" t="s">
        <v>50</v>
      </c>
    </row>
    <row r="470" spans="1:2" x14ac:dyDescent="0.15">
      <c r="A470" s="5" t="s">
        <v>8584</v>
      </c>
      <c r="B470" s="6" t="s">
        <v>8585</v>
      </c>
    </row>
    <row r="471" spans="1:2" x14ac:dyDescent="0.15">
      <c r="A471" s="5" t="s">
        <v>1068</v>
      </c>
      <c r="B471" s="6" t="s">
        <v>1067</v>
      </c>
    </row>
    <row r="472" spans="1:2" x14ac:dyDescent="0.15">
      <c r="A472" s="5" t="s">
        <v>1162</v>
      </c>
      <c r="B472" s="6" t="s">
        <v>1161</v>
      </c>
    </row>
    <row r="473" spans="1:2" x14ac:dyDescent="0.15">
      <c r="A473" s="5" t="s">
        <v>949</v>
      </c>
      <c r="B473" s="6" t="s">
        <v>948</v>
      </c>
    </row>
    <row r="474" spans="1:2" x14ac:dyDescent="0.15">
      <c r="A474" s="5" t="s">
        <v>1086</v>
      </c>
      <c r="B474" s="6" t="s">
        <v>1085</v>
      </c>
    </row>
    <row r="475" spans="1:2" x14ac:dyDescent="0.15">
      <c r="A475" s="5" t="s">
        <v>843</v>
      </c>
      <c r="B475" s="6" t="s">
        <v>842</v>
      </c>
    </row>
    <row r="476" spans="1:2" x14ac:dyDescent="0.15">
      <c r="A476" s="5" t="s">
        <v>1262</v>
      </c>
      <c r="B476" s="6" t="s">
        <v>1261</v>
      </c>
    </row>
    <row r="477" spans="1:2" x14ac:dyDescent="0.15">
      <c r="A477" s="5" t="s">
        <v>178</v>
      </c>
      <c r="B477" s="6" t="s">
        <v>177</v>
      </c>
    </row>
    <row r="478" spans="1:2" x14ac:dyDescent="0.15">
      <c r="A478" s="5" t="s">
        <v>756</v>
      </c>
      <c r="B478" s="6" t="s">
        <v>755</v>
      </c>
    </row>
    <row r="479" spans="1:2" x14ac:dyDescent="0.15">
      <c r="A479" s="5" t="s">
        <v>1559</v>
      </c>
      <c r="B479" s="6" t="s">
        <v>1558</v>
      </c>
    </row>
    <row r="480" spans="1:2" x14ac:dyDescent="0.15">
      <c r="A480" s="5" t="s">
        <v>1307</v>
      </c>
      <c r="B480" s="6" t="s">
        <v>8586</v>
      </c>
    </row>
    <row r="481" spans="1:2" x14ac:dyDescent="0.15">
      <c r="A481" s="5" t="s">
        <v>945</v>
      </c>
      <c r="B481" s="6" t="s">
        <v>944</v>
      </c>
    </row>
    <row r="482" spans="1:2" x14ac:dyDescent="0.15">
      <c r="A482" s="5" t="s">
        <v>1153</v>
      </c>
      <c r="B482" s="6" t="s">
        <v>1152</v>
      </c>
    </row>
    <row r="483" spans="1:2" x14ac:dyDescent="0.15">
      <c r="A483" s="5" t="s">
        <v>1025</v>
      </c>
      <c r="B483" s="6" t="s">
        <v>1024</v>
      </c>
    </row>
    <row r="484" spans="1:2" x14ac:dyDescent="0.15">
      <c r="A484" s="5" t="s">
        <v>861</v>
      </c>
      <c r="B484" s="6" t="s">
        <v>860</v>
      </c>
    </row>
    <row r="485" spans="1:2" x14ac:dyDescent="0.15">
      <c r="A485" s="5" t="s">
        <v>789</v>
      </c>
      <c r="B485" s="6" t="s">
        <v>788</v>
      </c>
    </row>
    <row r="486" spans="1:2" x14ac:dyDescent="0.15">
      <c r="A486" s="5" t="s">
        <v>1070</v>
      </c>
      <c r="B486" s="6" t="s">
        <v>1069</v>
      </c>
    </row>
    <row r="487" spans="1:2" x14ac:dyDescent="0.15">
      <c r="A487" s="5" t="s">
        <v>719</v>
      </c>
      <c r="B487" s="6" t="s">
        <v>718</v>
      </c>
    </row>
    <row r="488" spans="1:2" x14ac:dyDescent="0.15">
      <c r="A488" s="5" t="s">
        <v>338</v>
      </c>
      <c r="B488" s="6" t="s">
        <v>337</v>
      </c>
    </row>
    <row r="489" spans="1:2" x14ac:dyDescent="0.15">
      <c r="A489" s="5" t="s">
        <v>447</v>
      </c>
      <c r="B489" s="6" t="s">
        <v>446</v>
      </c>
    </row>
    <row r="490" spans="1:2" x14ac:dyDescent="0.15">
      <c r="A490" s="5" t="s">
        <v>1205</v>
      </c>
      <c r="B490" s="6" t="s">
        <v>1204</v>
      </c>
    </row>
    <row r="491" spans="1:2" x14ac:dyDescent="0.15">
      <c r="A491" s="5" t="s">
        <v>314</v>
      </c>
      <c r="B491" s="6" t="s">
        <v>313</v>
      </c>
    </row>
    <row r="492" spans="1:2" x14ac:dyDescent="0.15">
      <c r="A492" s="5" t="s">
        <v>1219</v>
      </c>
      <c r="B492" s="6" t="s">
        <v>1218</v>
      </c>
    </row>
    <row r="493" spans="1:2" x14ac:dyDescent="0.15">
      <c r="A493" s="5" t="s">
        <v>853</v>
      </c>
      <c r="B493" s="6" t="s">
        <v>852</v>
      </c>
    </row>
    <row r="494" spans="1:2" x14ac:dyDescent="0.15">
      <c r="A494" s="5" t="s">
        <v>333</v>
      </c>
      <c r="B494" s="6" t="s">
        <v>332</v>
      </c>
    </row>
    <row r="495" spans="1:2" x14ac:dyDescent="0.15">
      <c r="A495" s="5" t="s">
        <v>361</v>
      </c>
      <c r="B495" s="6" t="s">
        <v>360</v>
      </c>
    </row>
    <row r="496" spans="1:2" x14ac:dyDescent="0.15">
      <c r="A496" s="5" t="s">
        <v>796</v>
      </c>
      <c r="B496" s="6" t="s">
        <v>795</v>
      </c>
    </row>
    <row r="497" spans="1:2" x14ac:dyDescent="0.15">
      <c r="A497" s="5" t="s">
        <v>973</v>
      </c>
      <c r="B497" s="6" t="s">
        <v>972</v>
      </c>
    </row>
    <row r="498" spans="1:2" x14ac:dyDescent="0.15">
      <c r="A498" s="5" t="s">
        <v>687</v>
      </c>
      <c r="B498" s="6" t="s">
        <v>686</v>
      </c>
    </row>
    <row r="499" spans="1:2" x14ac:dyDescent="0.15">
      <c r="A499" s="5" t="s">
        <v>637</v>
      </c>
      <c r="B499" s="6" t="s">
        <v>636</v>
      </c>
    </row>
    <row r="500" spans="1:2" x14ac:dyDescent="0.15">
      <c r="A500" s="5" t="s">
        <v>1040</v>
      </c>
      <c r="B500" s="6" t="s">
        <v>1039</v>
      </c>
    </row>
    <row r="501" spans="1:2" x14ac:dyDescent="0.15">
      <c r="A501" s="5" t="s">
        <v>253</v>
      </c>
      <c r="B501" s="6" t="s">
        <v>252</v>
      </c>
    </row>
    <row r="502" spans="1:2" x14ac:dyDescent="0.15">
      <c r="A502" s="5" t="s">
        <v>629</v>
      </c>
      <c r="B502" s="6" t="s">
        <v>628</v>
      </c>
    </row>
    <row r="503" spans="1:2" x14ac:dyDescent="0.15">
      <c r="A503" s="5" t="s">
        <v>528</v>
      </c>
      <c r="B503" s="6" t="s">
        <v>527</v>
      </c>
    </row>
    <row r="504" spans="1:2" x14ac:dyDescent="0.15">
      <c r="A504" s="5" t="s">
        <v>1481</v>
      </c>
      <c r="B504" s="6" t="s">
        <v>1480</v>
      </c>
    </row>
    <row r="505" spans="1:2" x14ac:dyDescent="0.15">
      <c r="A505" s="5" t="s">
        <v>1317</v>
      </c>
      <c r="B505" s="6" t="s">
        <v>1316</v>
      </c>
    </row>
    <row r="506" spans="1:2" x14ac:dyDescent="0.15">
      <c r="A506" s="5" t="s">
        <v>701</v>
      </c>
      <c r="B506" s="6" t="s">
        <v>700</v>
      </c>
    </row>
    <row r="507" spans="1:2" x14ac:dyDescent="0.15">
      <c r="A507" s="5" t="s">
        <v>278</v>
      </c>
      <c r="B507" s="6" t="s">
        <v>277</v>
      </c>
    </row>
    <row r="508" spans="1:2" x14ac:dyDescent="0.15">
      <c r="A508" s="5" t="s">
        <v>981</v>
      </c>
      <c r="B508" s="6" t="s">
        <v>980</v>
      </c>
    </row>
    <row r="509" spans="1:2" x14ac:dyDescent="0.15">
      <c r="A509" s="5" t="s">
        <v>546</v>
      </c>
      <c r="B509" s="6" t="s">
        <v>545</v>
      </c>
    </row>
    <row r="510" spans="1:2" x14ac:dyDescent="0.15">
      <c r="A510" s="5" t="s">
        <v>1053</v>
      </c>
      <c r="B510" s="6" t="s">
        <v>1052</v>
      </c>
    </row>
    <row r="511" spans="1:2" x14ac:dyDescent="0.15">
      <c r="A511" s="5" t="s">
        <v>1108</v>
      </c>
      <c r="B511" s="6" t="s">
        <v>1107</v>
      </c>
    </row>
    <row r="512" spans="1:2" x14ac:dyDescent="0.15">
      <c r="A512" s="5" t="s">
        <v>319</v>
      </c>
      <c r="B512" s="6" t="s">
        <v>318</v>
      </c>
    </row>
    <row r="513" spans="1:2" x14ac:dyDescent="0.15">
      <c r="A513" s="5" t="s">
        <v>29</v>
      </c>
      <c r="B513" s="6" t="s">
        <v>8587</v>
      </c>
    </row>
    <row r="514" spans="1:2" x14ac:dyDescent="0.15">
      <c r="A514" s="5" t="s">
        <v>1029</v>
      </c>
      <c r="B514" s="6" t="s">
        <v>1028</v>
      </c>
    </row>
    <row r="515" spans="1:2" x14ac:dyDescent="0.15">
      <c r="A515" s="5" t="s">
        <v>267</v>
      </c>
      <c r="B515" s="6" t="s">
        <v>266</v>
      </c>
    </row>
    <row r="516" spans="1:2" x14ac:dyDescent="0.15">
      <c r="A516" s="5" t="s">
        <v>364</v>
      </c>
      <c r="B516" s="6" t="s">
        <v>363</v>
      </c>
    </row>
    <row r="517" spans="1:2" x14ac:dyDescent="0.15">
      <c r="A517" s="5" t="s">
        <v>672</v>
      </c>
      <c r="B517" s="6" t="s">
        <v>671</v>
      </c>
    </row>
    <row r="518" spans="1:2" x14ac:dyDescent="0.15">
      <c r="A518" s="5" t="s">
        <v>1374</v>
      </c>
      <c r="B518" s="6" t="s">
        <v>1373</v>
      </c>
    </row>
    <row r="519" spans="1:2" x14ac:dyDescent="0.15">
      <c r="A519" s="5" t="s">
        <v>708</v>
      </c>
      <c r="B519" s="6" t="s">
        <v>707</v>
      </c>
    </row>
    <row r="520" spans="1:2" x14ac:dyDescent="0.15">
      <c r="A520" s="5" t="s">
        <v>328</v>
      </c>
      <c r="B520" s="6" t="s">
        <v>327</v>
      </c>
    </row>
    <row r="521" spans="1:2" x14ac:dyDescent="0.15">
      <c r="A521" s="5" t="s">
        <v>1164</v>
      </c>
      <c r="B521" s="6" t="s">
        <v>1163</v>
      </c>
    </row>
    <row r="522" spans="1:2" x14ac:dyDescent="0.15">
      <c r="A522" s="5" t="s">
        <v>64</v>
      </c>
      <c r="B522" s="6" t="s">
        <v>63</v>
      </c>
    </row>
    <row r="523" spans="1:2" x14ac:dyDescent="0.15">
      <c r="A523" s="5" t="s">
        <v>1254</v>
      </c>
      <c r="B523" s="6" t="s">
        <v>1253</v>
      </c>
    </row>
    <row r="524" spans="1:2" x14ac:dyDescent="0.15">
      <c r="A524" s="5" t="s">
        <v>847</v>
      </c>
      <c r="B524" s="6" t="s">
        <v>846</v>
      </c>
    </row>
    <row r="525" spans="1:2" x14ac:dyDescent="0.15">
      <c r="A525" s="5" t="s">
        <v>990</v>
      </c>
      <c r="B525" s="6" t="s">
        <v>989</v>
      </c>
    </row>
    <row r="526" spans="1:2" x14ac:dyDescent="0.15">
      <c r="A526" s="5" t="s">
        <v>607</v>
      </c>
      <c r="B526" s="6" t="s">
        <v>606</v>
      </c>
    </row>
    <row r="527" spans="1:2" x14ac:dyDescent="0.15">
      <c r="A527" s="5" t="s">
        <v>452</v>
      </c>
      <c r="B527" s="6" t="s">
        <v>451</v>
      </c>
    </row>
    <row r="528" spans="1:2" x14ac:dyDescent="0.15">
      <c r="A528" s="5" t="s">
        <v>805</v>
      </c>
      <c r="B528" s="6" t="s">
        <v>804</v>
      </c>
    </row>
    <row r="529" spans="1:2" x14ac:dyDescent="0.15">
      <c r="A529" s="5" t="s">
        <v>382</v>
      </c>
      <c r="B529" s="6" t="s">
        <v>381</v>
      </c>
    </row>
    <row r="530" spans="1:2" x14ac:dyDescent="0.15">
      <c r="A530" s="5" t="s">
        <v>8588</v>
      </c>
      <c r="B530" s="6" t="s">
        <v>8589</v>
      </c>
    </row>
    <row r="531" spans="1:2" x14ac:dyDescent="0.15">
      <c r="A531" s="5" t="s">
        <v>395</v>
      </c>
      <c r="B531" s="6" t="s">
        <v>394</v>
      </c>
    </row>
    <row r="532" spans="1:2" x14ac:dyDescent="0.15">
      <c r="A532" s="5" t="s">
        <v>408</v>
      </c>
      <c r="B532" s="6" t="s">
        <v>407</v>
      </c>
    </row>
    <row r="533" spans="1:2" x14ac:dyDescent="0.15">
      <c r="A533" s="5" t="s">
        <v>839</v>
      </c>
      <c r="B533" s="6" t="s">
        <v>838</v>
      </c>
    </row>
    <row r="534" spans="1:2" x14ac:dyDescent="0.15">
      <c r="A534" s="5" t="s">
        <v>933</v>
      </c>
      <c r="B534" s="6" t="s">
        <v>932</v>
      </c>
    </row>
    <row r="535" spans="1:2" x14ac:dyDescent="0.15">
      <c r="A535" s="5" t="s">
        <v>309</v>
      </c>
      <c r="B535" s="6" t="s">
        <v>308</v>
      </c>
    </row>
    <row r="536" spans="1:2" x14ac:dyDescent="0.15">
      <c r="A536" s="5" t="s">
        <v>826</v>
      </c>
      <c r="B536" s="6" t="s">
        <v>825</v>
      </c>
    </row>
    <row r="537" spans="1:2" x14ac:dyDescent="0.15">
      <c r="A537" s="5" t="s">
        <v>108</v>
      </c>
      <c r="B537" s="6" t="s">
        <v>107</v>
      </c>
    </row>
    <row r="538" spans="1:2" x14ac:dyDescent="0.15">
      <c r="A538" s="5" t="s">
        <v>209</v>
      </c>
      <c r="B538" s="6" t="s">
        <v>208</v>
      </c>
    </row>
    <row r="539" spans="1:2" x14ac:dyDescent="0.15">
      <c r="A539" s="5" t="s">
        <v>485</v>
      </c>
      <c r="B539" s="6" t="s">
        <v>484</v>
      </c>
    </row>
    <row r="540" spans="1:2" x14ac:dyDescent="0.15">
      <c r="A540" s="5" t="s">
        <v>851</v>
      </c>
      <c r="B540" s="6" t="s">
        <v>850</v>
      </c>
    </row>
    <row r="541" spans="1:2" x14ac:dyDescent="0.15">
      <c r="A541" s="5" t="s">
        <v>6</v>
      </c>
      <c r="B541" s="6" t="s">
        <v>5</v>
      </c>
    </row>
    <row r="542" spans="1:2" x14ac:dyDescent="0.15">
      <c r="A542" s="5" t="s">
        <v>40</v>
      </c>
      <c r="B542" s="6" t="s">
        <v>39</v>
      </c>
    </row>
    <row r="543" spans="1:2" x14ac:dyDescent="0.15">
      <c r="A543" s="5" t="s">
        <v>480</v>
      </c>
      <c r="B543" s="6" t="s">
        <v>479</v>
      </c>
    </row>
    <row r="544" spans="1:2" x14ac:dyDescent="0.15">
      <c r="A544" s="5" t="s">
        <v>588</v>
      </c>
      <c r="B544" s="6" t="s">
        <v>587</v>
      </c>
    </row>
    <row r="545" spans="1:2" x14ac:dyDescent="0.15">
      <c r="A545" s="5" t="s">
        <v>901</v>
      </c>
      <c r="B545" s="6" t="s">
        <v>900</v>
      </c>
    </row>
    <row r="546" spans="1:2" x14ac:dyDescent="0.15">
      <c r="A546" s="5" t="s">
        <v>1144</v>
      </c>
      <c r="B546" s="6" t="s">
        <v>1143</v>
      </c>
    </row>
    <row r="547" spans="1:2" x14ac:dyDescent="0.15">
      <c r="A547" s="5" t="s">
        <v>415</v>
      </c>
      <c r="B547" s="6" t="s">
        <v>414</v>
      </c>
    </row>
    <row r="548" spans="1:2" x14ac:dyDescent="0.15">
      <c r="A548" s="5" t="s">
        <v>76</v>
      </c>
      <c r="B548" s="6" t="s">
        <v>75</v>
      </c>
    </row>
    <row r="549" spans="1:2" x14ac:dyDescent="0.15">
      <c r="A549" s="5" t="s">
        <v>427</v>
      </c>
      <c r="B549" s="6" t="s">
        <v>426</v>
      </c>
    </row>
    <row r="550" spans="1:2" x14ac:dyDescent="0.15">
      <c r="A550" s="5" t="s">
        <v>807</v>
      </c>
      <c r="B550" s="6" t="s">
        <v>806</v>
      </c>
    </row>
    <row r="551" spans="1:2" x14ac:dyDescent="0.15">
      <c r="A551" s="5" t="s">
        <v>752</v>
      </c>
      <c r="B551" s="6" t="s">
        <v>751</v>
      </c>
    </row>
    <row r="552" spans="1:2" x14ac:dyDescent="0.15">
      <c r="A552" s="5" t="s">
        <v>213</v>
      </c>
      <c r="B552" s="6" t="s">
        <v>212</v>
      </c>
    </row>
    <row r="553" spans="1:2" x14ac:dyDescent="0.15">
      <c r="A553" s="5" t="s">
        <v>8590</v>
      </c>
      <c r="B553" s="6" t="s">
        <v>8591</v>
      </c>
    </row>
    <row r="554" spans="1:2" x14ac:dyDescent="0.15">
      <c r="A554" s="5" t="s">
        <v>290</v>
      </c>
      <c r="B554" s="6" t="s">
        <v>289</v>
      </c>
    </row>
    <row r="555" spans="1:2" x14ac:dyDescent="0.15">
      <c r="A555" s="5" t="s">
        <v>259</v>
      </c>
      <c r="B555" s="6" t="s">
        <v>258</v>
      </c>
    </row>
    <row r="556" spans="1:2" x14ac:dyDescent="0.15">
      <c r="A556" s="5" t="s">
        <v>475</v>
      </c>
      <c r="B556" s="6" t="s">
        <v>474</v>
      </c>
    </row>
    <row r="557" spans="1:2" x14ac:dyDescent="0.15">
      <c r="A557" s="5" t="s">
        <v>8592</v>
      </c>
      <c r="B557" s="6" t="s">
        <v>8593</v>
      </c>
    </row>
    <row r="558" spans="1:2" x14ac:dyDescent="0.15">
      <c r="A558" s="5" t="s">
        <v>754</v>
      </c>
      <c r="B558" s="6" t="s">
        <v>753</v>
      </c>
    </row>
    <row r="559" spans="1:2" x14ac:dyDescent="0.15">
      <c r="A559" s="5" t="s">
        <v>1260</v>
      </c>
      <c r="B559" s="6" t="s">
        <v>1259</v>
      </c>
    </row>
    <row r="560" spans="1:2" x14ac:dyDescent="0.15">
      <c r="A560" s="5" t="s">
        <v>113</v>
      </c>
      <c r="B560" s="6" t="s">
        <v>8594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082"/>
  <sheetViews>
    <sheetView workbookViewId="0"/>
  </sheetViews>
  <sheetFormatPr defaultRowHeight="20.25" customHeight="1" x14ac:dyDescent="0.15"/>
  <cols>
    <col min="1" max="2" width="9.5" style="2" bestFit="1" customWidth="1"/>
    <col min="3" max="3" width="11.625" style="2" bestFit="1" customWidth="1"/>
    <col min="4" max="4" width="12.75" style="2" bestFit="1" customWidth="1"/>
    <col min="5" max="5" width="40.5" style="2" bestFit="1" customWidth="1"/>
    <col min="6" max="6" width="12.5" style="2" bestFit="1" customWidth="1"/>
    <col min="7" max="16384" width="9" style="2"/>
  </cols>
  <sheetData>
    <row r="1" spans="1:6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8595</v>
      </c>
    </row>
    <row r="2" spans="1:6" ht="20.25" customHeight="1" x14ac:dyDescent="0.15">
      <c r="A2" s="2" t="s">
        <v>823</v>
      </c>
      <c r="B2" s="2" t="s">
        <v>824</v>
      </c>
      <c r="C2" s="2">
        <v>20.64</v>
      </c>
      <c r="D2" s="2">
        <v>138.1721</v>
      </c>
      <c r="E2" s="2" t="s">
        <v>315</v>
      </c>
      <c r="F2" s="2" t="str">
        <f>VLOOKUP(B2,MSCI中国成分股!A:B,1,)</f>
        <v>600132</v>
      </c>
    </row>
    <row r="3" spans="1:6" ht="20.25" customHeight="1" x14ac:dyDescent="0.15">
      <c r="A3" s="2" t="s">
        <v>75</v>
      </c>
      <c r="B3" s="2" t="s">
        <v>76</v>
      </c>
      <c r="C3" s="2">
        <v>9.6199999999999992</v>
      </c>
      <c r="D3" s="2">
        <v>36.295900000000003</v>
      </c>
      <c r="E3" s="2" t="s">
        <v>7</v>
      </c>
      <c r="F3" s="2" t="str">
        <f>VLOOKUP(B3,MSCI中国成分股!A:B,1,)</f>
        <v>600809</v>
      </c>
    </row>
    <row r="4" spans="1:6" ht="20.25" customHeight="1" x14ac:dyDescent="0.15">
      <c r="A4" s="2" t="s">
        <v>229</v>
      </c>
      <c r="B4" s="2" t="s">
        <v>230</v>
      </c>
      <c r="C4" s="2">
        <v>9.16</v>
      </c>
      <c r="D4" s="2">
        <v>48.524500000000003</v>
      </c>
      <c r="E4" s="2" t="s">
        <v>231</v>
      </c>
      <c r="F4" s="2" t="str">
        <f>VLOOKUP(B4,MSCI中国成分股!A:B,1,)</f>
        <v>603392</v>
      </c>
    </row>
    <row r="5" spans="1:6" ht="20.25" customHeight="1" x14ac:dyDescent="0.15">
      <c r="A5" s="2" t="s">
        <v>39</v>
      </c>
      <c r="B5" s="2" t="s">
        <v>40</v>
      </c>
      <c r="C5" s="2">
        <v>9.0399999999999991</v>
      </c>
      <c r="D5" s="2">
        <v>4.9760999999999997</v>
      </c>
      <c r="E5" s="2" t="s">
        <v>41</v>
      </c>
      <c r="F5" s="2" t="str">
        <f>VLOOKUP(B5,MSCI中国成分股!A:B,1,)</f>
        <v>300760</v>
      </c>
    </row>
    <row r="6" spans="1:6" ht="20.25" customHeight="1" x14ac:dyDescent="0.15">
      <c r="A6" s="2" t="s">
        <v>1373</v>
      </c>
      <c r="B6" s="2" t="s">
        <v>1374</v>
      </c>
      <c r="C6" s="2">
        <v>7.8</v>
      </c>
      <c r="D6" s="2">
        <v>85.207800000000006</v>
      </c>
      <c r="E6" s="2" t="s">
        <v>7</v>
      </c>
      <c r="F6" s="2" t="str">
        <f>VLOOKUP(B6,MSCI中国成分股!A:B,1,)</f>
        <v>600779</v>
      </c>
    </row>
    <row r="7" spans="1:6" ht="20.25" customHeight="1" x14ac:dyDescent="0.15">
      <c r="A7" s="2" t="s">
        <v>399</v>
      </c>
      <c r="B7" s="2" t="s">
        <v>400</v>
      </c>
      <c r="C7" s="2">
        <v>7.66</v>
      </c>
      <c r="D7" s="2">
        <v>38.8521</v>
      </c>
      <c r="E7" s="2" t="s">
        <v>231</v>
      </c>
      <c r="F7" s="2" t="str">
        <f>VLOOKUP(B7,MSCI中国成分股!A:B,1,)</f>
        <v>300122</v>
      </c>
    </row>
    <row r="8" spans="1:6" ht="20.25" customHeight="1" x14ac:dyDescent="0.15">
      <c r="A8" s="2" t="s">
        <v>557</v>
      </c>
      <c r="B8" s="2" t="s">
        <v>558</v>
      </c>
      <c r="C8" s="2">
        <v>7.62</v>
      </c>
      <c r="D8" s="2">
        <v>54.325299999999999</v>
      </c>
      <c r="E8" s="2" t="s">
        <v>240</v>
      </c>
      <c r="F8" s="2" t="str">
        <f>VLOOKUP(B8,MSCI中国成分股!A:B,1,)</f>
        <v>688303</v>
      </c>
    </row>
    <row r="9" spans="1:6" ht="20.25" hidden="1" customHeight="1" x14ac:dyDescent="0.15">
      <c r="A9" s="2" t="s">
        <v>25</v>
      </c>
      <c r="B9" s="2" t="s">
        <v>26</v>
      </c>
      <c r="C9" s="2">
        <v>1.39</v>
      </c>
      <c r="D9" s="2">
        <v>0.46689999999999998</v>
      </c>
      <c r="E9" s="2" t="s">
        <v>27</v>
      </c>
      <c r="F9" s="2" t="e">
        <f>VLOOKUP(B9,MSCI中国成分股!A:B,1,)</f>
        <v>#N/A</v>
      </c>
    </row>
    <row r="10" spans="1:6" ht="20.25" customHeight="1" x14ac:dyDescent="0.15">
      <c r="A10" s="2" t="s">
        <v>5</v>
      </c>
      <c r="B10" s="2" t="s">
        <v>6</v>
      </c>
      <c r="C10" s="2">
        <v>7.6</v>
      </c>
      <c r="D10" s="2">
        <v>1.3796999999999999</v>
      </c>
      <c r="E10" s="2" t="s">
        <v>7</v>
      </c>
      <c r="F10" s="2" t="str">
        <f>VLOOKUP(B10,MSCI中国成分股!A:B,1,)</f>
        <v>600519</v>
      </c>
    </row>
    <row r="11" spans="1:6" ht="20.25" customHeight="1" x14ac:dyDescent="0.15">
      <c r="A11" s="2" t="s">
        <v>1079</v>
      </c>
      <c r="B11" s="2" t="s">
        <v>1080</v>
      </c>
      <c r="C11" s="2">
        <v>7.43</v>
      </c>
      <c r="D11" s="2">
        <v>10.218999999999999</v>
      </c>
      <c r="E11" s="2" t="s">
        <v>647</v>
      </c>
      <c r="F11" s="2" t="str">
        <f>VLOOKUP(B11,MSCI中国成分股!A:B,1,)</f>
        <v>300529</v>
      </c>
    </row>
    <row r="12" spans="1:6" ht="20.25" customHeight="1" x14ac:dyDescent="0.15">
      <c r="A12" s="2" t="s">
        <v>499</v>
      </c>
      <c r="B12" s="2" t="s">
        <v>500</v>
      </c>
      <c r="C12" s="2">
        <v>7.29</v>
      </c>
      <c r="D12" s="2">
        <v>1.8425</v>
      </c>
      <c r="E12" s="2" t="s">
        <v>501</v>
      </c>
      <c r="F12" s="2" t="str">
        <f>VLOOKUP(B12,MSCI中国成分股!A:B,1,)</f>
        <v>300628</v>
      </c>
    </row>
    <row r="13" spans="1:6" ht="20.25" customHeight="1" x14ac:dyDescent="0.15">
      <c r="A13" s="2" t="s">
        <v>1261</v>
      </c>
      <c r="B13" s="2" t="s">
        <v>1262</v>
      </c>
      <c r="C13" s="2">
        <v>7.28</v>
      </c>
      <c r="D13" s="2">
        <v>9.3327000000000009</v>
      </c>
      <c r="E13" s="2" t="s">
        <v>1263</v>
      </c>
      <c r="F13" s="2" t="str">
        <f>VLOOKUP(B13,MSCI中国成分股!A:B,1,)</f>
        <v>002372</v>
      </c>
    </row>
    <row r="14" spans="1:6" ht="20.25" customHeight="1" x14ac:dyDescent="0.15">
      <c r="A14" s="2" t="s">
        <v>255</v>
      </c>
      <c r="B14" s="2" t="s">
        <v>256</v>
      </c>
      <c r="C14" s="2">
        <v>7.05</v>
      </c>
      <c r="D14" s="2">
        <v>2.9083999999999999</v>
      </c>
      <c r="E14" s="2" t="s">
        <v>257</v>
      </c>
      <c r="F14" s="2" t="str">
        <f>VLOOKUP(B14,MSCI中国成分股!A:B,1,)</f>
        <v>603195</v>
      </c>
    </row>
    <row r="15" spans="1:6" ht="20.25" customHeight="1" x14ac:dyDescent="0.15">
      <c r="A15" s="2" t="s">
        <v>530</v>
      </c>
      <c r="B15" s="2" t="s">
        <v>531</v>
      </c>
      <c r="C15" s="2">
        <v>6.98</v>
      </c>
      <c r="D15" s="2">
        <v>4.5373999999999999</v>
      </c>
      <c r="E15" s="2" t="s">
        <v>7</v>
      </c>
      <c r="F15" s="2" t="str">
        <f>VLOOKUP(B15,MSCI中国成分股!A:B,1,)</f>
        <v>603198</v>
      </c>
    </row>
    <row r="16" spans="1:6" ht="20.25" customHeight="1" x14ac:dyDescent="0.15">
      <c r="A16" s="2" t="s">
        <v>107</v>
      </c>
      <c r="B16" s="2" t="s">
        <v>108</v>
      </c>
      <c r="C16" s="2">
        <v>6.96</v>
      </c>
      <c r="D16" s="2">
        <v>1.6021000000000001</v>
      </c>
      <c r="E16" s="2" t="s">
        <v>7</v>
      </c>
      <c r="F16" s="2" t="str">
        <f>VLOOKUP(B16,MSCI中国成分股!A:B,1,)</f>
        <v>000568</v>
      </c>
    </row>
    <row r="17" spans="1:6" ht="20.25" customHeight="1" x14ac:dyDescent="0.15">
      <c r="A17" s="2" t="s">
        <v>517</v>
      </c>
      <c r="B17" s="2" t="s">
        <v>518</v>
      </c>
      <c r="C17" s="2">
        <v>6.75</v>
      </c>
      <c r="D17" s="2">
        <v>5.5810000000000004</v>
      </c>
      <c r="E17" s="2" t="s">
        <v>506</v>
      </c>
      <c r="F17" s="2" t="str">
        <f>VLOOKUP(B17,MSCI中国成分股!A:B,1,)</f>
        <v>002032</v>
      </c>
    </row>
    <row r="18" spans="1:6" ht="20.25" customHeight="1" x14ac:dyDescent="0.15">
      <c r="A18" s="2" t="s">
        <v>212</v>
      </c>
      <c r="B18" s="2" t="s">
        <v>213</v>
      </c>
      <c r="C18" s="2">
        <v>6.61</v>
      </c>
      <c r="D18" s="2">
        <v>4.2165999999999997</v>
      </c>
      <c r="E18" s="2" t="s">
        <v>214</v>
      </c>
      <c r="F18" s="2" t="str">
        <f>VLOOKUP(B18,MSCI中国成分股!A:B,1,)</f>
        <v>688036</v>
      </c>
    </row>
    <row r="19" spans="1:6" ht="20.25" customHeight="1" x14ac:dyDescent="0.15">
      <c r="A19" s="2" t="s">
        <v>675</v>
      </c>
      <c r="B19" s="2" t="s">
        <v>676</v>
      </c>
      <c r="C19" s="2">
        <v>6.53</v>
      </c>
      <c r="D19" s="2">
        <v>2.7103999999999999</v>
      </c>
      <c r="E19" s="2" t="s">
        <v>677</v>
      </c>
      <c r="F19" s="2" t="str">
        <f>VLOOKUP(B19,MSCI中国成分股!A:B,1,)</f>
        <v>000661</v>
      </c>
    </row>
    <row r="20" spans="1:6" ht="20.25" customHeight="1" x14ac:dyDescent="0.15">
      <c r="A20" s="2" t="s">
        <v>69</v>
      </c>
      <c r="B20" s="2" t="s">
        <v>70</v>
      </c>
      <c r="C20" s="2">
        <v>6.47</v>
      </c>
      <c r="D20" s="2">
        <v>3.0190999999999999</v>
      </c>
      <c r="E20" s="2" t="s">
        <v>71</v>
      </c>
      <c r="F20" s="2" t="str">
        <f>VLOOKUP(B20,MSCI中国成分股!A:B,1,)</f>
        <v>603288</v>
      </c>
    </row>
    <row r="21" spans="1:6" ht="20.25" customHeight="1" x14ac:dyDescent="0.15">
      <c r="A21" s="2" t="s">
        <v>369</v>
      </c>
      <c r="B21" s="2" t="s">
        <v>370</v>
      </c>
      <c r="C21" s="2">
        <v>6.41</v>
      </c>
      <c r="D21" s="2">
        <v>21.881499999999999</v>
      </c>
      <c r="E21" s="2" t="s">
        <v>371</v>
      </c>
      <c r="F21" s="2" t="str">
        <f>VLOOKUP(B21,MSCI中国成分股!A:B,1,)</f>
        <v>300033</v>
      </c>
    </row>
    <row r="22" spans="1:6" ht="20.25" customHeight="1" x14ac:dyDescent="0.15">
      <c r="A22" s="2" t="s">
        <v>725</v>
      </c>
      <c r="B22" s="2" t="s">
        <v>726</v>
      </c>
      <c r="C22" s="2">
        <v>6.41</v>
      </c>
      <c r="D22" s="2">
        <v>4.6821000000000002</v>
      </c>
      <c r="E22" s="2" t="s">
        <v>727</v>
      </c>
      <c r="F22" s="2" t="str">
        <f>VLOOKUP(B22,MSCI中国成分股!A:B,1,)</f>
        <v>300316</v>
      </c>
    </row>
    <row r="23" spans="1:6" ht="20.25" customHeight="1" x14ac:dyDescent="0.15">
      <c r="A23" s="2" t="s">
        <v>691</v>
      </c>
      <c r="B23" s="2" t="s">
        <v>692</v>
      </c>
      <c r="C23" s="2">
        <v>6.29</v>
      </c>
      <c r="D23" s="2">
        <v>6.3311000000000002</v>
      </c>
      <c r="E23" s="2" t="s">
        <v>633</v>
      </c>
      <c r="F23" s="2" t="str">
        <f>VLOOKUP(B23,MSCI中国成分股!A:B,1,)</f>
        <v>002555</v>
      </c>
    </row>
    <row r="24" spans="1:6" ht="20.25" customHeight="1" x14ac:dyDescent="0.15">
      <c r="A24" s="2" t="s">
        <v>1052</v>
      </c>
      <c r="B24" s="2" t="s">
        <v>1053</v>
      </c>
      <c r="C24" s="2">
        <v>6.21</v>
      </c>
      <c r="D24" s="2">
        <v>160.5421</v>
      </c>
      <c r="E24" s="2" t="s">
        <v>633</v>
      </c>
      <c r="F24" s="2" t="str">
        <f>VLOOKUP(B24,MSCI中国成分股!A:B,1,)</f>
        <v>002517</v>
      </c>
    </row>
    <row r="25" spans="1:6" ht="20.25" customHeight="1" x14ac:dyDescent="0.15">
      <c r="A25" s="2" t="s">
        <v>512</v>
      </c>
      <c r="B25" s="2" t="s">
        <v>513</v>
      </c>
      <c r="C25" s="2">
        <v>6.085</v>
      </c>
      <c r="D25" s="2">
        <v>4.7179000000000002</v>
      </c>
      <c r="E25" s="2" t="s">
        <v>514</v>
      </c>
      <c r="F25" s="2" t="str">
        <f>VLOOKUP(B25,MSCI中国成分股!A:B,1,)</f>
        <v>300896</v>
      </c>
    </row>
    <row r="26" spans="1:6" ht="20.25" customHeight="1" x14ac:dyDescent="0.15">
      <c r="A26" s="2" t="s">
        <v>258</v>
      </c>
      <c r="B26" s="2" t="s">
        <v>259</v>
      </c>
      <c r="C26" s="2">
        <v>6.02</v>
      </c>
      <c r="D26" s="2">
        <v>6.2621000000000002</v>
      </c>
      <c r="E26" s="2" t="s">
        <v>260</v>
      </c>
      <c r="F26" s="2" t="str">
        <f>VLOOKUP(B26,MSCI中国成分股!A:B,1,)</f>
        <v>002027</v>
      </c>
    </row>
    <row r="27" spans="1:6" ht="20.25" customHeight="1" x14ac:dyDescent="0.15">
      <c r="A27" s="2" t="s">
        <v>252</v>
      </c>
      <c r="B27" s="2" t="s">
        <v>253</v>
      </c>
      <c r="C27" s="2">
        <v>5.97</v>
      </c>
      <c r="D27" s="2">
        <v>1167.3196</v>
      </c>
      <c r="E27" s="2" t="s">
        <v>254</v>
      </c>
      <c r="F27" s="2" t="str">
        <f>VLOOKUP(B27,MSCI中国成分股!A:B,1,)</f>
        <v>000792</v>
      </c>
    </row>
    <row r="28" spans="1:6" ht="20.25" customHeight="1" x14ac:dyDescent="0.15">
      <c r="A28" s="2" t="s">
        <v>1131</v>
      </c>
      <c r="B28" s="2" t="s">
        <v>1132</v>
      </c>
      <c r="C28" s="2">
        <v>5.92</v>
      </c>
      <c r="D28" s="2">
        <v>1.2579</v>
      </c>
      <c r="E28" s="2" t="s">
        <v>362</v>
      </c>
      <c r="F28" s="2" t="str">
        <f>VLOOKUP(B28,MSCI中国成分股!A:B,1,)</f>
        <v>600563</v>
      </c>
    </row>
    <row r="29" spans="1:6" ht="20.25" customHeight="1" x14ac:dyDescent="0.15">
      <c r="A29" s="2" t="s">
        <v>1558</v>
      </c>
      <c r="B29" s="2" t="s">
        <v>1559</v>
      </c>
      <c r="C29" s="2">
        <v>5.88</v>
      </c>
      <c r="D29" s="2">
        <v>6.5728999999999997</v>
      </c>
      <c r="E29" s="2" t="s">
        <v>7</v>
      </c>
      <c r="F29" s="2" t="str">
        <f>VLOOKUP(B29,MSCI中国成分股!A:B,1,)</f>
        <v>600702</v>
      </c>
    </row>
    <row r="30" spans="1:6" ht="20.25" customHeight="1" x14ac:dyDescent="0.15">
      <c r="A30" s="2" t="s">
        <v>28</v>
      </c>
      <c r="B30" s="2" t="s">
        <v>29</v>
      </c>
      <c r="C30" s="2">
        <v>5.86</v>
      </c>
      <c r="D30" s="2">
        <v>6.1573000000000002</v>
      </c>
      <c r="E30" s="2" t="s">
        <v>7</v>
      </c>
      <c r="F30" s="2" t="str">
        <f>VLOOKUP(B30,MSCI中国成分股!A:B,1,)</f>
        <v>000858</v>
      </c>
    </row>
    <row r="31" spans="1:6" ht="20.25" customHeight="1" x14ac:dyDescent="0.15">
      <c r="A31" s="2" t="s">
        <v>138</v>
      </c>
      <c r="B31" s="2" t="s">
        <v>139</v>
      </c>
      <c r="C31" s="2">
        <v>5.86</v>
      </c>
      <c r="D31" s="2">
        <v>2.0427</v>
      </c>
      <c r="E31" s="2" t="s">
        <v>140</v>
      </c>
      <c r="F31" s="2" t="str">
        <f>VLOOKUP(B31,MSCI中国成分股!A:B,1,)</f>
        <v>600436</v>
      </c>
    </row>
    <row r="32" spans="1:6" ht="20.25" customHeight="1" x14ac:dyDescent="0.15">
      <c r="A32" s="2" t="s">
        <v>655</v>
      </c>
      <c r="B32" s="2" t="s">
        <v>656</v>
      </c>
      <c r="C32" s="2">
        <v>5.83</v>
      </c>
      <c r="D32" s="2">
        <v>20.8566</v>
      </c>
      <c r="E32" s="2" t="s">
        <v>657</v>
      </c>
      <c r="F32" s="2" t="str">
        <f>VLOOKUP(B32,MSCI中国成分股!A:B,1,)</f>
        <v>300782</v>
      </c>
    </row>
    <row r="33" spans="1:6" ht="20.25" customHeight="1" x14ac:dyDescent="0.15">
      <c r="A33" s="2" t="s">
        <v>451</v>
      </c>
      <c r="B33" s="2" t="s">
        <v>452</v>
      </c>
      <c r="C33" s="2">
        <v>5.61</v>
      </c>
      <c r="D33" s="2">
        <v>6.2853000000000003</v>
      </c>
      <c r="E33" s="2" t="s">
        <v>7</v>
      </c>
      <c r="F33" s="2" t="str">
        <f>VLOOKUP(B33,MSCI中国成分股!A:B,1,)</f>
        <v>603369</v>
      </c>
    </row>
    <row r="34" spans="1:6" ht="20.25" customHeight="1" x14ac:dyDescent="0.15">
      <c r="A34" s="2" t="s">
        <v>1012</v>
      </c>
      <c r="B34" s="2" t="s">
        <v>1013</v>
      </c>
      <c r="C34" s="2">
        <v>5.55</v>
      </c>
      <c r="D34" s="2">
        <v>1.5513999999999999</v>
      </c>
      <c r="E34" s="2" t="s">
        <v>7</v>
      </c>
      <c r="F34" s="2" t="str">
        <f>VLOOKUP(B34,MSCI中国成分股!A:B,1,)</f>
        <v>603589</v>
      </c>
    </row>
    <row r="35" spans="1:6" ht="20.25" customHeight="1" x14ac:dyDescent="0.15">
      <c r="A35" s="2" t="s">
        <v>645</v>
      </c>
      <c r="B35" s="2" t="s">
        <v>646</v>
      </c>
      <c r="C35" s="2">
        <v>5.5350000000000001</v>
      </c>
      <c r="D35" s="2">
        <v>3.7637</v>
      </c>
      <c r="E35" s="2" t="s">
        <v>647</v>
      </c>
      <c r="F35" s="2" t="str">
        <f>VLOOKUP(B35,MSCI中国成分股!A:B,1,)</f>
        <v>688617</v>
      </c>
    </row>
    <row r="36" spans="1:6" ht="20.25" customHeight="1" x14ac:dyDescent="0.15">
      <c r="A36" s="2" t="s">
        <v>372</v>
      </c>
      <c r="B36" s="2" t="s">
        <v>373</v>
      </c>
      <c r="C36" s="2">
        <v>5.4450000000000003</v>
      </c>
      <c r="D36" s="2">
        <v>1.5008999999999999</v>
      </c>
      <c r="E36" s="2" t="s">
        <v>374</v>
      </c>
      <c r="F36" s="2" t="str">
        <f>VLOOKUP(B36,MSCI中国成分股!A:B,1,)</f>
        <v>300832</v>
      </c>
    </row>
    <row r="37" spans="1:6" ht="20.25" customHeight="1" x14ac:dyDescent="0.15">
      <c r="A37" s="2" t="s">
        <v>660</v>
      </c>
      <c r="B37" s="2" t="s">
        <v>661</v>
      </c>
      <c r="C37" s="2">
        <v>5.3</v>
      </c>
      <c r="D37" s="2">
        <v>11.218</v>
      </c>
      <c r="E37" s="2" t="s">
        <v>657</v>
      </c>
      <c r="F37" s="2" t="str">
        <f>VLOOKUP(B37,MSCI中国成分股!A:B,1,)</f>
        <v>300661</v>
      </c>
    </row>
    <row r="38" spans="1:6" ht="20.25" customHeight="1" x14ac:dyDescent="0.15">
      <c r="A38" s="2" t="s">
        <v>302</v>
      </c>
      <c r="B38" s="2" t="s">
        <v>303</v>
      </c>
      <c r="C38" s="2">
        <v>5.29</v>
      </c>
      <c r="D38" s="2">
        <v>2.9487999999999999</v>
      </c>
      <c r="E38" s="2" t="s">
        <v>137</v>
      </c>
      <c r="F38" s="2" t="str">
        <f>VLOOKUP(B38,MSCI中国成分股!A:B,1,)</f>
        <v>601100</v>
      </c>
    </row>
    <row r="39" spans="1:6" ht="20.25" customHeight="1" x14ac:dyDescent="0.15">
      <c r="A39" s="2" t="s">
        <v>297</v>
      </c>
      <c r="B39" s="2" t="s">
        <v>298</v>
      </c>
      <c r="C39" s="2">
        <v>5.25</v>
      </c>
      <c r="D39" s="2">
        <v>0.68810000000000004</v>
      </c>
      <c r="E39" s="2" t="s">
        <v>299</v>
      </c>
      <c r="F39" s="2" t="str">
        <f>VLOOKUP(B39,MSCI中国成分股!A:B,1,)</f>
        <v>600845</v>
      </c>
    </row>
    <row r="40" spans="1:6" ht="20.25" customHeight="1" x14ac:dyDescent="0.15">
      <c r="A40" s="2" t="s">
        <v>313</v>
      </c>
      <c r="B40" s="2" t="s">
        <v>314</v>
      </c>
      <c r="C40" s="2">
        <v>5.25</v>
      </c>
      <c r="D40" s="2">
        <v>14.231199999999999</v>
      </c>
      <c r="E40" s="2" t="s">
        <v>315</v>
      </c>
      <c r="F40" s="2" t="str">
        <f>VLOOKUP(B40,MSCI中国成分股!A:B,1,)</f>
        <v>600600</v>
      </c>
    </row>
    <row r="41" spans="1:6" ht="20.25" customHeight="1" x14ac:dyDescent="0.15">
      <c r="A41" s="2" t="s">
        <v>939</v>
      </c>
      <c r="B41" s="2" t="s">
        <v>940</v>
      </c>
      <c r="C41" s="2">
        <v>5.25</v>
      </c>
      <c r="D41" s="2">
        <v>12.9275</v>
      </c>
      <c r="E41" s="2" t="s">
        <v>941</v>
      </c>
      <c r="F41" s="2" t="str">
        <f>VLOOKUP(B41,MSCI中国成分股!A:B,1,)</f>
        <v>600598</v>
      </c>
    </row>
    <row r="42" spans="1:6" ht="20.25" hidden="1" customHeight="1" x14ac:dyDescent="0.15">
      <c r="A42" s="2" t="s">
        <v>114</v>
      </c>
      <c r="B42" s="2" t="s">
        <v>115</v>
      </c>
      <c r="C42" s="2">
        <v>1.81</v>
      </c>
      <c r="D42" s="2">
        <v>1.0638000000000001</v>
      </c>
      <c r="E42" s="2" t="s">
        <v>21</v>
      </c>
      <c r="F42" s="2" t="e">
        <f>VLOOKUP(B42,MSCI中国成分股!A:B,1,)</f>
        <v>#N/A</v>
      </c>
    </row>
    <row r="43" spans="1:6" ht="20.25" customHeight="1" x14ac:dyDescent="0.15">
      <c r="A43" s="2" t="s">
        <v>860</v>
      </c>
      <c r="B43" s="2" t="s">
        <v>861</v>
      </c>
      <c r="C43" s="2">
        <v>5.24</v>
      </c>
      <c r="D43" s="2">
        <v>2.1006999999999998</v>
      </c>
      <c r="E43" s="2" t="s">
        <v>862</v>
      </c>
      <c r="F43" s="2" t="str">
        <f>VLOOKUP(B43,MSCI中国成分股!A:B,1,)</f>
        <v>603899</v>
      </c>
    </row>
    <row r="44" spans="1:6" ht="20.25" customHeight="1" x14ac:dyDescent="0.15">
      <c r="A44" s="2" t="s">
        <v>311</v>
      </c>
      <c r="B44" s="2" t="s">
        <v>312</v>
      </c>
      <c r="C44" s="2">
        <v>5.08</v>
      </c>
      <c r="D44" s="2">
        <v>4.7102000000000004</v>
      </c>
      <c r="E44" s="2" t="s">
        <v>149</v>
      </c>
      <c r="F44" s="2" t="str">
        <f>VLOOKUP(B44,MSCI中国成分股!A:B,1,)</f>
        <v>300502</v>
      </c>
    </row>
    <row r="45" spans="1:6" ht="20.25" customHeight="1" x14ac:dyDescent="0.15">
      <c r="A45" s="2" t="s">
        <v>751</v>
      </c>
      <c r="B45" s="2" t="s">
        <v>752</v>
      </c>
      <c r="C45" s="2">
        <v>5.07</v>
      </c>
      <c r="D45" s="2">
        <v>25.529299999999999</v>
      </c>
      <c r="E45" s="2" t="s">
        <v>747</v>
      </c>
      <c r="F45" s="2" t="str">
        <f>VLOOKUP(B45,MSCI中国成分股!A:B,1,)</f>
        <v>002709</v>
      </c>
    </row>
    <row r="46" spans="1:6" ht="20.25" customHeight="1" x14ac:dyDescent="0.15">
      <c r="A46" s="2" t="s">
        <v>587</v>
      </c>
      <c r="B46" s="2" t="s">
        <v>588</v>
      </c>
      <c r="C46" s="2">
        <v>5.03</v>
      </c>
      <c r="D46" s="2">
        <v>2.2349999999999999</v>
      </c>
      <c r="E46" s="2" t="s">
        <v>589</v>
      </c>
      <c r="F46" s="2" t="str">
        <f>VLOOKUP(B46,MSCI中国成分股!A:B,1,)</f>
        <v>603605</v>
      </c>
    </row>
    <row r="47" spans="1:6" ht="20.25" customHeight="1" x14ac:dyDescent="0.15">
      <c r="A47" s="2" t="s">
        <v>101</v>
      </c>
      <c r="B47" s="2" t="s">
        <v>102</v>
      </c>
      <c r="C47" s="2">
        <v>5.0199999999999996</v>
      </c>
      <c r="D47" s="2">
        <v>5.2958999999999996</v>
      </c>
      <c r="E47" s="2" t="s">
        <v>103</v>
      </c>
      <c r="F47" s="2" t="str">
        <f>VLOOKUP(B47,MSCI中国成分股!A:B,1,)</f>
        <v>300274</v>
      </c>
    </row>
    <row r="48" spans="1:6" ht="20.25" customHeight="1" x14ac:dyDescent="0.15">
      <c r="A48" s="2" t="s">
        <v>534</v>
      </c>
      <c r="B48" s="2" t="s">
        <v>535</v>
      </c>
      <c r="C48" s="2">
        <v>5.01</v>
      </c>
      <c r="D48" s="2">
        <v>3.6558000000000002</v>
      </c>
      <c r="E48" s="2" t="s">
        <v>185</v>
      </c>
      <c r="F48" s="2" t="str">
        <f>VLOOKUP(B48,MSCI中国成分股!A:B,1,)</f>
        <v>002049</v>
      </c>
    </row>
    <row r="49" spans="1:6" ht="20.25" customHeight="1" x14ac:dyDescent="0.15">
      <c r="A49" s="2" t="s">
        <v>155</v>
      </c>
      <c r="B49" s="2" t="s">
        <v>156</v>
      </c>
      <c r="C49" s="2">
        <v>4.96</v>
      </c>
      <c r="D49" s="2">
        <v>1.6424000000000001</v>
      </c>
      <c r="E49" s="2" t="s">
        <v>157</v>
      </c>
      <c r="F49" s="2" t="str">
        <f>VLOOKUP(B49,MSCI中国成分股!A:B,1,)</f>
        <v>300124</v>
      </c>
    </row>
    <row r="50" spans="1:6" ht="20.25" customHeight="1" x14ac:dyDescent="0.15">
      <c r="A50" s="2" t="s">
        <v>196</v>
      </c>
      <c r="B50" s="2" t="s">
        <v>197</v>
      </c>
      <c r="C50" s="2">
        <v>4.8899999999999997</v>
      </c>
      <c r="D50" s="2">
        <v>8.2791999999999994</v>
      </c>
      <c r="E50" s="2" t="s">
        <v>198</v>
      </c>
      <c r="F50" s="2" t="str">
        <f>VLOOKUP(B50,MSCI中国成分股!A:B,1,)</f>
        <v>601012</v>
      </c>
    </row>
    <row r="51" spans="1:6" ht="20.25" customHeight="1" x14ac:dyDescent="0.15">
      <c r="A51" s="2" t="s">
        <v>944</v>
      </c>
      <c r="B51" s="2" t="s">
        <v>945</v>
      </c>
      <c r="C51" s="2">
        <v>4.8600000000000003</v>
      </c>
      <c r="D51" s="2">
        <v>0.85499999999999998</v>
      </c>
      <c r="E51" s="2" t="s">
        <v>140</v>
      </c>
      <c r="F51" s="2" t="str">
        <f>VLOOKUP(B51,MSCI中国成分股!A:B,1,)</f>
        <v>600566</v>
      </c>
    </row>
    <row r="52" spans="1:6" ht="20.25" customHeight="1" x14ac:dyDescent="0.15">
      <c r="A52" s="2" t="s">
        <v>665</v>
      </c>
      <c r="B52" s="2" t="s">
        <v>666</v>
      </c>
      <c r="C52" s="2">
        <v>4.8099999999999996</v>
      </c>
      <c r="D52" s="2">
        <v>5.1045999999999996</v>
      </c>
      <c r="E52" s="2" t="s">
        <v>667</v>
      </c>
      <c r="F52" s="2" t="str">
        <f>VLOOKUP(B52,MSCI中国成分股!A:B,1,)</f>
        <v>603606</v>
      </c>
    </row>
    <row r="53" spans="1:6" ht="20.25" customHeight="1" x14ac:dyDescent="0.15">
      <c r="A53" s="2" t="s">
        <v>266</v>
      </c>
      <c r="B53" s="2" t="s">
        <v>267</v>
      </c>
      <c r="C53" s="2">
        <v>4.78</v>
      </c>
      <c r="D53" s="2">
        <v>1.8169</v>
      </c>
      <c r="E53" s="2" t="s">
        <v>268</v>
      </c>
      <c r="F53" s="2" t="str">
        <f>VLOOKUP(B53,MSCI中国成分股!A:B,1,)</f>
        <v>000895</v>
      </c>
    </row>
    <row r="54" spans="1:6" ht="20.25" customHeight="1" x14ac:dyDescent="0.15">
      <c r="A54" s="2" t="s">
        <v>948</v>
      </c>
      <c r="B54" s="2" t="s">
        <v>949</v>
      </c>
      <c r="C54" s="2">
        <v>4.71</v>
      </c>
      <c r="D54" s="2">
        <v>1.2502</v>
      </c>
      <c r="E54" s="2" t="s">
        <v>171</v>
      </c>
      <c r="F54" s="2" t="str">
        <f>VLOOKUP(B54,MSCI中国成分股!A:B,1,)</f>
        <v>300699</v>
      </c>
    </row>
    <row r="55" spans="1:6" ht="20.25" customHeight="1" x14ac:dyDescent="0.15">
      <c r="A55" s="2" t="s">
        <v>50</v>
      </c>
      <c r="B55" s="2" t="s">
        <v>51</v>
      </c>
      <c r="C55" s="2">
        <v>4.6900000000000004</v>
      </c>
      <c r="D55" s="2">
        <v>4.2785000000000002</v>
      </c>
      <c r="E55" s="2" t="s">
        <v>52</v>
      </c>
      <c r="F55" s="2" t="str">
        <f>VLOOKUP(B55,MSCI中国成分股!A:B,1,)</f>
        <v>002415</v>
      </c>
    </row>
    <row r="56" spans="1:6" ht="20.25" hidden="1" customHeight="1" x14ac:dyDescent="0.15">
      <c r="A56" s="2" t="s">
        <v>153</v>
      </c>
      <c r="B56" s="2" t="s">
        <v>154</v>
      </c>
      <c r="C56" s="2">
        <v>0.88</v>
      </c>
      <c r="D56" s="2">
        <v>9.7100000000000006E-2</v>
      </c>
      <c r="E56" s="2" t="s">
        <v>81</v>
      </c>
      <c r="F56" s="2" t="e">
        <f>VLOOKUP(B56,MSCI中国成分股!A:B,1,)</f>
        <v>#N/A</v>
      </c>
    </row>
    <row r="57" spans="1:6" ht="20.25" customHeight="1" x14ac:dyDescent="0.15">
      <c r="A57" s="2" t="s">
        <v>289</v>
      </c>
      <c r="B57" s="2" t="s">
        <v>290</v>
      </c>
      <c r="C57" s="2">
        <v>4.6399999999999997</v>
      </c>
      <c r="D57" s="2">
        <v>3.3496000000000001</v>
      </c>
      <c r="E57" s="2" t="s">
        <v>7</v>
      </c>
      <c r="F57" s="2" t="str">
        <f>VLOOKUP(B57,MSCI中国成分股!A:B,1,)</f>
        <v>000596</v>
      </c>
    </row>
    <row r="58" spans="1:6" ht="20.25" customHeight="1" x14ac:dyDescent="0.15">
      <c r="A58" s="2" t="s">
        <v>504</v>
      </c>
      <c r="B58" s="2" t="s">
        <v>505</v>
      </c>
      <c r="C58" s="2">
        <v>4.5999999999999996</v>
      </c>
      <c r="D58" s="2">
        <v>6.7187000000000001</v>
      </c>
      <c r="E58" s="2" t="s">
        <v>506</v>
      </c>
      <c r="F58" s="2" t="str">
        <f>VLOOKUP(B58,MSCI中国成分股!A:B,1,)</f>
        <v>688169</v>
      </c>
    </row>
    <row r="59" spans="1:6" ht="20.25" customHeight="1" x14ac:dyDescent="0.15">
      <c r="A59" s="2" t="s">
        <v>686</v>
      </c>
      <c r="B59" s="2" t="s">
        <v>687</v>
      </c>
      <c r="C59" s="2">
        <v>4.59</v>
      </c>
      <c r="D59" s="2">
        <v>4.6868999999999996</v>
      </c>
      <c r="E59" s="2" t="s">
        <v>41</v>
      </c>
      <c r="F59" s="2" t="str">
        <f>VLOOKUP(B59,MSCI中国成分股!A:B,1,)</f>
        <v>002223</v>
      </c>
    </row>
    <row r="60" spans="1:6" ht="20.25" customHeight="1" x14ac:dyDescent="0.15">
      <c r="A60" s="2" t="s">
        <v>838</v>
      </c>
      <c r="B60" s="2" t="s">
        <v>839</v>
      </c>
      <c r="C60" s="2">
        <v>4.5599999999999996</v>
      </c>
      <c r="D60" s="2">
        <v>2.6926000000000001</v>
      </c>
      <c r="E60" s="2" t="s">
        <v>137</v>
      </c>
      <c r="F60" s="2" t="str">
        <f>VLOOKUP(B60,MSCI中国成分股!A:B,1,)</f>
        <v>603338</v>
      </c>
    </row>
    <row r="61" spans="1:6" ht="20.25" customHeight="1" x14ac:dyDescent="0.15">
      <c r="A61" s="2" t="s">
        <v>61</v>
      </c>
      <c r="B61" s="2" t="s">
        <v>62</v>
      </c>
      <c r="C61" s="2">
        <v>4.53</v>
      </c>
      <c r="D61" s="2">
        <v>10.6363</v>
      </c>
      <c r="E61" s="2" t="s">
        <v>21</v>
      </c>
      <c r="F61" s="2" t="str">
        <f>VLOOKUP(B61,MSCI中国成分股!A:B,1,)</f>
        <v>601225</v>
      </c>
    </row>
    <row r="62" spans="1:6" ht="20.25" customHeight="1" x14ac:dyDescent="0.15">
      <c r="A62" s="2" t="s">
        <v>628</v>
      </c>
      <c r="B62" s="2" t="s">
        <v>629</v>
      </c>
      <c r="C62" s="2">
        <v>4.51</v>
      </c>
      <c r="D62" s="2">
        <v>0.75790000000000002</v>
      </c>
      <c r="E62" s="2" t="s">
        <v>630</v>
      </c>
      <c r="F62" s="2" t="str">
        <f>VLOOKUP(B62,MSCI中国成分股!A:B,1,)</f>
        <v>002595</v>
      </c>
    </row>
    <row r="63" spans="1:6" ht="20.25" customHeight="1" x14ac:dyDescent="0.15">
      <c r="A63" s="2" t="s">
        <v>980</v>
      </c>
      <c r="B63" s="2" t="s">
        <v>981</v>
      </c>
      <c r="C63" s="2">
        <v>4.51</v>
      </c>
      <c r="D63" s="2">
        <v>9.0828000000000007</v>
      </c>
      <c r="E63" s="2" t="s">
        <v>982</v>
      </c>
      <c r="F63" s="2" t="str">
        <f>VLOOKUP(B63,MSCI中国成分股!A:B,1,)</f>
        <v>300450</v>
      </c>
    </row>
    <row r="64" spans="1:6" ht="20.25" customHeight="1" x14ac:dyDescent="0.15">
      <c r="A64" s="2" t="s">
        <v>1241</v>
      </c>
      <c r="B64" s="2" t="s">
        <v>1242</v>
      </c>
      <c r="C64" s="2">
        <v>4.51</v>
      </c>
      <c r="D64" s="2">
        <v>2.0041000000000002</v>
      </c>
      <c r="E64" s="2" t="s">
        <v>1243</v>
      </c>
      <c r="F64" s="2" t="str">
        <f>VLOOKUP(B64,MSCI中国成分股!A:B,1,)</f>
        <v>300012</v>
      </c>
    </row>
    <row r="65" spans="1:6" ht="20.25" customHeight="1" x14ac:dyDescent="0.15">
      <c r="A65" s="2" t="s">
        <v>1046</v>
      </c>
      <c r="B65" s="2" t="s">
        <v>1047</v>
      </c>
      <c r="C65" s="2">
        <v>4.4400000000000004</v>
      </c>
      <c r="D65" s="2">
        <v>2.8847</v>
      </c>
      <c r="E65" s="2" t="s">
        <v>450</v>
      </c>
      <c r="F65" s="2" t="str">
        <f>VLOOKUP(B65,MSCI中国成分股!A:B,1,)</f>
        <v>300487</v>
      </c>
    </row>
    <row r="66" spans="1:6" ht="20.25" customHeight="1" x14ac:dyDescent="0.15">
      <c r="A66" s="2" t="s">
        <v>581</v>
      </c>
      <c r="B66" s="2" t="s">
        <v>582</v>
      </c>
      <c r="C66" s="2">
        <v>4.43</v>
      </c>
      <c r="D66" s="2">
        <v>22.795200000000001</v>
      </c>
      <c r="E66" s="2" t="s">
        <v>254</v>
      </c>
      <c r="F66" s="2" t="str">
        <f>VLOOKUP(B66,MSCI中国成分股!A:B,1,)</f>
        <v>000408</v>
      </c>
    </row>
    <row r="67" spans="1:6" ht="20.25" customHeight="1" x14ac:dyDescent="0.15">
      <c r="A67" s="2" t="s">
        <v>169</v>
      </c>
      <c r="B67" s="2" t="s">
        <v>170</v>
      </c>
      <c r="C67" s="2">
        <v>4.3899999999999997</v>
      </c>
      <c r="D67" s="2">
        <v>1.4602999999999999</v>
      </c>
      <c r="E67" s="2" t="s">
        <v>171</v>
      </c>
      <c r="F67" s="2" t="str">
        <f>VLOOKUP(B67,MSCI中国成分股!A:B,1,)</f>
        <v>600760</v>
      </c>
    </row>
    <row r="68" spans="1:6" ht="20.25" customHeight="1" x14ac:dyDescent="0.15">
      <c r="A68" s="2" t="s">
        <v>1341</v>
      </c>
      <c r="B68" s="2" t="s">
        <v>1342</v>
      </c>
      <c r="C68" s="2">
        <v>4.3899999999999997</v>
      </c>
      <c r="D68" s="2">
        <v>2.5156000000000001</v>
      </c>
      <c r="E68" s="2" t="s">
        <v>727</v>
      </c>
      <c r="F68" s="2" t="str">
        <f>VLOOKUP(B68,MSCI中国成分股!A:B,1,)</f>
        <v>300724</v>
      </c>
    </row>
    <row r="69" spans="1:6" ht="20.25" customHeight="1" x14ac:dyDescent="0.15">
      <c r="A69" s="2" t="s">
        <v>592</v>
      </c>
      <c r="B69" s="2" t="s">
        <v>593</v>
      </c>
      <c r="C69" s="2">
        <v>4.3600000000000003</v>
      </c>
      <c r="D69" s="2">
        <v>1.3291999999999999</v>
      </c>
      <c r="E69" s="2" t="s">
        <v>214</v>
      </c>
      <c r="F69" s="2" t="str">
        <f>VLOOKUP(B69,MSCI中国成分股!A:B,1,)</f>
        <v>300866</v>
      </c>
    </row>
    <row r="70" spans="1:6" ht="20.25" customHeight="1" x14ac:dyDescent="0.15">
      <c r="A70" s="2" t="s">
        <v>1143</v>
      </c>
      <c r="B70" s="2" t="s">
        <v>1144</v>
      </c>
      <c r="C70" s="2">
        <v>4.34</v>
      </c>
      <c r="D70" s="2">
        <v>2.5836000000000001</v>
      </c>
      <c r="E70" s="2" t="s">
        <v>1145</v>
      </c>
      <c r="F70" s="2" t="str">
        <f>VLOOKUP(B70,MSCI中国成分股!A:B,1,)</f>
        <v>603816</v>
      </c>
    </row>
    <row r="71" spans="1:6" ht="20.25" customHeight="1" x14ac:dyDescent="0.15">
      <c r="A71" s="2" t="s">
        <v>1273</v>
      </c>
      <c r="B71" s="2" t="s">
        <v>1274</v>
      </c>
      <c r="C71" s="2">
        <v>4.32</v>
      </c>
      <c r="D71" s="2">
        <v>2.9569000000000001</v>
      </c>
      <c r="E71" s="2" t="s">
        <v>1275</v>
      </c>
      <c r="F71" s="2" t="str">
        <f>VLOOKUP(B71,MSCI中国成分股!A:B,1,)</f>
        <v>002508</v>
      </c>
    </row>
    <row r="72" spans="1:6" ht="20.25" customHeight="1" x14ac:dyDescent="0.15">
      <c r="A72" s="2" t="s">
        <v>521</v>
      </c>
      <c r="B72" s="2" t="s">
        <v>522</v>
      </c>
      <c r="C72" s="2">
        <v>4.2699999999999996</v>
      </c>
      <c r="D72" s="2">
        <v>4.4090999999999996</v>
      </c>
      <c r="E72" s="2" t="s">
        <v>149</v>
      </c>
      <c r="F72" s="2" t="str">
        <f>VLOOKUP(B72,MSCI中国成分股!A:B,1,)</f>
        <v>300394</v>
      </c>
    </row>
    <row r="73" spans="1:6" ht="20.25" customHeight="1" x14ac:dyDescent="0.15">
      <c r="A73" s="2" t="s">
        <v>802</v>
      </c>
      <c r="B73" s="2" t="s">
        <v>803</v>
      </c>
      <c r="C73" s="2">
        <v>4.2699999999999996</v>
      </c>
      <c r="D73" s="2">
        <v>5.3228999999999997</v>
      </c>
      <c r="E73" s="2" t="s">
        <v>103</v>
      </c>
      <c r="F73" s="2" t="str">
        <f>VLOOKUP(B73,MSCI中国成分股!A:B,1,)</f>
        <v>300763</v>
      </c>
    </row>
    <row r="74" spans="1:6" ht="20.25" customHeight="1" x14ac:dyDescent="0.15">
      <c r="A74" s="2" t="s">
        <v>1129</v>
      </c>
      <c r="B74" s="2" t="s">
        <v>1130</v>
      </c>
      <c r="C74" s="2">
        <v>4.1900000000000004</v>
      </c>
      <c r="D74" s="2">
        <v>1.7261</v>
      </c>
      <c r="E74" s="2" t="s">
        <v>198</v>
      </c>
      <c r="F74" s="2" t="str">
        <f>VLOOKUP(B74,MSCI中国成分股!A:B,1,)</f>
        <v>002056</v>
      </c>
    </row>
    <row r="75" spans="1:6" ht="20.25" customHeight="1" x14ac:dyDescent="0.15">
      <c r="A75" s="2" t="s">
        <v>263</v>
      </c>
      <c r="B75" s="2" t="s">
        <v>264</v>
      </c>
      <c r="C75" s="2">
        <v>4.1399999999999997</v>
      </c>
      <c r="D75" s="2">
        <v>1.1861999999999999</v>
      </c>
      <c r="E75" s="2" t="s">
        <v>265</v>
      </c>
      <c r="F75" s="2" t="str">
        <f>VLOOKUP(B75,MSCI中国成分股!A:B,1,)</f>
        <v>002179</v>
      </c>
    </row>
    <row r="76" spans="1:6" ht="20.25" customHeight="1" x14ac:dyDescent="0.15">
      <c r="A76" s="2" t="s">
        <v>394</v>
      </c>
      <c r="B76" s="2" t="s">
        <v>395</v>
      </c>
      <c r="C76" s="2">
        <v>4.1399999999999997</v>
      </c>
      <c r="D76" s="2">
        <v>2.2033999999999998</v>
      </c>
      <c r="E76" s="2" t="s">
        <v>396</v>
      </c>
      <c r="F76" s="2" t="str">
        <f>VLOOKUP(B76,MSCI中国成分股!A:B,1,)</f>
        <v>002920</v>
      </c>
    </row>
    <row r="77" spans="1:6" ht="20.25" customHeight="1" x14ac:dyDescent="0.15">
      <c r="A77" s="2" t="s">
        <v>167</v>
      </c>
      <c r="B77" s="2" t="s">
        <v>168</v>
      </c>
      <c r="C77" s="2">
        <v>4.1100000000000003</v>
      </c>
      <c r="D77" s="2">
        <v>14.409599999999999</v>
      </c>
      <c r="E77" s="2" t="s">
        <v>7</v>
      </c>
      <c r="F77" s="2" t="str">
        <f>VLOOKUP(B77,MSCI中国成分股!A:B,1,)</f>
        <v>002304</v>
      </c>
    </row>
    <row r="78" spans="1:6" ht="20.25" customHeight="1" x14ac:dyDescent="0.15">
      <c r="A78" s="2" t="s">
        <v>1197</v>
      </c>
      <c r="B78" s="2" t="s">
        <v>1198</v>
      </c>
      <c r="C78" s="2">
        <v>4.07</v>
      </c>
      <c r="D78" s="2">
        <v>42.573300000000003</v>
      </c>
      <c r="E78" s="2" t="s">
        <v>1199</v>
      </c>
      <c r="F78" s="2" t="str">
        <f>VLOOKUP(B78,MSCI中国成分股!A:B,1,)</f>
        <v>300146</v>
      </c>
    </row>
    <row r="79" spans="1:6" ht="20.25" customHeight="1" x14ac:dyDescent="0.15">
      <c r="A79" s="2" t="s">
        <v>993</v>
      </c>
      <c r="B79" s="2" t="s">
        <v>994</v>
      </c>
      <c r="C79" s="2">
        <v>4.05</v>
      </c>
      <c r="D79" s="2">
        <v>2.5171000000000001</v>
      </c>
      <c r="E79" s="2" t="s">
        <v>727</v>
      </c>
      <c r="F79" s="2" t="str">
        <f>VLOOKUP(B79,MSCI中国成分股!A:B,1,)</f>
        <v>300751</v>
      </c>
    </row>
    <row r="80" spans="1:6" ht="20.25" customHeight="1" x14ac:dyDescent="0.15">
      <c r="A80" s="2" t="s">
        <v>66</v>
      </c>
      <c r="B80" s="2" t="s">
        <v>67</v>
      </c>
      <c r="C80" s="2">
        <v>4.03</v>
      </c>
      <c r="D80" s="2">
        <v>4.4686000000000003</v>
      </c>
      <c r="E80" s="2" t="s">
        <v>68</v>
      </c>
      <c r="F80" s="2" t="str">
        <f>VLOOKUP(B80,MSCI中国成分股!A:B,1,)</f>
        <v>600406</v>
      </c>
    </row>
    <row r="81" spans="1:6" ht="20.25" customHeight="1" x14ac:dyDescent="0.15">
      <c r="A81" s="2" t="s">
        <v>825</v>
      </c>
      <c r="B81" s="2" t="s">
        <v>826</v>
      </c>
      <c r="C81" s="2">
        <v>4.03</v>
      </c>
      <c r="D81" s="2">
        <v>3.8149000000000002</v>
      </c>
      <c r="E81" s="2" t="s">
        <v>827</v>
      </c>
      <c r="F81" s="2" t="str">
        <f>VLOOKUP(B81,MSCI中国成分股!A:B,1,)</f>
        <v>603833</v>
      </c>
    </row>
    <row r="82" spans="1:6" ht="20.25" customHeight="1" x14ac:dyDescent="0.15">
      <c r="A82" s="2" t="s">
        <v>238</v>
      </c>
      <c r="B82" s="2" t="s">
        <v>239</v>
      </c>
      <c r="C82" s="2">
        <v>3.99</v>
      </c>
      <c r="D82" s="2">
        <v>14.161799999999999</v>
      </c>
      <c r="E82" s="2" t="s">
        <v>240</v>
      </c>
      <c r="F82" s="2" t="str">
        <f>VLOOKUP(B82,MSCI中国成分股!A:B,1,)</f>
        <v>600438</v>
      </c>
    </row>
    <row r="83" spans="1:6" ht="20.25" customHeight="1" x14ac:dyDescent="0.15">
      <c r="A83" s="2" t="s">
        <v>806</v>
      </c>
      <c r="B83" s="2" t="s">
        <v>807</v>
      </c>
      <c r="C83" s="2">
        <v>3.99</v>
      </c>
      <c r="D83" s="2">
        <v>1.137</v>
      </c>
      <c r="E83" s="2" t="s">
        <v>44</v>
      </c>
      <c r="F83" s="2" t="str">
        <f>VLOOKUP(B83,MSCI中国成分股!A:B,1,)</f>
        <v>002262</v>
      </c>
    </row>
    <row r="84" spans="1:6" ht="20.25" customHeight="1" x14ac:dyDescent="0.15">
      <c r="A84" s="2" t="s">
        <v>389</v>
      </c>
      <c r="B84" s="2" t="s">
        <v>390</v>
      </c>
      <c r="C84" s="2">
        <v>3.95</v>
      </c>
      <c r="D84" s="2">
        <v>1.9923</v>
      </c>
      <c r="E84" s="2" t="s">
        <v>391</v>
      </c>
      <c r="F84" s="2" t="str">
        <f>VLOOKUP(B84,MSCI中国成分股!A:B,1,)</f>
        <v>002028</v>
      </c>
    </row>
    <row r="85" spans="1:6" ht="20.25" customHeight="1" x14ac:dyDescent="0.15">
      <c r="A85" s="2" t="s">
        <v>929</v>
      </c>
      <c r="B85" s="2" t="s">
        <v>930</v>
      </c>
      <c r="C85" s="2">
        <v>3.94</v>
      </c>
      <c r="D85" s="2">
        <v>3.5623</v>
      </c>
      <c r="E85" s="2" t="s">
        <v>931</v>
      </c>
      <c r="F85" s="2" t="str">
        <f>VLOOKUP(B85,MSCI中国成分股!A:B,1,)</f>
        <v>603156</v>
      </c>
    </row>
    <row r="86" spans="1:6" ht="20.25" customHeight="1" x14ac:dyDescent="0.15">
      <c r="A86" s="2" t="s">
        <v>350</v>
      </c>
      <c r="B86" s="2" t="s">
        <v>351</v>
      </c>
      <c r="C86" s="2">
        <v>3.93</v>
      </c>
      <c r="D86" s="2">
        <v>1.4067000000000001</v>
      </c>
      <c r="E86" s="2" t="s">
        <v>286</v>
      </c>
      <c r="F86" s="2" t="str">
        <f>VLOOKUP(B86,MSCI中国成分股!A:B,1,)</f>
        <v>002463</v>
      </c>
    </row>
    <row r="87" spans="1:6" ht="20.25" customHeight="1" x14ac:dyDescent="0.15">
      <c r="A87" s="2" t="s">
        <v>705</v>
      </c>
      <c r="B87" s="2" t="s">
        <v>706</v>
      </c>
      <c r="C87" s="2">
        <v>3.92</v>
      </c>
      <c r="D87" s="2">
        <v>4.8918999999999997</v>
      </c>
      <c r="E87" s="2" t="s">
        <v>157</v>
      </c>
      <c r="F87" s="2" t="str">
        <f>VLOOKUP(B87,MSCI中国成分股!A:B,1,)</f>
        <v>688777</v>
      </c>
    </row>
    <row r="88" spans="1:6" ht="20.25" hidden="1" customHeight="1" x14ac:dyDescent="0.15">
      <c r="A88" s="2" t="s">
        <v>234</v>
      </c>
      <c r="B88" s="2" t="s">
        <v>235</v>
      </c>
      <c r="C88" s="2">
        <v>1.0900000000000001</v>
      </c>
      <c r="D88" s="2">
        <v>0.30170000000000002</v>
      </c>
      <c r="E88" s="2" t="s">
        <v>81</v>
      </c>
      <c r="F88" s="2" t="e">
        <f>VLOOKUP(B88,MSCI中国成分股!A:B,1,)</f>
        <v>#N/A</v>
      </c>
    </row>
    <row r="89" spans="1:6" ht="20.25" customHeight="1" x14ac:dyDescent="0.15">
      <c r="A89" s="2" t="s">
        <v>56</v>
      </c>
      <c r="B89" s="2" t="s">
        <v>57</v>
      </c>
      <c r="C89" s="2">
        <v>3.91</v>
      </c>
      <c r="D89" s="2">
        <v>1.7498</v>
      </c>
      <c r="E89" s="2" t="s">
        <v>32</v>
      </c>
      <c r="F89" s="2" t="str">
        <f>VLOOKUP(B89,MSCI中国成分股!A:B,1,)</f>
        <v>000651</v>
      </c>
    </row>
    <row r="90" spans="1:6" ht="20.25" customHeight="1" x14ac:dyDescent="0.15">
      <c r="A90" s="2" t="s">
        <v>1182</v>
      </c>
      <c r="B90" s="2" t="s">
        <v>1183</v>
      </c>
      <c r="C90" s="2">
        <v>3.89</v>
      </c>
      <c r="D90" s="2">
        <v>49.251199999999997</v>
      </c>
      <c r="E90" s="2" t="s">
        <v>409</v>
      </c>
      <c r="F90" s="2" t="str">
        <f>VLOOKUP(B90,MSCI中国成分股!A:B,1,)</f>
        <v>002756</v>
      </c>
    </row>
    <row r="91" spans="1:6" ht="20.25" customHeight="1" x14ac:dyDescent="0.15">
      <c r="A91" s="2" t="s">
        <v>624</v>
      </c>
      <c r="B91" s="2" t="s">
        <v>625</v>
      </c>
      <c r="C91" s="2">
        <v>3.86</v>
      </c>
      <c r="D91" s="2">
        <v>1.6571</v>
      </c>
      <c r="E91" s="2" t="s">
        <v>157</v>
      </c>
      <c r="F91" s="2" t="str">
        <f>VLOOKUP(B91,MSCI中国成分股!A:B,1,)</f>
        <v>688188</v>
      </c>
    </row>
    <row r="92" spans="1:6" ht="20.25" customHeight="1" x14ac:dyDescent="0.15">
      <c r="A92" s="2" t="s">
        <v>808</v>
      </c>
      <c r="B92" s="2" t="s">
        <v>809</v>
      </c>
      <c r="C92" s="2">
        <v>3.86</v>
      </c>
      <c r="D92" s="2">
        <v>4.0803000000000003</v>
      </c>
      <c r="E92" s="2" t="s">
        <v>794</v>
      </c>
      <c r="F92" s="2" t="str">
        <f>VLOOKUP(B92,MSCI中国成分股!A:B,1,)</f>
        <v>600873</v>
      </c>
    </row>
    <row r="93" spans="1:6" ht="20.25" customHeight="1" x14ac:dyDescent="0.15">
      <c r="A93" s="2" t="s">
        <v>407</v>
      </c>
      <c r="B93" s="2" t="s">
        <v>408</v>
      </c>
      <c r="C93" s="2">
        <v>3.83</v>
      </c>
      <c r="D93" s="2">
        <v>23.708400000000001</v>
      </c>
      <c r="E93" s="2" t="s">
        <v>409</v>
      </c>
      <c r="F93" s="2" t="str">
        <f>VLOOKUP(B93,MSCI中国成分股!A:B,1,)</f>
        <v>002460</v>
      </c>
    </row>
    <row r="94" spans="1:6" ht="20.25" customHeight="1" x14ac:dyDescent="0.15">
      <c r="A94" s="2" t="s">
        <v>1152</v>
      </c>
      <c r="B94" s="2" t="s">
        <v>1153</v>
      </c>
      <c r="C94" s="2">
        <v>3.83</v>
      </c>
      <c r="D94" s="2">
        <v>4.7184999999999997</v>
      </c>
      <c r="E94" s="2" t="s">
        <v>265</v>
      </c>
      <c r="F94" s="2" t="str">
        <f>VLOOKUP(B94,MSCI中国成分股!A:B,1,)</f>
        <v>000733</v>
      </c>
    </row>
    <row r="95" spans="1:6" ht="20.25" customHeight="1" x14ac:dyDescent="0.15">
      <c r="A95" s="2" t="s">
        <v>226</v>
      </c>
      <c r="B95" s="2" t="s">
        <v>227</v>
      </c>
      <c r="C95" s="2">
        <v>3.82</v>
      </c>
      <c r="D95" s="2">
        <v>3.7214</v>
      </c>
      <c r="E95" s="2" t="s">
        <v>228</v>
      </c>
      <c r="F95" s="2" t="str">
        <f>VLOOKUP(B95,MSCI中国成分股!A:B,1,)</f>
        <v>300015</v>
      </c>
    </row>
    <row r="96" spans="1:6" ht="20.25" customHeight="1" x14ac:dyDescent="0.15">
      <c r="A96" s="2" t="s">
        <v>912</v>
      </c>
      <c r="B96" s="2" t="s">
        <v>913</v>
      </c>
      <c r="C96" s="2">
        <v>3.81</v>
      </c>
      <c r="D96" s="2">
        <v>20.021999999999998</v>
      </c>
      <c r="E96" s="2" t="s">
        <v>506</v>
      </c>
      <c r="F96" s="2" t="str">
        <f>VLOOKUP(B96,MSCI中国成分股!A:B,1,)</f>
        <v>603486</v>
      </c>
    </row>
    <row r="97" spans="1:6" ht="20.25" customHeight="1" x14ac:dyDescent="0.15">
      <c r="A97" s="2" t="s">
        <v>968</v>
      </c>
      <c r="B97" s="2" t="s">
        <v>969</v>
      </c>
      <c r="C97" s="2">
        <v>3.81</v>
      </c>
      <c r="D97" s="2">
        <v>3.9763000000000002</v>
      </c>
      <c r="E97" s="2" t="s">
        <v>176</v>
      </c>
      <c r="F97" s="2" t="str">
        <f>VLOOKUP(B97,MSCI中国成分股!A:B,1,)</f>
        <v>002821</v>
      </c>
    </row>
    <row r="98" spans="1:6" ht="20.25" customHeight="1" x14ac:dyDescent="0.15">
      <c r="A98" s="2" t="s">
        <v>30</v>
      </c>
      <c r="B98" s="2" t="s">
        <v>31</v>
      </c>
      <c r="C98" s="2">
        <v>3.78</v>
      </c>
      <c r="D98" s="2">
        <v>0.90859999999999996</v>
      </c>
      <c r="E98" s="2" t="s">
        <v>32</v>
      </c>
      <c r="F98" s="2" t="str">
        <f>VLOOKUP(B98,MSCI中国成分股!A:B,1,)</f>
        <v>000333</v>
      </c>
    </row>
    <row r="99" spans="1:6" ht="20.25" customHeight="1" x14ac:dyDescent="0.15">
      <c r="A99" s="2" t="s">
        <v>906</v>
      </c>
      <c r="B99" s="2" t="s">
        <v>907</v>
      </c>
      <c r="C99" s="2">
        <v>3.76</v>
      </c>
      <c r="D99" s="2">
        <v>1.0954999999999999</v>
      </c>
      <c r="E99" s="2" t="s">
        <v>137</v>
      </c>
      <c r="F99" s="2" t="str">
        <f>VLOOKUP(B99,MSCI中国成分股!A:B,1,)</f>
        <v>603298</v>
      </c>
    </row>
    <row r="100" spans="1:6" ht="20.25" customHeight="1" x14ac:dyDescent="0.15">
      <c r="A100" s="2" t="s">
        <v>164</v>
      </c>
      <c r="B100" s="2" t="s">
        <v>165</v>
      </c>
      <c r="C100" s="2">
        <v>3.71</v>
      </c>
      <c r="D100" s="2">
        <v>15.6754</v>
      </c>
      <c r="E100" s="2" t="s">
        <v>166</v>
      </c>
      <c r="F100" s="2" t="str">
        <f>VLOOKUP(B100,MSCI中国成分股!A:B,1,)</f>
        <v>601888</v>
      </c>
    </row>
    <row r="101" spans="1:6" ht="20.25" customHeight="1" x14ac:dyDescent="0.15">
      <c r="A101" s="2" t="s">
        <v>871</v>
      </c>
      <c r="B101" s="2" t="s">
        <v>872</v>
      </c>
      <c r="C101" s="2">
        <v>3.7</v>
      </c>
      <c r="D101" s="2">
        <v>0.76780000000000004</v>
      </c>
      <c r="E101" s="2" t="s">
        <v>201</v>
      </c>
      <c r="F101" s="2" t="str">
        <f>VLOOKUP(B101,MSCI中国成分股!A:B,1,)</f>
        <v>603596</v>
      </c>
    </row>
    <row r="102" spans="1:6" ht="20.25" customHeight="1" x14ac:dyDescent="0.15">
      <c r="A102" s="2" t="s">
        <v>1253</v>
      </c>
      <c r="B102" s="2" t="s">
        <v>1254</v>
      </c>
      <c r="C102" s="2">
        <v>3.68</v>
      </c>
      <c r="D102" s="2">
        <v>2.4527000000000001</v>
      </c>
      <c r="E102" s="2" t="s">
        <v>682</v>
      </c>
      <c r="F102" s="2" t="str">
        <f>VLOOKUP(B102,MSCI中国成分股!A:B,1,)</f>
        <v>603290</v>
      </c>
    </row>
    <row r="103" spans="1:6" ht="20.25" customHeight="1" x14ac:dyDescent="0.15">
      <c r="A103" s="2" t="s">
        <v>697</v>
      </c>
      <c r="B103" s="2" t="s">
        <v>698</v>
      </c>
      <c r="C103" s="2">
        <v>3.65</v>
      </c>
      <c r="D103" s="2">
        <v>1.0215000000000001</v>
      </c>
      <c r="E103" s="2" t="s">
        <v>699</v>
      </c>
      <c r="F103" s="2" t="str">
        <f>VLOOKUP(B103,MSCI中国成分股!A:B,1,)</f>
        <v>603568</v>
      </c>
    </row>
    <row r="104" spans="1:6" ht="20.25" customHeight="1" x14ac:dyDescent="0.15">
      <c r="A104" s="2" t="s">
        <v>174</v>
      </c>
      <c r="B104" s="2" t="s">
        <v>175</v>
      </c>
      <c r="C104" s="2">
        <v>3.63</v>
      </c>
      <c r="D104" s="2">
        <v>2.6177000000000001</v>
      </c>
      <c r="E104" s="2" t="s">
        <v>176</v>
      </c>
      <c r="F104" s="2" t="str">
        <f>VLOOKUP(B104,MSCI中国成分股!A:B,1,)</f>
        <v>603259</v>
      </c>
    </row>
    <row r="105" spans="1:6" ht="20.25" customHeight="1" x14ac:dyDescent="0.15">
      <c r="A105" s="2" t="s">
        <v>426</v>
      </c>
      <c r="B105" s="2" t="s">
        <v>427</v>
      </c>
      <c r="C105" s="2">
        <v>3.63</v>
      </c>
      <c r="D105" s="2">
        <v>2.2219000000000002</v>
      </c>
      <c r="E105" s="2" t="s">
        <v>140</v>
      </c>
      <c r="F105" s="2" t="str">
        <f>VLOOKUP(B105,MSCI中国成分股!A:B,1,)</f>
        <v>000999</v>
      </c>
    </row>
    <row r="106" spans="1:6" ht="20.25" customHeight="1" x14ac:dyDescent="0.15">
      <c r="A106" s="2" t="s">
        <v>834</v>
      </c>
      <c r="B106" s="2" t="s">
        <v>835</v>
      </c>
      <c r="C106" s="2">
        <v>3.62</v>
      </c>
      <c r="D106" s="2">
        <v>0.88970000000000005</v>
      </c>
      <c r="E106" s="2" t="s">
        <v>690</v>
      </c>
      <c r="F106" s="2" t="str">
        <f>VLOOKUP(B106,MSCI中国成分股!A:B,1,)</f>
        <v>600398</v>
      </c>
    </row>
    <row r="107" spans="1:6" ht="20.25" customHeight="1" x14ac:dyDescent="0.15">
      <c r="A107" s="2" t="s">
        <v>828</v>
      </c>
      <c r="B107" s="2" t="s">
        <v>829</v>
      </c>
      <c r="C107" s="2">
        <v>3.61</v>
      </c>
      <c r="D107" s="2">
        <v>2.3212000000000002</v>
      </c>
      <c r="E107" s="2" t="s">
        <v>171</v>
      </c>
      <c r="F107" s="2" t="str">
        <f>VLOOKUP(B107,MSCI中国成分股!A:B,1,)</f>
        <v>600862</v>
      </c>
    </row>
    <row r="108" spans="1:6" ht="20.25" customHeight="1" x14ac:dyDescent="0.15">
      <c r="A108" s="2" t="s">
        <v>1154</v>
      </c>
      <c r="B108" s="2" t="s">
        <v>1155</v>
      </c>
      <c r="C108" s="2">
        <v>3.61</v>
      </c>
      <c r="D108" s="2">
        <v>7.4554999999999998</v>
      </c>
      <c r="E108" s="2" t="s">
        <v>228</v>
      </c>
      <c r="F108" s="2" t="str">
        <f>VLOOKUP(B108,MSCI中国成分股!A:B,1,)</f>
        <v>600763</v>
      </c>
    </row>
    <row r="109" spans="1:6" ht="20.25" customHeight="1" x14ac:dyDescent="0.15">
      <c r="A109" s="2" t="s">
        <v>527</v>
      </c>
      <c r="B109" s="2" t="s">
        <v>528</v>
      </c>
      <c r="C109" s="2">
        <v>3.54</v>
      </c>
      <c r="D109" s="2">
        <v>2.1762999999999999</v>
      </c>
      <c r="E109" s="2" t="s">
        <v>529</v>
      </c>
      <c r="F109" s="2" t="str">
        <f>VLOOKUP(B109,MSCI中国成分股!A:B,1,)</f>
        <v>000786</v>
      </c>
    </row>
    <row r="110" spans="1:6" ht="20.25" customHeight="1" x14ac:dyDescent="0.15">
      <c r="A110" s="2" t="s">
        <v>599</v>
      </c>
      <c r="B110" s="2" t="s">
        <v>600</v>
      </c>
      <c r="C110" s="2">
        <v>3.53</v>
      </c>
      <c r="D110" s="2">
        <v>1.9602999999999999</v>
      </c>
      <c r="E110" s="2" t="s">
        <v>106</v>
      </c>
      <c r="F110" s="2" t="str">
        <f>VLOOKUP(B110,MSCI中国成分股!A:B,1,)</f>
        <v>688082</v>
      </c>
    </row>
    <row r="111" spans="1:6" ht="20.25" customHeight="1" x14ac:dyDescent="0.15">
      <c r="A111" s="2" t="s">
        <v>954</v>
      </c>
      <c r="B111" s="2" t="s">
        <v>955</v>
      </c>
      <c r="C111" s="2">
        <v>3.51</v>
      </c>
      <c r="D111" s="2">
        <v>1.7385999999999999</v>
      </c>
      <c r="E111" s="2" t="s">
        <v>374</v>
      </c>
      <c r="F111" s="2" t="str">
        <f>VLOOKUP(B111,MSCI中国成分股!A:B,1,)</f>
        <v>603658</v>
      </c>
    </row>
    <row r="112" spans="1:6" ht="20.25" hidden="1" customHeight="1" x14ac:dyDescent="0.15">
      <c r="A112" s="2" t="s">
        <v>293</v>
      </c>
      <c r="B112" s="2" t="s">
        <v>294</v>
      </c>
      <c r="C112" s="2">
        <v>0.53</v>
      </c>
      <c r="D112" s="2">
        <v>0.22470000000000001</v>
      </c>
      <c r="E112" s="2" t="s">
        <v>152</v>
      </c>
      <c r="F112" s="2" t="e">
        <f>VLOOKUP(B112,MSCI中国成分股!A:B,1,)</f>
        <v>#N/A</v>
      </c>
    </row>
    <row r="113" spans="1:6" ht="20.25" customHeight="1" x14ac:dyDescent="0.15">
      <c r="A113" s="2" t="s">
        <v>606</v>
      </c>
      <c r="B113" s="2" t="s">
        <v>607</v>
      </c>
      <c r="C113" s="2">
        <v>3.5</v>
      </c>
      <c r="D113" s="2">
        <v>1.5023</v>
      </c>
      <c r="E113" s="2" t="s">
        <v>143</v>
      </c>
      <c r="F113" s="2" t="str">
        <f>VLOOKUP(B113,MSCI中国成分股!A:B,1,)</f>
        <v>601799</v>
      </c>
    </row>
    <row r="114" spans="1:6" ht="20.25" customHeight="1" x14ac:dyDescent="0.15">
      <c r="A114" s="2" t="s">
        <v>243</v>
      </c>
      <c r="B114" s="2" t="s">
        <v>244</v>
      </c>
      <c r="C114" s="2">
        <v>3.49</v>
      </c>
      <c r="D114" s="2">
        <v>0.53010000000000002</v>
      </c>
      <c r="E114" s="2" t="s">
        <v>245</v>
      </c>
      <c r="F114" s="2" t="str">
        <f>VLOOKUP(B114,MSCI中国成分股!A:B,1,)</f>
        <v>688111</v>
      </c>
    </row>
    <row r="115" spans="1:6" ht="20.25" customHeight="1" x14ac:dyDescent="0.15">
      <c r="A115" s="2" t="s">
        <v>671</v>
      </c>
      <c r="B115" s="2" t="s">
        <v>672</v>
      </c>
      <c r="C115" s="2">
        <v>3.48</v>
      </c>
      <c r="D115" s="2">
        <v>3.0413999999999999</v>
      </c>
      <c r="E115" s="2" t="s">
        <v>32</v>
      </c>
      <c r="F115" s="2" t="str">
        <f>VLOOKUP(B115,MSCI中国成分股!A:B,1,)</f>
        <v>000921</v>
      </c>
    </row>
    <row r="116" spans="1:6" ht="20.25" customHeight="1" x14ac:dyDescent="0.15">
      <c r="A116" s="2" t="s">
        <v>42</v>
      </c>
      <c r="B116" s="2" t="s">
        <v>43</v>
      </c>
      <c r="C116" s="2">
        <v>3.46</v>
      </c>
      <c r="D116" s="2">
        <v>2.581</v>
      </c>
      <c r="E116" s="2" t="s">
        <v>44</v>
      </c>
      <c r="F116" s="2" t="str">
        <f>VLOOKUP(B116,MSCI中国成分股!A:B,1,)</f>
        <v>600276</v>
      </c>
    </row>
    <row r="117" spans="1:6" ht="20.25" customHeight="1" x14ac:dyDescent="0.15">
      <c r="A117" s="2" t="s">
        <v>345</v>
      </c>
      <c r="B117" s="2" t="s">
        <v>346</v>
      </c>
      <c r="C117" s="2">
        <v>3.43</v>
      </c>
      <c r="D117" s="2">
        <v>6.1982999999999997</v>
      </c>
      <c r="E117" s="2" t="s">
        <v>347</v>
      </c>
      <c r="F117" s="2" t="str">
        <f>VLOOKUP(B117,MSCI中国成分股!A:B,1,)</f>
        <v>600111</v>
      </c>
    </row>
    <row r="118" spans="1:6" ht="20.25" customHeight="1" x14ac:dyDescent="0.15">
      <c r="A118" s="2" t="s">
        <v>363</v>
      </c>
      <c r="B118" s="2" t="s">
        <v>364</v>
      </c>
      <c r="C118" s="2">
        <v>3.43</v>
      </c>
      <c r="D118" s="2">
        <v>0.9325</v>
      </c>
      <c r="E118" s="2" t="s">
        <v>365</v>
      </c>
      <c r="F118" s="2" t="str">
        <f>VLOOKUP(B118,MSCI中国成分股!A:B,1,)</f>
        <v>000708</v>
      </c>
    </row>
    <row r="119" spans="1:6" ht="20.25" customHeight="1" x14ac:dyDescent="0.15">
      <c r="A119" s="2" t="s">
        <v>424</v>
      </c>
      <c r="B119" s="2" t="s">
        <v>425</v>
      </c>
      <c r="C119" s="2">
        <v>3.42</v>
      </c>
      <c r="D119" s="2">
        <v>1.3101</v>
      </c>
      <c r="E119" s="2" t="s">
        <v>44</v>
      </c>
      <c r="F119" s="2" t="str">
        <f>VLOOKUP(B119,MSCI中国成分股!A:B,1,)</f>
        <v>000963</v>
      </c>
    </row>
    <row r="120" spans="1:6" ht="20.25" customHeight="1" x14ac:dyDescent="0.15">
      <c r="A120" s="2" t="s">
        <v>946</v>
      </c>
      <c r="B120" s="2" t="s">
        <v>947</v>
      </c>
      <c r="C120" s="2">
        <v>3.4</v>
      </c>
      <c r="D120" s="2">
        <v>1.0684</v>
      </c>
      <c r="E120" s="2" t="s">
        <v>514</v>
      </c>
      <c r="F120" s="2" t="str">
        <f>VLOOKUP(B120,MSCI中国成分股!A:B,1,)</f>
        <v>688363</v>
      </c>
    </row>
    <row r="121" spans="1:6" ht="20.25" customHeight="1" x14ac:dyDescent="0.15">
      <c r="A121" s="2" t="s">
        <v>619</v>
      </c>
      <c r="B121" s="2" t="s">
        <v>620</v>
      </c>
      <c r="C121" s="2">
        <v>3.39</v>
      </c>
      <c r="D121" s="2">
        <v>3.9782000000000002</v>
      </c>
      <c r="E121" s="2" t="s">
        <v>621</v>
      </c>
      <c r="F121" s="2" t="str">
        <f>VLOOKUP(B121,MSCI中国成分股!A:B,1,)</f>
        <v>300413</v>
      </c>
    </row>
    <row r="122" spans="1:6" ht="20.25" customHeight="1" x14ac:dyDescent="0.15">
      <c r="A122" s="2" t="s">
        <v>90</v>
      </c>
      <c r="B122" s="2" t="s">
        <v>91</v>
      </c>
      <c r="C122" s="2">
        <v>3.38</v>
      </c>
      <c r="D122" s="2">
        <v>18.6785</v>
      </c>
      <c r="E122" s="2" t="s">
        <v>92</v>
      </c>
      <c r="F122" s="2" t="str">
        <f>VLOOKUP(B122,MSCI中国成分股!A:B,1,)</f>
        <v>601919</v>
      </c>
    </row>
    <row r="123" spans="1:6" ht="20.25" customHeight="1" x14ac:dyDescent="0.15">
      <c r="A123" s="2" t="s">
        <v>846</v>
      </c>
      <c r="B123" s="2" t="s">
        <v>847</v>
      </c>
      <c r="C123" s="2">
        <v>3.37</v>
      </c>
      <c r="D123" s="2">
        <v>1.7362</v>
      </c>
      <c r="E123" s="2" t="s">
        <v>747</v>
      </c>
      <c r="F123" s="2" t="str">
        <f>VLOOKUP(B123,MSCI中国成分股!A:B,1,)</f>
        <v>603659</v>
      </c>
    </row>
    <row r="124" spans="1:6" ht="20.25" customHeight="1" x14ac:dyDescent="0.15">
      <c r="A124" s="2" t="s">
        <v>572</v>
      </c>
      <c r="B124" s="2" t="s">
        <v>573</v>
      </c>
      <c r="C124" s="2">
        <v>3.35</v>
      </c>
      <c r="D124" s="2">
        <v>3.3626999999999998</v>
      </c>
      <c r="E124" s="2" t="s">
        <v>574</v>
      </c>
      <c r="F124" s="2" t="str">
        <f>VLOOKUP(B124,MSCI中国成分股!A:B,1,)</f>
        <v>603806</v>
      </c>
    </row>
    <row r="125" spans="1:6" ht="20.25" customHeight="1" x14ac:dyDescent="0.15">
      <c r="A125" s="2" t="s">
        <v>1028</v>
      </c>
      <c r="B125" s="2" t="s">
        <v>1029</v>
      </c>
      <c r="C125" s="2">
        <v>3.33</v>
      </c>
      <c r="D125" s="2">
        <v>0.4803</v>
      </c>
      <c r="E125" s="2" t="s">
        <v>339</v>
      </c>
      <c r="F125" s="2" t="str">
        <f>VLOOKUP(B125,MSCI中国成分股!A:B,1,)</f>
        <v>600511</v>
      </c>
    </row>
    <row r="126" spans="1:6" ht="20.25" customHeight="1" x14ac:dyDescent="0.15">
      <c r="A126" s="2" t="s">
        <v>486</v>
      </c>
      <c r="B126" s="2" t="s">
        <v>487</v>
      </c>
      <c r="C126" s="2">
        <v>3.31</v>
      </c>
      <c r="D126" s="2">
        <v>8.9222999999999999</v>
      </c>
      <c r="E126" s="2" t="s">
        <v>52</v>
      </c>
      <c r="F126" s="2" t="str">
        <f>VLOOKUP(B126,MSCI中国成分股!A:B,1,)</f>
        <v>002236</v>
      </c>
    </row>
    <row r="127" spans="1:6" ht="20.25" customHeight="1" x14ac:dyDescent="0.15">
      <c r="A127" s="2" t="s">
        <v>765</v>
      </c>
      <c r="B127" s="2" t="s">
        <v>766</v>
      </c>
      <c r="C127" s="2">
        <v>3.3</v>
      </c>
      <c r="D127" s="2">
        <v>0.29270000000000002</v>
      </c>
      <c r="E127" s="2" t="s">
        <v>391</v>
      </c>
      <c r="F127" s="2" t="str">
        <f>VLOOKUP(B127,MSCI中国成分股!A:B,1,)</f>
        <v>600885</v>
      </c>
    </row>
    <row r="128" spans="1:6" ht="20.25" hidden="1" customHeight="1" x14ac:dyDescent="0.15">
      <c r="A128" s="2" t="s">
        <v>330</v>
      </c>
      <c r="B128" s="2" t="s">
        <v>331</v>
      </c>
      <c r="C128" s="2">
        <v>1.91</v>
      </c>
      <c r="D128" s="2">
        <v>0.68049999999999999</v>
      </c>
      <c r="E128" s="2" t="s">
        <v>276</v>
      </c>
      <c r="F128" s="2" t="e">
        <f>VLOOKUP(B128,MSCI中国成分股!A:B,1,)</f>
        <v>#N/A</v>
      </c>
    </row>
    <row r="129" spans="1:6" ht="20.25" customHeight="1" x14ac:dyDescent="0.15">
      <c r="A129" s="2" t="s">
        <v>308</v>
      </c>
      <c r="B129" s="2" t="s">
        <v>309</v>
      </c>
      <c r="C129" s="2">
        <v>3.28</v>
      </c>
      <c r="D129" s="2">
        <v>0.42</v>
      </c>
      <c r="E129" s="2" t="s">
        <v>310</v>
      </c>
      <c r="F129" s="2" t="str">
        <f>VLOOKUP(B129,MSCI中国成分股!A:B,1,)</f>
        <v>002050</v>
      </c>
    </row>
    <row r="130" spans="1:6" ht="20.25" hidden="1" customHeight="1" x14ac:dyDescent="0.15">
      <c r="A130" s="2" t="s">
        <v>334</v>
      </c>
      <c r="B130" s="2" t="s">
        <v>335</v>
      </c>
      <c r="C130" s="2">
        <v>1.02</v>
      </c>
      <c r="D130" s="2">
        <v>0.32040000000000002</v>
      </c>
      <c r="E130" s="2" t="s">
        <v>336</v>
      </c>
      <c r="F130" s="2" t="e">
        <f>VLOOKUP(B130,MSCI中国成分股!A:B,1,)</f>
        <v>#N/A</v>
      </c>
    </row>
    <row r="131" spans="1:6" ht="20.25" customHeight="1" x14ac:dyDescent="0.15">
      <c r="A131" s="2" t="s">
        <v>1480</v>
      </c>
      <c r="B131" s="2" t="s">
        <v>1481</v>
      </c>
      <c r="C131" s="2">
        <v>3.28</v>
      </c>
      <c r="D131" s="2">
        <v>0.9496</v>
      </c>
      <c r="E131" s="2" t="s">
        <v>1224</v>
      </c>
      <c r="F131" s="2" t="str">
        <f>VLOOKUP(B131,MSCI中国成分股!A:B,1,)</f>
        <v>300285</v>
      </c>
    </row>
    <row r="132" spans="1:6" ht="20.25" customHeight="1" x14ac:dyDescent="0.15">
      <c r="A132" s="2" t="s">
        <v>186</v>
      </c>
      <c r="B132" s="2" t="s">
        <v>187</v>
      </c>
      <c r="C132" s="2">
        <v>3.27</v>
      </c>
      <c r="D132" s="2">
        <v>1.1903999999999999</v>
      </c>
      <c r="E132" s="2" t="s">
        <v>188</v>
      </c>
      <c r="F132" s="2" t="str">
        <f>VLOOKUP(B132,MSCI中国成分股!A:B,1,)</f>
        <v>600989</v>
      </c>
    </row>
    <row r="133" spans="1:6" ht="20.25" customHeight="1" x14ac:dyDescent="0.15">
      <c r="A133" s="2" t="s">
        <v>183</v>
      </c>
      <c r="B133" s="2" t="s">
        <v>184</v>
      </c>
      <c r="C133" s="2">
        <v>3.22</v>
      </c>
      <c r="D133" s="2">
        <v>6.0852000000000004</v>
      </c>
      <c r="E133" s="2" t="s">
        <v>185</v>
      </c>
      <c r="F133" s="2" t="str">
        <f>VLOOKUP(B133,MSCI中国成分股!A:B,1,)</f>
        <v>603501</v>
      </c>
    </row>
    <row r="134" spans="1:6" ht="20.25" customHeight="1" x14ac:dyDescent="0.15">
      <c r="A134" s="2" t="s">
        <v>782</v>
      </c>
      <c r="B134" s="2" t="s">
        <v>783</v>
      </c>
      <c r="C134" s="2">
        <v>3.2</v>
      </c>
      <c r="D134" s="2">
        <v>0.9446</v>
      </c>
      <c r="E134" s="2" t="s">
        <v>784</v>
      </c>
      <c r="F134" s="2" t="str">
        <f>VLOOKUP(B134,MSCI中国成分股!A:B,1,)</f>
        <v>002353</v>
      </c>
    </row>
    <row r="135" spans="1:6" ht="20.25" customHeight="1" x14ac:dyDescent="0.15">
      <c r="A135" s="2" t="s">
        <v>1410</v>
      </c>
      <c r="B135" s="2" t="s">
        <v>1411</v>
      </c>
      <c r="C135" s="2">
        <v>3.2</v>
      </c>
      <c r="D135" s="2">
        <v>1.1316999999999999</v>
      </c>
      <c r="E135" s="2" t="s">
        <v>140</v>
      </c>
      <c r="F135" s="2" t="str">
        <f>VLOOKUP(B135,MSCI中国成分股!A:B,1,)</f>
        <v>600329</v>
      </c>
    </row>
    <row r="136" spans="1:6" ht="20.25" customHeight="1" x14ac:dyDescent="0.15">
      <c r="A136" s="2" t="s">
        <v>543</v>
      </c>
      <c r="B136" s="2" t="s">
        <v>544</v>
      </c>
      <c r="C136" s="2">
        <v>3.19</v>
      </c>
      <c r="D136" s="2">
        <v>4.2519999999999998</v>
      </c>
      <c r="E136" s="2" t="s">
        <v>21</v>
      </c>
      <c r="F136" s="2" t="str">
        <f>VLOOKUP(B136,MSCI中国成分股!A:B,1,)</f>
        <v>601699</v>
      </c>
    </row>
    <row r="137" spans="1:6" ht="20.25" customHeight="1" x14ac:dyDescent="0.15">
      <c r="A137" s="2" t="s">
        <v>1161</v>
      </c>
      <c r="B137" s="2" t="s">
        <v>1162</v>
      </c>
      <c r="C137" s="2">
        <v>3.19</v>
      </c>
      <c r="D137" s="2">
        <v>1.0973999999999999</v>
      </c>
      <c r="E137" s="2" t="s">
        <v>682</v>
      </c>
      <c r="F137" s="2" t="str">
        <f>VLOOKUP(B137,MSCI中国成分股!A:B,1,)</f>
        <v>300373</v>
      </c>
    </row>
    <row r="138" spans="1:6" ht="20.25" customHeight="1" x14ac:dyDescent="0.15">
      <c r="A138" s="2" t="s">
        <v>118</v>
      </c>
      <c r="B138" s="2" t="s">
        <v>119</v>
      </c>
      <c r="C138" s="2">
        <v>3.14</v>
      </c>
      <c r="D138" s="2">
        <v>2.7185000000000001</v>
      </c>
      <c r="E138" s="2" t="s">
        <v>120</v>
      </c>
      <c r="F138" s="2" t="str">
        <f>VLOOKUP(B138,MSCI中国成分股!A:B,1,)</f>
        <v>600887</v>
      </c>
    </row>
    <row r="139" spans="1:6" ht="20.25" customHeight="1" x14ac:dyDescent="0.15">
      <c r="A139" s="2" t="s">
        <v>976</v>
      </c>
      <c r="B139" s="2" t="s">
        <v>977</v>
      </c>
      <c r="C139" s="2">
        <v>3.12</v>
      </c>
      <c r="D139" s="2">
        <v>1.7064999999999999</v>
      </c>
      <c r="E139" s="2" t="s">
        <v>44</v>
      </c>
      <c r="F139" s="2" t="str">
        <f>VLOOKUP(B139,MSCI中国成分股!A:B,1,)</f>
        <v>600062</v>
      </c>
    </row>
    <row r="140" spans="1:6" ht="20.25" customHeight="1" x14ac:dyDescent="0.15">
      <c r="A140" s="2" t="s">
        <v>455</v>
      </c>
      <c r="B140" s="2" t="s">
        <v>456</v>
      </c>
      <c r="C140" s="2">
        <v>3.11</v>
      </c>
      <c r="D140" s="2">
        <v>0.95469999999999999</v>
      </c>
      <c r="E140" s="2" t="s">
        <v>286</v>
      </c>
      <c r="F140" s="2" t="str">
        <f>VLOOKUP(B140,MSCI中国成分股!A:B,1,)</f>
        <v>002916</v>
      </c>
    </row>
    <row r="141" spans="1:6" ht="20.25" customHeight="1" x14ac:dyDescent="0.15">
      <c r="A141" s="2" t="s">
        <v>795</v>
      </c>
      <c r="B141" s="2" t="s">
        <v>796</v>
      </c>
      <c r="C141" s="2">
        <v>3.1</v>
      </c>
      <c r="D141" s="2">
        <v>3.6114000000000002</v>
      </c>
      <c r="E141" s="2" t="s">
        <v>231</v>
      </c>
      <c r="F141" s="2" t="str">
        <f>VLOOKUP(B141,MSCI中国成分股!A:B,1,)</f>
        <v>002007</v>
      </c>
    </row>
    <row r="142" spans="1:6" ht="20.25" customHeight="1" x14ac:dyDescent="0.15">
      <c r="A142" s="2" t="s">
        <v>19</v>
      </c>
      <c r="B142" s="2" t="s">
        <v>20</v>
      </c>
      <c r="C142" s="2">
        <v>3.09</v>
      </c>
      <c r="D142" s="2">
        <v>0.76719999999999999</v>
      </c>
      <c r="E142" s="2" t="s">
        <v>21</v>
      </c>
      <c r="F142" s="2" t="str">
        <f>VLOOKUP(B142,MSCI中国成分股!A:B,1,)</f>
        <v>601088</v>
      </c>
    </row>
    <row r="143" spans="1:6" ht="20.25" customHeight="1" x14ac:dyDescent="0.15">
      <c r="A143" s="2" t="s">
        <v>58</v>
      </c>
      <c r="B143" s="2" t="s">
        <v>59</v>
      </c>
      <c r="C143" s="2">
        <v>3.08</v>
      </c>
      <c r="D143" s="2">
        <v>0.73919999999999997</v>
      </c>
      <c r="E143" s="2" t="s">
        <v>60</v>
      </c>
      <c r="F143" s="2" t="str">
        <f>VLOOKUP(B143,MSCI中国成分股!A:B,1,)</f>
        <v>600690</v>
      </c>
    </row>
    <row r="144" spans="1:6" ht="20.25" customHeight="1" x14ac:dyDescent="0.15">
      <c r="A144" s="2" t="s">
        <v>836</v>
      </c>
      <c r="B144" s="2" t="s">
        <v>837</v>
      </c>
      <c r="C144" s="2">
        <v>3.08</v>
      </c>
      <c r="D144" s="2">
        <v>8.0596999999999994</v>
      </c>
      <c r="E144" s="2" t="s">
        <v>140</v>
      </c>
      <c r="F144" s="2" t="str">
        <f>VLOOKUP(B144,MSCI中国成分股!A:B,1,)</f>
        <v>002603</v>
      </c>
    </row>
    <row r="145" spans="1:6" ht="20.25" customHeight="1" x14ac:dyDescent="0.15">
      <c r="A145" s="2" t="s">
        <v>942</v>
      </c>
      <c r="B145" s="2" t="s">
        <v>943</v>
      </c>
      <c r="C145" s="2">
        <v>3.08</v>
      </c>
      <c r="D145" s="2">
        <v>6.8832000000000004</v>
      </c>
      <c r="E145" s="2" t="s">
        <v>214</v>
      </c>
      <c r="F145" s="2" t="str">
        <f>VLOOKUP(B145,MSCI中国成分股!A:B,1,)</f>
        <v>002841</v>
      </c>
    </row>
    <row r="146" spans="1:6" ht="20.25" customHeight="1" x14ac:dyDescent="0.15">
      <c r="A146" s="2" t="s">
        <v>45</v>
      </c>
      <c r="B146" s="2" t="s">
        <v>46</v>
      </c>
      <c r="C146" s="2">
        <v>3.07</v>
      </c>
      <c r="D146" s="2">
        <v>2.2627999999999999</v>
      </c>
      <c r="E146" s="2" t="s">
        <v>35</v>
      </c>
      <c r="F146" s="2" t="str">
        <f>VLOOKUP(B146,MSCI中国成分股!A:B,1,)</f>
        <v>002475</v>
      </c>
    </row>
    <row r="147" spans="1:6" ht="20.25" customHeight="1" x14ac:dyDescent="0.15">
      <c r="A147" s="2" t="s">
        <v>1024</v>
      </c>
      <c r="B147" s="2" t="s">
        <v>1025</v>
      </c>
      <c r="C147" s="2">
        <v>3.07</v>
      </c>
      <c r="D147" s="2">
        <v>0.43319999999999997</v>
      </c>
      <c r="E147" s="2" t="s">
        <v>265</v>
      </c>
      <c r="F147" s="2" t="str">
        <f>VLOOKUP(B147,MSCI中国成分股!A:B,1,)</f>
        <v>002025</v>
      </c>
    </row>
    <row r="148" spans="1:6" ht="20.25" customHeight="1" x14ac:dyDescent="0.15">
      <c r="A148" s="2" t="s">
        <v>1137</v>
      </c>
      <c r="B148" s="2" t="s">
        <v>1138</v>
      </c>
      <c r="C148" s="2">
        <v>3.07</v>
      </c>
      <c r="D148" s="2">
        <v>5.8894000000000002</v>
      </c>
      <c r="E148" s="2" t="s">
        <v>1139</v>
      </c>
      <c r="F148" s="2" t="str">
        <f>VLOOKUP(B148,MSCI中国成分股!A:B,1,)</f>
        <v>600486</v>
      </c>
    </row>
    <row r="149" spans="1:6" ht="20.25" customHeight="1" x14ac:dyDescent="0.15">
      <c r="A149" s="2" t="s">
        <v>547</v>
      </c>
      <c r="B149" s="2" t="s">
        <v>548</v>
      </c>
      <c r="C149" s="2">
        <v>3.03</v>
      </c>
      <c r="D149" s="2">
        <v>2.6398000000000001</v>
      </c>
      <c r="E149" s="2" t="s">
        <v>207</v>
      </c>
      <c r="F149" s="2" t="str">
        <f>VLOOKUP(B149,MSCI中国成分股!A:B,1,)</f>
        <v>000807</v>
      </c>
    </row>
    <row r="150" spans="1:6" ht="20.25" customHeight="1" x14ac:dyDescent="0.15">
      <c r="A150" s="2" t="s">
        <v>11</v>
      </c>
      <c r="B150" s="2" t="s">
        <v>12</v>
      </c>
      <c r="C150" s="2">
        <v>3.01</v>
      </c>
      <c r="D150" s="2">
        <v>1.5585</v>
      </c>
      <c r="E150" s="2" t="s">
        <v>13</v>
      </c>
      <c r="F150" s="2" t="str">
        <f>VLOOKUP(B150,MSCI中国成分股!A:B,1,)</f>
        <v>300750</v>
      </c>
    </row>
    <row r="151" spans="1:6" ht="20.25" customHeight="1" x14ac:dyDescent="0.15">
      <c r="A151" s="2" t="s">
        <v>673</v>
      </c>
      <c r="B151" s="2" t="s">
        <v>674</v>
      </c>
      <c r="C151" s="2">
        <v>3.01</v>
      </c>
      <c r="D151" s="2">
        <v>2.5779000000000001</v>
      </c>
      <c r="E151" s="2" t="s">
        <v>359</v>
      </c>
      <c r="F151" s="2" t="str">
        <f>VLOOKUP(B151,MSCI中国成分股!A:B,1,)</f>
        <v>300765</v>
      </c>
    </row>
    <row r="152" spans="1:6" ht="20.25" customHeight="1" x14ac:dyDescent="0.15">
      <c r="A152" s="2" t="s">
        <v>730</v>
      </c>
      <c r="B152" s="2" t="s">
        <v>731</v>
      </c>
      <c r="C152" s="2">
        <v>2.99</v>
      </c>
      <c r="D152" s="2">
        <v>0.54079999999999995</v>
      </c>
      <c r="E152" s="2" t="s">
        <v>44</v>
      </c>
      <c r="F152" s="2" t="str">
        <f>VLOOKUP(B152,MSCI中国成分股!A:B,1,)</f>
        <v>000513</v>
      </c>
    </row>
    <row r="153" spans="1:6" ht="20.25" customHeight="1" x14ac:dyDescent="0.15">
      <c r="A153" s="2" t="s">
        <v>1035</v>
      </c>
      <c r="B153" s="2" t="s">
        <v>1036</v>
      </c>
      <c r="C153" s="2">
        <v>2.97</v>
      </c>
      <c r="D153" s="2">
        <v>5.0675999999999997</v>
      </c>
      <c r="E153" s="2" t="s">
        <v>185</v>
      </c>
      <c r="F153" s="2" t="str">
        <f>VLOOKUP(B153,MSCI中国成分股!A:B,1,)</f>
        <v>603893</v>
      </c>
    </row>
    <row r="154" spans="1:6" ht="20.25" customHeight="1" x14ac:dyDescent="0.15">
      <c r="A154" s="2" t="s">
        <v>891</v>
      </c>
      <c r="B154" s="2" t="s">
        <v>892</v>
      </c>
      <c r="C154" s="2">
        <v>2.96</v>
      </c>
      <c r="D154" s="2">
        <v>0.9143</v>
      </c>
      <c r="E154" s="2" t="s">
        <v>418</v>
      </c>
      <c r="F154" s="2" t="str">
        <f>VLOOKUP(B154,MSCI中国成分股!A:B,1,)</f>
        <v>600970</v>
      </c>
    </row>
    <row r="155" spans="1:6" ht="20.25" customHeight="1" x14ac:dyDescent="0.15">
      <c r="A155" s="2" t="s">
        <v>966</v>
      </c>
      <c r="B155" s="2" t="s">
        <v>967</v>
      </c>
      <c r="C155" s="2">
        <v>2.96</v>
      </c>
      <c r="D155" s="2">
        <v>5.6121999999999996</v>
      </c>
      <c r="E155" s="2" t="s">
        <v>21</v>
      </c>
      <c r="F155" s="2" t="str">
        <f>VLOOKUP(B155,MSCI中国成分股!A:B,1,)</f>
        <v>601001</v>
      </c>
    </row>
    <row r="156" spans="1:6" ht="20.25" customHeight="1" x14ac:dyDescent="0.15">
      <c r="A156" s="2" t="s">
        <v>1039</v>
      </c>
      <c r="B156" s="2" t="s">
        <v>1040</v>
      </c>
      <c r="C156" s="2">
        <v>2.96</v>
      </c>
      <c r="D156" s="2">
        <v>0.60870000000000002</v>
      </c>
      <c r="E156" s="2" t="s">
        <v>1041</v>
      </c>
      <c r="F156" s="2" t="str">
        <f>VLOOKUP(B156,MSCI中国成分股!A:B,1,)</f>
        <v>603345</v>
      </c>
    </row>
    <row r="157" spans="1:6" ht="20.25" customHeight="1" x14ac:dyDescent="0.15">
      <c r="A157" s="2" t="s">
        <v>104</v>
      </c>
      <c r="B157" s="2" t="s">
        <v>105</v>
      </c>
      <c r="C157" s="2">
        <v>2.95</v>
      </c>
      <c r="D157" s="2">
        <v>1.6884999999999999</v>
      </c>
      <c r="E157" s="2" t="s">
        <v>106</v>
      </c>
      <c r="F157" s="2" t="str">
        <f>VLOOKUP(B157,MSCI中国成分股!A:B,1,)</f>
        <v>002371</v>
      </c>
    </row>
    <row r="158" spans="1:6" ht="20.25" customHeight="1" x14ac:dyDescent="0.15">
      <c r="A158" s="2" t="s">
        <v>1001</v>
      </c>
      <c r="B158" s="2" t="s">
        <v>1002</v>
      </c>
      <c r="C158" s="2">
        <v>2.95</v>
      </c>
      <c r="D158" s="2">
        <v>7.0490000000000004</v>
      </c>
      <c r="E158" s="2" t="s">
        <v>185</v>
      </c>
      <c r="F158" s="2" t="str">
        <f>VLOOKUP(B158,MSCI中国成分股!A:B,1,)</f>
        <v>688099</v>
      </c>
    </row>
    <row r="159" spans="1:6" ht="20.25" customHeight="1" x14ac:dyDescent="0.15">
      <c r="A159" s="2" t="s">
        <v>693</v>
      </c>
      <c r="B159" s="2" t="s">
        <v>694</v>
      </c>
      <c r="C159" s="2">
        <v>2.93</v>
      </c>
      <c r="D159" s="2">
        <v>42.338099999999997</v>
      </c>
      <c r="E159" s="2" t="s">
        <v>371</v>
      </c>
      <c r="F159" s="2" t="str">
        <f>VLOOKUP(B159,MSCI中国成分股!A:B,1,)</f>
        <v>600570</v>
      </c>
    </row>
    <row r="160" spans="1:6" ht="20.25" customHeight="1" x14ac:dyDescent="0.15">
      <c r="A160" s="2" t="s">
        <v>722</v>
      </c>
      <c r="B160" s="2" t="s">
        <v>723</v>
      </c>
      <c r="C160" s="2">
        <v>2.91</v>
      </c>
      <c r="D160" s="2">
        <v>3.9156</v>
      </c>
      <c r="E160" s="2" t="s">
        <v>724</v>
      </c>
      <c r="F160" s="2" t="str">
        <f>VLOOKUP(B160,MSCI中国成分股!A:B,1,)</f>
        <v>601216</v>
      </c>
    </row>
    <row r="161" spans="1:6" ht="20.25" customHeight="1" x14ac:dyDescent="0.15">
      <c r="A161" s="2" t="s">
        <v>381</v>
      </c>
      <c r="B161" s="2" t="s">
        <v>382</v>
      </c>
      <c r="C161" s="2">
        <v>2.89</v>
      </c>
      <c r="D161" s="2">
        <v>0.8145</v>
      </c>
      <c r="E161" s="2" t="s">
        <v>89</v>
      </c>
      <c r="F161" s="2" t="str">
        <f>VLOOKUP(B161,MSCI中国成分股!A:B,1,)</f>
        <v>600233</v>
      </c>
    </row>
    <row r="162" spans="1:6" ht="20.25" customHeight="1" x14ac:dyDescent="0.15">
      <c r="A162" s="2" t="s">
        <v>496</v>
      </c>
      <c r="B162" s="2" t="s">
        <v>497</v>
      </c>
      <c r="C162" s="2">
        <v>2.89</v>
      </c>
      <c r="D162" s="2">
        <v>7.7375999999999996</v>
      </c>
      <c r="E162" s="2" t="s">
        <v>498</v>
      </c>
      <c r="F162" s="2" t="str">
        <f>VLOOKUP(B162,MSCI中国成分股!A:B,1,)</f>
        <v>600426</v>
      </c>
    </row>
    <row r="163" spans="1:6" ht="20.25" customHeight="1" x14ac:dyDescent="0.15">
      <c r="A163" s="2" t="s">
        <v>987</v>
      </c>
      <c r="B163" s="2" t="s">
        <v>988</v>
      </c>
      <c r="C163" s="2">
        <v>2.88</v>
      </c>
      <c r="D163" s="2">
        <v>0.61370000000000002</v>
      </c>
      <c r="E163" s="2" t="s">
        <v>13</v>
      </c>
      <c r="F163" s="2" t="str">
        <f>VLOOKUP(B163,MSCI中国成分股!A:B,1,)</f>
        <v>002850</v>
      </c>
    </row>
    <row r="164" spans="1:6" ht="20.25" customHeight="1" x14ac:dyDescent="0.15">
      <c r="A164" s="2" t="s">
        <v>755</v>
      </c>
      <c r="B164" s="2" t="s">
        <v>756</v>
      </c>
      <c r="C164" s="2">
        <v>2.87</v>
      </c>
      <c r="D164" s="2">
        <v>1.0345</v>
      </c>
      <c r="E164" s="2" t="s">
        <v>71</v>
      </c>
      <c r="F164" s="2" t="str">
        <f>VLOOKUP(B164,MSCI中国成分股!A:B,1,)</f>
        <v>600298</v>
      </c>
    </row>
    <row r="165" spans="1:6" ht="20.25" customHeight="1" x14ac:dyDescent="0.15">
      <c r="A165" s="2" t="s">
        <v>492</v>
      </c>
      <c r="B165" s="2" t="s">
        <v>493</v>
      </c>
      <c r="C165" s="2">
        <v>2.83</v>
      </c>
      <c r="D165" s="2">
        <v>0.39269999999999999</v>
      </c>
      <c r="E165" s="2" t="s">
        <v>193</v>
      </c>
      <c r="F165" s="2" t="str">
        <f>VLOOKUP(B165,MSCI中国成分股!A:B,1,)</f>
        <v>000975</v>
      </c>
    </row>
    <row r="166" spans="1:6" ht="20.25" customHeight="1" x14ac:dyDescent="0.15">
      <c r="A166" s="2" t="s">
        <v>650</v>
      </c>
      <c r="B166" s="2" t="s">
        <v>651</v>
      </c>
      <c r="C166" s="2">
        <v>2.83</v>
      </c>
      <c r="D166" s="2">
        <v>13.4384</v>
      </c>
      <c r="E166" s="2" t="s">
        <v>652</v>
      </c>
      <c r="F166" s="2" t="str">
        <f>VLOOKUP(B166,MSCI中国成分股!A:B,1,)</f>
        <v>002064</v>
      </c>
    </row>
    <row r="167" spans="1:6" ht="20.25" hidden="1" customHeight="1" x14ac:dyDescent="0.15">
      <c r="A167" s="2" t="s">
        <v>428</v>
      </c>
      <c r="B167" s="2" t="s">
        <v>429</v>
      </c>
      <c r="C167" s="2">
        <v>0.96</v>
      </c>
      <c r="D167" s="2">
        <v>0.56950000000000001</v>
      </c>
      <c r="E167" s="2" t="s">
        <v>430</v>
      </c>
      <c r="F167" s="2" t="e">
        <f>VLOOKUP(B167,MSCI中国成分股!A:B,1,)</f>
        <v>#N/A</v>
      </c>
    </row>
    <row r="168" spans="1:6" ht="20.25" customHeight="1" x14ac:dyDescent="0.15">
      <c r="A168" s="2" t="s">
        <v>352</v>
      </c>
      <c r="B168" s="2" t="s">
        <v>353</v>
      </c>
      <c r="C168" s="2">
        <v>2.82</v>
      </c>
      <c r="D168" s="2">
        <v>1.2572000000000001</v>
      </c>
      <c r="E168" s="2" t="s">
        <v>185</v>
      </c>
      <c r="F168" s="2" t="str">
        <f>VLOOKUP(B168,MSCI中国成分股!A:B,1,)</f>
        <v>688008</v>
      </c>
    </row>
    <row r="169" spans="1:6" ht="20.25" customHeight="1" x14ac:dyDescent="0.15">
      <c r="A169" s="2" t="s">
        <v>474</v>
      </c>
      <c r="B169" s="2" t="s">
        <v>475</v>
      </c>
      <c r="C169" s="2">
        <v>2.81</v>
      </c>
      <c r="D169" s="2">
        <v>0.28210000000000002</v>
      </c>
      <c r="E169" s="2" t="s">
        <v>476</v>
      </c>
      <c r="F169" s="2" t="str">
        <f>VLOOKUP(B169,MSCI中国成分股!A:B,1,)</f>
        <v>600161</v>
      </c>
    </row>
    <row r="170" spans="1:6" ht="20.25" customHeight="1" x14ac:dyDescent="0.15">
      <c r="A170" s="2" t="s">
        <v>515</v>
      </c>
      <c r="B170" s="2" t="s">
        <v>516</v>
      </c>
      <c r="C170" s="2">
        <v>2.8</v>
      </c>
      <c r="D170" s="2">
        <v>1.4936</v>
      </c>
      <c r="E170" s="2" t="s">
        <v>286</v>
      </c>
      <c r="F170" s="2" t="str">
        <f>VLOOKUP(B170,MSCI中国成分股!A:B,1,)</f>
        <v>600183</v>
      </c>
    </row>
    <row r="171" spans="1:6" ht="20.25" hidden="1" customHeight="1" x14ac:dyDescent="0.15">
      <c r="A171" s="2" t="s">
        <v>438</v>
      </c>
      <c r="B171" s="2" t="s">
        <v>439</v>
      </c>
      <c r="C171" s="2">
        <v>2.9</v>
      </c>
      <c r="D171" s="2">
        <v>5.0700000000000002E-2</v>
      </c>
      <c r="E171" s="2" t="s">
        <v>134</v>
      </c>
      <c r="F171" s="2" t="e">
        <f>VLOOKUP(B171,MSCI中国成分股!A:B,1,)</f>
        <v>#N/A</v>
      </c>
    </row>
    <row r="172" spans="1:6" ht="20.25" customHeight="1" x14ac:dyDescent="0.15">
      <c r="A172" s="2" t="s">
        <v>631</v>
      </c>
      <c r="B172" s="2" t="s">
        <v>632</v>
      </c>
      <c r="C172" s="2">
        <v>2.8</v>
      </c>
      <c r="D172" s="2">
        <v>59.499200000000002</v>
      </c>
      <c r="E172" s="2" t="s">
        <v>633</v>
      </c>
      <c r="F172" s="2" t="str">
        <f>VLOOKUP(B172,MSCI中国成分股!A:B,1,)</f>
        <v>300418</v>
      </c>
    </row>
    <row r="173" spans="1:6" ht="20.25" hidden="1" customHeight="1" x14ac:dyDescent="0.15">
      <c r="A173" s="2" t="s">
        <v>442</v>
      </c>
      <c r="B173" s="2" t="s">
        <v>443</v>
      </c>
      <c r="C173" s="2">
        <v>0.99</v>
      </c>
      <c r="D173" s="2">
        <v>0.92190000000000005</v>
      </c>
      <c r="E173" s="2" t="s">
        <v>24</v>
      </c>
      <c r="F173" s="2" t="e">
        <f>VLOOKUP(B173,MSCI中国成分股!A:B,1,)</f>
        <v>#N/A</v>
      </c>
    </row>
    <row r="174" spans="1:6" ht="20.25" customHeight="1" x14ac:dyDescent="0.15">
      <c r="A174" s="2" t="s">
        <v>357</v>
      </c>
      <c r="B174" s="2" t="s">
        <v>358</v>
      </c>
      <c r="C174" s="2">
        <v>2.78</v>
      </c>
      <c r="D174" s="2">
        <v>0.90229999999999999</v>
      </c>
      <c r="E174" s="2" t="s">
        <v>359</v>
      </c>
      <c r="F174" s="2" t="str">
        <f>VLOOKUP(B174,MSCI中国成分股!A:B,1,)</f>
        <v>002001</v>
      </c>
    </row>
    <row r="175" spans="1:6" ht="20.25" customHeight="1" x14ac:dyDescent="0.15">
      <c r="A175" s="2" t="s">
        <v>284</v>
      </c>
      <c r="B175" s="2" t="s">
        <v>285</v>
      </c>
      <c r="C175" s="2">
        <v>2.76</v>
      </c>
      <c r="D175" s="2">
        <v>3.8491</v>
      </c>
      <c r="E175" s="2" t="s">
        <v>286</v>
      </c>
      <c r="F175" s="2" t="str">
        <f>VLOOKUP(B175,MSCI中国成分股!A:B,1,)</f>
        <v>002938</v>
      </c>
    </row>
    <row r="176" spans="1:6" ht="20.25" customHeight="1" x14ac:dyDescent="0.15">
      <c r="A176" s="2" t="s">
        <v>488</v>
      </c>
      <c r="B176" s="2" t="s">
        <v>489</v>
      </c>
      <c r="C176" s="2">
        <v>2.76</v>
      </c>
      <c r="D176" s="2">
        <v>4.5119999999999996</v>
      </c>
      <c r="E176" s="2" t="s">
        <v>185</v>
      </c>
      <c r="F176" s="2" t="str">
        <f>VLOOKUP(B176,MSCI中国成分股!A:B,1,)</f>
        <v>603986</v>
      </c>
    </row>
    <row r="177" spans="1:6" ht="20.25" customHeight="1" x14ac:dyDescent="0.15">
      <c r="A177" s="2" t="s">
        <v>594</v>
      </c>
      <c r="B177" s="2" t="s">
        <v>595</v>
      </c>
      <c r="C177" s="2">
        <v>2.75</v>
      </c>
      <c r="D177" s="2">
        <v>2.9220999999999999</v>
      </c>
      <c r="E177" s="2" t="s">
        <v>596</v>
      </c>
      <c r="F177" s="2" t="str">
        <f>VLOOKUP(B177,MSCI中国成分股!A:B,1,)</f>
        <v>600176</v>
      </c>
    </row>
    <row r="178" spans="1:6" ht="20.25" customHeight="1" x14ac:dyDescent="0.15">
      <c r="A178" s="2" t="s">
        <v>608</v>
      </c>
      <c r="B178" s="2" t="s">
        <v>609</v>
      </c>
      <c r="C178" s="2">
        <v>2.74</v>
      </c>
      <c r="D178" s="2">
        <v>0.46179999999999999</v>
      </c>
      <c r="E178" s="2" t="s">
        <v>21</v>
      </c>
      <c r="F178" s="2" t="str">
        <f>VLOOKUP(B178,MSCI中国成分股!A:B,1,)</f>
        <v>600985</v>
      </c>
    </row>
    <row r="179" spans="1:6" ht="20.25" customHeight="1" x14ac:dyDescent="0.15">
      <c r="A179" s="2" t="s">
        <v>856</v>
      </c>
      <c r="B179" s="2" t="s">
        <v>857</v>
      </c>
      <c r="C179" s="2">
        <v>2.74</v>
      </c>
      <c r="D179" s="2">
        <v>0.81740000000000002</v>
      </c>
      <c r="E179" s="2" t="s">
        <v>483</v>
      </c>
      <c r="F179" s="2" t="str">
        <f>VLOOKUP(B179,MSCI中国成分股!A:B,1,)</f>
        <v>002984</v>
      </c>
    </row>
    <row r="180" spans="1:6" ht="20.25" customHeight="1" x14ac:dyDescent="0.15">
      <c r="A180" s="2" t="s">
        <v>536</v>
      </c>
      <c r="B180" s="2" t="s">
        <v>537</v>
      </c>
      <c r="C180" s="2">
        <v>2.73</v>
      </c>
      <c r="D180" s="2">
        <v>6.4958</v>
      </c>
      <c r="E180" s="2" t="s">
        <v>176</v>
      </c>
      <c r="F180" s="2" t="str">
        <f>VLOOKUP(B180,MSCI中国成分股!A:B,1,)</f>
        <v>300347</v>
      </c>
    </row>
    <row r="181" spans="1:6" ht="20.25" customHeight="1" x14ac:dyDescent="0.15">
      <c r="A181" s="2" t="s">
        <v>761</v>
      </c>
      <c r="B181" s="2" t="s">
        <v>762</v>
      </c>
      <c r="C181" s="2">
        <v>2.73</v>
      </c>
      <c r="D181" s="2">
        <v>3.2858000000000001</v>
      </c>
      <c r="E181" s="2" t="s">
        <v>193</v>
      </c>
      <c r="F181" s="2" t="str">
        <f>VLOOKUP(B181,MSCI中国成分股!A:B,1,)</f>
        <v>600988</v>
      </c>
    </row>
    <row r="182" spans="1:6" ht="20.25" customHeight="1" x14ac:dyDescent="0.15">
      <c r="A182" s="2" t="s">
        <v>559</v>
      </c>
      <c r="B182" s="2" t="s">
        <v>560</v>
      </c>
      <c r="C182" s="2">
        <v>2.72</v>
      </c>
      <c r="D182" s="2">
        <v>1.7742</v>
      </c>
      <c r="E182" s="2" t="s">
        <v>561</v>
      </c>
      <c r="F182" s="2" t="str">
        <f>VLOOKUP(B182,MSCI中国成分股!A:B,1,)</f>
        <v>002601</v>
      </c>
    </row>
    <row r="183" spans="1:6" ht="20.25" customHeight="1" x14ac:dyDescent="0.15">
      <c r="A183" s="2" t="s">
        <v>1191</v>
      </c>
      <c r="B183" s="2" t="s">
        <v>1192</v>
      </c>
      <c r="C183" s="2">
        <v>2.71</v>
      </c>
      <c r="D183" s="2">
        <v>1.3275999999999999</v>
      </c>
      <c r="E183" s="2" t="s">
        <v>784</v>
      </c>
      <c r="F183" s="2" t="str">
        <f>VLOOKUP(B183,MSCI中国成分股!A:B,1,)</f>
        <v>601717</v>
      </c>
    </row>
    <row r="184" spans="1:6" ht="20.25" customHeight="1" x14ac:dyDescent="0.15">
      <c r="A184" s="2" t="s">
        <v>739</v>
      </c>
      <c r="B184" s="2" t="s">
        <v>740</v>
      </c>
      <c r="C184" s="2">
        <v>2.69</v>
      </c>
      <c r="D184" s="2">
        <v>2.4628000000000001</v>
      </c>
      <c r="E184" s="2" t="s">
        <v>741</v>
      </c>
      <c r="F184" s="2" t="str">
        <f>VLOOKUP(B184,MSCI中国成分股!A:B,1,)</f>
        <v>601928</v>
      </c>
    </row>
    <row r="185" spans="1:6" ht="20.25" customHeight="1" x14ac:dyDescent="0.15">
      <c r="A185" s="2" t="s">
        <v>850</v>
      </c>
      <c r="B185" s="2" t="s">
        <v>851</v>
      </c>
      <c r="C185" s="2">
        <v>2.69</v>
      </c>
      <c r="D185" s="2">
        <v>2.9053</v>
      </c>
      <c r="E185" s="2" t="s">
        <v>747</v>
      </c>
      <c r="F185" s="2" t="str">
        <f>VLOOKUP(B185,MSCI中国成分股!A:B,1,)</f>
        <v>300037</v>
      </c>
    </row>
    <row r="186" spans="1:6" ht="20.25" hidden="1" customHeight="1" x14ac:dyDescent="0.15">
      <c r="A186" s="2" t="s">
        <v>472</v>
      </c>
      <c r="B186" s="2" t="s">
        <v>473</v>
      </c>
      <c r="C186" s="2">
        <v>2.4300000000000002</v>
      </c>
      <c r="D186" s="2">
        <v>1.1614</v>
      </c>
      <c r="E186" s="2" t="s">
        <v>95</v>
      </c>
      <c r="F186" s="2" t="e">
        <f>VLOOKUP(B186,MSCI中国成分股!A:B,1,)</f>
        <v>#N/A</v>
      </c>
    </row>
    <row r="187" spans="1:6" ht="20.25" customHeight="1" x14ac:dyDescent="0.15">
      <c r="A187" s="2" t="s">
        <v>728</v>
      </c>
      <c r="B187" s="2" t="s">
        <v>729</v>
      </c>
      <c r="C187" s="2">
        <v>2.68</v>
      </c>
      <c r="D187" s="2">
        <v>5.2530000000000001</v>
      </c>
      <c r="E187" s="2" t="s">
        <v>207</v>
      </c>
      <c r="F187" s="2" t="str">
        <f>VLOOKUP(B187,MSCI中国成分股!A:B,1,)</f>
        <v>000933</v>
      </c>
    </row>
    <row r="188" spans="1:6" ht="20.25" hidden="1" customHeight="1" x14ac:dyDescent="0.15">
      <c r="A188" s="2" t="s">
        <v>477</v>
      </c>
      <c r="B188" s="2" t="s">
        <v>478</v>
      </c>
      <c r="C188" s="2">
        <v>0.78</v>
      </c>
      <c r="D188" s="2">
        <v>9.5699999999999993E-2</v>
      </c>
      <c r="E188" s="2" t="s">
        <v>134</v>
      </c>
      <c r="F188" s="2" t="e">
        <f>VLOOKUP(B188,MSCI中国成分股!A:B,1,)</f>
        <v>#N/A</v>
      </c>
    </row>
    <row r="189" spans="1:6" ht="20.25" customHeight="1" x14ac:dyDescent="0.15">
      <c r="A189" s="2" t="s">
        <v>597</v>
      </c>
      <c r="B189" s="2" t="s">
        <v>598</v>
      </c>
      <c r="C189" s="2">
        <v>2.67</v>
      </c>
      <c r="D189" s="2">
        <v>3.0670000000000002</v>
      </c>
      <c r="E189" s="2" t="s">
        <v>574</v>
      </c>
      <c r="F189" s="2" t="str">
        <f>VLOOKUP(B189,MSCI中国成分股!A:B,1,)</f>
        <v>601865</v>
      </c>
    </row>
    <row r="190" spans="1:6" ht="20.25" customHeight="1" x14ac:dyDescent="0.15">
      <c r="A190" s="2" t="s">
        <v>1393</v>
      </c>
      <c r="B190" s="2" t="s">
        <v>1394</v>
      </c>
      <c r="C190" s="2">
        <v>2.67</v>
      </c>
      <c r="D190" s="2">
        <v>1.7949999999999999</v>
      </c>
      <c r="E190" s="2" t="s">
        <v>299</v>
      </c>
      <c r="F190" s="2" t="str">
        <f>VLOOKUP(B190,MSCI中国成分股!A:B,1,)</f>
        <v>300496</v>
      </c>
    </row>
    <row r="191" spans="1:6" ht="20.25" customHeight="1" x14ac:dyDescent="0.15">
      <c r="A191" s="2" t="s">
        <v>360</v>
      </c>
      <c r="B191" s="2" t="s">
        <v>361</v>
      </c>
      <c r="C191" s="2">
        <v>2.65</v>
      </c>
      <c r="D191" s="2">
        <v>1.6740999999999999</v>
      </c>
      <c r="E191" s="2" t="s">
        <v>362</v>
      </c>
      <c r="F191" s="2" t="str">
        <f>VLOOKUP(B191,MSCI中国成分股!A:B,1,)</f>
        <v>300408</v>
      </c>
    </row>
    <row r="192" spans="1:6" ht="20.25" customHeight="1" x14ac:dyDescent="0.15">
      <c r="A192" s="2" t="s">
        <v>332</v>
      </c>
      <c r="B192" s="2" t="s">
        <v>333</v>
      </c>
      <c r="C192" s="2">
        <v>2.63</v>
      </c>
      <c r="D192" s="2">
        <v>0.33650000000000002</v>
      </c>
      <c r="E192" s="2" t="s">
        <v>201</v>
      </c>
      <c r="F192" s="2" t="str">
        <f>VLOOKUP(B192,MSCI中国成分股!A:B,1,)</f>
        <v>601689</v>
      </c>
    </row>
    <row r="193" spans="1:6" ht="20.25" customHeight="1" x14ac:dyDescent="0.15">
      <c r="A193" s="2" t="s">
        <v>959</v>
      </c>
      <c r="B193" s="2" t="s">
        <v>960</v>
      </c>
      <c r="C193" s="2">
        <v>2.63</v>
      </c>
      <c r="D193" s="2">
        <v>0.23760000000000001</v>
      </c>
      <c r="E193" s="2" t="s">
        <v>961</v>
      </c>
      <c r="F193" s="2" t="str">
        <f>VLOOKUP(B193,MSCI中国成分股!A:B,1,)</f>
        <v>603939</v>
      </c>
    </row>
    <row r="194" spans="1:6" ht="20.25" customHeight="1" x14ac:dyDescent="0.15">
      <c r="A194" s="2" t="s">
        <v>141</v>
      </c>
      <c r="B194" s="2" t="s">
        <v>142</v>
      </c>
      <c r="C194" s="2">
        <v>2.61</v>
      </c>
      <c r="D194" s="2">
        <v>0.77229999999999999</v>
      </c>
      <c r="E194" s="2" t="s">
        <v>143</v>
      </c>
      <c r="F194" s="2" t="str">
        <f>VLOOKUP(B194,MSCI中国成分股!A:B,1,)</f>
        <v>600660</v>
      </c>
    </row>
    <row r="195" spans="1:6" ht="20.25" customHeight="1" x14ac:dyDescent="0.15">
      <c r="A195" s="2" t="s">
        <v>208</v>
      </c>
      <c r="B195" s="2" t="s">
        <v>209</v>
      </c>
      <c r="C195" s="2">
        <v>2.58</v>
      </c>
      <c r="D195" s="2">
        <v>1.2202999999999999</v>
      </c>
      <c r="E195" s="2" t="s">
        <v>140</v>
      </c>
      <c r="F195" s="2" t="str">
        <f>VLOOKUP(B195,MSCI中国成分股!A:B,1,)</f>
        <v>000538</v>
      </c>
    </row>
    <row r="196" spans="1:6" ht="20.25" customHeight="1" x14ac:dyDescent="0.15">
      <c r="A196" s="2" t="s">
        <v>774</v>
      </c>
      <c r="B196" s="2" t="s">
        <v>775</v>
      </c>
      <c r="C196" s="2">
        <v>2.57</v>
      </c>
      <c r="D196" s="2">
        <v>0.31119999999999998</v>
      </c>
      <c r="E196" s="2" t="s">
        <v>134</v>
      </c>
      <c r="F196" s="2" t="str">
        <f>VLOOKUP(B196,MSCI中国成分股!A:B,1,)</f>
        <v>601000</v>
      </c>
    </row>
    <row r="197" spans="1:6" ht="20.25" customHeight="1" x14ac:dyDescent="0.15">
      <c r="A197" s="2" t="s">
        <v>634</v>
      </c>
      <c r="B197" s="2" t="s">
        <v>635</v>
      </c>
      <c r="C197" s="2">
        <v>2.56</v>
      </c>
      <c r="D197" s="2">
        <v>1.206</v>
      </c>
      <c r="E197" s="2" t="s">
        <v>21</v>
      </c>
      <c r="F197" s="2" t="str">
        <f>VLOOKUP(B197,MSCI中国成分股!A:B,1,)</f>
        <v>002128</v>
      </c>
    </row>
    <row r="198" spans="1:6" ht="20.25" customHeight="1" x14ac:dyDescent="0.15">
      <c r="A198" s="2" t="s">
        <v>172</v>
      </c>
      <c r="B198" s="2" t="s">
        <v>173</v>
      </c>
      <c r="C198" s="2">
        <v>2.54</v>
      </c>
      <c r="D198" s="2">
        <v>2.0981999999999998</v>
      </c>
      <c r="E198" s="2" t="s">
        <v>21</v>
      </c>
      <c r="F198" s="2" t="str">
        <f>VLOOKUP(B198,MSCI中国成分股!A:B,1,)</f>
        <v>600188</v>
      </c>
    </row>
    <row r="199" spans="1:6" ht="20.25" hidden="1" customHeight="1" x14ac:dyDescent="0.15">
      <c r="A199" s="2" t="s">
        <v>502</v>
      </c>
      <c r="B199" s="2" t="s">
        <v>503</v>
      </c>
      <c r="C199" s="2">
        <v>0.83</v>
      </c>
      <c r="D199" s="2">
        <v>0.15079999999999999</v>
      </c>
      <c r="E199" s="2" t="s">
        <v>276</v>
      </c>
      <c r="F199" s="2" t="e">
        <f>VLOOKUP(B199,MSCI中国成分股!A:B,1,)</f>
        <v>#N/A</v>
      </c>
    </row>
    <row r="200" spans="1:6" ht="20.25" customHeight="1" x14ac:dyDescent="0.15">
      <c r="A200" s="2" t="s">
        <v>33</v>
      </c>
      <c r="B200" s="2" t="s">
        <v>34</v>
      </c>
      <c r="C200" s="2">
        <v>2.52</v>
      </c>
      <c r="D200" s="2">
        <v>2.4569000000000001</v>
      </c>
      <c r="E200" s="2" t="s">
        <v>35</v>
      </c>
      <c r="F200" s="2" t="str">
        <f>VLOOKUP(B200,MSCI中国成分股!A:B,1,)</f>
        <v>601138</v>
      </c>
    </row>
    <row r="201" spans="1:6" ht="20.25" customHeight="1" x14ac:dyDescent="0.15">
      <c r="A201" s="2" t="s">
        <v>327</v>
      </c>
      <c r="B201" s="2" t="s">
        <v>328</v>
      </c>
      <c r="C201" s="2">
        <v>2.52</v>
      </c>
      <c r="D201" s="2">
        <v>1.8741000000000001</v>
      </c>
      <c r="E201" s="2" t="s">
        <v>329</v>
      </c>
      <c r="F201" s="2" t="str">
        <f>VLOOKUP(B201,MSCI中国成分股!A:B,1,)</f>
        <v>002311</v>
      </c>
    </row>
    <row r="202" spans="1:6" ht="20.25" customHeight="1" x14ac:dyDescent="0.15">
      <c r="A202" s="2" t="s">
        <v>422</v>
      </c>
      <c r="B202" s="2" t="s">
        <v>423</v>
      </c>
      <c r="C202" s="2">
        <v>2.5</v>
      </c>
      <c r="D202" s="2">
        <v>0.67449999999999999</v>
      </c>
      <c r="E202" s="2" t="s">
        <v>143</v>
      </c>
      <c r="F202" s="2" t="str">
        <f>VLOOKUP(B202,MSCI中国成分股!A:B,1,)</f>
        <v>600741</v>
      </c>
    </row>
    <row r="203" spans="1:6" ht="20.25" customHeight="1" x14ac:dyDescent="0.15">
      <c r="A203" s="2" t="s">
        <v>658</v>
      </c>
      <c r="B203" s="2" t="s">
        <v>659</v>
      </c>
      <c r="C203" s="2">
        <v>2.5</v>
      </c>
      <c r="D203" s="2">
        <v>1.0354000000000001</v>
      </c>
      <c r="E203" s="2" t="s">
        <v>176</v>
      </c>
      <c r="F203" s="2" t="str">
        <f>VLOOKUP(B203,MSCI中国成分股!A:B,1,)</f>
        <v>300759</v>
      </c>
    </row>
    <row r="204" spans="1:6" ht="20.25" customHeight="1" x14ac:dyDescent="0.15">
      <c r="A204" s="2" t="s">
        <v>962</v>
      </c>
      <c r="B204" s="2" t="s">
        <v>963</v>
      </c>
      <c r="C204" s="2">
        <v>2.4700000000000002</v>
      </c>
      <c r="D204" s="2">
        <v>1.2344999999999999</v>
      </c>
      <c r="E204" s="2" t="s">
        <v>171</v>
      </c>
      <c r="F204" s="2" t="str">
        <f>VLOOKUP(B204,MSCI中国成分股!A:B,1,)</f>
        <v>688122</v>
      </c>
    </row>
    <row r="205" spans="1:6" ht="20.25" customHeight="1" x14ac:dyDescent="0.15">
      <c r="A205" s="2" t="s">
        <v>53</v>
      </c>
      <c r="B205" s="2" t="s">
        <v>54</v>
      </c>
      <c r="C205" s="2">
        <v>2.46</v>
      </c>
      <c r="D205" s="2">
        <v>1.8142</v>
      </c>
      <c r="E205" s="2" t="s">
        <v>55</v>
      </c>
      <c r="F205" s="2" t="str">
        <f>VLOOKUP(B205,MSCI中国成分股!A:B,1,)</f>
        <v>600309</v>
      </c>
    </row>
    <row r="206" spans="1:6" ht="20.25" customHeight="1" x14ac:dyDescent="0.15">
      <c r="A206" s="2" t="s">
        <v>202</v>
      </c>
      <c r="B206" s="2" t="s">
        <v>203</v>
      </c>
      <c r="C206" s="2">
        <v>2.46</v>
      </c>
      <c r="D206" s="2">
        <v>4.6651999999999996</v>
      </c>
      <c r="E206" s="2" t="s">
        <v>204</v>
      </c>
      <c r="F206" s="2" t="str">
        <f>VLOOKUP(B206,MSCI中国成分股!A:B,1,)</f>
        <v>600585</v>
      </c>
    </row>
    <row r="207" spans="1:6" ht="20.25" customHeight="1" x14ac:dyDescent="0.15">
      <c r="A207" s="2" t="s">
        <v>404</v>
      </c>
      <c r="B207" s="2" t="s">
        <v>405</v>
      </c>
      <c r="C207" s="2">
        <v>2.46</v>
      </c>
      <c r="D207" s="2">
        <v>1.7232000000000001</v>
      </c>
      <c r="E207" s="2" t="s">
        <v>406</v>
      </c>
      <c r="F207" s="2" t="str">
        <f>VLOOKUP(B207,MSCI中国成分股!A:B,1,)</f>
        <v>002648</v>
      </c>
    </row>
    <row r="208" spans="1:6" ht="20.25" customHeight="1" x14ac:dyDescent="0.15">
      <c r="A208" s="2" t="s">
        <v>1007</v>
      </c>
      <c r="B208" s="2" t="s">
        <v>1008</v>
      </c>
      <c r="C208" s="2">
        <v>2.4500000000000002</v>
      </c>
      <c r="D208" s="2">
        <v>0.59009999999999996</v>
      </c>
      <c r="E208" s="2" t="s">
        <v>784</v>
      </c>
      <c r="F208" s="2" t="str">
        <f>VLOOKUP(B208,MSCI中国成分股!A:B,1,)</f>
        <v>600582</v>
      </c>
    </row>
    <row r="209" spans="1:6" ht="20.25" customHeight="1" x14ac:dyDescent="0.15">
      <c r="A209" s="2" t="s">
        <v>908</v>
      </c>
      <c r="B209" s="2" t="s">
        <v>909</v>
      </c>
      <c r="C209" s="2">
        <v>2.44</v>
      </c>
      <c r="D209" s="2">
        <v>1.411</v>
      </c>
      <c r="E209" s="2" t="s">
        <v>146</v>
      </c>
      <c r="F209" s="2" t="str">
        <f>VLOOKUP(B209,MSCI中国成分股!A:B,1,)</f>
        <v>000932</v>
      </c>
    </row>
    <row r="210" spans="1:6" ht="20.25" customHeight="1" x14ac:dyDescent="0.15">
      <c r="A210" s="2" t="s">
        <v>147</v>
      </c>
      <c r="B210" s="2" t="s">
        <v>148</v>
      </c>
      <c r="C210" s="2">
        <v>2.42</v>
      </c>
      <c r="D210" s="2">
        <v>2.7713000000000001</v>
      </c>
      <c r="E210" s="2" t="s">
        <v>149</v>
      </c>
      <c r="F210" s="2" t="str">
        <f>VLOOKUP(B210,MSCI中国成分股!A:B,1,)</f>
        <v>300308</v>
      </c>
    </row>
    <row r="211" spans="1:6" ht="20.25" customHeight="1" x14ac:dyDescent="0.15">
      <c r="A211" s="2" t="s">
        <v>804</v>
      </c>
      <c r="B211" s="2" t="s">
        <v>805</v>
      </c>
      <c r="C211" s="2">
        <v>2.42</v>
      </c>
      <c r="D211" s="2">
        <v>1.6624000000000001</v>
      </c>
      <c r="E211" s="2" t="s">
        <v>747</v>
      </c>
      <c r="F211" s="2" t="str">
        <f>VLOOKUP(B211,MSCI中国成分股!A:B,1,)</f>
        <v>002812</v>
      </c>
    </row>
    <row r="212" spans="1:6" ht="20.25" customHeight="1" x14ac:dyDescent="0.15">
      <c r="A212" s="2" t="s">
        <v>261</v>
      </c>
      <c r="B212" s="2" t="s">
        <v>262</v>
      </c>
      <c r="C212" s="2">
        <v>2.4</v>
      </c>
      <c r="D212" s="2">
        <v>1.5202</v>
      </c>
      <c r="E212" s="2" t="s">
        <v>106</v>
      </c>
      <c r="F212" s="2" t="str">
        <f>VLOOKUP(B212,MSCI中国成分股!A:B,1,)</f>
        <v>688012</v>
      </c>
    </row>
    <row r="213" spans="1:6" ht="20.25" customHeight="1" x14ac:dyDescent="0.15">
      <c r="A213" s="2" t="s">
        <v>653</v>
      </c>
      <c r="B213" s="2" t="s">
        <v>654</v>
      </c>
      <c r="C213" s="2">
        <v>2.4</v>
      </c>
      <c r="D213" s="2">
        <v>4.9420999999999999</v>
      </c>
      <c r="E213" s="2" t="s">
        <v>198</v>
      </c>
      <c r="F213" s="2" t="str">
        <f>VLOOKUP(B213,MSCI中国成分股!A:B,1,)</f>
        <v>002459</v>
      </c>
    </row>
    <row r="214" spans="1:6" ht="20.25" customHeight="1" x14ac:dyDescent="0.15">
      <c r="A214" s="2" t="s">
        <v>700</v>
      </c>
      <c r="B214" s="2" t="s">
        <v>701</v>
      </c>
      <c r="C214" s="2">
        <v>2.4</v>
      </c>
      <c r="D214" s="2">
        <v>1.1605000000000001</v>
      </c>
      <c r="E214" s="2" t="s">
        <v>35</v>
      </c>
      <c r="F214" s="2" t="str">
        <f>VLOOKUP(B214,MSCI中国成分股!A:B,1,)</f>
        <v>601231</v>
      </c>
    </row>
    <row r="215" spans="1:6" ht="20.25" customHeight="1" x14ac:dyDescent="0.15">
      <c r="A215" s="2" t="s">
        <v>1169</v>
      </c>
      <c r="B215" s="2" t="s">
        <v>1170</v>
      </c>
      <c r="C215" s="2">
        <v>2.39</v>
      </c>
      <c r="D215" s="2">
        <v>0.91720000000000002</v>
      </c>
      <c r="E215" s="2" t="s">
        <v>633</v>
      </c>
      <c r="F215" s="2" t="str">
        <f>VLOOKUP(B215,MSCI中国成分股!A:B,1,)</f>
        <v>002558</v>
      </c>
    </row>
    <row r="216" spans="1:6" ht="20.25" customHeight="1" x14ac:dyDescent="0.15">
      <c r="A216" s="2" t="s">
        <v>538</v>
      </c>
      <c r="B216" s="2" t="s">
        <v>539</v>
      </c>
      <c r="C216" s="2">
        <v>2.38</v>
      </c>
      <c r="D216" s="2">
        <v>1.1736</v>
      </c>
      <c r="E216" s="2" t="s">
        <v>430</v>
      </c>
      <c r="F216" s="2" t="str">
        <f>VLOOKUP(B216,MSCI中国成分股!A:B,1,)</f>
        <v>600968</v>
      </c>
    </row>
    <row r="217" spans="1:6" ht="20.25" customHeight="1" x14ac:dyDescent="0.15">
      <c r="A217" s="2" t="s">
        <v>306</v>
      </c>
      <c r="B217" s="2" t="s">
        <v>307</v>
      </c>
      <c r="C217" s="2">
        <v>2.37</v>
      </c>
      <c r="D217" s="2">
        <v>1.4724999999999999</v>
      </c>
      <c r="E217" s="2" t="s">
        <v>13</v>
      </c>
      <c r="F217" s="2" t="str">
        <f>VLOOKUP(B217,MSCI中国成分股!A:B,1,)</f>
        <v>300014</v>
      </c>
    </row>
    <row r="218" spans="1:6" ht="20.25" customHeight="1" x14ac:dyDescent="0.15">
      <c r="A218" s="2" t="s">
        <v>1271</v>
      </c>
      <c r="B218" s="2" t="s">
        <v>1272</v>
      </c>
      <c r="C218" s="2">
        <v>2.37</v>
      </c>
      <c r="D218" s="2">
        <v>1.4671000000000001</v>
      </c>
      <c r="E218" s="2" t="s">
        <v>406</v>
      </c>
      <c r="F218" s="2" t="str">
        <f>VLOOKUP(B218,MSCI中国成分股!A:B,1,)</f>
        <v>002430</v>
      </c>
    </row>
    <row r="219" spans="1:6" ht="20.25" customHeight="1" x14ac:dyDescent="0.15">
      <c r="A219" s="2" t="s">
        <v>1355</v>
      </c>
      <c r="B219" s="2" t="s">
        <v>1356</v>
      </c>
      <c r="C219" s="2">
        <v>2.36</v>
      </c>
      <c r="D219" s="2">
        <v>1.3399000000000001</v>
      </c>
      <c r="E219" s="2" t="s">
        <v>596</v>
      </c>
      <c r="F219" s="2" t="str">
        <f>VLOOKUP(B219,MSCI中国成分股!A:B,1,)</f>
        <v>002080</v>
      </c>
    </row>
    <row r="220" spans="1:6" ht="20.25" customHeight="1" x14ac:dyDescent="0.15">
      <c r="A220" s="2" t="s">
        <v>612</v>
      </c>
      <c r="B220" s="2" t="s">
        <v>613</v>
      </c>
      <c r="C220" s="2">
        <v>2.35</v>
      </c>
      <c r="D220" s="2">
        <v>1.9561999999999999</v>
      </c>
      <c r="E220" s="2" t="s">
        <v>614</v>
      </c>
      <c r="F220" s="2" t="str">
        <f>VLOOKUP(B220,MSCI中国成分股!A:B,1,)</f>
        <v>600096</v>
      </c>
    </row>
    <row r="221" spans="1:6" ht="20.25" customHeight="1" x14ac:dyDescent="0.15">
      <c r="A221" s="2" t="s">
        <v>757</v>
      </c>
      <c r="B221" s="2" t="s">
        <v>758</v>
      </c>
      <c r="C221" s="2">
        <v>2.34</v>
      </c>
      <c r="D221" s="2">
        <v>137.28120000000001</v>
      </c>
      <c r="E221" s="2" t="s">
        <v>207</v>
      </c>
      <c r="F221" s="2" t="str">
        <f>VLOOKUP(B221,MSCI中国成分股!A:B,1,)</f>
        <v>002532</v>
      </c>
    </row>
    <row r="222" spans="1:6" ht="20.25" customHeight="1" x14ac:dyDescent="0.15">
      <c r="A222" s="2" t="s">
        <v>636</v>
      </c>
      <c r="B222" s="2" t="s">
        <v>637</v>
      </c>
      <c r="C222" s="2">
        <v>2.33</v>
      </c>
      <c r="D222" s="2">
        <v>1.3769</v>
      </c>
      <c r="E222" s="2" t="s">
        <v>638</v>
      </c>
      <c r="F222" s="2" t="str">
        <f>VLOOKUP(B222,MSCI中国成分股!A:B,1,)</f>
        <v>002444</v>
      </c>
    </row>
    <row r="223" spans="1:6" ht="20.25" customHeight="1" x14ac:dyDescent="0.15">
      <c r="A223" s="2" t="s">
        <v>1003</v>
      </c>
      <c r="B223" s="2" t="s">
        <v>1004</v>
      </c>
      <c r="C223" s="2">
        <v>2.33</v>
      </c>
      <c r="D223" s="2">
        <v>10.4741</v>
      </c>
      <c r="E223" s="2" t="s">
        <v>21</v>
      </c>
      <c r="F223" s="2" t="str">
        <f>VLOOKUP(B223,MSCI中国成分股!A:B,1,)</f>
        <v>600546</v>
      </c>
    </row>
    <row r="224" spans="1:6" ht="20.25" customHeight="1" x14ac:dyDescent="0.15">
      <c r="A224" s="2" t="s">
        <v>1163</v>
      </c>
      <c r="B224" s="2" t="s">
        <v>1164</v>
      </c>
      <c r="C224" s="2">
        <v>2.29</v>
      </c>
      <c r="D224" s="2">
        <v>0.5857</v>
      </c>
      <c r="E224" s="2" t="s">
        <v>396</v>
      </c>
      <c r="F224" s="2" t="str">
        <f>VLOOKUP(B224,MSCI中国成分股!A:B,1,)</f>
        <v>603179</v>
      </c>
    </row>
    <row r="225" spans="1:6" ht="20.25" hidden="1" customHeight="1" x14ac:dyDescent="0.15">
      <c r="A225" s="2" t="s">
        <v>562</v>
      </c>
      <c r="B225" s="2" t="s">
        <v>563</v>
      </c>
      <c r="C225" s="2">
        <v>1.62</v>
      </c>
      <c r="D225" s="2">
        <v>3.6791999999999998</v>
      </c>
      <c r="E225" s="2" t="s">
        <v>44</v>
      </c>
      <c r="F225" s="2" t="e">
        <f>VLOOKUP(B225,MSCI中国成分股!A:B,1,)</f>
        <v>#N/A</v>
      </c>
    </row>
    <row r="226" spans="1:6" ht="20.25" customHeight="1" x14ac:dyDescent="0.15">
      <c r="A226" s="2" t="s">
        <v>873</v>
      </c>
      <c r="B226" s="2" t="s">
        <v>874</v>
      </c>
      <c r="C226" s="2">
        <v>2.2799999999999998</v>
      </c>
      <c r="D226" s="2">
        <v>0.68779999999999997</v>
      </c>
      <c r="E226" s="2" t="s">
        <v>571</v>
      </c>
      <c r="F226" s="2" t="str">
        <f>VLOOKUP(B226,MSCI中国成分股!A:B,1,)</f>
        <v>002409</v>
      </c>
    </row>
    <row r="227" spans="1:6" ht="20.25" customHeight="1" x14ac:dyDescent="0.15">
      <c r="A227" s="2" t="s">
        <v>494</v>
      </c>
      <c r="B227" s="2" t="s">
        <v>495</v>
      </c>
      <c r="C227" s="2">
        <v>2.25</v>
      </c>
      <c r="D227" s="2">
        <v>0.2757</v>
      </c>
      <c r="E227" s="2" t="s">
        <v>140</v>
      </c>
      <c r="F227" s="2" t="str">
        <f>VLOOKUP(B227,MSCI中国成分股!A:B,1,)</f>
        <v>600085</v>
      </c>
    </row>
    <row r="228" spans="1:6" ht="20.25" customHeight="1" x14ac:dyDescent="0.15">
      <c r="A228" s="2" t="s">
        <v>465</v>
      </c>
      <c r="B228" s="2" t="s">
        <v>466</v>
      </c>
      <c r="C228" s="2">
        <v>2.2400000000000002</v>
      </c>
      <c r="D228" s="2">
        <v>2.0459000000000001</v>
      </c>
      <c r="E228" s="2" t="s">
        <v>391</v>
      </c>
      <c r="F228" s="2" t="str">
        <f>VLOOKUP(B228,MSCI中国成分股!A:B,1,)</f>
        <v>601567</v>
      </c>
    </row>
    <row r="229" spans="1:6" ht="20.25" customHeight="1" x14ac:dyDescent="0.15">
      <c r="A229" s="2" t="s">
        <v>695</v>
      </c>
      <c r="B229" s="2" t="s">
        <v>696</v>
      </c>
      <c r="C229" s="2">
        <v>2.2400000000000002</v>
      </c>
      <c r="D229" s="2">
        <v>3.9134000000000002</v>
      </c>
      <c r="E229" s="2" t="s">
        <v>131</v>
      </c>
      <c r="F229" s="2" t="str">
        <f>VLOOKUP(B229,MSCI中国成分股!A:B,1,)</f>
        <v>601958</v>
      </c>
    </row>
    <row r="230" spans="1:6" ht="20.25" customHeight="1" x14ac:dyDescent="0.15">
      <c r="A230" s="2" t="s">
        <v>1231</v>
      </c>
      <c r="B230" s="2" t="s">
        <v>1232</v>
      </c>
      <c r="C230" s="2">
        <v>2.21</v>
      </c>
      <c r="D230" s="2">
        <v>4.3925999999999998</v>
      </c>
      <c r="E230" s="2" t="s">
        <v>647</v>
      </c>
      <c r="F230" s="2" t="str">
        <f>VLOOKUP(B230,MSCI中国成分股!A:B,1,)</f>
        <v>300003</v>
      </c>
    </row>
    <row r="231" spans="1:6" ht="20.25" customHeight="1" x14ac:dyDescent="0.15">
      <c r="A231" s="2" t="s">
        <v>96</v>
      </c>
      <c r="B231" s="2" t="s">
        <v>97</v>
      </c>
      <c r="C231" s="2">
        <v>2.17</v>
      </c>
      <c r="D231" s="2">
        <v>1.7736000000000001</v>
      </c>
      <c r="E231" s="2" t="s">
        <v>18</v>
      </c>
      <c r="F231" s="2" t="str">
        <f>VLOOKUP(B231,MSCI中国成分股!A:B,1,)</f>
        <v>601633</v>
      </c>
    </row>
    <row r="232" spans="1:6" ht="20.25" customHeight="1" x14ac:dyDescent="0.15">
      <c r="A232" s="2" t="s">
        <v>132</v>
      </c>
      <c r="B232" s="2" t="s">
        <v>133</v>
      </c>
      <c r="C232" s="2">
        <v>2.17</v>
      </c>
      <c r="D232" s="2">
        <v>0.7369</v>
      </c>
      <c r="E232" s="2" t="s">
        <v>134</v>
      </c>
      <c r="F232" s="2" t="str">
        <f>VLOOKUP(B232,MSCI中国成分股!A:B,1,)</f>
        <v>600018</v>
      </c>
    </row>
    <row r="233" spans="1:6" ht="20.25" customHeight="1" x14ac:dyDescent="0.15">
      <c r="A233" s="2" t="s">
        <v>523</v>
      </c>
      <c r="B233" s="2" t="s">
        <v>524</v>
      </c>
      <c r="C233" s="2">
        <v>2.15</v>
      </c>
      <c r="D233" s="2">
        <v>3.9706000000000001</v>
      </c>
      <c r="E233" s="2" t="s">
        <v>21</v>
      </c>
      <c r="F233" s="2" t="str">
        <f>VLOOKUP(B233,MSCI中国成分股!A:B,1,)</f>
        <v>000983</v>
      </c>
    </row>
    <row r="234" spans="1:6" ht="20.25" customHeight="1" x14ac:dyDescent="0.15">
      <c r="A234" s="2" t="s">
        <v>63</v>
      </c>
      <c r="B234" s="2" t="s">
        <v>64</v>
      </c>
      <c r="C234" s="2">
        <v>2.13</v>
      </c>
      <c r="D234" s="2">
        <v>40.875</v>
      </c>
      <c r="E234" s="2" t="s">
        <v>65</v>
      </c>
      <c r="F234" s="2" t="str">
        <f>VLOOKUP(B234,MSCI中国成分股!A:B,1,)</f>
        <v>002714</v>
      </c>
    </row>
    <row r="235" spans="1:6" ht="20.25" customHeight="1" x14ac:dyDescent="0.15">
      <c r="A235" s="2" t="s">
        <v>902</v>
      </c>
      <c r="B235" s="2" t="s">
        <v>903</v>
      </c>
      <c r="C235" s="2">
        <v>2.13</v>
      </c>
      <c r="D235" s="2">
        <v>0.63800000000000001</v>
      </c>
      <c r="E235" s="2" t="s">
        <v>286</v>
      </c>
      <c r="F235" s="2" t="str">
        <f>VLOOKUP(B235,MSCI中国成分股!A:B,1,)</f>
        <v>300476</v>
      </c>
    </row>
    <row r="236" spans="1:6" ht="20.25" customHeight="1" x14ac:dyDescent="0.15">
      <c r="A236" s="2" t="s">
        <v>1214</v>
      </c>
      <c r="B236" s="2" t="s">
        <v>1215</v>
      </c>
      <c r="C236" s="2">
        <v>2.12</v>
      </c>
      <c r="D236" s="2">
        <v>0.37469999999999998</v>
      </c>
      <c r="E236" s="2" t="s">
        <v>44</v>
      </c>
      <c r="F236" s="2" t="str">
        <f>VLOOKUP(B236,MSCI中国成分股!A:B,1,)</f>
        <v>600380</v>
      </c>
    </row>
    <row r="237" spans="1:6" ht="20.25" customHeight="1" x14ac:dyDescent="0.15">
      <c r="A237" s="2" t="s">
        <v>36</v>
      </c>
      <c r="B237" s="2" t="s">
        <v>37</v>
      </c>
      <c r="C237" s="2">
        <v>2.09</v>
      </c>
      <c r="D237" s="2">
        <v>0.59209999999999996</v>
      </c>
      <c r="E237" s="2" t="s">
        <v>38</v>
      </c>
      <c r="F237" s="2" t="str">
        <f>VLOOKUP(B237,MSCI中国成分股!A:B,1,)</f>
        <v>601899</v>
      </c>
    </row>
    <row r="238" spans="1:6" ht="20.25" customHeight="1" x14ac:dyDescent="0.15">
      <c r="A238" s="2" t="s">
        <v>889</v>
      </c>
      <c r="B238" s="2" t="s">
        <v>890</v>
      </c>
      <c r="C238" s="2">
        <v>2.09</v>
      </c>
      <c r="D238" s="2">
        <v>4.1241000000000003</v>
      </c>
      <c r="E238" s="2" t="s">
        <v>265</v>
      </c>
      <c r="F238" s="2" t="str">
        <f>VLOOKUP(B238,MSCI中国成分股!A:B,1,)</f>
        <v>300114</v>
      </c>
    </row>
    <row r="239" spans="1:6" ht="20.25" customHeight="1" x14ac:dyDescent="0.15">
      <c r="A239" s="2" t="s">
        <v>848</v>
      </c>
      <c r="B239" s="2" t="s">
        <v>849</v>
      </c>
      <c r="C239" s="2">
        <v>2.0699999999999998</v>
      </c>
      <c r="D239" s="2">
        <v>4.3773</v>
      </c>
      <c r="E239" s="2" t="s">
        <v>529</v>
      </c>
      <c r="F239" s="2" t="str">
        <f>VLOOKUP(B239,MSCI中国成分股!A:B,1,)</f>
        <v>002271</v>
      </c>
    </row>
    <row r="240" spans="1:6" ht="20.25" customHeight="1" x14ac:dyDescent="0.15">
      <c r="A240" s="2" t="s">
        <v>1014</v>
      </c>
      <c r="B240" s="2" t="s">
        <v>1015</v>
      </c>
      <c r="C240" s="2">
        <v>2.06</v>
      </c>
      <c r="D240" s="2">
        <v>0.91539999999999999</v>
      </c>
      <c r="E240" s="2" t="s">
        <v>149</v>
      </c>
      <c r="F240" s="2" t="str">
        <f>VLOOKUP(B240,MSCI中国成分股!A:B,1,)</f>
        <v>002281</v>
      </c>
    </row>
    <row r="241" spans="1:6" ht="20.25" customHeight="1" x14ac:dyDescent="0.15">
      <c r="A241" s="2" t="s">
        <v>1133</v>
      </c>
      <c r="B241" s="2" t="s">
        <v>1134</v>
      </c>
      <c r="C241" s="2">
        <v>2.06</v>
      </c>
      <c r="D241" s="2">
        <v>0.55879999999999996</v>
      </c>
      <c r="E241" s="2" t="s">
        <v>362</v>
      </c>
      <c r="F241" s="2" t="str">
        <f>VLOOKUP(B241,MSCI中国成分股!A:B,1,)</f>
        <v>002138</v>
      </c>
    </row>
    <row r="242" spans="1:6" ht="20.25" customHeight="1" x14ac:dyDescent="0.15">
      <c r="A242" s="2" t="s">
        <v>545</v>
      </c>
      <c r="B242" s="2" t="s">
        <v>546</v>
      </c>
      <c r="C242" s="2">
        <v>2.0499999999999998</v>
      </c>
      <c r="D242" s="2">
        <v>1.7235</v>
      </c>
      <c r="E242" s="2" t="s">
        <v>140</v>
      </c>
      <c r="F242" s="2" t="str">
        <f>VLOOKUP(B242,MSCI中国成分股!A:B,1,)</f>
        <v>600332</v>
      </c>
    </row>
    <row r="243" spans="1:6" ht="20.25" hidden="1" customHeight="1" x14ac:dyDescent="0.15">
      <c r="A243" s="2" t="s">
        <v>603</v>
      </c>
      <c r="B243" s="2" t="s">
        <v>604</v>
      </c>
      <c r="C243" s="2">
        <v>1.64</v>
      </c>
      <c r="D243" s="2">
        <v>0.32890000000000003</v>
      </c>
      <c r="E243" s="2" t="s">
        <v>605</v>
      </c>
      <c r="F243" s="2" t="e">
        <f>VLOOKUP(B243,MSCI中国成分股!A:B,1,)</f>
        <v>#N/A</v>
      </c>
    </row>
    <row r="244" spans="1:6" ht="20.25" customHeight="1" x14ac:dyDescent="0.15">
      <c r="A244" s="2" t="s">
        <v>989</v>
      </c>
      <c r="B244" s="2" t="s">
        <v>990</v>
      </c>
      <c r="C244" s="2">
        <v>2.0499999999999998</v>
      </c>
      <c r="D244" s="2">
        <v>16.8504</v>
      </c>
      <c r="E244" s="2" t="s">
        <v>409</v>
      </c>
      <c r="F244" s="2" t="str">
        <f>VLOOKUP(B244,MSCI中国成分股!A:B,1,)</f>
        <v>002738</v>
      </c>
    </row>
    <row r="245" spans="1:6" ht="20.25" customHeight="1" x14ac:dyDescent="0.15">
      <c r="A245" s="2" t="s">
        <v>1107</v>
      </c>
      <c r="B245" s="2" t="s">
        <v>1108</v>
      </c>
      <c r="C245" s="2">
        <v>2.0499999999999998</v>
      </c>
      <c r="D245" s="2">
        <v>4.008</v>
      </c>
      <c r="E245" s="2" t="s">
        <v>938</v>
      </c>
      <c r="F245" s="2" t="str">
        <f>VLOOKUP(B245,MSCI中国成分股!A:B,1,)</f>
        <v>002429</v>
      </c>
    </row>
    <row r="246" spans="1:6" ht="20.25" customHeight="1" x14ac:dyDescent="0.15">
      <c r="A246" s="2" t="s">
        <v>1159</v>
      </c>
      <c r="B246" s="2" t="s">
        <v>1160</v>
      </c>
      <c r="C246" s="2">
        <v>2.0499999999999998</v>
      </c>
      <c r="D246" s="2">
        <v>2.9127000000000001</v>
      </c>
      <c r="E246" s="2" t="s">
        <v>685</v>
      </c>
      <c r="F246" s="2" t="str">
        <f>VLOOKUP(B246,MSCI中国成分股!A:B,1,)</f>
        <v>601615</v>
      </c>
    </row>
    <row r="247" spans="1:6" ht="20.25" customHeight="1" x14ac:dyDescent="0.15">
      <c r="A247" s="2" t="s">
        <v>1184</v>
      </c>
      <c r="B247" s="2" t="s">
        <v>1185</v>
      </c>
      <c r="C247" s="2">
        <v>2.0499999999999998</v>
      </c>
      <c r="D247" s="2">
        <v>10.9861</v>
      </c>
      <c r="E247" s="2" t="s">
        <v>1186</v>
      </c>
      <c r="F247" s="2" t="str">
        <f>VLOOKUP(B247,MSCI中国成分股!A:B,1,)</f>
        <v>000683</v>
      </c>
    </row>
    <row r="248" spans="1:6" ht="20.25" customHeight="1" x14ac:dyDescent="0.15">
      <c r="A248" s="2" t="s">
        <v>179</v>
      </c>
      <c r="B248" s="2" t="s">
        <v>180</v>
      </c>
      <c r="C248" s="2">
        <v>2.0299999999999998</v>
      </c>
      <c r="D248" s="2">
        <v>0.41170000000000001</v>
      </c>
      <c r="E248" s="2" t="s">
        <v>49</v>
      </c>
      <c r="F248" s="2" t="str">
        <f>VLOOKUP(B248,MSCI中国成分股!A:B,1,)</f>
        <v>601006</v>
      </c>
    </row>
    <row r="249" spans="1:6" ht="20.25" customHeight="1" x14ac:dyDescent="0.15">
      <c r="A249" s="2" t="s">
        <v>540</v>
      </c>
      <c r="B249" s="2" t="s">
        <v>541</v>
      </c>
      <c r="C249" s="2">
        <v>2.02</v>
      </c>
      <c r="D249" s="2">
        <v>334.81569999999999</v>
      </c>
      <c r="E249" s="2" t="s">
        <v>542</v>
      </c>
      <c r="F249" s="2" t="str">
        <f>VLOOKUP(B249,MSCI中国成分股!A:B,1,)</f>
        <v>300442</v>
      </c>
    </row>
    <row r="250" spans="1:6" ht="20.25" customHeight="1" x14ac:dyDescent="0.15">
      <c r="A250" s="2" t="s">
        <v>832</v>
      </c>
      <c r="B250" s="2" t="s">
        <v>833</v>
      </c>
      <c r="C250" s="2">
        <v>2.0099999999999998</v>
      </c>
      <c r="D250" s="2">
        <v>7.5686</v>
      </c>
      <c r="E250" s="2" t="s">
        <v>265</v>
      </c>
      <c r="F250" s="2" t="str">
        <f>VLOOKUP(B250,MSCI中国成分股!A:B,1,)</f>
        <v>002414</v>
      </c>
    </row>
    <row r="251" spans="1:6" ht="20.25" customHeight="1" x14ac:dyDescent="0.15">
      <c r="A251" s="2" t="s">
        <v>1259</v>
      </c>
      <c r="B251" s="2" t="s">
        <v>1260</v>
      </c>
      <c r="C251" s="2">
        <v>2.0099999999999998</v>
      </c>
      <c r="D251" s="2">
        <v>1.6814</v>
      </c>
      <c r="E251" s="2" t="s">
        <v>476</v>
      </c>
      <c r="F251" s="2" t="str">
        <f>VLOOKUP(B251,MSCI中国成分股!A:B,1,)</f>
        <v>000403</v>
      </c>
    </row>
    <row r="252" spans="1:6" ht="20.25" customHeight="1" x14ac:dyDescent="0.15">
      <c r="A252" s="2" t="s">
        <v>291</v>
      </c>
      <c r="B252" s="2" t="s">
        <v>292</v>
      </c>
      <c r="C252" s="2">
        <v>2</v>
      </c>
      <c r="D252" s="2">
        <v>2.1656</v>
      </c>
      <c r="E252" s="2" t="s">
        <v>137</v>
      </c>
      <c r="F252" s="2" t="str">
        <f>VLOOKUP(B252,MSCI中国成分股!A:B,1,)</f>
        <v>000425</v>
      </c>
    </row>
    <row r="253" spans="1:6" ht="20.25" customHeight="1" x14ac:dyDescent="0.15">
      <c r="A253" s="2" t="s">
        <v>354</v>
      </c>
      <c r="B253" s="2" t="s">
        <v>355</v>
      </c>
      <c r="C253" s="2">
        <v>1.99</v>
      </c>
      <c r="D253" s="2">
        <v>17.505199999999999</v>
      </c>
      <c r="E253" s="2" t="s">
        <v>356</v>
      </c>
      <c r="F253" s="2" t="str">
        <f>VLOOKUP(B253,MSCI中国成分股!A:B,1,)</f>
        <v>603260</v>
      </c>
    </row>
    <row r="254" spans="1:6" ht="20.25" customHeight="1" x14ac:dyDescent="0.15">
      <c r="A254" s="2" t="s">
        <v>410</v>
      </c>
      <c r="B254" s="2" t="s">
        <v>411</v>
      </c>
      <c r="C254" s="2">
        <v>1.99</v>
      </c>
      <c r="D254" s="2">
        <v>0.63400000000000001</v>
      </c>
      <c r="E254" s="2" t="s">
        <v>86</v>
      </c>
      <c r="F254" s="2" t="str">
        <f>VLOOKUP(B254,MSCI中国成分股!A:B,1,)</f>
        <v>688187</v>
      </c>
    </row>
    <row r="255" spans="1:6" ht="20.25" customHeight="1" x14ac:dyDescent="0.15">
      <c r="A255" s="2" t="s">
        <v>842</v>
      </c>
      <c r="B255" s="2" t="s">
        <v>843</v>
      </c>
      <c r="C255" s="2">
        <v>1.99</v>
      </c>
      <c r="D255" s="2">
        <v>0.70740000000000003</v>
      </c>
      <c r="E255" s="2" t="s">
        <v>171</v>
      </c>
      <c r="F255" s="2" t="str">
        <f>VLOOKUP(B255,MSCI中国成分股!A:B,1,)</f>
        <v>600765</v>
      </c>
    </row>
    <row r="256" spans="1:6" ht="20.25" customHeight="1" x14ac:dyDescent="0.15">
      <c r="A256" s="2" t="s">
        <v>181</v>
      </c>
      <c r="B256" s="2" t="s">
        <v>182</v>
      </c>
      <c r="C256" s="2">
        <v>1.97</v>
      </c>
      <c r="D256" s="2">
        <v>0.28439999999999999</v>
      </c>
      <c r="E256" s="2" t="s">
        <v>149</v>
      </c>
      <c r="F256" s="2" t="str">
        <f>VLOOKUP(B256,MSCI中国成分股!A:B,1,)</f>
        <v>000063</v>
      </c>
    </row>
    <row r="257" spans="1:6" ht="20.25" customHeight="1" x14ac:dyDescent="0.15">
      <c r="A257" s="2" t="s">
        <v>481</v>
      </c>
      <c r="B257" s="2" t="s">
        <v>482</v>
      </c>
      <c r="C257" s="2">
        <v>1.97</v>
      </c>
      <c r="D257" s="2">
        <v>1.0294000000000001</v>
      </c>
      <c r="E257" s="2" t="s">
        <v>483</v>
      </c>
      <c r="F257" s="2" t="str">
        <f>VLOOKUP(B257,MSCI中国成分股!A:B,1,)</f>
        <v>601058</v>
      </c>
    </row>
    <row r="258" spans="1:6" ht="20.25" customHeight="1" x14ac:dyDescent="0.15">
      <c r="A258" s="2" t="s">
        <v>742</v>
      </c>
      <c r="B258" s="2" t="s">
        <v>743</v>
      </c>
      <c r="C258" s="2">
        <v>1.96</v>
      </c>
      <c r="D258" s="2">
        <v>1.9682999999999999</v>
      </c>
      <c r="E258" s="2" t="s">
        <v>744</v>
      </c>
      <c r="F258" s="2" t="str">
        <f>VLOOKUP(B258,MSCI中国成分股!A:B,1,)</f>
        <v>000988</v>
      </c>
    </row>
    <row r="259" spans="1:6" ht="20.25" customHeight="1" x14ac:dyDescent="0.15">
      <c r="A259" s="2" t="s">
        <v>790</v>
      </c>
      <c r="B259" s="2" t="s">
        <v>791</v>
      </c>
      <c r="C259" s="2">
        <v>1.95</v>
      </c>
      <c r="D259" s="2">
        <v>8.3859999999999992</v>
      </c>
      <c r="E259" s="2" t="s">
        <v>185</v>
      </c>
      <c r="F259" s="2" t="str">
        <f>VLOOKUP(B259,MSCI中国成分股!A:B,1,)</f>
        <v>688728</v>
      </c>
    </row>
    <row r="260" spans="1:6" ht="20.25" customHeight="1" x14ac:dyDescent="0.15">
      <c r="A260" s="2" t="s">
        <v>877</v>
      </c>
      <c r="B260" s="2" t="s">
        <v>878</v>
      </c>
      <c r="C260" s="2">
        <v>1.95</v>
      </c>
      <c r="D260" s="2">
        <v>14.1432</v>
      </c>
      <c r="E260" s="2" t="s">
        <v>347</v>
      </c>
      <c r="F260" s="2" t="str">
        <f>VLOOKUP(B260,MSCI中国成分股!A:B,1,)</f>
        <v>000831</v>
      </c>
    </row>
    <row r="261" spans="1:6" ht="20.25" customHeight="1" x14ac:dyDescent="0.15">
      <c r="A261" s="2" t="s">
        <v>1204</v>
      </c>
      <c r="B261" s="2" t="s">
        <v>1205</v>
      </c>
      <c r="C261" s="2">
        <v>1.94</v>
      </c>
      <c r="D261" s="2">
        <v>4.5632000000000001</v>
      </c>
      <c r="E261" s="2" t="s">
        <v>204</v>
      </c>
      <c r="F261" s="2" t="str">
        <f>VLOOKUP(B261,MSCI中国成分股!A:B,1,)</f>
        <v>600801</v>
      </c>
    </row>
    <row r="262" spans="1:6" ht="20.25" hidden="1" customHeight="1" x14ac:dyDescent="0.15">
      <c r="A262" s="2" t="s">
        <v>648</v>
      </c>
      <c r="B262" s="2" t="s">
        <v>649</v>
      </c>
      <c r="C262" s="2">
        <v>0.77</v>
      </c>
      <c r="D262" s="2">
        <v>0.68079999999999996</v>
      </c>
      <c r="E262" s="2" t="s">
        <v>271</v>
      </c>
      <c r="F262" s="2" t="e">
        <f>VLOOKUP(B262,MSCI中国成分股!A:B,1,)</f>
        <v>#N/A</v>
      </c>
    </row>
    <row r="263" spans="1:6" ht="20.25" customHeight="1" x14ac:dyDescent="0.15">
      <c r="A263" s="2" t="s">
        <v>1067</v>
      </c>
      <c r="B263" s="2" t="s">
        <v>1068</v>
      </c>
      <c r="C263" s="2">
        <v>1.92</v>
      </c>
      <c r="D263" s="2">
        <v>4.0833000000000004</v>
      </c>
      <c r="E263" s="2" t="s">
        <v>140</v>
      </c>
      <c r="F263" s="2" t="str">
        <f>VLOOKUP(B263,MSCI中国成分股!A:B,1,)</f>
        <v>600535</v>
      </c>
    </row>
    <row r="264" spans="1:6" ht="20.25" customHeight="1" x14ac:dyDescent="0.15">
      <c r="A264" s="2" t="s">
        <v>1044</v>
      </c>
      <c r="B264" s="2" t="s">
        <v>1045</v>
      </c>
      <c r="C264" s="2">
        <v>1.91</v>
      </c>
      <c r="D264" s="2">
        <v>3.4761000000000002</v>
      </c>
      <c r="E264" s="2" t="s">
        <v>1011</v>
      </c>
      <c r="F264" s="2" t="str">
        <f>VLOOKUP(B264,MSCI中国成分股!A:B,1,)</f>
        <v>000629</v>
      </c>
    </row>
    <row r="265" spans="1:6" ht="20.25" customHeight="1" x14ac:dyDescent="0.15">
      <c r="A265" s="2" t="s">
        <v>412</v>
      </c>
      <c r="B265" s="2" t="s">
        <v>413</v>
      </c>
      <c r="C265" s="2">
        <v>1.9</v>
      </c>
      <c r="D265" s="2">
        <v>0.96970000000000001</v>
      </c>
      <c r="E265" s="2" t="s">
        <v>92</v>
      </c>
      <c r="F265" s="2" t="str">
        <f>VLOOKUP(B265,MSCI中国成分股!A:B,1,)</f>
        <v>601872</v>
      </c>
    </row>
    <row r="266" spans="1:6" ht="20.25" customHeight="1" x14ac:dyDescent="0.15">
      <c r="A266" s="2" t="s">
        <v>453</v>
      </c>
      <c r="B266" s="2" t="s">
        <v>454</v>
      </c>
      <c r="C266" s="2">
        <v>1.9</v>
      </c>
      <c r="D266" s="2">
        <v>1.0656000000000001</v>
      </c>
      <c r="E266" s="2" t="s">
        <v>152</v>
      </c>
      <c r="F266" s="2" t="str">
        <f>VLOOKUP(B266,MSCI中国成分股!A:B,1,)</f>
        <v>600039</v>
      </c>
    </row>
    <row r="267" spans="1:6" ht="20.25" customHeight="1" x14ac:dyDescent="0.15">
      <c r="A267" s="2" t="s">
        <v>919</v>
      </c>
      <c r="B267" s="2" t="s">
        <v>920</v>
      </c>
      <c r="C267" s="2">
        <v>1.89</v>
      </c>
      <c r="D267" s="2">
        <v>1.5701000000000001</v>
      </c>
      <c r="E267" s="2" t="s">
        <v>21</v>
      </c>
      <c r="F267" s="2" t="str">
        <f>VLOOKUP(B267,MSCI中国成分股!A:B,1,)</f>
        <v>600348</v>
      </c>
    </row>
    <row r="268" spans="1:6" ht="20.25" customHeight="1" x14ac:dyDescent="0.15">
      <c r="A268" s="2" t="s">
        <v>318</v>
      </c>
      <c r="B268" s="2" t="s">
        <v>319</v>
      </c>
      <c r="C268" s="2">
        <v>1.87</v>
      </c>
      <c r="D268" s="2">
        <v>4.2419000000000002</v>
      </c>
      <c r="E268" s="2" t="s">
        <v>35</v>
      </c>
      <c r="F268" s="2" t="str">
        <f>VLOOKUP(B268,MSCI中国成分股!A:B,1,)</f>
        <v>002241</v>
      </c>
    </row>
    <row r="269" spans="1:6" ht="20.25" customHeight="1" x14ac:dyDescent="0.15">
      <c r="A269" s="2" t="s">
        <v>469</v>
      </c>
      <c r="B269" s="2" t="s">
        <v>470</v>
      </c>
      <c r="C269" s="2">
        <v>1.87</v>
      </c>
      <c r="D269" s="2">
        <v>1.1101000000000001</v>
      </c>
      <c r="E269" s="2" t="s">
        <v>471</v>
      </c>
      <c r="F269" s="2" t="str">
        <f>VLOOKUP(B269,MSCI中国成分股!A:B,1,)</f>
        <v>600522</v>
      </c>
    </row>
    <row r="270" spans="1:6" ht="20.25" hidden="1" customHeight="1" x14ac:dyDescent="0.15">
      <c r="A270" s="2" t="s">
        <v>668</v>
      </c>
      <c r="B270" s="2" t="s">
        <v>669</v>
      </c>
      <c r="C270" s="2">
        <v>2.645</v>
      </c>
      <c r="D270" s="2">
        <v>7.3281000000000001</v>
      </c>
      <c r="E270" s="2" t="s">
        <v>670</v>
      </c>
      <c r="F270" s="2" t="e">
        <f>VLOOKUP(B270,MSCI中国成分股!A:B,1,)</f>
        <v>#N/A</v>
      </c>
    </row>
    <row r="271" spans="1:6" ht="20.25" customHeight="1" x14ac:dyDescent="0.15">
      <c r="A271" s="2" t="s">
        <v>662</v>
      </c>
      <c r="B271" s="2" t="s">
        <v>663</v>
      </c>
      <c r="C271" s="2">
        <v>1.87</v>
      </c>
      <c r="D271" s="2">
        <v>0.50829999999999997</v>
      </c>
      <c r="E271" s="2" t="s">
        <v>664</v>
      </c>
      <c r="F271" s="2" t="str">
        <f>VLOOKUP(B271,MSCI中国成分股!A:B,1,)</f>
        <v>002078</v>
      </c>
    </row>
    <row r="272" spans="1:6" ht="20.25" customHeight="1" x14ac:dyDescent="0.15">
      <c r="A272" s="2" t="s">
        <v>716</v>
      </c>
      <c r="B272" s="2" t="s">
        <v>717</v>
      </c>
      <c r="C272" s="2">
        <v>1.87</v>
      </c>
      <c r="D272" s="2">
        <v>0.8488</v>
      </c>
      <c r="E272" s="2" t="s">
        <v>68</v>
      </c>
      <c r="F272" s="2" t="str">
        <f>VLOOKUP(B272,MSCI中国成分股!A:B,1,)</f>
        <v>000400</v>
      </c>
    </row>
    <row r="273" spans="1:6" ht="20.25" customHeight="1" x14ac:dyDescent="0.15">
      <c r="A273" s="2" t="s">
        <v>934</v>
      </c>
      <c r="B273" s="2" t="s">
        <v>935</v>
      </c>
      <c r="C273" s="2">
        <v>1.87</v>
      </c>
      <c r="D273" s="2">
        <v>0.1129</v>
      </c>
      <c r="E273" s="2" t="s">
        <v>385</v>
      </c>
      <c r="F273" s="2" t="str">
        <f>VLOOKUP(B273,MSCI中国成分股!A:B,1,)</f>
        <v>002152</v>
      </c>
    </row>
    <row r="274" spans="1:6" ht="20.25" customHeight="1" x14ac:dyDescent="0.15">
      <c r="A274" s="2" t="s">
        <v>985</v>
      </c>
      <c r="B274" s="2" t="s">
        <v>986</v>
      </c>
      <c r="C274" s="2">
        <v>1.87</v>
      </c>
      <c r="D274" s="2">
        <v>0.2233</v>
      </c>
      <c r="E274" s="2" t="s">
        <v>38</v>
      </c>
      <c r="F274" s="2" t="str">
        <f>VLOOKUP(B274,MSCI中国成分股!A:B,1,)</f>
        <v>603979</v>
      </c>
    </row>
    <row r="275" spans="1:6" ht="20.25" customHeight="1" x14ac:dyDescent="0.15">
      <c r="A275" s="2" t="s">
        <v>678</v>
      </c>
      <c r="B275" s="2" t="s">
        <v>679</v>
      </c>
      <c r="C275" s="2">
        <v>1.86</v>
      </c>
      <c r="D275" s="2">
        <v>2.9901</v>
      </c>
      <c r="E275" s="2" t="s">
        <v>240</v>
      </c>
      <c r="F275" s="2" t="str">
        <f>VLOOKUP(B275,MSCI中国成分股!A:B,1,)</f>
        <v>002129</v>
      </c>
    </row>
    <row r="276" spans="1:6" ht="20.25" customHeight="1" x14ac:dyDescent="0.15">
      <c r="A276" s="2" t="s">
        <v>135</v>
      </c>
      <c r="B276" s="2" t="s">
        <v>136</v>
      </c>
      <c r="C276" s="2">
        <v>1.84</v>
      </c>
      <c r="D276" s="2">
        <v>7.2251000000000003</v>
      </c>
      <c r="E276" s="2" t="s">
        <v>137</v>
      </c>
      <c r="F276" s="2" t="str">
        <f>VLOOKUP(B276,MSCI中国成分股!A:B,1,)</f>
        <v>600031</v>
      </c>
    </row>
    <row r="277" spans="1:6" ht="20.25" customHeight="1" x14ac:dyDescent="0.15">
      <c r="A277" s="2" t="s">
        <v>199</v>
      </c>
      <c r="B277" s="2" t="s">
        <v>200</v>
      </c>
      <c r="C277" s="2">
        <v>1.84</v>
      </c>
      <c r="D277" s="2">
        <v>0.47299999999999998</v>
      </c>
      <c r="E277" s="2" t="s">
        <v>201</v>
      </c>
      <c r="F277" s="2" t="str">
        <f>VLOOKUP(B277,MSCI中国成分股!A:B,1,)</f>
        <v>000338</v>
      </c>
    </row>
    <row r="278" spans="1:6" ht="20.25" customHeight="1" x14ac:dyDescent="0.15">
      <c r="A278" s="2" t="s">
        <v>457</v>
      </c>
      <c r="B278" s="2" t="s">
        <v>458</v>
      </c>
      <c r="C278" s="2">
        <v>1.84</v>
      </c>
      <c r="D278" s="2">
        <v>2.7126000000000001</v>
      </c>
      <c r="E278" s="2" t="s">
        <v>459</v>
      </c>
      <c r="F278" s="2" t="str">
        <f>VLOOKUP(B278,MSCI中国成分股!A:B,1,)</f>
        <v>600415</v>
      </c>
    </row>
    <row r="279" spans="1:6" ht="20.25" customHeight="1" x14ac:dyDescent="0.15">
      <c r="A279" s="2" t="s">
        <v>972</v>
      </c>
      <c r="B279" s="2" t="s">
        <v>973</v>
      </c>
      <c r="C279" s="2">
        <v>1.82</v>
      </c>
      <c r="D279" s="2">
        <v>0.40620000000000001</v>
      </c>
      <c r="E279" s="2" t="s">
        <v>787</v>
      </c>
      <c r="F279" s="2" t="str">
        <f>VLOOKUP(B279,MSCI中国成分股!A:B,1,)</f>
        <v>002273</v>
      </c>
    </row>
    <row r="280" spans="1:6" ht="20.25" customHeight="1" x14ac:dyDescent="0.15">
      <c r="A280" s="2" t="s">
        <v>1026</v>
      </c>
      <c r="B280" s="2" t="s">
        <v>1027</v>
      </c>
      <c r="C280" s="2">
        <v>1.82</v>
      </c>
      <c r="D280" s="2">
        <v>0.75370000000000004</v>
      </c>
      <c r="E280" s="2" t="s">
        <v>938</v>
      </c>
      <c r="F280" s="2" t="str">
        <f>VLOOKUP(B280,MSCI中国成分股!A:B,1,)</f>
        <v>600060</v>
      </c>
    </row>
    <row r="281" spans="1:6" ht="20.25" customHeight="1" x14ac:dyDescent="0.15">
      <c r="A281" s="2" t="s">
        <v>788</v>
      </c>
      <c r="B281" s="2" t="s">
        <v>789</v>
      </c>
      <c r="C281" s="2">
        <v>1.8</v>
      </c>
      <c r="D281" s="2">
        <v>12.994</v>
      </c>
      <c r="E281" s="2" t="s">
        <v>657</v>
      </c>
      <c r="F281" s="2" t="str">
        <f>VLOOKUP(B281,MSCI中国成分股!A:B,1,)</f>
        <v>603160</v>
      </c>
    </row>
    <row r="282" spans="1:6" ht="20.25" customHeight="1" x14ac:dyDescent="0.15">
      <c r="A282" s="2" t="s">
        <v>840</v>
      </c>
      <c r="B282" s="2" t="s">
        <v>841</v>
      </c>
      <c r="C282" s="2">
        <v>1.8</v>
      </c>
      <c r="D282" s="2">
        <v>1.8361000000000001</v>
      </c>
      <c r="E282" s="2" t="s">
        <v>265</v>
      </c>
      <c r="F282" s="2" t="str">
        <f>VLOOKUP(B282,MSCI中国成分股!A:B,1,)</f>
        <v>300474</v>
      </c>
    </row>
    <row r="283" spans="1:6" ht="20.25" customHeight="1" x14ac:dyDescent="0.15">
      <c r="A283" s="2" t="s">
        <v>277</v>
      </c>
      <c r="B283" s="2" t="s">
        <v>278</v>
      </c>
      <c r="C283" s="2">
        <v>1.79</v>
      </c>
      <c r="D283" s="2">
        <v>1.9741</v>
      </c>
      <c r="E283" s="2" t="s">
        <v>35</v>
      </c>
      <c r="F283" s="2" t="str">
        <f>VLOOKUP(B283,MSCI中国成分股!A:B,1,)</f>
        <v>300433</v>
      </c>
    </row>
    <row r="284" spans="1:6" ht="20.25" hidden="1" customHeight="1" x14ac:dyDescent="0.15">
      <c r="A284" s="2" t="s">
        <v>702</v>
      </c>
      <c r="B284" s="2" t="s">
        <v>703</v>
      </c>
      <c r="C284" s="2">
        <v>-0.51</v>
      </c>
      <c r="D284" s="2">
        <v>13.711600000000001</v>
      </c>
      <c r="E284" s="2" t="s">
        <v>704</v>
      </c>
      <c r="F284" s="2" t="e">
        <f>VLOOKUP(B284,MSCI中国成分股!A:B,1,)</f>
        <v>#N/A</v>
      </c>
    </row>
    <row r="285" spans="1:6" ht="20.25" customHeight="1" x14ac:dyDescent="0.15">
      <c r="A285" s="2" t="s">
        <v>342</v>
      </c>
      <c r="B285" s="2" t="s">
        <v>343</v>
      </c>
      <c r="C285" s="2">
        <v>1.78</v>
      </c>
      <c r="D285" s="2">
        <v>2.5785</v>
      </c>
      <c r="E285" s="2" t="s">
        <v>344</v>
      </c>
      <c r="F285" s="2" t="str">
        <f>VLOOKUP(B285,MSCI中国成分股!A:B,1,)</f>
        <v>600089</v>
      </c>
    </row>
    <row r="286" spans="1:6" ht="20.25" customHeight="1" x14ac:dyDescent="0.15">
      <c r="A286" s="2" t="s">
        <v>1283</v>
      </c>
      <c r="B286" s="2" t="s">
        <v>1284</v>
      </c>
      <c r="C286" s="2">
        <v>1.77</v>
      </c>
      <c r="D286" s="2">
        <v>3.9371</v>
      </c>
      <c r="E286" s="2" t="s">
        <v>1285</v>
      </c>
      <c r="F286" s="2" t="str">
        <f>VLOOKUP(B286,MSCI中国成分股!A:B,1,)</f>
        <v>000723</v>
      </c>
    </row>
    <row r="287" spans="1:6" ht="20.25" customHeight="1" x14ac:dyDescent="0.15">
      <c r="A287" s="2" t="s">
        <v>590</v>
      </c>
      <c r="B287" s="2" t="s">
        <v>591</v>
      </c>
      <c r="C287" s="2">
        <v>1.75</v>
      </c>
      <c r="D287" s="2">
        <v>1.7914000000000001</v>
      </c>
      <c r="E287" s="2" t="s">
        <v>44</v>
      </c>
      <c r="F287" s="2" t="str">
        <f>VLOOKUP(B287,MSCI中国成分股!A:B,1,)</f>
        <v>002294</v>
      </c>
    </row>
    <row r="288" spans="1:6" ht="20.25" customHeight="1" x14ac:dyDescent="0.15">
      <c r="A288" s="2" t="s">
        <v>246</v>
      </c>
      <c r="B288" s="2" t="s">
        <v>247</v>
      </c>
      <c r="C288" s="2">
        <v>1.74</v>
      </c>
      <c r="D288" s="2">
        <v>0.79149999999999998</v>
      </c>
      <c r="E288" s="2" t="s">
        <v>24</v>
      </c>
      <c r="F288" s="2" t="str">
        <f>VLOOKUP(B288,MSCI中国成分股!A:B,1,)</f>
        <v>600674</v>
      </c>
    </row>
    <row r="289" spans="1:6" ht="20.25" hidden="1" customHeight="1" x14ac:dyDescent="0.15">
      <c r="A289" s="2" t="s">
        <v>714</v>
      </c>
      <c r="B289" s="2" t="s">
        <v>715</v>
      </c>
      <c r="C289" s="2">
        <v>0.98</v>
      </c>
      <c r="D289" s="2">
        <v>363.27140000000003</v>
      </c>
      <c r="E289" s="2" t="s">
        <v>204</v>
      </c>
      <c r="F289" s="2" t="e">
        <f>VLOOKUP(B289,MSCI中国成分股!A:B,1,)</f>
        <v>#N/A</v>
      </c>
    </row>
    <row r="290" spans="1:6" ht="20.25" customHeight="1" x14ac:dyDescent="0.15">
      <c r="A290" s="2" t="s">
        <v>467</v>
      </c>
      <c r="B290" s="2" t="s">
        <v>468</v>
      </c>
      <c r="C290" s="2">
        <v>1.74</v>
      </c>
      <c r="D290" s="2">
        <v>0.32540000000000002</v>
      </c>
      <c r="E290" s="2" t="s">
        <v>86</v>
      </c>
      <c r="F290" s="2" t="str">
        <f>VLOOKUP(B290,MSCI中国成分股!A:B,1,)</f>
        <v>688009</v>
      </c>
    </row>
    <row r="291" spans="1:6" ht="20.25" customHeight="1" x14ac:dyDescent="0.15">
      <c r="A291" s="2" t="s">
        <v>460</v>
      </c>
      <c r="B291" s="2" t="s">
        <v>461</v>
      </c>
      <c r="C291" s="2">
        <v>1.73</v>
      </c>
      <c r="D291" s="2">
        <v>5.0126999999999997</v>
      </c>
      <c r="E291" s="2" t="s">
        <v>462</v>
      </c>
      <c r="F291" s="2" t="str">
        <f>VLOOKUP(B291,MSCI中国成分股!A:B,1,)</f>
        <v>600066</v>
      </c>
    </row>
    <row r="292" spans="1:6" ht="20.25" customHeight="1" x14ac:dyDescent="0.15">
      <c r="A292" s="2" t="s">
        <v>641</v>
      </c>
      <c r="B292" s="2" t="s">
        <v>642</v>
      </c>
      <c r="C292" s="2">
        <v>1.72</v>
      </c>
      <c r="D292" s="2">
        <v>0.48020000000000002</v>
      </c>
      <c r="E292" s="2" t="s">
        <v>38</v>
      </c>
      <c r="F292" s="2" t="str">
        <f>VLOOKUP(B292,MSCI中国成分股!A:B,1,)</f>
        <v>601168</v>
      </c>
    </row>
    <row r="293" spans="1:6" ht="20.25" customHeight="1" x14ac:dyDescent="0.15">
      <c r="A293" s="2" t="s">
        <v>1069</v>
      </c>
      <c r="B293" s="2" t="s">
        <v>1070</v>
      </c>
      <c r="C293" s="2">
        <v>1.72</v>
      </c>
      <c r="D293" s="2">
        <v>954.79780000000005</v>
      </c>
      <c r="E293" s="2" t="s">
        <v>41</v>
      </c>
      <c r="F293" s="2" t="str">
        <f>VLOOKUP(B293,MSCI中国成分股!A:B,1,)</f>
        <v>002432</v>
      </c>
    </row>
    <row r="294" spans="1:6" ht="20.25" customHeight="1" x14ac:dyDescent="0.15">
      <c r="A294" s="2" t="s">
        <v>479</v>
      </c>
      <c r="B294" s="2" t="s">
        <v>480</v>
      </c>
      <c r="C294" s="2">
        <v>1.71</v>
      </c>
      <c r="D294" s="2">
        <v>2.161</v>
      </c>
      <c r="E294" s="2" t="s">
        <v>35</v>
      </c>
      <c r="F294" s="2" t="str">
        <f>VLOOKUP(B294,MSCI中国成分股!A:B,1,)</f>
        <v>002600</v>
      </c>
    </row>
    <row r="295" spans="1:6" ht="20.25" customHeight="1" x14ac:dyDescent="0.15">
      <c r="A295" s="2" t="s">
        <v>688</v>
      </c>
      <c r="B295" s="2" t="s">
        <v>689</v>
      </c>
      <c r="C295" s="2">
        <v>1.71</v>
      </c>
      <c r="D295" s="2">
        <v>1.1411</v>
      </c>
      <c r="E295" s="2" t="s">
        <v>690</v>
      </c>
      <c r="F295" s="2" t="str">
        <f>VLOOKUP(B295,MSCI中国成分股!A:B,1,)</f>
        <v>600177</v>
      </c>
    </row>
    <row r="296" spans="1:6" ht="20.25" customHeight="1" x14ac:dyDescent="0.15">
      <c r="A296" s="2" t="s">
        <v>898</v>
      </c>
      <c r="B296" s="2" t="s">
        <v>899</v>
      </c>
      <c r="C296" s="2">
        <v>1.71</v>
      </c>
      <c r="D296" s="2">
        <v>1.3202</v>
      </c>
      <c r="E296" s="2" t="s">
        <v>44</v>
      </c>
      <c r="F296" s="2" t="str">
        <f>VLOOKUP(B296,MSCI中国成分股!A:B,1,)</f>
        <v>600521</v>
      </c>
    </row>
    <row r="297" spans="1:6" ht="20.25" customHeight="1" x14ac:dyDescent="0.15">
      <c r="A297" s="2" t="s">
        <v>484</v>
      </c>
      <c r="B297" s="2" t="s">
        <v>485</v>
      </c>
      <c r="C297" s="2">
        <v>1.7</v>
      </c>
      <c r="D297" s="2">
        <v>0.62909999999999999</v>
      </c>
      <c r="E297" s="2" t="s">
        <v>476</v>
      </c>
      <c r="F297" s="2" t="str">
        <f>VLOOKUP(B297,MSCI中国成分股!A:B,1,)</f>
        <v>002252</v>
      </c>
    </row>
    <row r="298" spans="1:6" ht="20.25" customHeight="1" x14ac:dyDescent="0.15">
      <c r="A298" s="2" t="s">
        <v>1059</v>
      </c>
      <c r="B298" s="2" t="s">
        <v>1060</v>
      </c>
      <c r="C298" s="2">
        <v>1.7</v>
      </c>
      <c r="D298" s="2">
        <v>0.95030000000000003</v>
      </c>
      <c r="E298" s="2" t="s">
        <v>1061</v>
      </c>
      <c r="F298" s="2" t="str">
        <f>VLOOKUP(B298,MSCI中国成分股!A:B,1,)</f>
        <v>002831</v>
      </c>
    </row>
    <row r="299" spans="1:6" ht="20.25" hidden="1" customHeight="1" x14ac:dyDescent="0.15">
      <c r="A299" s="2" t="s">
        <v>737</v>
      </c>
      <c r="B299" s="2" t="s">
        <v>738</v>
      </c>
      <c r="C299" s="2">
        <v>1.91</v>
      </c>
      <c r="D299" s="2">
        <v>0.29649999999999999</v>
      </c>
      <c r="E299" s="2" t="s">
        <v>89</v>
      </c>
      <c r="F299" s="2" t="e">
        <f>VLOOKUP(B299,MSCI中国成分股!A:B,1,)</f>
        <v>#N/A</v>
      </c>
    </row>
    <row r="300" spans="1:6" ht="20.25" customHeight="1" x14ac:dyDescent="0.15">
      <c r="A300" s="2" t="s">
        <v>732</v>
      </c>
      <c r="B300" s="2" t="s">
        <v>733</v>
      </c>
      <c r="C300" s="2">
        <v>1.69</v>
      </c>
      <c r="D300" s="2">
        <v>1.2617</v>
      </c>
      <c r="E300" s="2" t="s">
        <v>171</v>
      </c>
      <c r="F300" s="2" t="str">
        <f>VLOOKUP(B300,MSCI中国成分股!A:B,1,)</f>
        <v>600038</v>
      </c>
    </row>
    <row r="301" spans="1:6" ht="20.25" customHeight="1" x14ac:dyDescent="0.15">
      <c r="A301" s="2" t="s">
        <v>1125</v>
      </c>
      <c r="B301" s="2" t="s">
        <v>1126</v>
      </c>
      <c r="C301" s="2">
        <v>1.69</v>
      </c>
      <c r="D301" s="2">
        <v>0.996</v>
      </c>
      <c r="E301" s="2" t="s">
        <v>21</v>
      </c>
      <c r="F301" s="2" t="str">
        <f>VLOOKUP(B301,MSCI中国成分股!A:B,1,)</f>
        <v>601666</v>
      </c>
    </row>
    <row r="302" spans="1:6" ht="20.25" customHeight="1" x14ac:dyDescent="0.15">
      <c r="A302" s="2" t="s">
        <v>236</v>
      </c>
      <c r="B302" s="2" t="s">
        <v>237</v>
      </c>
      <c r="C302" s="2">
        <v>1.68</v>
      </c>
      <c r="D302" s="2">
        <v>1.6079000000000001</v>
      </c>
      <c r="E302" s="2" t="s">
        <v>10</v>
      </c>
      <c r="F302" s="2" t="str">
        <f>VLOOKUP(B302,MSCI中国成分股!A:B,1,)</f>
        <v>600346</v>
      </c>
    </row>
    <row r="303" spans="1:6" ht="20.25" hidden="1" customHeight="1" x14ac:dyDescent="0.15">
      <c r="A303" s="2" t="s">
        <v>748</v>
      </c>
      <c r="B303" s="2" t="s">
        <v>749</v>
      </c>
      <c r="C303" s="2">
        <v>0.99</v>
      </c>
      <c r="D303" s="2">
        <v>0.85450000000000004</v>
      </c>
      <c r="E303" s="2" t="s">
        <v>750</v>
      </c>
      <c r="F303" s="2" t="e">
        <f>VLOOKUP(B303,MSCI中国成分股!A:B,1,)</f>
        <v>#N/A</v>
      </c>
    </row>
    <row r="304" spans="1:6" ht="20.25" customHeight="1" x14ac:dyDescent="0.15">
      <c r="A304" s="2" t="s">
        <v>579</v>
      </c>
      <c r="B304" s="2" t="s">
        <v>580</v>
      </c>
      <c r="C304" s="2">
        <v>1.68</v>
      </c>
      <c r="D304" s="2">
        <v>1.1555</v>
      </c>
      <c r="E304" s="2" t="s">
        <v>38</v>
      </c>
      <c r="F304" s="2" t="str">
        <f>VLOOKUP(B304,MSCI中国成分股!A:B,1,)</f>
        <v>000630</v>
      </c>
    </row>
    <row r="305" spans="1:6" ht="20.25" customHeight="1" x14ac:dyDescent="0.15">
      <c r="A305" s="2" t="s">
        <v>555</v>
      </c>
      <c r="B305" s="2" t="s">
        <v>556</v>
      </c>
      <c r="C305" s="2">
        <v>1.67</v>
      </c>
      <c r="D305" s="2">
        <v>0.2616</v>
      </c>
      <c r="E305" s="2" t="s">
        <v>418</v>
      </c>
      <c r="F305" s="2" t="str">
        <f>VLOOKUP(B305,MSCI中国成分股!A:B,1,)</f>
        <v>601117</v>
      </c>
    </row>
    <row r="306" spans="1:6" ht="20.25" customHeight="1" x14ac:dyDescent="0.15">
      <c r="A306" s="2" t="s">
        <v>189</v>
      </c>
      <c r="B306" s="2" t="s">
        <v>190</v>
      </c>
      <c r="C306" s="2">
        <v>1.66</v>
      </c>
      <c r="D306" s="2">
        <v>5.6071999999999997</v>
      </c>
      <c r="E306" s="2" t="s">
        <v>18</v>
      </c>
      <c r="F306" s="2" t="str">
        <f>VLOOKUP(B306,MSCI中国成分股!A:B,1,)</f>
        <v>000625</v>
      </c>
    </row>
    <row r="307" spans="1:6" ht="20.25" customHeight="1" x14ac:dyDescent="0.15">
      <c r="A307" s="2" t="s">
        <v>1266</v>
      </c>
      <c r="B307" s="2" t="s">
        <v>1267</v>
      </c>
      <c r="C307" s="2">
        <v>1.66</v>
      </c>
      <c r="D307" s="2">
        <v>2.3605999999999998</v>
      </c>
      <c r="E307" s="2" t="s">
        <v>1268</v>
      </c>
      <c r="F307" s="2" t="str">
        <f>VLOOKUP(B307,MSCI中国成分股!A:B,1,)</f>
        <v>600737</v>
      </c>
    </row>
    <row r="308" spans="1:6" ht="20.25" hidden="1" customHeight="1" x14ac:dyDescent="0.15">
      <c r="A308" s="2" t="s">
        <v>759</v>
      </c>
      <c r="B308" s="2" t="s">
        <v>760</v>
      </c>
      <c r="C308" s="2">
        <v>1.08</v>
      </c>
      <c r="D308" s="2">
        <v>90.376499999999993</v>
      </c>
      <c r="E308" s="2" t="s">
        <v>750</v>
      </c>
      <c r="F308" s="2" t="e">
        <f>VLOOKUP(B308,MSCI中国成分股!A:B,1,)</f>
        <v>#N/A</v>
      </c>
    </row>
    <row r="309" spans="1:6" ht="20.25" customHeight="1" x14ac:dyDescent="0.15">
      <c r="A309" s="2" t="s">
        <v>577</v>
      </c>
      <c r="B309" s="2" t="s">
        <v>578</v>
      </c>
      <c r="C309" s="2">
        <v>1.65</v>
      </c>
      <c r="D309" s="2">
        <v>0.26050000000000001</v>
      </c>
      <c r="E309" s="2" t="s">
        <v>403</v>
      </c>
      <c r="F309" s="2" t="str">
        <f>VLOOKUP(B309,MSCI中国成分股!A:B,1,)</f>
        <v>600875</v>
      </c>
    </row>
    <row r="310" spans="1:6" ht="20.25" customHeight="1" x14ac:dyDescent="0.15">
      <c r="A310" s="2" t="s">
        <v>8</v>
      </c>
      <c r="B310" s="2" t="s">
        <v>9</v>
      </c>
      <c r="C310" s="2">
        <v>1.64</v>
      </c>
      <c r="D310" s="2">
        <v>1.0373000000000001</v>
      </c>
      <c r="E310" s="2" t="s">
        <v>10</v>
      </c>
      <c r="F310" s="2" t="str">
        <f>VLOOKUP(B310,MSCI中国成分股!A:B,1,)</f>
        <v>601857</v>
      </c>
    </row>
    <row r="311" spans="1:6" ht="20.25" customHeight="1" x14ac:dyDescent="0.15">
      <c r="A311" s="2" t="s">
        <v>366</v>
      </c>
      <c r="B311" s="2" t="s">
        <v>367</v>
      </c>
      <c r="C311" s="2">
        <v>1.64</v>
      </c>
      <c r="D311" s="2">
        <v>1.792</v>
      </c>
      <c r="E311" s="2" t="s">
        <v>368</v>
      </c>
      <c r="F311" s="2" t="str">
        <f>VLOOKUP(B311,MSCI中国成分股!A:B,1,)</f>
        <v>600803</v>
      </c>
    </row>
    <row r="312" spans="1:6" ht="20.25" customHeight="1" x14ac:dyDescent="0.15">
      <c r="A312" s="2" t="s">
        <v>463</v>
      </c>
      <c r="B312" s="2" t="s">
        <v>464</v>
      </c>
      <c r="C312" s="2">
        <v>1.64</v>
      </c>
      <c r="D312" s="2">
        <v>1.1064000000000001</v>
      </c>
      <c r="E312" s="2" t="s">
        <v>385</v>
      </c>
      <c r="F312" s="2" t="str">
        <f>VLOOKUP(B312,MSCI中国成分股!A:B,1,)</f>
        <v>000977</v>
      </c>
    </row>
    <row r="313" spans="1:6" ht="20.25" customHeight="1" x14ac:dyDescent="0.15">
      <c r="A313" s="2" t="s">
        <v>753</v>
      </c>
      <c r="B313" s="2" t="s">
        <v>754</v>
      </c>
      <c r="C313" s="2">
        <v>1.62</v>
      </c>
      <c r="D313" s="2">
        <v>0.61570000000000003</v>
      </c>
      <c r="E313" s="2" t="s">
        <v>44</v>
      </c>
      <c r="F313" s="2" t="str">
        <f>VLOOKUP(B313,MSCI中国成分股!A:B,1,)</f>
        <v>600079</v>
      </c>
    </row>
    <row r="314" spans="1:6" ht="20.25" customHeight="1" x14ac:dyDescent="0.15">
      <c r="A314" s="2" t="s">
        <v>917</v>
      </c>
      <c r="B314" s="2" t="s">
        <v>918</v>
      </c>
      <c r="C314" s="2">
        <v>1.6</v>
      </c>
      <c r="D314" s="2">
        <v>5.9476000000000004</v>
      </c>
      <c r="E314" s="2" t="s">
        <v>677</v>
      </c>
      <c r="F314" s="2" t="str">
        <f>VLOOKUP(B314,MSCI中国成分股!A:B,1,)</f>
        <v>603087</v>
      </c>
    </row>
    <row r="315" spans="1:6" ht="20.25" customHeight="1" x14ac:dyDescent="0.15">
      <c r="A315" s="2" t="s">
        <v>566</v>
      </c>
      <c r="B315" s="2" t="s">
        <v>567</v>
      </c>
      <c r="C315" s="2">
        <v>1.58</v>
      </c>
      <c r="D315" s="2">
        <v>4.2523999999999997</v>
      </c>
      <c r="E315" s="2" t="s">
        <v>568</v>
      </c>
      <c r="F315" s="2" t="str">
        <f>VLOOKUP(B315,MSCI中国成分股!A:B,1,)</f>
        <v>600256</v>
      </c>
    </row>
    <row r="316" spans="1:6" ht="20.25" hidden="1" customHeight="1" x14ac:dyDescent="0.15">
      <c r="A316" s="2" t="s">
        <v>776</v>
      </c>
      <c r="B316" s="2" t="s">
        <v>777</v>
      </c>
      <c r="C316" s="2">
        <v>2.63</v>
      </c>
      <c r="D316" s="2">
        <v>0.54700000000000004</v>
      </c>
      <c r="E316" s="2" t="s">
        <v>511</v>
      </c>
      <c r="F316" s="2" t="e">
        <f>VLOOKUP(B316,MSCI中国成分股!A:B,1,)</f>
        <v>#N/A</v>
      </c>
    </row>
    <row r="317" spans="1:6" ht="20.25" customHeight="1" x14ac:dyDescent="0.15">
      <c r="A317" s="2" t="s">
        <v>383</v>
      </c>
      <c r="B317" s="2" t="s">
        <v>384</v>
      </c>
      <c r="C317" s="2">
        <v>1.57</v>
      </c>
      <c r="D317" s="2">
        <v>1.8759999999999999</v>
      </c>
      <c r="E317" s="2" t="s">
        <v>385</v>
      </c>
      <c r="F317" s="2" t="str">
        <f>VLOOKUP(B317,MSCI中国成分股!A:B,1,)</f>
        <v>603019</v>
      </c>
    </row>
    <row r="318" spans="1:6" ht="20.25" customHeight="1" x14ac:dyDescent="0.15">
      <c r="A318" s="2" t="s">
        <v>84</v>
      </c>
      <c r="B318" s="2" t="s">
        <v>85</v>
      </c>
      <c r="C318" s="2">
        <v>1.55</v>
      </c>
      <c r="D318" s="2">
        <v>0.67010000000000003</v>
      </c>
      <c r="E318" s="2" t="s">
        <v>86</v>
      </c>
      <c r="F318" s="2" t="str">
        <f>VLOOKUP(B318,MSCI中国成分股!A:B,1,)</f>
        <v>601766</v>
      </c>
    </row>
    <row r="319" spans="1:6" ht="20.25" customHeight="1" x14ac:dyDescent="0.15">
      <c r="A319" s="2" t="s">
        <v>532</v>
      </c>
      <c r="B319" s="2" t="s">
        <v>533</v>
      </c>
      <c r="C319" s="2">
        <v>1.55</v>
      </c>
      <c r="D319" s="2">
        <v>2.2637999999999998</v>
      </c>
      <c r="E319" s="2" t="s">
        <v>391</v>
      </c>
      <c r="F319" s="2" t="str">
        <f>VLOOKUP(B319,MSCI中国成分股!A:B,1,)</f>
        <v>601877</v>
      </c>
    </row>
    <row r="320" spans="1:6" ht="20.25" customHeight="1" x14ac:dyDescent="0.15">
      <c r="A320" s="2" t="s">
        <v>718</v>
      </c>
      <c r="B320" s="2" t="s">
        <v>719</v>
      </c>
      <c r="C320" s="2">
        <v>1.55</v>
      </c>
      <c r="D320" s="2">
        <v>4.6779000000000002</v>
      </c>
      <c r="E320" s="2" t="s">
        <v>140</v>
      </c>
      <c r="F320" s="2" t="str">
        <f>VLOOKUP(B320,MSCI中国成分股!A:B,1,)</f>
        <v>000423</v>
      </c>
    </row>
    <row r="321" spans="1:6" ht="20.25" customHeight="1" x14ac:dyDescent="0.15">
      <c r="A321" s="2" t="s">
        <v>844</v>
      </c>
      <c r="B321" s="2" t="s">
        <v>845</v>
      </c>
      <c r="C321" s="2">
        <v>1.55</v>
      </c>
      <c r="D321" s="2">
        <v>1.1277999999999999</v>
      </c>
      <c r="E321" s="2" t="s">
        <v>146</v>
      </c>
      <c r="F321" s="2" t="str">
        <f>VLOOKUP(B321,MSCI中国成分股!A:B,1,)</f>
        <v>600282</v>
      </c>
    </row>
    <row r="322" spans="1:6" ht="20.25" customHeight="1" x14ac:dyDescent="0.15">
      <c r="A322" s="2" t="s">
        <v>780</v>
      </c>
      <c r="B322" s="2" t="s">
        <v>781</v>
      </c>
      <c r="C322" s="2">
        <v>1.54</v>
      </c>
      <c r="D322" s="2">
        <v>0.25850000000000001</v>
      </c>
      <c r="E322" s="2" t="s">
        <v>483</v>
      </c>
      <c r="F322" s="2" t="str">
        <f>VLOOKUP(B322,MSCI中国成分股!A:B,1,)</f>
        <v>002085</v>
      </c>
    </row>
    <row r="323" spans="1:6" ht="20.25" hidden="1" customHeight="1" x14ac:dyDescent="0.15">
      <c r="A323" s="2" t="s">
        <v>792</v>
      </c>
      <c r="B323" s="2" t="s">
        <v>793</v>
      </c>
      <c r="C323" s="2">
        <v>1.71</v>
      </c>
      <c r="D323" s="2">
        <v>1.0935999999999999</v>
      </c>
      <c r="E323" s="2" t="s">
        <v>794</v>
      </c>
      <c r="F323" s="2" t="e">
        <f>VLOOKUP(B323,MSCI中国成分股!A:B,1,)</f>
        <v>#N/A</v>
      </c>
    </row>
    <row r="324" spans="1:6" ht="20.25" customHeight="1" x14ac:dyDescent="0.15">
      <c r="A324" s="2" t="s">
        <v>1119</v>
      </c>
      <c r="B324" s="2" t="s">
        <v>1120</v>
      </c>
      <c r="C324" s="2">
        <v>1.54</v>
      </c>
      <c r="D324" s="2">
        <v>1.8825000000000001</v>
      </c>
      <c r="E324" s="2" t="s">
        <v>744</v>
      </c>
      <c r="F324" s="2" t="str">
        <f>VLOOKUP(B324,MSCI中国成分股!A:B,1,)</f>
        <v>002008</v>
      </c>
    </row>
    <row r="325" spans="1:6" ht="20.25" hidden="1" customHeight="1" x14ac:dyDescent="0.15">
      <c r="A325" s="2" t="s">
        <v>797</v>
      </c>
      <c r="B325" s="2" t="s">
        <v>798</v>
      </c>
      <c r="C325" s="2">
        <v>2.7949999999999999</v>
      </c>
      <c r="D325" s="2">
        <v>4.8373999999999997</v>
      </c>
      <c r="E325" s="2" t="s">
        <v>799</v>
      </c>
      <c r="F325" s="2" t="e">
        <f>VLOOKUP(B325,MSCI中国成分股!A:B,1,)</f>
        <v>#N/A</v>
      </c>
    </row>
    <row r="326" spans="1:6" ht="20.25" hidden="1" customHeight="1" x14ac:dyDescent="0.15">
      <c r="A326" s="2" t="s">
        <v>800</v>
      </c>
      <c r="B326" s="2" t="s">
        <v>801</v>
      </c>
      <c r="C326" s="2">
        <v>-0.61</v>
      </c>
      <c r="D326" s="2">
        <v>5.0846</v>
      </c>
      <c r="E326" s="2" t="s">
        <v>385</v>
      </c>
      <c r="F326" s="2" t="e">
        <f>VLOOKUP(B326,MSCI中国成分股!A:B,1,)</f>
        <v>#N/A</v>
      </c>
    </row>
    <row r="327" spans="1:6" ht="20.25" customHeight="1" x14ac:dyDescent="0.15">
      <c r="A327" s="2" t="s">
        <v>895</v>
      </c>
      <c r="B327" s="2" t="s">
        <v>896</v>
      </c>
      <c r="C327" s="2">
        <v>1.53</v>
      </c>
      <c r="D327" s="2">
        <v>0.25340000000000001</v>
      </c>
      <c r="E327" s="2" t="s">
        <v>897</v>
      </c>
      <c r="F327" s="2" t="str">
        <f>VLOOKUP(B327,MSCI中国成分股!A:B,1,)</f>
        <v>600549</v>
      </c>
    </row>
    <row r="328" spans="1:6" ht="20.25" customHeight="1" x14ac:dyDescent="0.15">
      <c r="A328" s="2" t="s">
        <v>772</v>
      </c>
      <c r="B328" s="2" t="s">
        <v>773</v>
      </c>
      <c r="C328" s="2">
        <v>1.5249999999999999</v>
      </c>
      <c r="D328" s="2">
        <v>0.74829999999999997</v>
      </c>
      <c r="E328" s="2" t="s">
        <v>747</v>
      </c>
      <c r="F328" s="2" t="str">
        <f>VLOOKUP(B328,MSCI中国成分股!A:B,1,)</f>
        <v>300919</v>
      </c>
    </row>
    <row r="329" spans="1:6" ht="20.25" customHeight="1" x14ac:dyDescent="0.15">
      <c r="A329" s="2" t="s">
        <v>852</v>
      </c>
      <c r="B329" s="2" t="s">
        <v>853</v>
      </c>
      <c r="C329" s="2">
        <v>1.52</v>
      </c>
      <c r="D329" s="2">
        <v>0.26429999999999998</v>
      </c>
      <c r="E329" s="2" t="s">
        <v>171</v>
      </c>
      <c r="F329" s="2" t="str">
        <f>VLOOKUP(B329,MSCI中国成分股!A:B,1,)</f>
        <v>000738</v>
      </c>
    </row>
    <row r="330" spans="1:6" ht="20.25" customHeight="1" x14ac:dyDescent="0.15">
      <c r="A330" s="2" t="s">
        <v>914</v>
      </c>
      <c r="B330" s="2" t="s">
        <v>915</v>
      </c>
      <c r="C330" s="2">
        <v>1.51</v>
      </c>
      <c r="D330" s="2">
        <v>2.6781999999999999</v>
      </c>
      <c r="E330" s="2" t="s">
        <v>916</v>
      </c>
      <c r="F330" s="2" t="str">
        <f>VLOOKUP(B330,MSCI中国成分股!A:B,1,)</f>
        <v>600497</v>
      </c>
    </row>
    <row r="331" spans="1:6" ht="20.25" customHeight="1" x14ac:dyDescent="0.15">
      <c r="A331" s="2" t="s">
        <v>386</v>
      </c>
      <c r="B331" s="2" t="s">
        <v>387</v>
      </c>
      <c r="C331" s="2">
        <v>1.5</v>
      </c>
      <c r="D331" s="2">
        <v>0.89590000000000003</v>
      </c>
      <c r="E331" s="2" t="s">
        <v>388</v>
      </c>
      <c r="F331" s="2" t="str">
        <f>VLOOKUP(B331,MSCI中国成分股!A:B,1,)</f>
        <v>600584</v>
      </c>
    </row>
    <row r="332" spans="1:6" ht="20.25" hidden="1" customHeight="1" x14ac:dyDescent="0.15">
      <c r="A332" s="2" t="s">
        <v>812</v>
      </c>
      <c r="B332" s="2" t="s">
        <v>813</v>
      </c>
      <c r="C332" s="2">
        <v>2.9</v>
      </c>
      <c r="D332" s="2">
        <v>3.0152999999999999</v>
      </c>
      <c r="E332" s="2" t="s">
        <v>741</v>
      </c>
      <c r="F332" s="2" t="e">
        <f>VLOOKUP(B332,MSCI中国成分股!A:B,1,)</f>
        <v>#N/A</v>
      </c>
    </row>
    <row r="333" spans="1:6" ht="20.25" hidden="1" customHeight="1" x14ac:dyDescent="0.15">
      <c r="A333" s="2" t="s">
        <v>814</v>
      </c>
      <c r="B333" s="2" t="s">
        <v>815</v>
      </c>
      <c r="C333" s="2">
        <v>0.48</v>
      </c>
      <c r="D333" s="2">
        <v>0.28220000000000001</v>
      </c>
      <c r="E333" s="2" t="s">
        <v>430</v>
      </c>
      <c r="F333" s="2" t="e">
        <f>VLOOKUP(B333,MSCI中国成分股!A:B,1,)</f>
        <v>#N/A</v>
      </c>
    </row>
    <row r="334" spans="1:6" ht="20.25" customHeight="1" x14ac:dyDescent="0.15">
      <c r="A334" s="2" t="s">
        <v>858</v>
      </c>
      <c r="B334" s="2" t="s">
        <v>859</v>
      </c>
      <c r="C334" s="2">
        <v>1.5</v>
      </c>
      <c r="D334" s="2">
        <v>35.464100000000002</v>
      </c>
      <c r="E334" s="2" t="s">
        <v>633</v>
      </c>
      <c r="F334" s="2" t="str">
        <f>VLOOKUP(B334,MSCI中国成分股!A:B,1,)</f>
        <v>002602</v>
      </c>
    </row>
    <row r="335" spans="1:6" ht="20.25" customHeight="1" x14ac:dyDescent="0.15">
      <c r="A335" s="2" t="s">
        <v>1005</v>
      </c>
      <c r="B335" s="2" t="s">
        <v>1006</v>
      </c>
      <c r="C335" s="2">
        <v>1.5</v>
      </c>
      <c r="D335" s="2">
        <v>0.89980000000000004</v>
      </c>
      <c r="E335" s="2" t="s">
        <v>89</v>
      </c>
      <c r="F335" s="2" t="str">
        <f>VLOOKUP(B335,MSCI中国成分股!A:B,1,)</f>
        <v>002120</v>
      </c>
    </row>
    <row r="336" spans="1:6" ht="20.25" customHeight="1" x14ac:dyDescent="0.15">
      <c r="A336" s="2" t="s">
        <v>1218</v>
      </c>
      <c r="B336" s="2" t="s">
        <v>1219</v>
      </c>
      <c r="C336" s="2">
        <v>1.5</v>
      </c>
      <c r="D336" s="2">
        <v>0.68799999999999994</v>
      </c>
      <c r="E336" s="2" t="s">
        <v>201</v>
      </c>
      <c r="F336" s="2" t="str">
        <f>VLOOKUP(B336,MSCI中国成分股!A:B,1,)</f>
        <v>002472</v>
      </c>
    </row>
    <row r="337" spans="1:6" ht="20.25" customHeight="1" x14ac:dyDescent="0.15">
      <c r="A337" s="2" t="s">
        <v>622</v>
      </c>
      <c r="B337" s="2" t="s">
        <v>623</v>
      </c>
      <c r="C337" s="2">
        <v>1.49</v>
      </c>
      <c r="D337" s="2">
        <v>0.63290000000000002</v>
      </c>
      <c r="E337" s="2" t="s">
        <v>286</v>
      </c>
      <c r="F337" s="2" t="str">
        <f>VLOOKUP(B337,MSCI中国成分股!A:B,1,)</f>
        <v>002384</v>
      </c>
    </row>
    <row r="338" spans="1:6" ht="20.25" customHeight="1" x14ac:dyDescent="0.15">
      <c r="A338" s="2" t="s">
        <v>601</v>
      </c>
      <c r="B338" s="2" t="s">
        <v>602</v>
      </c>
      <c r="C338" s="2">
        <v>1.48</v>
      </c>
      <c r="D338" s="2">
        <v>0.76870000000000005</v>
      </c>
      <c r="E338" s="2" t="s">
        <v>198</v>
      </c>
      <c r="F338" s="2" t="str">
        <f>VLOOKUP(B338,MSCI中国成分股!A:B,1,)</f>
        <v>688599</v>
      </c>
    </row>
    <row r="339" spans="1:6" ht="20.25" customHeight="1" x14ac:dyDescent="0.15">
      <c r="A339" s="2" t="s">
        <v>525</v>
      </c>
      <c r="B339" s="2" t="s">
        <v>526</v>
      </c>
      <c r="C339" s="2">
        <v>1.46</v>
      </c>
      <c r="D339" s="2">
        <v>0.2374</v>
      </c>
      <c r="E339" s="2" t="s">
        <v>207</v>
      </c>
      <c r="F339" s="2" t="str">
        <f>VLOOKUP(B339,MSCI中国成分股!A:B,1,)</f>
        <v>600219</v>
      </c>
    </row>
    <row r="340" spans="1:6" ht="20.25" customHeight="1" x14ac:dyDescent="0.15">
      <c r="A340" s="2" t="s">
        <v>1176</v>
      </c>
      <c r="B340" s="2" t="s">
        <v>1177</v>
      </c>
      <c r="C340" s="2">
        <v>1.46</v>
      </c>
      <c r="D340" s="2">
        <v>3.6442000000000001</v>
      </c>
      <c r="E340" s="2" t="s">
        <v>188</v>
      </c>
      <c r="F340" s="2" t="str">
        <f>VLOOKUP(B340,MSCI中国成分股!A:B,1,)</f>
        <v>000830</v>
      </c>
    </row>
    <row r="341" spans="1:6" ht="20.25" customHeight="1" x14ac:dyDescent="0.15">
      <c r="A341" s="2" t="s">
        <v>1222</v>
      </c>
      <c r="B341" s="2" t="s">
        <v>1223</v>
      </c>
      <c r="C341" s="2">
        <v>1.44</v>
      </c>
      <c r="D341" s="2">
        <v>9.4665999999999997</v>
      </c>
      <c r="E341" s="2" t="s">
        <v>1224</v>
      </c>
      <c r="F341" s="2" t="str">
        <f>VLOOKUP(B341,MSCI中国成分股!A:B,1,)</f>
        <v>300054</v>
      </c>
    </row>
    <row r="342" spans="1:6" ht="20.25" customHeight="1" x14ac:dyDescent="0.15">
      <c r="A342" s="2" t="s">
        <v>22</v>
      </c>
      <c r="B342" s="2" t="s">
        <v>23</v>
      </c>
      <c r="C342" s="2">
        <v>1.43</v>
      </c>
      <c r="D342" s="2">
        <v>1.0125999999999999</v>
      </c>
      <c r="E342" s="2" t="s">
        <v>24</v>
      </c>
      <c r="F342" s="2" t="str">
        <f>VLOOKUP(B342,MSCI中国成分股!A:B,1,)</f>
        <v>600900</v>
      </c>
    </row>
    <row r="343" spans="1:6" ht="20.25" customHeight="1" x14ac:dyDescent="0.15">
      <c r="A343" s="2" t="s">
        <v>144</v>
      </c>
      <c r="B343" s="2" t="s">
        <v>145</v>
      </c>
      <c r="C343" s="2">
        <v>1.42</v>
      </c>
      <c r="D343" s="2">
        <v>0.61899999999999999</v>
      </c>
      <c r="E343" s="2" t="s">
        <v>146</v>
      </c>
      <c r="F343" s="2" t="str">
        <f>VLOOKUP(B343,MSCI中国成分股!A:B,1,)</f>
        <v>600019</v>
      </c>
    </row>
    <row r="344" spans="1:6" ht="20.25" customHeight="1" x14ac:dyDescent="0.15">
      <c r="A344" s="2" t="s">
        <v>680</v>
      </c>
      <c r="B344" s="2" t="s">
        <v>681</v>
      </c>
      <c r="C344" s="2">
        <v>1.42</v>
      </c>
      <c r="D344" s="2">
        <v>1.1960999999999999</v>
      </c>
      <c r="E344" s="2" t="s">
        <v>682</v>
      </c>
      <c r="F344" s="2" t="str">
        <f>VLOOKUP(B344,MSCI中国成分股!A:B,1,)</f>
        <v>600745</v>
      </c>
    </row>
    <row r="345" spans="1:6" ht="20.25" customHeight="1" x14ac:dyDescent="0.15">
      <c r="A345" s="2" t="s">
        <v>552</v>
      </c>
      <c r="B345" s="2" t="s">
        <v>553</v>
      </c>
      <c r="C345" s="2">
        <v>1.41</v>
      </c>
      <c r="D345" s="2">
        <v>1.1811</v>
      </c>
      <c r="E345" s="2" t="s">
        <v>554</v>
      </c>
      <c r="F345" s="2" t="str">
        <f>VLOOKUP(B345,MSCI中国成分股!A:B,1,)</f>
        <v>603799</v>
      </c>
    </row>
    <row r="346" spans="1:6" ht="20.25" customHeight="1" x14ac:dyDescent="0.15">
      <c r="A346" s="2" t="s">
        <v>900</v>
      </c>
      <c r="B346" s="2" t="s">
        <v>901</v>
      </c>
      <c r="C346" s="2">
        <v>1.41</v>
      </c>
      <c r="D346" s="2">
        <v>0.54530000000000001</v>
      </c>
      <c r="E346" s="2" t="s">
        <v>339</v>
      </c>
      <c r="F346" s="2" t="str">
        <f>VLOOKUP(B346,MSCI中国成分股!A:B,1,)</f>
        <v>600998</v>
      </c>
    </row>
    <row r="347" spans="1:6" ht="20.25" customHeight="1" x14ac:dyDescent="0.15">
      <c r="A347" s="2" t="s">
        <v>1018</v>
      </c>
      <c r="B347" s="2" t="s">
        <v>1019</v>
      </c>
      <c r="C347" s="2">
        <v>1.41</v>
      </c>
      <c r="D347" s="2">
        <v>1.1309</v>
      </c>
      <c r="E347" s="2" t="s">
        <v>430</v>
      </c>
      <c r="F347" s="2" t="str">
        <f>VLOOKUP(B347,MSCI中国成分股!A:B,1,)</f>
        <v>600583</v>
      </c>
    </row>
    <row r="348" spans="1:6" ht="20.25" customHeight="1" x14ac:dyDescent="0.15">
      <c r="A348" s="2" t="s">
        <v>14</v>
      </c>
      <c r="B348" s="2" t="s">
        <v>15</v>
      </c>
      <c r="C348" s="2">
        <v>1.4</v>
      </c>
      <c r="D348" s="2">
        <v>1.6160000000000001</v>
      </c>
      <c r="E348" s="2" t="s">
        <v>10</v>
      </c>
      <c r="F348" s="2" t="str">
        <f>VLOOKUP(B348,MSCI中国成分股!A:B,1,)</f>
        <v>600028</v>
      </c>
    </row>
    <row r="349" spans="1:6" ht="20.25" customHeight="1" x14ac:dyDescent="0.15">
      <c r="A349" s="2" t="s">
        <v>16</v>
      </c>
      <c r="B349" s="2" t="s">
        <v>17</v>
      </c>
      <c r="C349" s="2">
        <v>1.4</v>
      </c>
      <c r="D349" s="2">
        <v>4.2731000000000003</v>
      </c>
      <c r="E349" s="2" t="s">
        <v>18</v>
      </c>
      <c r="F349" s="2" t="str">
        <f>VLOOKUP(B349,MSCI中国成分股!A:B,1,)</f>
        <v>002594</v>
      </c>
    </row>
    <row r="350" spans="1:6" ht="20.25" customHeight="1" x14ac:dyDescent="0.15">
      <c r="A350" s="2" t="s">
        <v>379</v>
      </c>
      <c r="B350" s="2" t="s">
        <v>380</v>
      </c>
      <c r="C350" s="2">
        <v>1.37</v>
      </c>
      <c r="D350" s="2">
        <v>0.17610000000000001</v>
      </c>
      <c r="E350" s="2" t="s">
        <v>299</v>
      </c>
      <c r="F350" s="2" t="str">
        <f>VLOOKUP(B350,MSCI中国成分股!A:B,1,)</f>
        <v>000938</v>
      </c>
    </row>
    <row r="351" spans="1:6" ht="20.25" customHeight="1" x14ac:dyDescent="0.15">
      <c r="A351" s="2" t="s">
        <v>1290</v>
      </c>
      <c r="B351" s="2" t="s">
        <v>1291</v>
      </c>
      <c r="C351" s="2">
        <v>1.37</v>
      </c>
      <c r="D351" s="2">
        <v>2.5234999999999999</v>
      </c>
      <c r="E351" s="2" t="s">
        <v>35</v>
      </c>
      <c r="F351" s="2" t="str">
        <f>VLOOKUP(B351,MSCI中国成分股!A:B,1,)</f>
        <v>300136</v>
      </c>
    </row>
    <row r="352" spans="1:6" ht="20.25" customHeight="1" x14ac:dyDescent="0.15">
      <c r="A352" s="2" t="s">
        <v>274</v>
      </c>
      <c r="B352" s="2" t="s">
        <v>275</v>
      </c>
      <c r="C352" s="2">
        <v>1.36</v>
      </c>
      <c r="D352" s="2">
        <v>0.37509999999999999</v>
      </c>
      <c r="E352" s="2" t="s">
        <v>276</v>
      </c>
      <c r="F352" s="2" t="str">
        <f>VLOOKUP(B352,MSCI中国成分股!A:B,1,)</f>
        <v>001965</v>
      </c>
    </row>
    <row r="353" spans="1:6" ht="20.25" customHeight="1" x14ac:dyDescent="0.15">
      <c r="A353" s="2" t="s">
        <v>1037</v>
      </c>
      <c r="B353" s="2" t="s">
        <v>1038</v>
      </c>
      <c r="C353" s="2">
        <v>1.36</v>
      </c>
      <c r="D353" s="2">
        <v>0.1835</v>
      </c>
      <c r="E353" s="2" t="s">
        <v>89</v>
      </c>
      <c r="F353" s="2" t="str">
        <f>VLOOKUP(B353,MSCI中国成分股!A:B,1,)</f>
        <v>600704</v>
      </c>
    </row>
    <row r="354" spans="1:6" ht="20.25" customHeight="1" x14ac:dyDescent="0.15">
      <c r="A354" s="2" t="s">
        <v>1103</v>
      </c>
      <c r="B354" s="2" t="s">
        <v>1104</v>
      </c>
      <c r="C354" s="2">
        <v>1.35</v>
      </c>
      <c r="D354" s="2">
        <v>0.29809999999999998</v>
      </c>
      <c r="E354" s="2" t="s">
        <v>406</v>
      </c>
      <c r="F354" s="2" t="str">
        <f>VLOOKUP(B354,MSCI中国成分股!A:B,1,)</f>
        <v>688065</v>
      </c>
    </row>
    <row r="355" spans="1:6" ht="20.25" customHeight="1" x14ac:dyDescent="0.15">
      <c r="A355" s="2" t="s">
        <v>1193</v>
      </c>
      <c r="B355" s="2" t="s">
        <v>1194</v>
      </c>
      <c r="C355" s="2">
        <v>1.35</v>
      </c>
      <c r="D355" s="2">
        <v>0.1595</v>
      </c>
      <c r="E355" s="2" t="s">
        <v>1102</v>
      </c>
      <c r="F355" s="2" t="str">
        <f>VLOOKUP(B355,MSCI中国成分股!A:B,1,)</f>
        <v>000598</v>
      </c>
    </row>
    <row r="356" spans="1:6" ht="20.25" hidden="1" customHeight="1" x14ac:dyDescent="0.15">
      <c r="A356" s="2" t="s">
        <v>863</v>
      </c>
      <c r="B356" s="2" t="s">
        <v>864</v>
      </c>
      <c r="C356" s="2">
        <v>0.63</v>
      </c>
      <c r="D356" s="2">
        <v>0.87460000000000004</v>
      </c>
      <c r="E356" s="2" t="s">
        <v>391</v>
      </c>
      <c r="F356" s="2" t="e">
        <f>VLOOKUP(B356,MSCI中国成分股!A:B,1,)</f>
        <v>#N/A</v>
      </c>
    </row>
    <row r="357" spans="1:6" ht="20.25" hidden="1" customHeight="1" x14ac:dyDescent="0.15">
      <c r="A357" s="2" t="s">
        <v>865</v>
      </c>
      <c r="B357" s="2" t="s">
        <v>866</v>
      </c>
      <c r="C357" s="2">
        <v>0.91</v>
      </c>
      <c r="D357" s="2">
        <v>1.0048999999999999</v>
      </c>
      <c r="E357" s="2" t="s">
        <v>225</v>
      </c>
      <c r="F357" s="2" t="e">
        <f>VLOOKUP(B357,MSCI中国成分股!A:B,1,)</f>
        <v>#N/A</v>
      </c>
    </row>
    <row r="358" spans="1:6" ht="20.25" hidden="1" customHeight="1" x14ac:dyDescent="0.15">
      <c r="A358" s="2" t="s">
        <v>867</v>
      </c>
      <c r="B358" s="2" t="s">
        <v>868</v>
      </c>
      <c r="C358" s="2">
        <v>3.47</v>
      </c>
      <c r="D358" s="2">
        <v>7.9977</v>
      </c>
      <c r="E358" s="2" t="s">
        <v>89</v>
      </c>
      <c r="F358" s="2" t="e">
        <f>VLOOKUP(B358,MSCI中国成分股!A:B,1,)</f>
        <v>#N/A</v>
      </c>
    </row>
    <row r="359" spans="1:6" ht="20.25" hidden="1" customHeight="1" x14ac:dyDescent="0.15">
      <c r="A359" s="2" t="s">
        <v>869</v>
      </c>
      <c r="B359" s="2" t="s">
        <v>870</v>
      </c>
      <c r="C359" s="2">
        <v>0.48</v>
      </c>
      <c r="D359" s="2">
        <v>0.46010000000000001</v>
      </c>
      <c r="E359" s="2" t="s">
        <v>322</v>
      </c>
      <c r="F359" s="2" t="e">
        <f>VLOOKUP(B359,MSCI中国成分股!A:B,1,)</f>
        <v>#N/A</v>
      </c>
    </row>
    <row r="360" spans="1:6" ht="20.25" customHeight="1" x14ac:dyDescent="0.15">
      <c r="A360" s="2" t="s">
        <v>375</v>
      </c>
      <c r="B360" s="2" t="s">
        <v>376</v>
      </c>
      <c r="C360" s="2">
        <v>1.34</v>
      </c>
      <c r="D360" s="2">
        <v>0.39779999999999999</v>
      </c>
      <c r="E360" s="2" t="s">
        <v>44</v>
      </c>
      <c r="F360" s="2" t="str">
        <f>VLOOKUP(B360,MSCI中国成分股!A:B,1,)</f>
        <v>600196</v>
      </c>
    </row>
    <row r="361" spans="1:6" ht="20.25" customHeight="1" x14ac:dyDescent="0.15">
      <c r="A361" s="2" t="s">
        <v>1085</v>
      </c>
      <c r="B361" s="2" t="s">
        <v>1086</v>
      </c>
      <c r="C361" s="2">
        <v>1.34</v>
      </c>
      <c r="D361" s="2">
        <v>5.6573000000000002</v>
      </c>
      <c r="E361" s="2" t="s">
        <v>614</v>
      </c>
      <c r="F361" s="2" t="str">
        <f>VLOOKUP(B361,MSCI中国成分股!A:B,1,)</f>
        <v>600141</v>
      </c>
    </row>
    <row r="362" spans="1:6" ht="20.25" customHeight="1" x14ac:dyDescent="0.15">
      <c r="A362" s="2" t="s">
        <v>397</v>
      </c>
      <c r="B362" s="2" t="s">
        <v>398</v>
      </c>
      <c r="C362" s="2">
        <v>1.33</v>
      </c>
      <c r="D362" s="2">
        <v>0.57089999999999996</v>
      </c>
      <c r="E362" s="2" t="s">
        <v>171</v>
      </c>
      <c r="F362" s="2" t="str">
        <f>VLOOKUP(B362,MSCI中国成分股!A:B,1,)</f>
        <v>600372</v>
      </c>
    </row>
    <row r="363" spans="1:6" ht="20.25" customHeight="1" x14ac:dyDescent="0.15">
      <c r="A363" s="2" t="s">
        <v>87</v>
      </c>
      <c r="B363" s="2" t="s">
        <v>88</v>
      </c>
      <c r="C363" s="2">
        <v>1.32</v>
      </c>
      <c r="D363" s="2">
        <v>0.93079999999999996</v>
      </c>
      <c r="E363" s="2" t="s">
        <v>89</v>
      </c>
      <c r="F363" s="2" t="str">
        <f>VLOOKUP(B363,MSCI中国成分股!A:B,1,)</f>
        <v>002352</v>
      </c>
    </row>
    <row r="364" spans="1:6" ht="20.25" customHeight="1" x14ac:dyDescent="0.15">
      <c r="A364" s="2" t="s">
        <v>414</v>
      </c>
      <c r="B364" s="2" t="s">
        <v>415</v>
      </c>
      <c r="C364" s="2">
        <v>1.32</v>
      </c>
      <c r="D364" s="2">
        <v>0.83379999999999999</v>
      </c>
      <c r="E364" s="2" t="s">
        <v>44</v>
      </c>
      <c r="F364" s="2" t="str">
        <f>VLOOKUP(B364,MSCI中国成分股!A:B,1,)</f>
        <v>002422</v>
      </c>
    </row>
    <row r="365" spans="1:6" ht="20.25" customHeight="1" x14ac:dyDescent="0.15">
      <c r="A365" s="2" t="s">
        <v>72</v>
      </c>
      <c r="B365" s="2" t="s">
        <v>73</v>
      </c>
      <c r="C365" s="2">
        <v>1.31</v>
      </c>
      <c r="D365" s="2">
        <v>7.0599999999999996E-2</v>
      </c>
      <c r="E365" s="2" t="s">
        <v>74</v>
      </c>
      <c r="F365" s="2" t="str">
        <f>VLOOKUP(B365,MSCI中国成分股!A:B,1,)</f>
        <v>601668</v>
      </c>
    </row>
    <row r="366" spans="1:6" ht="20.25" hidden="1" customHeight="1" x14ac:dyDescent="0.15">
      <c r="A366" s="2" t="s">
        <v>883</v>
      </c>
      <c r="B366" s="2" t="s">
        <v>884</v>
      </c>
      <c r="C366" s="2">
        <v>2.62</v>
      </c>
      <c r="D366" s="2">
        <v>0.71150000000000002</v>
      </c>
      <c r="E366" s="2" t="s">
        <v>741</v>
      </c>
      <c r="F366" s="2" t="e">
        <f>VLOOKUP(B366,MSCI中国成分股!A:B,1,)</f>
        <v>#N/A</v>
      </c>
    </row>
    <row r="367" spans="1:6" ht="20.25" customHeight="1" x14ac:dyDescent="0.15">
      <c r="A367" s="2" t="s">
        <v>325</v>
      </c>
      <c r="B367" s="2" t="s">
        <v>326</v>
      </c>
      <c r="C367" s="2">
        <v>1.27</v>
      </c>
      <c r="D367" s="2">
        <v>0.17399999999999999</v>
      </c>
      <c r="E367" s="2" t="s">
        <v>134</v>
      </c>
      <c r="F367" s="2" t="str">
        <f>VLOOKUP(B367,MSCI中国成分股!A:B,1,)</f>
        <v>601018</v>
      </c>
    </row>
    <row r="368" spans="1:6" ht="20.25" hidden="1" customHeight="1" x14ac:dyDescent="0.15">
      <c r="A368" s="2" t="s">
        <v>887</v>
      </c>
      <c r="B368" s="2" t="s">
        <v>888</v>
      </c>
      <c r="C368" s="2">
        <v>-0.95</v>
      </c>
      <c r="D368" s="2">
        <v>558.54300000000001</v>
      </c>
      <c r="E368" s="2" t="s">
        <v>140</v>
      </c>
      <c r="F368" s="2" t="e">
        <f>VLOOKUP(B368,MSCI中国成分股!A:B,1,)</f>
        <v>#N/A</v>
      </c>
    </row>
    <row r="369" spans="1:6" ht="20.25" customHeight="1" x14ac:dyDescent="0.15">
      <c r="A369" s="2" t="s">
        <v>610</v>
      </c>
      <c r="B369" s="2" t="s">
        <v>611</v>
      </c>
      <c r="C369" s="2">
        <v>1.27</v>
      </c>
      <c r="D369" s="2">
        <v>7.5523999999999996</v>
      </c>
      <c r="E369" s="2" t="s">
        <v>437</v>
      </c>
      <c r="F369" s="2" t="str">
        <f>VLOOKUP(B369,MSCI中国成分股!A:B,1,)</f>
        <v>000800</v>
      </c>
    </row>
    <row r="370" spans="1:6" ht="20.25" customHeight="1" x14ac:dyDescent="0.15">
      <c r="A370" s="2" t="s">
        <v>879</v>
      </c>
      <c r="B370" s="2" t="s">
        <v>880</v>
      </c>
      <c r="C370" s="2">
        <v>1.27</v>
      </c>
      <c r="D370" s="2">
        <v>1.1611</v>
      </c>
      <c r="E370" s="2" t="s">
        <v>483</v>
      </c>
      <c r="F370" s="2" t="str">
        <f>VLOOKUP(B370,MSCI中国成分股!A:B,1,)</f>
        <v>601966</v>
      </c>
    </row>
    <row r="371" spans="1:6" ht="20.25" hidden="1" customHeight="1" x14ac:dyDescent="0.15">
      <c r="A371" s="2" t="s">
        <v>893</v>
      </c>
      <c r="B371" s="2" t="s">
        <v>894</v>
      </c>
      <c r="C371" s="2">
        <v>-3.46</v>
      </c>
      <c r="D371" s="2">
        <v>500.68689999999998</v>
      </c>
      <c r="E371" s="2" t="s">
        <v>65</v>
      </c>
      <c r="F371" s="2" t="e">
        <f>VLOOKUP(B371,MSCI中国成分股!A:B,1,)</f>
        <v>#N/A</v>
      </c>
    </row>
    <row r="372" spans="1:6" ht="20.25" customHeight="1" x14ac:dyDescent="0.15">
      <c r="A372" s="2" t="s">
        <v>93</v>
      </c>
      <c r="B372" s="2" t="s">
        <v>94</v>
      </c>
      <c r="C372" s="2">
        <v>1.25</v>
      </c>
      <c r="D372" s="2">
        <v>0.53910000000000002</v>
      </c>
      <c r="E372" s="2" t="s">
        <v>95</v>
      </c>
      <c r="F372" s="2" t="str">
        <f>VLOOKUP(B372,MSCI中国成分股!A:B,1,)</f>
        <v>688981</v>
      </c>
    </row>
    <row r="373" spans="1:6" ht="20.25" customHeight="1" x14ac:dyDescent="0.15">
      <c r="A373" s="2" t="s">
        <v>348</v>
      </c>
      <c r="B373" s="2" t="s">
        <v>349</v>
      </c>
      <c r="C373" s="2">
        <v>1.25</v>
      </c>
      <c r="D373" s="2">
        <v>0.2465</v>
      </c>
      <c r="E373" s="2" t="s">
        <v>193</v>
      </c>
      <c r="F373" s="2" t="str">
        <f>VLOOKUP(B373,MSCI中国成分股!A:B,1,)</f>
        <v>600489</v>
      </c>
    </row>
    <row r="374" spans="1:6" ht="20.25" customHeight="1" x14ac:dyDescent="0.15">
      <c r="A374" s="2" t="s">
        <v>416</v>
      </c>
      <c r="B374" s="2" t="s">
        <v>417</v>
      </c>
      <c r="C374" s="2">
        <v>1.24</v>
      </c>
      <c r="D374" s="2">
        <v>0.26600000000000001</v>
      </c>
      <c r="E374" s="2" t="s">
        <v>418</v>
      </c>
      <c r="F374" s="2" t="str">
        <f>VLOOKUP(B374,MSCI中国成分股!A:B,1,)</f>
        <v>601618</v>
      </c>
    </row>
    <row r="375" spans="1:6" ht="20.25" customHeight="1" x14ac:dyDescent="0.15">
      <c r="A375" s="2" t="s">
        <v>816</v>
      </c>
      <c r="B375" s="2" t="s">
        <v>817</v>
      </c>
      <c r="C375" s="2">
        <v>1.21</v>
      </c>
      <c r="D375" s="2">
        <v>3.1756000000000002</v>
      </c>
      <c r="E375" s="2" t="s">
        <v>818</v>
      </c>
      <c r="F375" s="2" t="str">
        <f>VLOOKUP(B375,MSCI中国成分股!A:B,1,)</f>
        <v>601233</v>
      </c>
    </row>
    <row r="376" spans="1:6" ht="20.25" hidden="1" customHeight="1" x14ac:dyDescent="0.15">
      <c r="A376" s="2" t="s">
        <v>904</v>
      </c>
      <c r="B376" s="2" t="s">
        <v>905</v>
      </c>
      <c r="C376" s="2">
        <v>2.33</v>
      </c>
      <c r="D376" s="2">
        <v>0.14760000000000001</v>
      </c>
      <c r="E376" s="2" t="s">
        <v>271</v>
      </c>
      <c r="F376" s="2" t="e">
        <f>VLOOKUP(B376,MSCI中国成分股!A:B,1,)</f>
        <v>#N/A</v>
      </c>
    </row>
    <row r="377" spans="1:6" ht="20.25" customHeight="1" x14ac:dyDescent="0.15">
      <c r="A377" s="2" t="s">
        <v>734</v>
      </c>
      <c r="B377" s="2" t="s">
        <v>735</v>
      </c>
      <c r="C377" s="2">
        <v>1.2</v>
      </c>
      <c r="D377" s="2">
        <v>0.80800000000000005</v>
      </c>
      <c r="E377" s="2" t="s">
        <v>736</v>
      </c>
      <c r="F377" s="2" t="str">
        <f>VLOOKUP(B377,MSCI中国成分股!A:B,1,)</f>
        <v>600352</v>
      </c>
    </row>
    <row r="378" spans="1:6" ht="20.25" customHeight="1" x14ac:dyDescent="0.15">
      <c r="A378" s="2" t="s">
        <v>509</v>
      </c>
      <c r="B378" s="2" t="s">
        <v>510</v>
      </c>
      <c r="C378" s="2">
        <v>1.19</v>
      </c>
      <c r="D378" s="2">
        <v>3.3092000000000001</v>
      </c>
      <c r="E378" s="2" t="s">
        <v>511</v>
      </c>
      <c r="F378" s="2" t="str">
        <f>VLOOKUP(B378,MSCI中国成分股!A:B,1,)</f>
        <v>600160</v>
      </c>
    </row>
    <row r="379" spans="1:6" ht="20.25" hidden="1" customHeight="1" x14ac:dyDescent="0.15">
      <c r="A379" s="2" t="s">
        <v>910</v>
      </c>
      <c r="B379" s="2" t="s">
        <v>911</v>
      </c>
      <c r="C379" s="2">
        <v>1.33</v>
      </c>
      <c r="D379" s="2">
        <v>0.3543</v>
      </c>
      <c r="E379" s="2" t="s">
        <v>750</v>
      </c>
      <c r="F379" s="2" t="e">
        <f>VLOOKUP(B379,MSCI中国成分股!A:B,1,)</f>
        <v>#N/A</v>
      </c>
    </row>
    <row r="380" spans="1:6" ht="20.25" customHeight="1" x14ac:dyDescent="0.15">
      <c r="A380" s="2" t="s">
        <v>337</v>
      </c>
      <c r="B380" s="2" t="s">
        <v>338</v>
      </c>
      <c r="C380" s="2">
        <v>1.18</v>
      </c>
      <c r="D380" s="2">
        <v>0.34100000000000003</v>
      </c>
      <c r="E380" s="2" t="s">
        <v>339</v>
      </c>
      <c r="F380" s="2" t="str">
        <f>VLOOKUP(B380,MSCI中国成分股!A:B,1,)</f>
        <v>601607</v>
      </c>
    </row>
    <row r="381" spans="1:6" ht="20.25" customHeight="1" x14ac:dyDescent="0.15">
      <c r="A381" s="2" t="s">
        <v>1339</v>
      </c>
      <c r="B381" s="2" t="s">
        <v>1340</v>
      </c>
      <c r="C381" s="2">
        <v>1.18</v>
      </c>
      <c r="D381" s="2">
        <v>6.1616999999999997</v>
      </c>
      <c r="E381" s="2" t="s">
        <v>231</v>
      </c>
      <c r="F381" s="2" t="str">
        <f>VLOOKUP(B381,MSCI中国成分股!A:B,1,)</f>
        <v>300142</v>
      </c>
    </row>
    <row r="382" spans="1:6" ht="20.25" customHeight="1" x14ac:dyDescent="0.15">
      <c r="A382" s="2" t="s">
        <v>150</v>
      </c>
      <c r="B382" s="2" t="s">
        <v>151</v>
      </c>
      <c r="C382" s="2">
        <v>1.17</v>
      </c>
      <c r="D382" s="2">
        <v>6.2199999999999998E-2</v>
      </c>
      <c r="E382" s="2" t="s">
        <v>152</v>
      </c>
      <c r="F382" s="2" t="str">
        <f>VLOOKUP(B382,MSCI中国成分股!A:B,1,)</f>
        <v>601390</v>
      </c>
    </row>
    <row r="383" spans="1:6" ht="20.25" customHeight="1" x14ac:dyDescent="0.15">
      <c r="A383" s="2" t="s">
        <v>446</v>
      </c>
      <c r="B383" s="2" t="s">
        <v>447</v>
      </c>
      <c r="C383" s="2">
        <v>1.1499999999999999</v>
      </c>
      <c r="D383" s="2">
        <v>1.1153999999999999</v>
      </c>
      <c r="E383" s="2" t="s">
        <v>137</v>
      </c>
      <c r="F383" s="2" t="str">
        <f>VLOOKUP(B383,MSCI中国成分股!A:B,1,)</f>
        <v>000157</v>
      </c>
    </row>
    <row r="384" spans="1:6" ht="20.25" customHeight="1" x14ac:dyDescent="0.15">
      <c r="A384" s="2" t="s">
        <v>1048</v>
      </c>
      <c r="B384" s="2" t="s">
        <v>1049</v>
      </c>
      <c r="C384" s="2">
        <v>1.1499999999999999</v>
      </c>
      <c r="D384" s="2">
        <v>0.78510000000000002</v>
      </c>
      <c r="E384" s="2" t="s">
        <v>265</v>
      </c>
      <c r="F384" s="2" t="str">
        <f>VLOOKUP(B384,MSCI中国成分股!A:B,1,)</f>
        <v>002465</v>
      </c>
    </row>
    <row r="385" spans="1:6" ht="20.25" hidden="1" customHeight="1" x14ac:dyDescent="0.15">
      <c r="A385" s="2" t="s">
        <v>923</v>
      </c>
      <c r="B385" s="2" t="s">
        <v>924</v>
      </c>
      <c r="C385" s="2">
        <v>5.01</v>
      </c>
      <c r="D385" s="2">
        <v>5.4762000000000004</v>
      </c>
      <c r="E385" s="2" t="s">
        <v>677</v>
      </c>
      <c r="F385" s="2" t="e">
        <f>VLOOKUP(B385,MSCI中国成分股!A:B,1,)</f>
        <v>#N/A</v>
      </c>
    </row>
    <row r="386" spans="1:6" ht="20.25" customHeight="1" x14ac:dyDescent="0.15">
      <c r="A386" s="2" t="s">
        <v>639</v>
      </c>
      <c r="B386" s="2" t="s">
        <v>640</v>
      </c>
      <c r="C386" s="2">
        <v>1.1299999999999999</v>
      </c>
      <c r="D386" s="2">
        <v>29.097999999999999</v>
      </c>
      <c r="E386" s="2" t="s">
        <v>385</v>
      </c>
      <c r="F386" s="2" t="str">
        <f>VLOOKUP(B386,MSCI中国成分股!A:B,1,)</f>
        <v>002180</v>
      </c>
    </row>
    <row r="387" spans="1:6" ht="20.25" customHeight="1" x14ac:dyDescent="0.15">
      <c r="A387" s="2" t="s">
        <v>875</v>
      </c>
      <c r="B387" s="2" t="s">
        <v>876</v>
      </c>
      <c r="C387" s="2">
        <v>1.1299999999999999</v>
      </c>
      <c r="D387" s="2">
        <v>1.4913000000000001</v>
      </c>
      <c r="E387" s="2" t="s">
        <v>322</v>
      </c>
      <c r="F387" s="2" t="str">
        <f>VLOOKUP(B387,MSCI中国成分股!A:B,1,)</f>
        <v>600517</v>
      </c>
    </row>
    <row r="388" spans="1:6" ht="20.25" customHeight="1" x14ac:dyDescent="0.15">
      <c r="A388" s="2" t="s">
        <v>1113</v>
      </c>
      <c r="B388" s="2" t="s">
        <v>1114</v>
      </c>
      <c r="C388" s="2">
        <v>1.1299999999999999</v>
      </c>
      <c r="D388" s="2">
        <v>6.165</v>
      </c>
      <c r="E388" s="2" t="s">
        <v>621</v>
      </c>
      <c r="F388" s="2" t="str">
        <f>VLOOKUP(B388,MSCI中国成分股!A:B,1,)</f>
        <v>603000</v>
      </c>
    </row>
    <row r="389" spans="1:6" ht="20.25" customHeight="1" x14ac:dyDescent="0.15">
      <c r="A389" s="2" t="s">
        <v>615</v>
      </c>
      <c r="B389" s="2" t="s">
        <v>616</v>
      </c>
      <c r="C389" s="2">
        <v>1.1000000000000001</v>
      </c>
      <c r="D389" s="2">
        <v>0.436</v>
      </c>
      <c r="E389" s="2" t="s">
        <v>225</v>
      </c>
      <c r="F389" s="2" t="str">
        <f>VLOOKUP(B389,MSCI中国成分股!A:B,1,)</f>
        <v>600642</v>
      </c>
    </row>
    <row r="390" spans="1:6" ht="20.25" customHeight="1" x14ac:dyDescent="0.15">
      <c r="A390" s="2" t="s">
        <v>98</v>
      </c>
      <c r="B390" s="2" t="s">
        <v>99</v>
      </c>
      <c r="C390" s="2">
        <v>1.0900000000000001</v>
      </c>
      <c r="D390" s="2">
        <v>8.0199999999999994E-2</v>
      </c>
      <c r="E390" s="2" t="s">
        <v>100</v>
      </c>
      <c r="F390" s="2" t="str">
        <f>VLOOKUP(B390,MSCI中国成分股!A:B,1,)</f>
        <v>300059</v>
      </c>
    </row>
    <row r="391" spans="1:6" ht="20.25" customHeight="1" x14ac:dyDescent="0.15">
      <c r="A391" s="2" t="s">
        <v>1379</v>
      </c>
      <c r="B391" s="2" t="s">
        <v>1380</v>
      </c>
      <c r="C391" s="2">
        <v>1.0900000000000001</v>
      </c>
      <c r="D391" s="2">
        <v>3.1131000000000002</v>
      </c>
      <c r="E391" s="2" t="s">
        <v>1381</v>
      </c>
      <c r="F391" s="2" t="str">
        <f>VLOOKUP(B391,MSCI中国成分股!A:B,1,)</f>
        <v>000519</v>
      </c>
    </row>
    <row r="392" spans="1:6" ht="20.25" customHeight="1" x14ac:dyDescent="0.15">
      <c r="A392" s="2" t="s">
        <v>129</v>
      </c>
      <c r="B392" s="2" t="s">
        <v>130</v>
      </c>
      <c r="C392" s="2">
        <v>1.07</v>
      </c>
      <c r="D392" s="2">
        <v>1.1052</v>
      </c>
      <c r="E392" s="2" t="s">
        <v>131</v>
      </c>
      <c r="F392" s="2" t="str">
        <f>VLOOKUP(B392,MSCI中国成分股!A:B,1,)</f>
        <v>603993</v>
      </c>
    </row>
    <row r="393" spans="1:6" ht="20.25" customHeight="1" x14ac:dyDescent="0.15">
      <c r="A393" s="2" t="s">
        <v>585</v>
      </c>
      <c r="B393" s="2" t="s">
        <v>586</v>
      </c>
      <c r="C393" s="2">
        <v>1.07</v>
      </c>
      <c r="D393" s="2">
        <v>0.2974</v>
      </c>
      <c r="E393" s="2" t="s">
        <v>471</v>
      </c>
      <c r="F393" s="2" t="str">
        <f>VLOOKUP(B393,MSCI中国成分股!A:B,1,)</f>
        <v>600487</v>
      </c>
    </row>
    <row r="394" spans="1:6" ht="20.25" customHeight="1" x14ac:dyDescent="0.15">
      <c r="A394" s="2" t="s">
        <v>340</v>
      </c>
      <c r="B394" s="2" t="s">
        <v>341</v>
      </c>
      <c r="C394" s="2">
        <v>1.06</v>
      </c>
      <c r="D394" s="2">
        <v>0.81469999999999998</v>
      </c>
      <c r="E394" s="2" t="s">
        <v>18</v>
      </c>
      <c r="F394" s="2" t="str">
        <f>VLOOKUP(B394,MSCI中国成分股!A:B,1,)</f>
        <v>601238</v>
      </c>
    </row>
    <row r="395" spans="1:6" ht="20.25" customHeight="1" x14ac:dyDescent="0.15">
      <c r="A395" s="2" t="s">
        <v>854</v>
      </c>
      <c r="B395" s="2" t="s">
        <v>855</v>
      </c>
      <c r="C395" s="2">
        <v>1.05</v>
      </c>
      <c r="D395" s="2">
        <v>0.61150000000000004</v>
      </c>
      <c r="E395" s="2" t="s">
        <v>220</v>
      </c>
      <c r="F395" s="2" t="str">
        <f>VLOOKUP(B395,MSCI中国成分股!A:B,1,)</f>
        <v>002244</v>
      </c>
    </row>
    <row r="396" spans="1:6" ht="20.25" customHeight="1" x14ac:dyDescent="0.15">
      <c r="A396" s="2" t="s">
        <v>683</v>
      </c>
      <c r="B396" s="2" t="s">
        <v>684</v>
      </c>
      <c r="C396" s="2">
        <v>1.04</v>
      </c>
      <c r="D396" s="2">
        <v>0.37569999999999998</v>
      </c>
      <c r="E396" s="2" t="s">
        <v>685</v>
      </c>
      <c r="F396" s="2" t="str">
        <f>VLOOKUP(B396,MSCI中国成分股!A:B,1,)</f>
        <v>002202</v>
      </c>
    </row>
    <row r="397" spans="1:6" ht="20.25" hidden="1" customHeight="1" x14ac:dyDescent="0.15">
      <c r="A397" s="2" t="s">
        <v>950</v>
      </c>
      <c r="B397" s="2" t="s">
        <v>951</v>
      </c>
      <c r="C397" s="2">
        <v>0.89</v>
      </c>
      <c r="D397" s="2">
        <v>4.8800000000000003E-2</v>
      </c>
      <c r="E397" s="2" t="s">
        <v>134</v>
      </c>
      <c r="F397" s="2" t="e">
        <f>VLOOKUP(B397,MSCI中国成分股!A:B,1,)</f>
        <v>#N/A</v>
      </c>
    </row>
    <row r="398" spans="1:6" ht="20.25" customHeight="1" x14ac:dyDescent="0.15">
      <c r="A398" s="2" t="s">
        <v>316</v>
      </c>
      <c r="B398" s="2" t="s">
        <v>317</v>
      </c>
      <c r="C398" s="2">
        <v>1.03</v>
      </c>
      <c r="D398" s="2">
        <v>0.83660000000000001</v>
      </c>
      <c r="E398" s="2" t="s">
        <v>171</v>
      </c>
      <c r="F398" s="2" t="str">
        <f>VLOOKUP(B398,MSCI中国成分股!A:B,1,)</f>
        <v>000768</v>
      </c>
    </row>
    <row r="399" spans="1:6" ht="20.25" customHeight="1" x14ac:dyDescent="0.15">
      <c r="A399" s="2" t="s">
        <v>999</v>
      </c>
      <c r="B399" s="2" t="s">
        <v>1000</v>
      </c>
      <c r="C399" s="2">
        <v>1.02</v>
      </c>
      <c r="D399" s="2">
        <v>1.0665</v>
      </c>
      <c r="E399" s="2" t="s">
        <v>185</v>
      </c>
      <c r="F399" s="2" t="str">
        <f>VLOOKUP(B399,MSCI中国成分股!A:B,1,)</f>
        <v>300223</v>
      </c>
    </row>
    <row r="400" spans="1:6" ht="20.25" customHeight="1" x14ac:dyDescent="0.15">
      <c r="A400" s="2" t="s">
        <v>205</v>
      </c>
      <c r="B400" s="2" t="s">
        <v>206</v>
      </c>
      <c r="C400" s="2">
        <v>1.01</v>
      </c>
      <c r="D400" s="2">
        <v>0.68940000000000001</v>
      </c>
      <c r="E400" s="2" t="s">
        <v>207</v>
      </c>
      <c r="F400" s="2" t="str">
        <f>VLOOKUP(B400,MSCI中国成分股!A:B,1,)</f>
        <v>601600</v>
      </c>
    </row>
    <row r="401" spans="1:6" ht="20.25" customHeight="1" x14ac:dyDescent="0.15">
      <c r="A401" s="2" t="s">
        <v>232</v>
      </c>
      <c r="B401" s="2" t="s">
        <v>233</v>
      </c>
      <c r="C401" s="2">
        <v>1</v>
      </c>
      <c r="D401" s="2">
        <v>6.1899999999999997E-2</v>
      </c>
      <c r="E401" s="2" t="s">
        <v>152</v>
      </c>
      <c r="F401" s="2" t="str">
        <f>VLOOKUP(B401,MSCI中国成分股!A:B,1,)</f>
        <v>601186</v>
      </c>
    </row>
    <row r="402" spans="1:6" ht="20.25" customHeight="1" x14ac:dyDescent="0.15">
      <c r="A402" s="2" t="s">
        <v>377</v>
      </c>
      <c r="B402" s="2" t="s">
        <v>378</v>
      </c>
      <c r="C402" s="2">
        <v>0.99</v>
      </c>
      <c r="D402" s="2">
        <v>0.12609999999999999</v>
      </c>
      <c r="E402" s="2" t="s">
        <v>38</v>
      </c>
      <c r="F402" s="2" t="str">
        <f>VLOOKUP(B402,MSCI中国成分股!A:B,1,)</f>
        <v>600362</v>
      </c>
    </row>
    <row r="403" spans="1:6" ht="20.25" customHeight="1" x14ac:dyDescent="0.15">
      <c r="A403" s="2" t="s">
        <v>77</v>
      </c>
      <c r="B403" s="2" t="s">
        <v>78</v>
      </c>
      <c r="C403" s="2">
        <v>0.98</v>
      </c>
      <c r="D403" s="2">
        <v>0.44119999999999998</v>
      </c>
      <c r="E403" s="2" t="s">
        <v>24</v>
      </c>
      <c r="F403" s="2" t="str">
        <f>VLOOKUP(B403,MSCI中国成分股!A:B,1,)</f>
        <v>600025</v>
      </c>
    </row>
    <row r="404" spans="1:6" ht="20.25" customHeight="1" x14ac:dyDescent="0.15">
      <c r="A404" s="2" t="s">
        <v>304</v>
      </c>
      <c r="B404" s="2" t="s">
        <v>305</v>
      </c>
      <c r="C404" s="2">
        <v>0.98</v>
      </c>
      <c r="D404" s="2">
        <v>2.1916000000000002</v>
      </c>
      <c r="E404" s="2" t="s">
        <v>220</v>
      </c>
      <c r="F404" s="2" t="str">
        <f>VLOOKUP(B404,MSCI中国成分股!A:B,1,)</f>
        <v>000002</v>
      </c>
    </row>
    <row r="405" spans="1:6" ht="20.25" customHeight="1" x14ac:dyDescent="0.15">
      <c r="A405" s="2" t="s">
        <v>707</v>
      </c>
      <c r="B405" s="2" t="s">
        <v>708</v>
      </c>
      <c r="C405" s="2">
        <v>0.97</v>
      </c>
      <c r="D405" s="2">
        <v>0.80879999999999996</v>
      </c>
      <c r="E405" s="2" t="s">
        <v>13</v>
      </c>
      <c r="F405" s="2" t="str">
        <f>VLOOKUP(B405,MSCI中国成分股!A:B,1,)</f>
        <v>300207</v>
      </c>
    </row>
    <row r="406" spans="1:6" ht="20.25" hidden="1" customHeight="1" x14ac:dyDescent="0.15">
      <c r="A406" s="2" t="s">
        <v>970</v>
      </c>
      <c r="B406" s="2" t="s">
        <v>971</v>
      </c>
      <c r="C406" s="2">
        <v>2.88</v>
      </c>
      <c r="D406" s="2">
        <v>0.47170000000000001</v>
      </c>
      <c r="E406" s="2" t="s">
        <v>286</v>
      </c>
      <c r="F406" s="2" t="e">
        <f>VLOOKUP(B406,MSCI中国成分股!A:B,1,)</f>
        <v>#N/A</v>
      </c>
    </row>
    <row r="407" spans="1:6" ht="20.25" customHeight="1" x14ac:dyDescent="0.15">
      <c r="A407" s="2" t="s">
        <v>709</v>
      </c>
      <c r="B407" s="2" t="s">
        <v>710</v>
      </c>
      <c r="C407" s="2">
        <v>0.97</v>
      </c>
      <c r="D407" s="2">
        <v>4.2518000000000002</v>
      </c>
      <c r="E407" s="2" t="s">
        <v>682</v>
      </c>
      <c r="F407" s="2" t="str">
        <f>VLOOKUP(B407,MSCI中国成分股!A:B,1,)</f>
        <v>600460</v>
      </c>
    </row>
    <row r="408" spans="1:6" ht="20.25" hidden="1" customHeight="1" x14ac:dyDescent="0.15">
      <c r="A408" s="2" t="s">
        <v>974</v>
      </c>
      <c r="B408" s="2" t="s">
        <v>975</v>
      </c>
      <c r="C408" s="2">
        <v>5.22</v>
      </c>
      <c r="D408" s="2">
        <v>4.5195999999999996</v>
      </c>
      <c r="E408" s="2" t="s">
        <v>670</v>
      </c>
      <c r="F408" s="2" t="e">
        <f>VLOOKUP(B408,MSCI中国成分股!A:B,1,)</f>
        <v>#N/A</v>
      </c>
    </row>
    <row r="409" spans="1:6" ht="20.25" customHeight="1" x14ac:dyDescent="0.15">
      <c r="A409" s="2" t="s">
        <v>885</v>
      </c>
      <c r="B409" s="2" t="s">
        <v>886</v>
      </c>
      <c r="C409" s="2">
        <v>0.97</v>
      </c>
      <c r="D409" s="2">
        <v>0.72209999999999996</v>
      </c>
      <c r="E409" s="2" t="s">
        <v>388</v>
      </c>
      <c r="F409" s="2" t="str">
        <f>VLOOKUP(B409,MSCI中国成分股!A:B,1,)</f>
        <v>002185</v>
      </c>
    </row>
    <row r="410" spans="1:6" ht="20.25" hidden="1" customHeight="1" x14ac:dyDescent="0.15">
      <c r="A410" s="2" t="s">
        <v>978</v>
      </c>
      <c r="B410" s="2" t="s">
        <v>979</v>
      </c>
      <c r="C410" s="2">
        <v>2.61</v>
      </c>
      <c r="D410" s="2">
        <v>1.1644000000000001</v>
      </c>
      <c r="E410" s="2" t="s">
        <v>68</v>
      </c>
      <c r="F410" s="2" t="e">
        <f>VLOOKUP(B410,MSCI中国成分股!A:B,1,)</f>
        <v>#N/A</v>
      </c>
    </row>
    <row r="411" spans="1:6" ht="20.25" customHeight="1" x14ac:dyDescent="0.15">
      <c r="A411" s="2" t="s">
        <v>1032</v>
      </c>
      <c r="B411" s="2" t="s">
        <v>1033</v>
      </c>
      <c r="C411" s="2">
        <v>0.97</v>
      </c>
      <c r="D411" s="2">
        <v>0.85860000000000003</v>
      </c>
      <c r="E411" s="2" t="s">
        <v>1034</v>
      </c>
      <c r="F411" s="2" t="str">
        <f>VLOOKUP(B411,MSCI中国成分股!A:B,1,)</f>
        <v>000960</v>
      </c>
    </row>
    <row r="412" spans="1:6" ht="20.25" customHeight="1" x14ac:dyDescent="0.15">
      <c r="A412" s="2" t="s">
        <v>250</v>
      </c>
      <c r="B412" s="2" t="s">
        <v>251</v>
      </c>
      <c r="C412" s="2">
        <v>0.96</v>
      </c>
      <c r="D412" s="2">
        <v>0.65469999999999995</v>
      </c>
      <c r="E412" s="2" t="s">
        <v>10</v>
      </c>
      <c r="F412" s="2" t="str">
        <f>VLOOKUP(B412,MSCI中国成分股!A:B,1,)</f>
        <v>002493</v>
      </c>
    </row>
    <row r="413" spans="1:6" ht="20.25" customHeight="1" x14ac:dyDescent="0.15">
      <c r="A413" s="2" t="s">
        <v>79</v>
      </c>
      <c r="B413" s="2" t="s">
        <v>80</v>
      </c>
      <c r="C413" s="2">
        <v>0.95</v>
      </c>
      <c r="D413" s="2">
        <v>9.0399999999999994E-2</v>
      </c>
      <c r="E413" s="2" t="s">
        <v>81</v>
      </c>
      <c r="F413" s="2" t="str">
        <f>VLOOKUP(B413,MSCI中国成分股!A:B,1,)</f>
        <v>003816</v>
      </c>
    </row>
    <row r="414" spans="1:6" ht="20.25" customHeight="1" x14ac:dyDescent="0.15">
      <c r="A414" s="2" t="s">
        <v>116</v>
      </c>
      <c r="B414" s="2" t="s">
        <v>117</v>
      </c>
      <c r="C414" s="2">
        <v>0.94</v>
      </c>
      <c r="D414" s="2">
        <v>0.14899999999999999</v>
      </c>
      <c r="E414" s="2" t="s">
        <v>27</v>
      </c>
      <c r="F414" s="2" t="str">
        <f>VLOOKUP(B414,MSCI中国成分股!A:B,1,)</f>
        <v>600050</v>
      </c>
    </row>
    <row r="415" spans="1:6" ht="20.25" customHeight="1" x14ac:dyDescent="0.15">
      <c r="A415" s="2" t="s">
        <v>507</v>
      </c>
      <c r="B415" s="2" t="s">
        <v>508</v>
      </c>
      <c r="C415" s="2">
        <v>0.94</v>
      </c>
      <c r="D415" s="2">
        <v>57.314799999999998</v>
      </c>
      <c r="E415" s="2" t="s">
        <v>409</v>
      </c>
      <c r="F415" s="2" t="str">
        <f>VLOOKUP(B415,MSCI中国成分股!A:B,1,)</f>
        <v>002466</v>
      </c>
    </row>
    <row r="416" spans="1:6" ht="20.25" hidden="1" customHeight="1" x14ac:dyDescent="0.15">
      <c r="A416" s="2" t="s">
        <v>991</v>
      </c>
      <c r="B416" s="2" t="s">
        <v>992</v>
      </c>
      <c r="C416" s="2">
        <v>0.52</v>
      </c>
      <c r="D416" s="2">
        <v>4.4762000000000004</v>
      </c>
      <c r="E416" s="2" t="s">
        <v>123</v>
      </c>
      <c r="F416" s="2" t="e">
        <f>VLOOKUP(B416,MSCI中国成分股!A:B,1,)</f>
        <v>#N/A</v>
      </c>
    </row>
    <row r="417" spans="1:6" ht="20.25" customHeight="1" x14ac:dyDescent="0.15">
      <c r="A417" s="2" t="s">
        <v>519</v>
      </c>
      <c r="B417" s="2" t="s">
        <v>520</v>
      </c>
      <c r="C417" s="2">
        <v>0.94</v>
      </c>
      <c r="D417" s="2">
        <v>0.46260000000000001</v>
      </c>
      <c r="E417" s="2" t="s">
        <v>171</v>
      </c>
      <c r="F417" s="2" t="str">
        <f>VLOOKUP(B417,MSCI中国成分股!A:B,1,)</f>
        <v>002625</v>
      </c>
    </row>
    <row r="418" spans="1:6" ht="20.25" hidden="1" customHeight="1" x14ac:dyDescent="0.15">
      <c r="A418" s="2" t="s">
        <v>995</v>
      </c>
      <c r="B418" s="2" t="s">
        <v>996</v>
      </c>
      <c r="C418" s="2">
        <v>2.41</v>
      </c>
      <c r="D418" s="2">
        <v>0.87929999999999997</v>
      </c>
      <c r="E418" s="2" t="s">
        <v>276</v>
      </c>
      <c r="F418" s="2" t="e">
        <f>VLOOKUP(B418,MSCI中国成分股!A:B,1,)</f>
        <v>#N/A</v>
      </c>
    </row>
    <row r="419" spans="1:6" ht="20.25" customHeight="1" x14ac:dyDescent="0.15">
      <c r="A419" s="2" t="s">
        <v>287</v>
      </c>
      <c r="B419" s="2" t="s">
        <v>288</v>
      </c>
      <c r="C419" s="2">
        <v>0.92</v>
      </c>
      <c r="D419" s="2">
        <v>2.1440000000000001</v>
      </c>
      <c r="E419" s="2" t="s">
        <v>225</v>
      </c>
      <c r="F419" s="2" t="str">
        <f>VLOOKUP(B419,MSCI中国成分股!A:B,1,)</f>
        <v>600023</v>
      </c>
    </row>
    <row r="420" spans="1:6" ht="20.25" customHeight="1" x14ac:dyDescent="0.15">
      <c r="A420" s="2" t="s">
        <v>819</v>
      </c>
      <c r="B420" s="2" t="s">
        <v>820</v>
      </c>
      <c r="C420" s="2">
        <v>0.92</v>
      </c>
      <c r="D420" s="2">
        <v>1.1138999999999999</v>
      </c>
      <c r="E420" s="2" t="s">
        <v>225</v>
      </c>
      <c r="F420" s="2" t="str">
        <f>VLOOKUP(B420,MSCI中国成分股!A:B,1,)</f>
        <v>600863</v>
      </c>
    </row>
    <row r="421" spans="1:6" ht="20.25" customHeight="1" x14ac:dyDescent="0.15">
      <c r="A421" s="2" t="s">
        <v>1071</v>
      </c>
      <c r="B421" s="2" t="s">
        <v>1072</v>
      </c>
      <c r="C421" s="2">
        <v>0.92</v>
      </c>
      <c r="D421" s="2">
        <v>0.1961</v>
      </c>
      <c r="E421" s="2" t="s">
        <v>35</v>
      </c>
      <c r="F421" s="2" t="str">
        <f>VLOOKUP(B421,MSCI中国成分股!A:B,1,)</f>
        <v>000021</v>
      </c>
    </row>
    <row r="422" spans="1:6" ht="20.25" customHeight="1" x14ac:dyDescent="0.15">
      <c r="A422" s="2" t="s">
        <v>272</v>
      </c>
      <c r="B422" s="2" t="s">
        <v>273</v>
      </c>
      <c r="C422" s="2">
        <v>0.91</v>
      </c>
      <c r="D422" s="2">
        <v>3.3871000000000002</v>
      </c>
      <c r="E422" s="2" t="s">
        <v>245</v>
      </c>
      <c r="F422" s="2" t="str">
        <f>VLOOKUP(B422,MSCI中国成分股!A:B,1,)</f>
        <v>002230</v>
      </c>
    </row>
    <row r="423" spans="1:6" ht="20.25" customHeight="1" x14ac:dyDescent="0.15">
      <c r="A423" s="2" t="s">
        <v>881</v>
      </c>
      <c r="B423" s="2" t="s">
        <v>882</v>
      </c>
      <c r="C423" s="2">
        <v>0.89</v>
      </c>
      <c r="D423" s="2">
        <v>0.55279999999999996</v>
      </c>
      <c r="E423" s="2" t="s">
        <v>336</v>
      </c>
      <c r="F423" s="2" t="str">
        <f>VLOOKUP(B423,MSCI中国成分股!A:B,1,)</f>
        <v>600118</v>
      </c>
    </row>
    <row r="424" spans="1:6" ht="20.25" customHeight="1" x14ac:dyDescent="0.15">
      <c r="A424" s="2" t="s">
        <v>127</v>
      </c>
      <c r="B424" s="2" t="s">
        <v>128</v>
      </c>
      <c r="C424" s="2">
        <v>0.86</v>
      </c>
      <c r="D424" s="2">
        <v>0.1807</v>
      </c>
      <c r="E424" s="2" t="s">
        <v>18</v>
      </c>
      <c r="F424" s="2" t="str">
        <f>VLOOKUP(B424,MSCI中国成分股!A:B,1,)</f>
        <v>600104</v>
      </c>
    </row>
    <row r="425" spans="1:6" ht="20.25" hidden="1" customHeight="1" x14ac:dyDescent="0.15">
      <c r="A425" s="2" t="s">
        <v>1009</v>
      </c>
      <c r="B425" s="2" t="s">
        <v>1010</v>
      </c>
      <c r="C425" s="2">
        <v>2.14</v>
      </c>
      <c r="D425" s="2">
        <v>4.5926</v>
      </c>
      <c r="E425" s="2" t="s">
        <v>1011</v>
      </c>
      <c r="F425" s="2" t="e">
        <f>VLOOKUP(B425,MSCI中国成分股!A:B,1,)</f>
        <v>#N/A</v>
      </c>
    </row>
    <row r="426" spans="1:6" ht="20.25" customHeight="1" x14ac:dyDescent="0.15">
      <c r="A426" s="2" t="s">
        <v>1288</v>
      </c>
      <c r="B426" s="2" t="s">
        <v>1289</v>
      </c>
      <c r="C426" s="2">
        <v>0.84</v>
      </c>
      <c r="D426" s="2">
        <v>9.2299999999999993E-2</v>
      </c>
      <c r="E426" s="2" t="s">
        <v>81</v>
      </c>
      <c r="F426" s="2" t="str">
        <f>VLOOKUP(B426,MSCI中国成分股!A:B,1,)</f>
        <v>601016</v>
      </c>
    </row>
    <row r="427" spans="1:6" ht="20.25" customHeight="1" x14ac:dyDescent="0.15">
      <c r="A427" s="2" t="s">
        <v>210</v>
      </c>
      <c r="B427" s="2" t="s">
        <v>211</v>
      </c>
      <c r="C427" s="2">
        <v>0.83</v>
      </c>
      <c r="D427" s="2">
        <v>0.30819999999999997</v>
      </c>
      <c r="E427" s="2" t="s">
        <v>171</v>
      </c>
      <c r="F427" s="2" t="str">
        <f>VLOOKUP(B427,MSCI中国成分股!A:B,1,)</f>
        <v>600893</v>
      </c>
    </row>
    <row r="428" spans="1:6" ht="20.25" hidden="1" customHeight="1" x14ac:dyDescent="0.15">
      <c r="A428" s="2" t="s">
        <v>1016</v>
      </c>
      <c r="B428" s="2" t="s">
        <v>1017</v>
      </c>
      <c r="C428" s="2">
        <v>3.48</v>
      </c>
      <c r="D428" s="2">
        <v>10.798999999999999</v>
      </c>
      <c r="E428" s="2" t="s">
        <v>44</v>
      </c>
      <c r="F428" s="2" t="e">
        <f>VLOOKUP(B428,MSCI中国成分股!A:B,1,)</f>
        <v>#N/A</v>
      </c>
    </row>
    <row r="429" spans="1:6" ht="20.25" customHeight="1" x14ac:dyDescent="0.15">
      <c r="A429" s="2" t="s">
        <v>1081</v>
      </c>
      <c r="B429" s="2" t="s">
        <v>1082</v>
      </c>
      <c r="C429" s="2">
        <v>0.82</v>
      </c>
      <c r="D429" s="2">
        <v>0.26869999999999999</v>
      </c>
      <c r="E429" s="2" t="s">
        <v>769</v>
      </c>
      <c r="F429" s="2" t="str">
        <f>VLOOKUP(B429,MSCI中国成分股!A:B,1,)</f>
        <v>600848</v>
      </c>
    </row>
    <row r="430" spans="1:6" ht="20.25" customHeight="1" x14ac:dyDescent="0.15">
      <c r="A430" s="2" t="s">
        <v>1064</v>
      </c>
      <c r="B430" s="2" t="s">
        <v>1065</v>
      </c>
      <c r="C430" s="2">
        <v>0.81</v>
      </c>
      <c r="D430" s="2">
        <v>0.77059999999999995</v>
      </c>
      <c r="E430" s="2" t="s">
        <v>1066</v>
      </c>
      <c r="F430" s="2" t="str">
        <f>VLOOKUP(B430,MSCI中国成分股!A:B,1,)</f>
        <v>600637</v>
      </c>
    </row>
    <row r="431" spans="1:6" ht="20.25" hidden="1" customHeight="1" x14ac:dyDescent="0.15">
      <c r="A431" s="2" t="s">
        <v>1022</v>
      </c>
      <c r="B431" s="2" t="s">
        <v>1023</v>
      </c>
      <c r="C431" s="2">
        <v>0.11</v>
      </c>
      <c r="D431" s="2">
        <v>6.2962999999999996</v>
      </c>
      <c r="E431" s="2" t="s">
        <v>10</v>
      </c>
      <c r="F431" s="2" t="e">
        <f>VLOOKUP(B431,MSCI中国成分股!A:B,1,)</f>
        <v>#N/A</v>
      </c>
    </row>
    <row r="432" spans="1:6" ht="20.25" customHeight="1" x14ac:dyDescent="0.15">
      <c r="A432" s="2" t="s">
        <v>1020</v>
      </c>
      <c r="B432" s="2" t="s">
        <v>1021</v>
      </c>
      <c r="C432" s="2">
        <v>0.78</v>
      </c>
      <c r="D432" s="2">
        <v>0.49020000000000002</v>
      </c>
      <c r="E432" s="2" t="s">
        <v>38</v>
      </c>
      <c r="F432" s="2" t="str">
        <f>VLOOKUP(B432,MSCI中国成分股!A:B,1,)</f>
        <v>000878</v>
      </c>
    </row>
    <row r="433" spans="1:6" ht="20.25" customHeight="1" x14ac:dyDescent="0.15">
      <c r="A433" s="2" t="s">
        <v>1146</v>
      </c>
      <c r="B433" s="2" t="s">
        <v>1147</v>
      </c>
      <c r="C433" s="2">
        <v>0.77</v>
      </c>
      <c r="D433" s="2">
        <v>1.3036000000000001</v>
      </c>
      <c r="E433" s="2" t="s">
        <v>459</v>
      </c>
      <c r="F433" s="2" t="str">
        <f>VLOOKUP(B433,MSCI中国成分股!A:B,1,)</f>
        <v>600655</v>
      </c>
    </row>
    <row r="434" spans="1:6" ht="20.25" customHeight="1" x14ac:dyDescent="0.15">
      <c r="A434" s="2" t="s">
        <v>763</v>
      </c>
      <c r="B434" s="2" t="s">
        <v>764</v>
      </c>
      <c r="C434" s="2">
        <v>0.76</v>
      </c>
      <c r="D434" s="2">
        <v>0.31019999999999998</v>
      </c>
      <c r="E434" s="2" t="s">
        <v>388</v>
      </c>
      <c r="F434" s="2" t="str">
        <f>VLOOKUP(B434,MSCI中国成分股!A:B,1,)</f>
        <v>002156</v>
      </c>
    </row>
    <row r="435" spans="1:6" ht="20.25" customHeight="1" x14ac:dyDescent="0.15">
      <c r="A435" s="2" t="s">
        <v>830</v>
      </c>
      <c r="B435" s="2" t="s">
        <v>831</v>
      </c>
      <c r="C435" s="2">
        <v>0.75</v>
      </c>
      <c r="D435" s="2">
        <v>0.31669999999999998</v>
      </c>
      <c r="E435" s="2" t="s">
        <v>134</v>
      </c>
      <c r="F435" s="2" t="str">
        <f>VLOOKUP(B435,MSCI中国成分股!A:B,1,)</f>
        <v>601880</v>
      </c>
    </row>
    <row r="436" spans="1:6" ht="20.25" customHeight="1" x14ac:dyDescent="0.15">
      <c r="A436" s="2" t="s">
        <v>921</v>
      </c>
      <c r="B436" s="2" t="s">
        <v>922</v>
      </c>
      <c r="C436" s="2">
        <v>0.75</v>
      </c>
      <c r="D436" s="2">
        <v>8.0500000000000002E-2</v>
      </c>
      <c r="E436" s="2" t="s">
        <v>336</v>
      </c>
      <c r="F436" s="2" t="str">
        <f>VLOOKUP(B436,MSCI中国成分股!A:B,1,)</f>
        <v>600879</v>
      </c>
    </row>
    <row r="437" spans="1:6" ht="20.25" customHeight="1" x14ac:dyDescent="0.15">
      <c r="A437" s="2" t="s">
        <v>1117</v>
      </c>
      <c r="B437" s="2" t="s">
        <v>1118</v>
      </c>
      <c r="C437" s="2">
        <v>0.75</v>
      </c>
      <c r="D437" s="2">
        <v>0.43059999999999998</v>
      </c>
      <c r="E437" s="2" t="s">
        <v>747</v>
      </c>
      <c r="F437" s="2" t="str">
        <f>VLOOKUP(B437,MSCI中国成分股!A:B,1,)</f>
        <v>000009</v>
      </c>
    </row>
    <row r="438" spans="1:6" ht="20.25" customHeight="1" x14ac:dyDescent="0.15">
      <c r="A438" s="2" t="s">
        <v>1391</v>
      </c>
      <c r="B438" s="2" t="s">
        <v>1392</v>
      </c>
      <c r="C438" s="2">
        <v>0.75</v>
      </c>
      <c r="D438" s="2">
        <v>29.356300000000001</v>
      </c>
      <c r="E438" s="2" t="s">
        <v>245</v>
      </c>
      <c r="F438" s="2" t="str">
        <f>VLOOKUP(B438,MSCI中国成分股!A:B,1,)</f>
        <v>002439</v>
      </c>
    </row>
    <row r="439" spans="1:6" ht="20.25" customHeight="1" x14ac:dyDescent="0.15">
      <c r="A439" s="2" t="s">
        <v>1314</v>
      </c>
      <c r="B439" s="2" t="s">
        <v>1315</v>
      </c>
      <c r="C439" s="2">
        <v>0.74</v>
      </c>
      <c r="D439" s="2">
        <v>0.38590000000000002</v>
      </c>
      <c r="E439" s="2" t="s">
        <v>152</v>
      </c>
      <c r="F439" s="2" t="str">
        <f>VLOOKUP(B439,MSCI中国成分股!A:B,1,)</f>
        <v>600820</v>
      </c>
    </row>
    <row r="440" spans="1:6" ht="20.25" hidden="1" customHeight="1" x14ac:dyDescent="0.15">
      <c r="A440" s="2" t="s">
        <v>1042</v>
      </c>
      <c r="B440" s="2" t="s">
        <v>1043</v>
      </c>
      <c r="C440" s="2">
        <v>2.25</v>
      </c>
      <c r="D440" s="2">
        <v>0.58379999999999999</v>
      </c>
      <c r="E440" s="2" t="s">
        <v>276</v>
      </c>
      <c r="F440" s="2" t="e">
        <f>VLOOKUP(B440,MSCI中国成分股!A:B,1,)</f>
        <v>#N/A</v>
      </c>
    </row>
    <row r="441" spans="1:6" ht="20.25" customHeight="1" x14ac:dyDescent="0.15">
      <c r="A441" s="2" t="s">
        <v>983</v>
      </c>
      <c r="B441" s="2" t="s">
        <v>984</v>
      </c>
      <c r="C441" s="2">
        <v>0.73</v>
      </c>
      <c r="D441" s="2">
        <v>6.5119999999999996</v>
      </c>
      <c r="E441" s="2" t="s">
        <v>271</v>
      </c>
      <c r="F441" s="2" t="str">
        <f>VLOOKUP(B441,MSCI中国成分股!A:B,1,)</f>
        <v>601155</v>
      </c>
    </row>
    <row r="442" spans="1:6" ht="20.25" customHeight="1" x14ac:dyDescent="0.15">
      <c r="A442" s="2" t="s">
        <v>745</v>
      </c>
      <c r="B442" s="2" t="s">
        <v>746</v>
      </c>
      <c r="C442" s="2">
        <v>0.71</v>
      </c>
      <c r="D442" s="2">
        <v>8.5199999999999998E-2</v>
      </c>
      <c r="E442" s="2" t="s">
        <v>747</v>
      </c>
      <c r="F442" s="2" t="str">
        <f>VLOOKUP(B442,MSCI中国成分股!A:B,1,)</f>
        <v>002340</v>
      </c>
    </row>
    <row r="443" spans="1:6" ht="20.25" customHeight="1" x14ac:dyDescent="0.15">
      <c r="A443" s="2" t="s">
        <v>1121</v>
      </c>
      <c r="B443" s="2" t="s">
        <v>1122</v>
      </c>
      <c r="C443" s="2">
        <v>0.71</v>
      </c>
      <c r="D443" s="2">
        <v>11.847899999999999</v>
      </c>
      <c r="E443" s="2" t="s">
        <v>1094</v>
      </c>
      <c r="F443" s="2" t="str">
        <f>VLOOKUP(B443,MSCI中国成分股!A:B,1,)</f>
        <v>300251</v>
      </c>
    </row>
    <row r="444" spans="1:6" ht="20.25" hidden="1" customHeight="1" x14ac:dyDescent="0.15">
      <c r="A444" s="2" t="s">
        <v>1050</v>
      </c>
      <c r="B444" s="2" t="s">
        <v>1051</v>
      </c>
      <c r="C444" s="2">
        <v>0.99</v>
      </c>
      <c r="D444" s="2">
        <v>23.518999999999998</v>
      </c>
      <c r="E444" s="2" t="s">
        <v>44</v>
      </c>
      <c r="F444" s="2" t="e">
        <f>VLOOKUP(B444,MSCI中国成分股!A:B,1,)</f>
        <v>#N/A</v>
      </c>
    </row>
    <row r="445" spans="1:6" ht="20.25" customHeight="1" x14ac:dyDescent="0.15">
      <c r="A445" s="2" t="s">
        <v>1140</v>
      </c>
      <c r="B445" s="2" t="s">
        <v>1141</v>
      </c>
      <c r="C445" s="2">
        <v>0.71</v>
      </c>
      <c r="D445" s="2">
        <v>34.959600000000002</v>
      </c>
      <c r="E445" s="2" t="s">
        <v>1142</v>
      </c>
      <c r="F445" s="2" t="str">
        <f>VLOOKUP(B445,MSCI中国成分股!A:B,1,)</f>
        <v>300144</v>
      </c>
    </row>
    <row r="446" spans="1:6" ht="20.25" hidden="1" customHeight="1" x14ac:dyDescent="0.15">
      <c r="A446" s="2" t="s">
        <v>1054</v>
      </c>
      <c r="B446" s="2" t="s">
        <v>1055</v>
      </c>
      <c r="C446" s="2">
        <v>2.33</v>
      </c>
      <c r="D446" s="2">
        <v>0.39429999999999998</v>
      </c>
      <c r="E446" s="2" t="s">
        <v>1056</v>
      </c>
      <c r="F446" s="2" t="e">
        <f>VLOOKUP(B446,MSCI中国成分股!A:B,1,)</f>
        <v>#N/A</v>
      </c>
    </row>
    <row r="447" spans="1:6" ht="20.25" hidden="1" customHeight="1" x14ac:dyDescent="0.15">
      <c r="A447" s="2" t="s">
        <v>1057</v>
      </c>
      <c r="B447" s="2" t="s">
        <v>1058</v>
      </c>
      <c r="C447" s="2">
        <v>1.1100000000000001</v>
      </c>
      <c r="D447" s="2">
        <v>0.3584</v>
      </c>
      <c r="E447" s="2" t="s">
        <v>81</v>
      </c>
      <c r="F447" s="2" t="e">
        <f>VLOOKUP(B447,MSCI中国成分股!A:B,1,)</f>
        <v>#N/A</v>
      </c>
    </row>
    <row r="448" spans="1:6" ht="20.25" customHeight="1" x14ac:dyDescent="0.15">
      <c r="A448" s="2" t="s">
        <v>1127</v>
      </c>
      <c r="B448" s="2" t="s">
        <v>1128</v>
      </c>
      <c r="C448" s="2">
        <v>0.7</v>
      </c>
      <c r="D448" s="2">
        <v>7.8095999999999997</v>
      </c>
      <c r="E448" s="2" t="s">
        <v>396</v>
      </c>
      <c r="F448" s="2" t="str">
        <f>VLOOKUP(B448,MSCI中国成分股!A:B,1,)</f>
        <v>600699</v>
      </c>
    </row>
    <row r="449" spans="1:6" ht="20.25" customHeight="1" x14ac:dyDescent="0.15">
      <c r="A449" s="2" t="s">
        <v>1200</v>
      </c>
      <c r="B449" s="2" t="s">
        <v>1201</v>
      </c>
      <c r="C449" s="2">
        <v>0.7</v>
      </c>
      <c r="D449" s="2">
        <v>36.411900000000003</v>
      </c>
      <c r="E449" s="2" t="s">
        <v>437</v>
      </c>
      <c r="F449" s="2" t="str">
        <f>VLOOKUP(B449,MSCI中国成分股!A:B,1,)</f>
        <v>600166</v>
      </c>
    </row>
    <row r="450" spans="1:6" ht="20.25" customHeight="1" x14ac:dyDescent="0.15">
      <c r="A450" s="2" t="s">
        <v>162</v>
      </c>
      <c r="B450" s="2" t="s">
        <v>163</v>
      </c>
      <c r="C450" s="2">
        <v>0.68</v>
      </c>
      <c r="D450" s="2">
        <v>0.18820000000000001</v>
      </c>
      <c r="E450" s="2" t="s">
        <v>24</v>
      </c>
      <c r="F450" s="2" t="str">
        <f>VLOOKUP(B450,MSCI中国成分股!A:B,1,)</f>
        <v>600886</v>
      </c>
    </row>
    <row r="451" spans="1:6" ht="20.25" customHeight="1" x14ac:dyDescent="0.15">
      <c r="A451" s="2" t="s">
        <v>392</v>
      </c>
      <c r="B451" s="2" t="s">
        <v>393</v>
      </c>
      <c r="C451" s="2">
        <v>0.67</v>
      </c>
      <c r="D451" s="2">
        <v>6.8080999999999996</v>
      </c>
      <c r="E451" s="2" t="s">
        <v>92</v>
      </c>
      <c r="F451" s="2" t="str">
        <f>VLOOKUP(B451,MSCI中国成分股!A:B,1,)</f>
        <v>600026</v>
      </c>
    </row>
    <row r="452" spans="1:6" ht="20.25" customHeight="1" x14ac:dyDescent="0.15">
      <c r="A452" s="2" t="s">
        <v>218</v>
      </c>
      <c r="B452" s="2" t="s">
        <v>219</v>
      </c>
      <c r="C452" s="2">
        <v>0.66</v>
      </c>
      <c r="D452" s="2">
        <v>1.0670999999999999</v>
      </c>
      <c r="E452" s="2" t="s">
        <v>220</v>
      </c>
      <c r="F452" s="2" t="str">
        <f>VLOOKUP(B452,MSCI中国成分股!A:B,1,)</f>
        <v>600048</v>
      </c>
    </row>
    <row r="453" spans="1:6" ht="20.25" customHeight="1" x14ac:dyDescent="0.15">
      <c r="A453" s="2" t="s">
        <v>810</v>
      </c>
      <c r="B453" s="2" t="s">
        <v>811</v>
      </c>
      <c r="C453" s="2">
        <v>0.66</v>
      </c>
      <c r="D453" s="2">
        <v>5.2431999999999999</v>
      </c>
      <c r="E453" s="2" t="s">
        <v>315</v>
      </c>
      <c r="F453" s="2" t="str">
        <f>VLOOKUP(B453,MSCI中国成分股!A:B,1,)</f>
        <v>000729</v>
      </c>
    </row>
    <row r="454" spans="1:6" ht="20.25" customHeight="1" x14ac:dyDescent="0.15">
      <c r="A454" s="2" t="s">
        <v>82</v>
      </c>
      <c r="B454" s="2" t="s">
        <v>83</v>
      </c>
      <c r="C454" s="2">
        <v>0.65</v>
      </c>
      <c r="D454" s="2">
        <v>3.78E-2</v>
      </c>
      <c r="E454" s="2" t="s">
        <v>81</v>
      </c>
      <c r="F454" s="2" t="str">
        <f>VLOOKUP(B454,MSCI中国成分股!A:B,1,)</f>
        <v>601985</v>
      </c>
    </row>
    <row r="455" spans="1:6" ht="20.25" customHeight="1" x14ac:dyDescent="0.15">
      <c r="A455" s="2" t="s">
        <v>194</v>
      </c>
      <c r="B455" s="2" t="s">
        <v>195</v>
      </c>
      <c r="C455" s="2">
        <v>0.65</v>
      </c>
      <c r="D455" s="2">
        <v>3.27E-2</v>
      </c>
      <c r="E455" s="2" t="s">
        <v>152</v>
      </c>
      <c r="F455" s="2" t="str">
        <f>VLOOKUP(B455,MSCI中国成分股!A:B,1,)</f>
        <v>601800</v>
      </c>
    </row>
    <row r="456" spans="1:6" ht="20.25" hidden="1" customHeight="1" x14ac:dyDescent="0.15">
      <c r="A456" s="2" t="s">
        <v>1077</v>
      </c>
      <c r="B456" s="2" t="s">
        <v>1078</v>
      </c>
      <c r="C456" s="2">
        <v>0.53</v>
      </c>
      <c r="D456" s="2">
        <v>1.9800000000000002E-2</v>
      </c>
      <c r="E456" s="2" t="s">
        <v>152</v>
      </c>
      <c r="F456" s="2" t="e">
        <f>VLOOKUP(B456,MSCI中国成分股!A:B,1,)</f>
        <v>#N/A</v>
      </c>
    </row>
    <row r="457" spans="1:6" ht="20.25" customHeight="1" x14ac:dyDescent="0.15">
      <c r="A457" s="2" t="s">
        <v>711</v>
      </c>
      <c r="B457" s="2" t="s">
        <v>712</v>
      </c>
      <c r="C457" s="2">
        <v>0.64</v>
      </c>
      <c r="D457" s="2">
        <v>2.5768</v>
      </c>
      <c r="E457" s="2" t="s">
        <v>713</v>
      </c>
      <c r="F457" s="2" t="str">
        <f>VLOOKUP(B457,MSCI中国成分股!A:B,1,)</f>
        <v>000039</v>
      </c>
    </row>
    <row r="458" spans="1:6" ht="20.25" customHeight="1" x14ac:dyDescent="0.15">
      <c r="A458" s="2" t="s">
        <v>448</v>
      </c>
      <c r="B458" s="2" t="s">
        <v>449</v>
      </c>
      <c r="C458" s="2">
        <v>0.62</v>
      </c>
      <c r="D458" s="2">
        <v>0.81610000000000005</v>
      </c>
      <c r="E458" s="2" t="s">
        <v>450</v>
      </c>
      <c r="F458" s="2" t="str">
        <f>VLOOKUP(B458,MSCI中国成分股!A:B,1,)</f>
        <v>000301</v>
      </c>
    </row>
    <row r="459" spans="1:6" ht="20.25" customHeight="1" x14ac:dyDescent="0.15">
      <c r="A459" s="2" t="s">
        <v>1180</v>
      </c>
      <c r="B459" s="2" t="s">
        <v>1181</v>
      </c>
      <c r="C459" s="2">
        <v>0.62</v>
      </c>
      <c r="D459" s="2">
        <v>0.39169999999999999</v>
      </c>
      <c r="E459" s="2" t="s">
        <v>391</v>
      </c>
      <c r="F459" s="2" t="str">
        <f>VLOOKUP(B459,MSCI中国成分股!A:B,1,)</f>
        <v>300001</v>
      </c>
    </row>
    <row r="460" spans="1:6" ht="20.25" customHeight="1" x14ac:dyDescent="0.15">
      <c r="A460" s="2" t="s">
        <v>191</v>
      </c>
      <c r="B460" s="2" t="s">
        <v>192</v>
      </c>
      <c r="C460" s="2">
        <v>0.61</v>
      </c>
      <c r="D460" s="2">
        <v>0.72970000000000002</v>
      </c>
      <c r="E460" s="2" t="s">
        <v>193</v>
      </c>
      <c r="F460" s="2" t="str">
        <f>VLOOKUP(B460,MSCI中国成分股!A:B,1,)</f>
        <v>600547</v>
      </c>
    </row>
    <row r="461" spans="1:6" ht="20.25" hidden="1" customHeight="1" x14ac:dyDescent="0.15">
      <c r="A461" s="2" t="s">
        <v>1087</v>
      </c>
      <c r="B461" s="2" t="s">
        <v>1088</v>
      </c>
      <c r="C461" s="2">
        <v>2.99</v>
      </c>
      <c r="D461" s="2">
        <v>4.4920999999999998</v>
      </c>
      <c r="E461" s="2" t="s">
        <v>299</v>
      </c>
      <c r="F461" s="2" t="e">
        <f>VLOOKUP(B461,MSCI中国成分股!A:B,1,)</f>
        <v>#N/A</v>
      </c>
    </row>
    <row r="462" spans="1:6" ht="20.25" customHeight="1" x14ac:dyDescent="0.15">
      <c r="A462" s="2" t="s">
        <v>444</v>
      </c>
      <c r="B462" s="2" t="s">
        <v>445</v>
      </c>
      <c r="C462" s="2">
        <v>0.61</v>
      </c>
      <c r="D462" s="2">
        <v>1.2432000000000001</v>
      </c>
      <c r="E462" s="2" t="s">
        <v>225</v>
      </c>
      <c r="F462" s="2" t="str">
        <f>VLOOKUP(B462,MSCI中国成分股!A:B,1,)</f>
        <v>600027</v>
      </c>
    </row>
    <row r="463" spans="1:6" ht="20.25" customHeight="1" x14ac:dyDescent="0.15">
      <c r="A463" s="2" t="s">
        <v>767</v>
      </c>
      <c r="B463" s="2" t="s">
        <v>768</v>
      </c>
      <c r="C463" s="2">
        <v>0.61</v>
      </c>
      <c r="D463" s="2">
        <v>2.8952</v>
      </c>
      <c r="E463" s="2" t="s">
        <v>769</v>
      </c>
      <c r="F463" s="2" t="str">
        <f>VLOOKUP(B463,MSCI中国成分股!A:B,1,)</f>
        <v>600895</v>
      </c>
    </row>
    <row r="464" spans="1:6" ht="20.25" hidden="1" customHeight="1" x14ac:dyDescent="0.15">
      <c r="A464" s="2" t="s">
        <v>1095</v>
      </c>
      <c r="B464" s="2" t="s">
        <v>1096</v>
      </c>
      <c r="C464" s="2">
        <v>2.93</v>
      </c>
      <c r="D464" s="2">
        <v>0.98829999999999996</v>
      </c>
      <c r="E464" s="2" t="s">
        <v>396</v>
      </c>
      <c r="F464" s="2" t="e">
        <f>VLOOKUP(B464,MSCI中国成分股!A:B,1,)</f>
        <v>#N/A</v>
      </c>
    </row>
    <row r="465" spans="1:6" ht="20.25" customHeight="1" x14ac:dyDescent="0.15">
      <c r="A465" s="2" t="s">
        <v>1312</v>
      </c>
      <c r="B465" s="2" t="s">
        <v>1313</v>
      </c>
      <c r="C465" s="2">
        <v>0.6</v>
      </c>
      <c r="D465" s="2">
        <v>0.59960000000000002</v>
      </c>
      <c r="E465" s="2" t="s">
        <v>149</v>
      </c>
      <c r="F465" s="2" t="str">
        <f>VLOOKUP(B465,MSCI中国成分股!A:B,1,)</f>
        <v>600498</v>
      </c>
    </row>
    <row r="466" spans="1:6" ht="20.25" hidden="1" customHeight="1" x14ac:dyDescent="0.15">
      <c r="A466" s="2" t="s">
        <v>1100</v>
      </c>
      <c r="B466" s="2" t="s">
        <v>1101</v>
      </c>
      <c r="C466" s="2">
        <v>1.7</v>
      </c>
      <c r="D466" s="2">
        <v>1.7532000000000001</v>
      </c>
      <c r="E466" s="2" t="s">
        <v>1102</v>
      </c>
      <c r="F466" s="2" t="e">
        <f>VLOOKUP(B466,MSCI中国成分股!A:B,1,)</f>
        <v>#N/A</v>
      </c>
    </row>
    <row r="467" spans="1:6" ht="20.25" customHeight="1" x14ac:dyDescent="0.15">
      <c r="A467" s="2" t="s">
        <v>1097</v>
      </c>
      <c r="B467" s="2" t="s">
        <v>1098</v>
      </c>
      <c r="C467" s="2">
        <v>0.59</v>
      </c>
      <c r="D467" s="2">
        <v>0.38059999999999999</v>
      </c>
      <c r="E467" s="2" t="s">
        <v>1099</v>
      </c>
      <c r="F467" s="2" t="str">
        <f>VLOOKUP(B467,MSCI中国成分股!A:B,1,)</f>
        <v>600008</v>
      </c>
    </row>
    <row r="468" spans="1:6" ht="20.25" hidden="1" customHeight="1" x14ac:dyDescent="0.15">
      <c r="A468" s="2" t="s">
        <v>1105</v>
      </c>
      <c r="B468" s="2" t="s">
        <v>1106</v>
      </c>
      <c r="C468" s="2">
        <v>0.98</v>
      </c>
      <c r="D468" s="2">
        <v>0.51990000000000003</v>
      </c>
      <c r="E468" s="2" t="s">
        <v>137</v>
      </c>
      <c r="F468" s="2" t="e">
        <f>VLOOKUP(B468,MSCI中国成分股!A:B,1,)</f>
        <v>#N/A</v>
      </c>
    </row>
    <row r="469" spans="1:6" ht="20.25" customHeight="1" x14ac:dyDescent="0.15">
      <c r="A469" s="2" t="s">
        <v>617</v>
      </c>
      <c r="B469" s="2" t="s">
        <v>618</v>
      </c>
      <c r="C469" s="2">
        <v>0.56999999999999995</v>
      </c>
      <c r="D469" s="2">
        <v>0.1169</v>
      </c>
      <c r="E469" s="2" t="s">
        <v>391</v>
      </c>
      <c r="F469" s="2" t="str">
        <f>VLOOKUP(B469,MSCI中国成分股!A:B,1,)</f>
        <v>601179</v>
      </c>
    </row>
    <row r="470" spans="1:6" ht="20.25" hidden="1" customHeight="1" x14ac:dyDescent="0.15">
      <c r="A470" s="2" t="s">
        <v>1109</v>
      </c>
      <c r="B470" s="2" t="s">
        <v>1110</v>
      </c>
      <c r="C470" s="2">
        <v>0.01</v>
      </c>
      <c r="D470" s="2">
        <v>1.1797</v>
      </c>
      <c r="E470" s="2" t="s">
        <v>225</v>
      </c>
      <c r="F470" s="2" t="e">
        <f>VLOOKUP(B470,MSCI中国成分股!A:B,1,)</f>
        <v>#N/A</v>
      </c>
    </row>
    <row r="471" spans="1:6" ht="20.25" hidden="1" customHeight="1" x14ac:dyDescent="0.15">
      <c r="A471" s="2" t="s">
        <v>1111</v>
      </c>
      <c r="B471" s="2" t="s">
        <v>1112</v>
      </c>
      <c r="C471" s="2">
        <v>0.39</v>
      </c>
      <c r="D471" s="2">
        <v>0.69630000000000003</v>
      </c>
      <c r="E471" s="2" t="s">
        <v>225</v>
      </c>
      <c r="F471" s="2" t="e">
        <f>VLOOKUP(B471,MSCI中国成分股!A:B,1,)</f>
        <v>#N/A</v>
      </c>
    </row>
    <row r="472" spans="1:6" ht="20.25" customHeight="1" x14ac:dyDescent="0.15">
      <c r="A472" s="2" t="s">
        <v>821</v>
      </c>
      <c r="B472" s="2" t="s">
        <v>822</v>
      </c>
      <c r="C472" s="2">
        <v>0.56999999999999995</v>
      </c>
      <c r="D472" s="2">
        <v>0.66410000000000002</v>
      </c>
      <c r="E472" s="2" t="s">
        <v>225</v>
      </c>
      <c r="F472" s="2" t="str">
        <f>VLOOKUP(B472,MSCI中国成分股!A:B,1,)</f>
        <v>000027</v>
      </c>
    </row>
    <row r="473" spans="1:6" ht="20.25" customHeight="1" x14ac:dyDescent="0.15">
      <c r="A473" s="2" t="s">
        <v>997</v>
      </c>
      <c r="B473" s="2" t="s">
        <v>998</v>
      </c>
      <c r="C473" s="2">
        <v>0.56000000000000005</v>
      </c>
      <c r="D473" s="2">
        <v>1.1717</v>
      </c>
      <c r="E473" s="2" t="s">
        <v>89</v>
      </c>
      <c r="F473" s="2" t="str">
        <f>VLOOKUP(B473,MSCI中国成分股!A:B,1,)</f>
        <v>600153</v>
      </c>
    </row>
    <row r="474" spans="1:6" ht="20.25" customHeight="1" x14ac:dyDescent="0.15">
      <c r="A474" s="2" t="s">
        <v>121</v>
      </c>
      <c r="B474" s="2" t="s">
        <v>122</v>
      </c>
      <c r="C474" s="2">
        <v>0.55000000000000004</v>
      </c>
      <c r="D474" s="2">
        <v>0.77290000000000003</v>
      </c>
      <c r="E474" s="2" t="s">
        <v>123</v>
      </c>
      <c r="F474" s="2" t="str">
        <f>VLOOKUP(B474,MSCI中国成分股!A:B,1,)</f>
        <v>000725</v>
      </c>
    </row>
    <row r="475" spans="1:6" ht="20.25" customHeight="1" x14ac:dyDescent="0.15">
      <c r="A475" s="2" t="s">
        <v>1316</v>
      </c>
      <c r="B475" s="2" t="s">
        <v>1317</v>
      </c>
      <c r="C475" s="2">
        <v>0.54</v>
      </c>
      <c r="D475" s="2">
        <v>4.1380999999999997</v>
      </c>
      <c r="E475" s="2" t="s">
        <v>299</v>
      </c>
      <c r="F475" s="2" t="str">
        <f>VLOOKUP(B475,MSCI中国成分股!A:B,1,)</f>
        <v>300017</v>
      </c>
    </row>
    <row r="476" spans="1:6" ht="20.25" customHeight="1" x14ac:dyDescent="0.15">
      <c r="A476" s="2" t="s">
        <v>1760</v>
      </c>
      <c r="B476" s="2" t="s">
        <v>1761</v>
      </c>
      <c r="C476" s="2">
        <v>0.53</v>
      </c>
      <c r="D476" s="2">
        <v>0.56210000000000004</v>
      </c>
      <c r="E476" s="2" t="s">
        <v>704</v>
      </c>
      <c r="F476" s="2" t="str">
        <f>VLOOKUP(B476,MSCI中国成分股!A:B,1,)</f>
        <v>600827</v>
      </c>
    </row>
    <row r="477" spans="1:6" ht="20.25" hidden="1" customHeight="1" x14ac:dyDescent="0.15">
      <c r="A477" s="2" t="s">
        <v>1123</v>
      </c>
      <c r="B477" s="2" t="s">
        <v>1124</v>
      </c>
      <c r="C477" s="2">
        <v>0.51</v>
      </c>
      <c r="D477" s="2">
        <v>0.6744</v>
      </c>
      <c r="E477" s="2" t="s">
        <v>146</v>
      </c>
      <c r="F477" s="2" t="e">
        <f>VLOOKUP(B477,MSCI中国成分股!A:B,1,)</f>
        <v>#N/A</v>
      </c>
    </row>
    <row r="478" spans="1:6" ht="20.25" customHeight="1" x14ac:dyDescent="0.15">
      <c r="A478" s="2" t="s">
        <v>1229</v>
      </c>
      <c r="B478" s="2" t="s">
        <v>1230</v>
      </c>
      <c r="C478" s="2">
        <v>0.52</v>
      </c>
      <c r="D478" s="2">
        <v>0.1158</v>
      </c>
      <c r="E478" s="2" t="s">
        <v>322</v>
      </c>
      <c r="F478" s="2" t="str">
        <f>VLOOKUP(B478,MSCI中国成分股!A:B,1,)</f>
        <v>600390</v>
      </c>
    </row>
    <row r="479" spans="1:6" ht="20.25" customHeight="1" x14ac:dyDescent="0.15">
      <c r="A479" s="2" t="s">
        <v>47</v>
      </c>
      <c r="B479" s="2" t="s">
        <v>48</v>
      </c>
      <c r="C479" s="2">
        <v>0.51</v>
      </c>
      <c r="D479" s="2">
        <v>0.2792</v>
      </c>
      <c r="E479" s="2" t="s">
        <v>49</v>
      </c>
      <c r="F479" s="2" t="str">
        <f>VLOOKUP(B479,MSCI中国成分股!A:B,1,)</f>
        <v>601816</v>
      </c>
    </row>
    <row r="480" spans="1:6" ht="20.25" customHeight="1" x14ac:dyDescent="0.15">
      <c r="A480" s="2" t="s">
        <v>1148</v>
      </c>
      <c r="B480" s="2" t="s">
        <v>1149</v>
      </c>
      <c r="C480" s="2">
        <v>0.49</v>
      </c>
      <c r="D480" s="2">
        <v>1.1696</v>
      </c>
      <c r="E480" s="2" t="s">
        <v>344</v>
      </c>
      <c r="F480" s="2" t="str">
        <f>VLOOKUP(B480,MSCI中国成分股!A:B,1,)</f>
        <v>600673</v>
      </c>
    </row>
    <row r="481" spans="1:6" ht="20.25" customHeight="1" x14ac:dyDescent="0.15">
      <c r="A481" s="2" t="s">
        <v>269</v>
      </c>
      <c r="B481" s="2" t="s">
        <v>270</v>
      </c>
      <c r="C481" s="2">
        <v>0.48</v>
      </c>
      <c r="D481" s="2">
        <v>1.5692999999999999</v>
      </c>
      <c r="E481" s="2" t="s">
        <v>271</v>
      </c>
      <c r="F481" s="2" t="str">
        <f>VLOOKUP(B481,MSCI中国成分股!A:B,1,)</f>
        <v>001979</v>
      </c>
    </row>
    <row r="482" spans="1:6" ht="20.25" customHeight="1" x14ac:dyDescent="0.15">
      <c r="A482" s="2" t="s">
        <v>282</v>
      </c>
      <c r="B482" s="2" t="s">
        <v>283</v>
      </c>
      <c r="C482" s="2">
        <v>0.48</v>
      </c>
      <c r="D482" s="2">
        <v>6.7999999999999996E-3</v>
      </c>
      <c r="E482" s="2" t="s">
        <v>152</v>
      </c>
      <c r="F482" s="2" t="str">
        <f>VLOOKUP(B482,MSCI中国成分股!A:B,1,)</f>
        <v>601669</v>
      </c>
    </row>
    <row r="483" spans="1:6" ht="20.25" customHeight="1" x14ac:dyDescent="0.15">
      <c r="A483" s="2" t="s">
        <v>419</v>
      </c>
      <c r="B483" s="2" t="s">
        <v>420</v>
      </c>
      <c r="C483" s="2">
        <v>0.44</v>
      </c>
      <c r="D483" s="2">
        <v>0.35570000000000002</v>
      </c>
      <c r="E483" s="2" t="s">
        <v>421</v>
      </c>
      <c r="F483" s="2" t="str">
        <f>VLOOKUP(B483,MSCI中国成分股!A:B,1,)</f>
        <v>600703</v>
      </c>
    </row>
    <row r="484" spans="1:6" ht="20.25" customHeight="1" x14ac:dyDescent="0.15">
      <c r="A484" s="2" t="s">
        <v>1073</v>
      </c>
      <c r="B484" s="2" t="s">
        <v>1074</v>
      </c>
      <c r="C484" s="2">
        <v>0.43</v>
      </c>
      <c r="D484" s="2">
        <v>0.91339999999999999</v>
      </c>
      <c r="E484" s="2" t="s">
        <v>10</v>
      </c>
      <c r="F484" s="2" t="str">
        <f>VLOOKUP(B484,MSCI中国成分股!A:B,1,)</f>
        <v>000703</v>
      </c>
    </row>
    <row r="485" spans="1:6" ht="20.25" customHeight="1" x14ac:dyDescent="0.15">
      <c r="A485" s="2" t="s">
        <v>1276</v>
      </c>
      <c r="B485" s="2" t="s">
        <v>1277</v>
      </c>
      <c r="C485" s="2">
        <v>0.43</v>
      </c>
      <c r="D485" s="2">
        <v>3.7402000000000002</v>
      </c>
      <c r="E485" s="2" t="s">
        <v>365</v>
      </c>
      <c r="F485" s="2" t="str">
        <f>VLOOKUP(B485,MSCI中国成分股!A:B,1,)</f>
        <v>000825</v>
      </c>
    </row>
    <row r="486" spans="1:6" ht="20.25" customHeight="1" x14ac:dyDescent="0.15">
      <c r="A486" s="2" t="s">
        <v>124</v>
      </c>
      <c r="B486" s="2" t="s">
        <v>125</v>
      </c>
      <c r="C486" s="2">
        <v>0.42499999999999999</v>
      </c>
      <c r="D486" s="2">
        <v>0.20349999999999999</v>
      </c>
      <c r="E486" s="2" t="s">
        <v>126</v>
      </c>
      <c r="F486" s="2" t="str">
        <f>VLOOKUP(B486,MSCI中国成分股!A:B,1,)</f>
        <v>300999</v>
      </c>
    </row>
    <row r="487" spans="1:6" ht="20.25" customHeight="1" x14ac:dyDescent="0.15">
      <c r="A487" s="2" t="s">
        <v>925</v>
      </c>
      <c r="B487" s="2" t="s">
        <v>926</v>
      </c>
      <c r="C487" s="2">
        <v>0.42</v>
      </c>
      <c r="D487" s="2">
        <v>1.0642</v>
      </c>
      <c r="E487" s="2" t="s">
        <v>225</v>
      </c>
      <c r="F487" s="2" t="str">
        <f>VLOOKUP(B487,MSCI中国成分股!A:B,1,)</f>
        <v>600157</v>
      </c>
    </row>
    <row r="488" spans="1:6" ht="20.25" customHeight="1" x14ac:dyDescent="0.15">
      <c r="A488" s="2" t="s">
        <v>241</v>
      </c>
      <c r="B488" s="2" t="s">
        <v>242</v>
      </c>
      <c r="C488" s="2">
        <v>0.41</v>
      </c>
      <c r="D488" s="2">
        <v>0.4995</v>
      </c>
      <c r="E488" s="2" t="s">
        <v>225</v>
      </c>
      <c r="F488" s="2" t="str">
        <f>VLOOKUP(B488,MSCI中国成分股!A:B,1,)</f>
        <v>600795</v>
      </c>
    </row>
    <row r="489" spans="1:6" ht="20.25" hidden="1" customHeight="1" x14ac:dyDescent="0.15">
      <c r="A489" s="2" t="s">
        <v>1150</v>
      </c>
      <c r="B489" s="2" t="s">
        <v>1151</v>
      </c>
      <c r="C489" s="2">
        <v>0.73</v>
      </c>
      <c r="D489" s="2">
        <v>0.35809999999999997</v>
      </c>
      <c r="E489" s="2" t="s">
        <v>344</v>
      </c>
      <c r="F489" s="2" t="e">
        <f>VLOOKUP(B489,MSCI中国成分股!A:B,1,)</f>
        <v>#N/A</v>
      </c>
    </row>
    <row r="490" spans="1:6" ht="20.25" customHeight="1" x14ac:dyDescent="0.15">
      <c r="A490" s="2" t="s">
        <v>1294</v>
      </c>
      <c r="B490" s="2" t="s">
        <v>1295</v>
      </c>
      <c r="C490" s="2">
        <v>0.41</v>
      </c>
      <c r="D490" s="2">
        <v>0.254</v>
      </c>
      <c r="E490" s="2" t="s">
        <v>74</v>
      </c>
      <c r="F490" s="2" t="str">
        <f>VLOOKUP(B490,MSCI中国成分股!A:B,1,)</f>
        <v>600170</v>
      </c>
    </row>
    <row r="491" spans="1:6" ht="20.25" customHeight="1" x14ac:dyDescent="0.15">
      <c r="A491" s="2" t="s">
        <v>300</v>
      </c>
      <c r="B491" s="2" t="s">
        <v>301</v>
      </c>
      <c r="C491" s="2">
        <v>0.4</v>
      </c>
      <c r="D491" s="2">
        <v>0.53180000000000005</v>
      </c>
      <c r="E491" s="2" t="s">
        <v>123</v>
      </c>
      <c r="F491" s="2" t="str">
        <f>VLOOKUP(B491,MSCI中国成分股!A:B,1,)</f>
        <v>000100</v>
      </c>
    </row>
    <row r="492" spans="1:6" ht="20.25" hidden="1" customHeight="1" x14ac:dyDescent="0.15">
      <c r="A492" s="2" t="s">
        <v>1156</v>
      </c>
      <c r="B492" s="2" t="s">
        <v>1157</v>
      </c>
      <c r="C492" s="2">
        <v>0.99</v>
      </c>
      <c r="D492" s="2">
        <v>0.52049999999999996</v>
      </c>
      <c r="E492" s="2" t="s">
        <v>1158</v>
      </c>
      <c r="F492" s="2" t="e">
        <f>VLOOKUP(B492,MSCI中国成分股!A:B,1,)</f>
        <v>#N/A</v>
      </c>
    </row>
    <row r="493" spans="1:6" ht="20.25" customHeight="1" x14ac:dyDescent="0.15">
      <c r="A493" s="2" t="s">
        <v>927</v>
      </c>
      <c r="B493" s="2" t="s">
        <v>928</v>
      </c>
      <c r="C493" s="2">
        <v>0.38</v>
      </c>
      <c r="D493" s="2">
        <v>0.3075</v>
      </c>
      <c r="E493" s="2" t="s">
        <v>92</v>
      </c>
      <c r="F493" s="2" t="str">
        <f>VLOOKUP(B493,MSCI中国成分股!A:B,1,)</f>
        <v>601866</v>
      </c>
    </row>
    <row r="494" spans="1:6" ht="20.25" customHeight="1" x14ac:dyDescent="0.15">
      <c r="A494" s="2" t="s">
        <v>956</v>
      </c>
      <c r="B494" s="2" t="s">
        <v>957</v>
      </c>
      <c r="C494" s="2">
        <v>0.35</v>
      </c>
      <c r="D494" s="2">
        <v>0.34860000000000002</v>
      </c>
      <c r="E494" s="2" t="s">
        <v>958</v>
      </c>
      <c r="F494" s="2" t="str">
        <f>VLOOKUP(B494,MSCI中国成分股!A:B,1,)</f>
        <v>600754</v>
      </c>
    </row>
    <row r="495" spans="1:6" ht="20.25" customHeight="1" x14ac:dyDescent="0.15">
      <c r="A495" s="2" t="s">
        <v>223</v>
      </c>
      <c r="B495" s="2" t="s">
        <v>224</v>
      </c>
      <c r="C495" s="2">
        <v>0.34</v>
      </c>
      <c r="D495" s="2">
        <v>1.17</v>
      </c>
      <c r="E495" s="2" t="s">
        <v>225</v>
      </c>
      <c r="F495" s="2" t="str">
        <f>VLOOKUP(B495,MSCI中国成分股!A:B,1,)</f>
        <v>600011</v>
      </c>
    </row>
    <row r="496" spans="1:6" ht="20.25" hidden="1" customHeight="1" x14ac:dyDescent="0.15">
      <c r="A496" s="2" t="s">
        <v>1165</v>
      </c>
      <c r="B496" s="2" t="s">
        <v>1166</v>
      </c>
      <c r="C496" s="2">
        <v>0.73</v>
      </c>
      <c r="D496" s="2">
        <v>1.5697000000000001</v>
      </c>
      <c r="E496" s="2" t="s">
        <v>220</v>
      </c>
      <c r="F496" s="2" t="e">
        <f>VLOOKUP(B496,MSCI中国成分股!A:B,1,)</f>
        <v>#N/A</v>
      </c>
    </row>
    <row r="497" spans="1:6" ht="20.25" hidden="1" customHeight="1" x14ac:dyDescent="0.15">
      <c r="A497" s="2" t="s">
        <v>1167</v>
      </c>
      <c r="B497" s="2" t="s">
        <v>1168</v>
      </c>
      <c r="C497" s="2">
        <v>2.19</v>
      </c>
      <c r="D497" s="2">
        <v>0.57950000000000002</v>
      </c>
      <c r="E497" s="2" t="s">
        <v>741</v>
      </c>
      <c r="F497" s="2" t="e">
        <f>VLOOKUP(B497,MSCI中国成分股!A:B,1,)</f>
        <v>#N/A</v>
      </c>
    </row>
    <row r="498" spans="1:6" ht="20.25" customHeight="1" x14ac:dyDescent="0.15">
      <c r="A498" s="2" t="s">
        <v>583</v>
      </c>
      <c r="B498" s="2" t="s">
        <v>584</v>
      </c>
      <c r="C498" s="2">
        <v>0.32</v>
      </c>
      <c r="D498" s="2">
        <v>5.6399999999999999E-2</v>
      </c>
      <c r="E498" s="2" t="s">
        <v>322</v>
      </c>
      <c r="F498" s="2" t="str">
        <f>VLOOKUP(B498,MSCI中国成分股!A:B,1,)</f>
        <v>600061</v>
      </c>
    </row>
    <row r="499" spans="1:6" ht="20.25" hidden="1" customHeight="1" x14ac:dyDescent="0.15">
      <c r="A499" s="2" t="s">
        <v>1171</v>
      </c>
      <c r="B499" s="2" t="s">
        <v>1172</v>
      </c>
      <c r="C499" s="2">
        <v>1.06</v>
      </c>
      <c r="D499" s="2">
        <v>5.8719000000000001</v>
      </c>
      <c r="E499" s="2" t="s">
        <v>1173</v>
      </c>
      <c r="F499" s="2" t="e">
        <f>VLOOKUP(B499,MSCI中国成分股!A:B,1,)</f>
        <v>#N/A</v>
      </c>
    </row>
    <row r="500" spans="1:6" ht="20.25" hidden="1" customHeight="1" x14ac:dyDescent="0.15">
      <c r="A500" s="2" t="s">
        <v>1174</v>
      </c>
      <c r="B500" s="2" t="s">
        <v>1175</v>
      </c>
      <c r="C500" s="2">
        <v>4.5199999999999996</v>
      </c>
      <c r="D500" s="2">
        <v>1.7032</v>
      </c>
      <c r="E500" s="2" t="s">
        <v>365</v>
      </c>
      <c r="F500" s="2" t="e">
        <f>VLOOKUP(B500,MSCI中国成分股!A:B,1,)</f>
        <v>#N/A</v>
      </c>
    </row>
    <row r="501" spans="1:6" ht="20.25" customHeight="1" x14ac:dyDescent="0.15">
      <c r="A501" s="2" t="s">
        <v>575</v>
      </c>
      <c r="B501" s="2" t="s">
        <v>576</v>
      </c>
      <c r="C501" s="2">
        <v>0.3</v>
      </c>
      <c r="D501" s="2">
        <v>1.0208999999999999</v>
      </c>
      <c r="E501" s="2" t="s">
        <v>225</v>
      </c>
      <c r="F501" s="2" t="str">
        <f>VLOOKUP(B501,MSCI中国成分股!A:B,1,)</f>
        <v>601991</v>
      </c>
    </row>
    <row r="502" spans="1:6" ht="20.25" hidden="1" customHeight="1" x14ac:dyDescent="0.15">
      <c r="A502" s="2" t="s">
        <v>1178</v>
      </c>
      <c r="B502" s="2" t="s">
        <v>1179</v>
      </c>
      <c r="C502" s="2">
        <v>1.06</v>
      </c>
      <c r="D502" s="2">
        <v>1.1393</v>
      </c>
      <c r="E502" s="2" t="s">
        <v>315</v>
      </c>
      <c r="F502" s="2" t="e">
        <f>VLOOKUP(B502,MSCI中国成分股!A:B,1,)</f>
        <v>#N/A</v>
      </c>
    </row>
    <row r="503" spans="1:6" ht="20.25" customHeight="1" x14ac:dyDescent="0.15">
      <c r="A503" s="2" t="s">
        <v>626</v>
      </c>
      <c r="B503" s="2" t="s">
        <v>627</v>
      </c>
      <c r="C503" s="2">
        <v>0.28999999999999998</v>
      </c>
      <c r="D503" s="2">
        <v>30.012599999999999</v>
      </c>
      <c r="E503" s="2" t="s">
        <v>281</v>
      </c>
      <c r="F503" s="2" t="str">
        <f>VLOOKUP(B503,MSCI中国成分股!A:B,1,)</f>
        <v>600515</v>
      </c>
    </row>
    <row r="504" spans="1:6" ht="20.25" customHeight="1" x14ac:dyDescent="0.15">
      <c r="A504" s="2" t="s">
        <v>936</v>
      </c>
      <c r="B504" s="2" t="s">
        <v>937</v>
      </c>
      <c r="C504" s="2">
        <v>0.28000000000000003</v>
      </c>
      <c r="D504" s="2">
        <v>0.14729999999999999</v>
      </c>
      <c r="E504" s="2" t="s">
        <v>938</v>
      </c>
      <c r="F504" s="2" t="str">
        <f>VLOOKUP(B504,MSCI中国成分股!A:B,1,)</f>
        <v>600839</v>
      </c>
    </row>
    <row r="505" spans="1:6" ht="20.25" customHeight="1" x14ac:dyDescent="0.15">
      <c r="A505" s="2" t="s">
        <v>431</v>
      </c>
      <c r="B505" s="2" t="s">
        <v>432</v>
      </c>
      <c r="C505" s="2">
        <v>0.26</v>
      </c>
      <c r="D505" s="2">
        <v>0.1033</v>
      </c>
      <c r="E505" s="2" t="s">
        <v>403</v>
      </c>
      <c r="F505" s="2" t="str">
        <f>VLOOKUP(B505,MSCI中国成分股!A:B,1,)</f>
        <v>600482</v>
      </c>
    </row>
    <row r="506" spans="1:6" ht="20.25" hidden="1" customHeight="1" x14ac:dyDescent="0.15">
      <c r="A506" s="2" t="s">
        <v>1187</v>
      </c>
      <c r="B506" s="2" t="s">
        <v>1188</v>
      </c>
      <c r="C506" s="2">
        <v>0.15</v>
      </c>
      <c r="D506" s="2">
        <v>1.1886000000000001</v>
      </c>
      <c r="E506" s="2" t="s">
        <v>685</v>
      </c>
      <c r="F506" s="2" t="e">
        <f>VLOOKUP(B506,MSCI中国成分股!A:B,1,)</f>
        <v>#N/A</v>
      </c>
    </row>
    <row r="507" spans="1:6" ht="20.25" hidden="1" customHeight="1" x14ac:dyDescent="0.15">
      <c r="A507" s="2" t="s">
        <v>1189</v>
      </c>
      <c r="B507" s="2" t="s">
        <v>1190</v>
      </c>
      <c r="C507" s="2">
        <v>0.02</v>
      </c>
      <c r="D507" s="2">
        <v>0.33029999999999998</v>
      </c>
      <c r="E507" s="2" t="s">
        <v>38</v>
      </c>
      <c r="F507" s="2" t="e">
        <f>VLOOKUP(B507,MSCI中国成分股!A:B,1,)</f>
        <v>#N/A</v>
      </c>
    </row>
    <row r="508" spans="1:6" ht="20.25" customHeight="1" x14ac:dyDescent="0.15">
      <c r="A508" s="2" t="s">
        <v>964</v>
      </c>
      <c r="B508" s="2" t="s">
        <v>965</v>
      </c>
      <c r="C508" s="2">
        <v>0.24</v>
      </c>
      <c r="D508" s="2">
        <v>0.375</v>
      </c>
      <c r="E508" s="2" t="s">
        <v>225</v>
      </c>
      <c r="F508" s="2" t="str">
        <f>VLOOKUP(B508,MSCI中国成分股!A:B,1,)</f>
        <v>600021</v>
      </c>
    </row>
    <row r="509" spans="1:6" ht="20.25" customHeight="1" x14ac:dyDescent="0.15">
      <c r="A509" s="2" t="s">
        <v>109</v>
      </c>
      <c r="B509" s="2" t="s">
        <v>110</v>
      </c>
      <c r="C509" s="2">
        <v>0.22</v>
      </c>
      <c r="D509" s="2">
        <v>1.2687999999999999</v>
      </c>
      <c r="E509" s="2" t="s">
        <v>111</v>
      </c>
      <c r="F509" s="2" t="str">
        <f>VLOOKUP(B509,MSCI中国成分股!A:B,1,)</f>
        <v>600150</v>
      </c>
    </row>
    <row r="510" spans="1:6" ht="20.25" hidden="1" customHeight="1" x14ac:dyDescent="0.15">
      <c r="A510" s="2" t="s">
        <v>1195</v>
      </c>
      <c r="B510" s="2" t="s">
        <v>1196</v>
      </c>
      <c r="C510" s="2">
        <v>1.47</v>
      </c>
      <c r="D510" s="2">
        <v>3.2376</v>
      </c>
      <c r="E510" s="2" t="s">
        <v>21</v>
      </c>
      <c r="F510" s="2" t="e">
        <f>VLOOKUP(B510,MSCI中国成分股!A:B,1,)</f>
        <v>#N/A</v>
      </c>
    </row>
    <row r="511" spans="1:6" ht="20.25" customHeight="1" x14ac:dyDescent="0.15">
      <c r="A511" s="2" t="s">
        <v>177</v>
      </c>
      <c r="B511" s="2" t="s">
        <v>178</v>
      </c>
      <c r="C511" s="2">
        <v>0.22</v>
      </c>
      <c r="D511" s="2">
        <v>30.237400000000001</v>
      </c>
      <c r="E511" s="2" t="s">
        <v>65</v>
      </c>
      <c r="F511" s="2" t="str">
        <f>VLOOKUP(B511,MSCI中国成分股!A:B,1,)</f>
        <v>300498</v>
      </c>
    </row>
    <row r="512" spans="1:6" ht="20.25" customHeight="1" x14ac:dyDescent="0.15">
      <c r="A512" s="2" t="s">
        <v>401</v>
      </c>
      <c r="B512" s="2" t="s">
        <v>402</v>
      </c>
      <c r="C512" s="2">
        <v>0.21</v>
      </c>
      <c r="D512" s="2">
        <v>2.8908</v>
      </c>
      <c r="E512" s="2" t="s">
        <v>403</v>
      </c>
      <c r="F512" s="2" t="str">
        <f>VLOOKUP(B512,MSCI中国成分股!A:B,1,)</f>
        <v>601727</v>
      </c>
    </row>
    <row r="513" spans="1:6" ht="20.25" hidden="1" customHeight="1" x14ac:dyDescent="0.15">
      <c r="A513" s="2" t="s">
        <v>1202</v>
      </c>
      <c r="B513" s="2" t="s">
        <v>1203</v>
      </c>
      <c r="C513" s="2">
        <v>1.04</v>
      </c>
      <c r="D513" s="2">
        <v>0.85309999999999997</v>
      </c>
      <c r="E513" s="2" t="s">
        <v>134</v>
      </c>
      <c r="F513" s="2" t="e">
        <f>VLOOKUP(B513,MSCI中国成分股!A:B,1,)</f>
        <v>#N/A</v>
      </c>
    </row>
    <row r="514" spans="1:6" ht="20.25" customHeight="1" x14ac:dyDescent="0.15">
      <c r="A514" s="2" t="s">
        <v>320</v>
      </c>
      <c r="B514" s="2" t="s">
        <v>321</v>
      </c>
      <c r="C514" s="2">
        <v>0.2</v>
      </c>
      <c r="D514" s="2">
        <v>7.7999999999999996E-3</v>
      </c>
      <c r="E514" s="2" t="s">
        <v>322</v>
      </c>
      <c r="F514" s="2" t="str">
        <f>VLOOKUP(B514,MSCI中国成分股!A:B,1,)</f>
        <v>000617</v>
      </c>
    </row>
    <row r="515" spans="1:6" ht="20.25" hidden="1" customHeight="1" x14ac:dyDescent="0.15">
      <c r="A515" s="2" t="s">
        <v>1206</v>
      </c>
      <c r="B515" s="2" t="s">
        <v>1207</v>
      </c>
      <c r="C515" s="2">
        <v>3.26</v>
      </c>
      <c r="D515" s="2">
        <v>35.260199999999998</v>
      </c>
      <c r="E515" s="2" t="s">
        <v>633</v>
      </c>
      <c r="F515" s="2" t="e">
        <f>VLOOKUP(B515,MSCI中国成分股!A:B,1,)</f>
        <v>#N/A</v>
      </c>
    </row>
    <row r="516" spans="1:6" ht="20.25" hidden="1" customHeight="1" x14ac:dyDescent="0.15">
      <c r="A516" s="2" t="s">
        <v>1208</v>
      </c>
      <c r="B516" s="2" t="s">
        <v>1209</v>
      </c>
      <c r="C516" s="2">
        <v>0.03</v>
      </c>
      <c r="D516" s="2">
        <v>1.4991000000000001</v>
      </c>
      <c r="E516" s="2" t="s">
        <v>1094</v>
      </c>
      <c r="F516" s="2" t="e">
        <f>VLOOKUP(B516,MSCI中国成分股!A:B,1,)</f>
        <v>#N/A</v>
      </c>
    </row>
    <row r="517" spans="1:6" ht="20.25" hidden="1" customHeight="1" x14ac:dyDescent="0.15">
      <c r="A517" s="2" t="s">
        <v>1210</v>
      </c>
      <c r="B517" s="2" t="s">
        <v>1211</v>
      </c>
      <c r="C517" s="2">
        <v>1.64</v>
      </c>
      <c r="D517" s="2">
        <v>0.48759999999999998</v>
      </c>
      <c r="E517" s="2" t="s">
        <v>368</v>
      </c>
      <c r="F517" s="2" t="e">
        <f>VLOOKUP(B517,MSCI中国成分股!A:B,1,)</f>
        <v>#N/A</v>
      </c>
    </row>
    <row r="518" spans="1:6" ht="20.25" hidden="1" customHeight="1" x14ac:dyDescent="0.15">
      <c r="A518" s="2" t="s">
        <v>1212</v>
      </c>
      <c r="B518" s="2" t="s">
        <v>1213</v>
      </c>
      <c r="C518" s="2">
        <v>2.1</v>
      </c>
      <c r="D518" s="2">
        <v>3.9315000000000002</v>
      </c>
      <c r="E518" s="2" t="s">
        <v>21</v>
      </c>
      <c r="F518" s="2" t="e">
        <f>VLOOKUP(B518,MSCI中国成分股!A:B,1,)</f>
        <v>#N/A</v>
      </c>
    </row>
    <row r="519" spans="1:6" ht="20.25" customHeight="1" x14ac:dyDescent="0.15">
      <c r="A519" s="2" t="s">
        <v>1115</v>
      </c>
      <c r="B519" s="2" t="s">
        <v>1116</v>
      </c>
      <c r="C519" s="2">
        <v>0.2</v>
      </c>
      <c r="D519" s="2">
        <v>2.69E-2</v>
      </c>
      <c r="E519" s="2" t="s">
        <v>322</v>
      </c>
      <c r="F519" s="2" t="str">
        <f>VLOOKUP(B519,MSCI中国成分股!A:B,1,)</f>
        <v>600705</v>
      </c>
    </row>
    <row r="520" spans="1:6" ht="20.25" hidden="1" customHeight="1" x14ac:dyDescent="0.15">
      <c r="A520" s="2" t="s">
        <v>1216</v>
      </c>
      <c r="B520" s="2" t="s">
        <v>1217</v>
      </c>
      <c r="C520" s="2">
        <v>2.65</v>
      </c>
      <c r="D520" s="2">
        <v>5.5164</v>
      </c>
      <c r="E520" s="2" t="s">
        <v>106</v>
      </c>
      <c r="F520" s="2" t="e">
        <f>VLOOKUP(B520,MSCI中国成分股!A:B,1,)</f>
        <v>#N/A</v>
      </c>
    </row>
    <row r="521" spans="1:6" ht="20.25" customHeight="1" x14ac:dyDescent="0.15">
      <c r="A521" s="2" t="s">
        <v>1264</v>
      </c>
      <c r="B521" s="2" t="s">
        <v>1265</v>
      </c>
      <c r="C521" s="2">
        <v>0.19</v>
      </c>
      <c r="D521" s="2">
        <v>2.6100000000000002E-2</v>
      </c>
      <c r="E521" s="2" t="s">
        <v>146</v>
      </c>
      <c r="F521" s="2" t="str">
        <f>VLOOKUP(B521,MSCI中国成分股!A:B,1,)</f>
        <v>000709</v>
      </c>
    </row>
    <row r="522" spans="1:6" ht="20.25" hidden="1" customHeight="1" x14ac:dyDescent="0.15">
      <c r="A522" s="2" t="s">
        <v>1220</v>
      </c>
      <c r="B522" s="2" t="s">
        <v>1221</v>
      </c>
      <c r="C522" s="2">
        <v>2.17</v>
      </c>
      <c r="D522" s="2">
        <v>276.21339999999998</v>
      </c>
      <c r="E522" s="2" t="s">
        <v>647</v>
      </c>
      <c r="F522" s="2" t="e">
        <f>VLOOKUP(B522,MSCI中国成分股!A:B,1,)</f>
        <v>#N/A</v>
      </c>
    </row>
    <row r="523" spans="1:6" ht="20.25" customHeight="1" x14ac:dyDescent="0.15">
      <c r="A523" s="2" t="s">
        <v>643</v>
      </c>
      <c r="B523" s="2" t="s">
        <v>644</v>
      </c>
      <c r="C523" s="2">
        <v>0.15</v>
      </c>
      <c r="D523" s="2">
        <v>0.64029999999999998</v>
      </c>
      <c r="E523" s="2" t="s">
        <v>13</v>
      </c>
      <c r="F523" s="2" t="str">
        <f>VLOOKUP(B523,MSCI中国成分股!A:B,1,)</f>
        <v>002074</v>
      </c>
    </row>
    <row r="524" spans="1:6" ht="20.25" hidden="1" customHeight="1" x14ac:dyDescent="0.15">
      <c r="A524" s="2" t="s">
        <v>1225</v>
      </c>
      <c r="B524" s="2" t="s">
        <v>1226</v>
      </c>
      <c r="C524" s="2">
        <v>1.67</v>
      </c>
      <c r="D524" s="2">
        <v>0.92859999999999998</v>
      </c>
      <c r="E524" s="2" t="s">
        <v>193</v>
      </c>
      <c r="F524" s="2" t="e">
        <f>VLOOKUP(B524,MSCI中国成分股!A:B,1,)</f>
        <v>#N/A</v>
      </c>
    </row>
    <row r="525" spans="1:6" ht="20.25" hidden="1" customHeight="1" x14ac:dyDescent="0.15">
      <c r="A525" s="2" t="s">
        <v>1227</v>
      </c>
      <c r="B525" s="2" t="s">
        <v>1228</v>
      </c>
      <c r="C525" s="2">
        <v>3.68</v>
      </c>
      <c r="D525" s="2">
        <v>49.890700000000002</v>
      </c>
      <c r="E525" s="2" t="s">
        <v>589</v>
      </c>
      <c r="F525" s="2" t="e">
        <f>VLOOKUP(B525,MSCI中国成分股!A:B,1,)</f>
        <v>#N/A</v>
      </c>
    </row>
    <row r="526" spans="1:6" ht="20.25" customHeight="1" x14ac:dyDescent="0.15">
      <c r="A526" s="2" t="s">
        <v>778</v>
      </c>
      <c r="B526" s="2" t="s">
        <v>779</v>
      </c>
      <c r="C526" s="2">
        <v>0.15</v>
      </c>
      <c r="D526" s="2">
        <v>10.1021</v>
      </c>
      <c r="E526" s="2" t="s">
        <v>111</v>
      </c>
      <c r="F526" s="2" t="str">
        <f>VLOOKUP(B526,MSCI中国成分股!A:B,1,)</f>
        <v>600685</v>
      </c>
    </row>
    <row r="527" spans="1:6" ht="20.25" customHeight="1" x14ac:dyDescent="0.15">
      <c r="A527" s="2" t="s">
        <v>569</v>
      </c>
      <c r="B527" s="2" t="s">
        <v>570</v>
      </c>
      <c r="C527" s="2">
        <v>0.14000000000000001</v>
      </c>
      <c r="D527" s="2">
        <v>0.36409999999999998</v>
      </c>
      <c r="E527" s="2" t="s">
        <v>571</v>
      </c>
      <c r="F527" s="2" t="str">
        <f>VLOOKUP(B527,MSCI中国成分股!A:B,1,)</f>
        <v>688126</v>
      </c>
    </row>
    <row r="528" spans="1:6" ht="20.25" hidden="1" customHeight="1" x14ac:dyDescent="0.15">
      <c r="A528" s="2" t="s">
        <v>1233</v>
      </c>
      <c r="B528" s="2" t="s">
        <v>1234</v>
      </c>
      <c r="C528" s="2">
        <v>1.1399999999999999</v>
      </c>
      <c r="D528" s="2">
        <v>0.64200000000000002</v>
      </c>
      <c r="E528" s="2" t="s">
        <v>276</v>
      </c>
      <c r="F528" s="2" t="e">
        <f>VLOOKUP(B528,MSCI中国成分股!A:B,1,)</f>
        <v>#N/A</v>
      </c>
    </row>
    <row r="529" spans="1:6" ht="20.25" hidden="1" customHeight="1" x14ac:dyDescent="0.15">
      <c r="A529" s="2" t="s">
        <v>1235</v>
      </c>
      <c r="B529" s="2" t="s">
        <v>1236</v>
      </c>
      <c r="C529" s="2">
        <v>0.92</v>
      </c>
      <c r="D529" s="2">
        <v>5.3174999999999999</v>
      </c>
      <c r="E529" s="2" t="s">
        <v>916</v>
      </c>
      <c r="F529" s="2" t="e">
        <f>VLOOKUP(B529,MSCI中国成分股!A:B,1,)</f>
        <v>#N/A</v>
      </c>
    </row>
    <row r="530" spans="1:6" ht="20.25" hidden="1" customHeight="1" x14ac:dyDescent="0.15">
      <c r="A530" s="2" t="s">
        <v>1237</v>
      </c>
      <c r="B530" s="2" t="s">
        <v>1238</v>
      </c>
      <c r="C530" s="2">
        <v>0.57999999999999996</v>
      </c>
      <c r="D530" s="2">
        <v>7.0999999999999994E-2</v>
      </c>
      <c r="E530" s="2" t="s">
        <v>784</v>
      </c>
      <c r="F530" s="2" t="e">
        <f>VLOOKUP(B530,MSCI中国成分股!A:B,1,)</f>
        <v>#N/A</v>
      </c>
    </row>
    <row r="531" spans="1:6" ht="20.25" hidden="1" customHeight="1" x14ac:dyDescent="0.15">
      <c r="A531" s="2" t="s">
        <v>1239</v>
      </c>
      <c r="B531" s="2" t="s">
        <v>1240</v>
      </c>
      <c r="C531" s="2">
        <v>1.9550000000000001</v>
      </c>
      <c r="D531" s="2">
        <v>1.179</v>
      </c>
      <c r="E531" s="2" t="s">
        <v>574</v>
      </c>
      <c r="F531" s="2" t="e">
        <f>VLOOKUP(B531,MSCI中国成分股!A:B,1,)</f>
        <v>#N/A</v>
      </c>
    </row>
    <row r="532" spans="1:6" ht="20.25" customHeight="1" x14ac:dyDescent="0.15">
      <c r="A532" s="2" t="s">
        <v>323</v>
      </c>
      <c r="B532" s="2" t="s">
        <v>324</v>
      </c>
      <c r="C532" s="2">
        <v>0.09</v>
      </c>
      <c r="D532" s="2">
        <v>0.52339999999999998</v>
      </c>
      <c r="E532" s="2" t="s">
        <v>146</v>
      </c>
      <c r="F532" s="2" t="str">
        <f>VLOOKUP(B532,MSCI中国成分股!A:B,1,)</f>
        <v>600010</v>
      </c>
    </row>
    <row r="533" spans="1:6" ht="20.25" hidden="1" customHeight="1" x14ac:dyDescent="0.15">
      <c r="A533" s="2" t="s">
        <v>1244</v>
      </c>
      <c r="B533" s="2" t="s">
        <v>1245</v>
      </c>
      <c r="C533" s="2">
        <v>3.9</v>
      </c>
      <c r="D533" s="2">
        <v>1.1357999999999999</v>
      </c>
      <c r="E533" s="2" t="s">
        <v>359</v>
      </c>
      <c r="F533" s="2" t="e">
        <f>VLOOKUP(B533,MSCI中国成分股!A:B,1,)</f>
        <v>#N/A</v>
      </c>
    </row>
    <row r="534" spans="1:6" ht="20.25" hidden="1" customHeight="1" x14ac:dyDescent="0.15">
      <c r="A534" s="2" t="s">
        <v>1246</v>
      </c>
      <c r="B534" s="2" t="s">
        <v>1247</v>
      </c>
      <c r="C534" s="2">
        <v>3.67</v>
      </c>
      <c r="D534" s="2">
        <v>2.8784000000000001</v>
      </c>
      <c r="E534" s="2" t="s">
        <v>1248</v>
      </c>
      <c r="F534" s="2" t="e">
        <f>VLOOKUP(B534,MSCI中国成分股!A:B,1,)</f>
        <v>#N/A</v>
      </c>
    </row>
    <row r="535" spans="1:6" ht="20.25" hidden="1" customHeight="1" x14ac:dyDescent="0.15">
      <c r="A535" s="2" t="s">
        <v>1249</v>
      </c>
      <c r="B535" s="2" t="s">
        <v>1250</v>
      </c>
      <c r="C535" s="2">
        <v>0.09</v>
      </c>
      <c r="D535" s="2">
        <v>85.874700000000004</v>
      </c>
      <c r="E535" s="2" t="s">
        <v>18</v>
      </c>
      <c r="F535" s="2" t="e">
        <f>VLOOKUP(B535,MSCI中国成分股!A:B,1,)</f>
        <v>#N/A</v>
      </c>
    </row>
    <row r="536" spans="1:6" ht="20.25" hidden="1" customHeight="1" x14ac:dyDescent="0.15">
      <c r="A536" s="2" t="s">
        <v>1251</v>
      </c>
      <c r="B536" s="2" t="s">
        <v>1252</v>
      </c>
      <c r="C536" s="2">
        <v>4.79</v>
      </c>
      <c r="D536" s="2">
        <v>2.4805000000000001</v>
      </c>
      <c r="E536" s="2" t="s">
        <v>89</v>
      </c>
      <c r="F536" s="2" t="e">
        <f>VLOOKUP(B536,MSCI中国成分股!A:B,1,)</f>
        <v>#N/A</v>
      </c>
    </row>
    <row r="537" spans="1:6" ht="20.25" customHeight="1" x14ac:dyDescent="0.15">
      <c r="A537" s="2" t="s">
        <v>785</v>
      </c>
      <c r="B537" s="2" t="s">
        <v>786</v>
      </c>
      <c r="C537" s="2">
        <v>0.04</v>
      </c>
      <c r="D537" s="2">
        <v>34.366999999999997</v>
      </c>
      <c r="E537" s="2" t="s">
        <v>787</v>
      </c>
      <c r="F537" s="2" t="str">
        <f>VLOOKUP(B537,MSCI中国成分股!A:B,1,)</f>
        <v>002456</v>
      </c>
    </row>
    <row r="538" spans="1:6" ht="20.25" hidden="1" customHeight="1" x14ac:dyDescent="0.15">
      <c r="A538" s="2" t="s">
        <v>1255</v>
      </c>
      <c r="B538" s="2" t="s">
        <v>1256</v>
      </c>
      <c r="C538" s="2">
        <v>1.1000000000000001</v>
      </c>
      <c r="D538" s="2">
        <v>0.57169999999999999</v>
      </c>
      <c r="E538" s="2" t="s">
        <v>81</v>
      </c>
      <c r="F538" s="2" t="e">
        <f>VLOOKUP(B538,MSCI中国成分股!A:B,1,)</f>
        <v>#N/A</v>
      </c>
    </row>
    <row r="539" spans="1:6" ht="20.25" hidden="1" customHeight="1" x14ac:dyDescent="0.15">
      <c r="A539" s="2" t="s">
        <v>1257</v>
      </c>
      <c r="B539" s="2" t="s">
        <v>1258</v>
      </c>
      <c r="C539" s="2">
        <v>0.66</v>
      </c>
      <c r="D539" s="2">
        <v>0.1555</v>
      </c>
      <c r="E539" s="2" t="s">
        <v>322</v>
      </c>
      <c r="F539" s="2" t="e">
        <f>VLOOKUP(B539,MSCI中国成分股!A:B,1,)</f>
        <v>#N/A</v>
      </c>
    </row>
    <row r="540" spans="1:6" ht="20.25" customHeight="1" x14ac:dyDescent="0.15">
      <c r="A540" s="2" t="s">
        <v>435</v>
      </c>
      <c r="B540" s="2" t="s">
        <v>436</v>
      </c>
      <c r="C540" s="2">
        <v>0.03</v>
      </c>
      <c r="D540" s="2">
        <v>1.1757</v>
      </c>
      <c r="E540" s="2" t="s">
        <v>437</v>
      </c>
      <c r="F540" s="2" t="str">
        <f>VLOOKUP(B540,MSCI中国成分股!A:B,1,)</f>
        <v>600418</v>
      </c>
    </row>
    <row r="541" spans="1:6" ht="20.25" customHeight="1" x14ac:dyDescent="0.15">
      <c r="A541" s="2" t="s">
        <v>160</v>
      </c>
      <c r="B541" s="2" t="s">
        <v>161</v>
      </c>
      <c r="C541" s="2">
        <v>-0.04</v>
      </c>
      <c r="D541" s="2">
        <v>0.1062</v>
      </c>
      <c r="E541" s="2" t="s">
        <v>111</v>
      </c>
      <c r="F541" s="2" t="str">
        <f>VLOOKUP(B541,MSCI中国成分股!A:B,1,)</f>
        <v>601989</v>
      </c>
    </row>
    <row r="542" spans="1:6" ht="20.25" customHeight="1" x14ac:dyDescent="0.15">
      <c r="A542" s="2" t="s">
        <v>1306</v>
      </c>
      <c r="B542" s="2" t="s">
        <v>1307</v>
      </c>
      <c r="C542" s="2">
        <v>-0.04</v>
      </c>
      <c r="D542" s="2">
        <v>0.36270000000000002</v>
      </c>
      <c r="E542" s="2" t="s">
        <v>123</v>
      </c>
      <c r="F542" s="2" t="str">
        <f>VLOOKUP(B542,MSCI中国成分股!A:B,1,)</f>
        <v>000050</v>
      </c>
    </row>
    <row r="543" spans="1:6" ht="20.25" customHeight="1" x14ac:dyDescent="0.15">
      <c r="A543" s="2" t="s">
        <v>6696</v>
      </c>
      <c r="B543" s="2" t="s">
        <v>6697</v>
      </c>
      <c r="C543" s="2">
        <v>-0.05</v>
      </c>
      <c r="D543" s="2">
        <v>2.9207000000000001</v>
      </c>
      <c r="E543" s="2" t="s">
        <v>736</v>
      </c>
      <c r="F543" s="2" t="str">
        <f>VLOOKUP(B543,MSCI中国成分股!A:B,1,)</f>
        <v>603980</v>
      </c>
    </row>
    <row r="544" spans="1:6" ht="20.25" hidden="1" customHeight="1" x14ac:dyDescent="0.15">
      <c r="A544" s="2" t="s">
        <v>1269</v>
      </c>
      <c r="B544" s="2" t="s">
        <v>1270</v>
      </c>
      <c r="C544" s="2">
        <v>-0.05</v>
      </c>
      <c r="D544" s="2">
        <v>0.13170000000000001</v>
      </c>
      <c r="E544" s="2" t="s">
        <v>100</v>
      </c>
      <c r="F544" s="2" t="e">
        <f>VLOOKUP(B544,MSCI中国成分股!A:B,1,)</f>
        <v>#N/A</v>
      </c>
    </row>
    <row r="545" spans="1:6" ht="20.25" customHeight="1" x14ac:dyDescent="0.15">
      <c r="A545" s="2" t="s">
        <v>1135</v>
      </c>
      <c r="B545" s="2" t="s">
        <v>1136</v>
      </c>
      <c r="C545" s="2">
        <v>-0.1</v>
      </c>
      <c r="D545" s="2">
        <v>31.591899999999999</v>
      </c>
      <c r="E545" s="2" t="s">
        <v>245</v>
      </c>
      <c r="F545" s="2" t="str">
        <f>VLOOKUP(B545,MSCI中国成分股!A:B,1,)</f>
        <v>300454</v>
      </c>
    </row>
    <row r="546" spans="1:6" ht="20.25" customHeight="1" x14ac:dyDescent="0.15">
      <c r="A546" s="2" t="s">
        <v>433</v>
      </c>
      <c r="B546" s="2" t="s">
        <v>434</v>
      </c>
      <c r="C546" s="2">
        <v>-0.13</v>
      </c>
      <c r="D546" s="2">
        <v>3.1573000000000002</v>
      </c>
      <c r="E546" s="2" t="s">
        <v>245</v>
      </c>
      <c r="F546" s="2" t="str">
        <f>VLOOKUP(B546,MSCI中国成分股!A:B,1,)</f>
        <v>601360</v>
      </c>
    </row>
    <row r="547" spans="1:6" ht="20.25" customHeight="1" x14ac:dyDescent="0.15">
      <c r="A547" s="2" t="s">
        <v>549</v>
      </c>
      <c r="B547" s="2" t="s">
        <v>550</v>
      </c>
      <c r="C547" s="2">
        <v>-0.18</v>
      </c>
      <c r="D547" s="2">
        <v>6.1707000000000001</v>
      </c>
      <c r="E547" s="2" t="s">
        <v>551</v>
      </c>
      <c r="F547" s="2" t="str">
        <f>VLOOKUP(B547,MSCI中国成分股!A:B,1,)</f>
        <v>000876</v>
      </c>
    </row>
    <row r="548" spans="1:6" ht="20.25" hidden="1" customHeight="1" x14ac:dyDescent="0.15">
      <c r="A548" s="2" t="s">
        <v>1278</v>
      </c>
      <c r="B548" s="2" t="s">
        <v>1279</v>
      </c>
      <c r="C548" s="2">
        <v>1.135</v>
      </c>
      <c r="D548" s="2">
        <v>6.5038</v>
      </c>
      <c r="E548" s="2" t="s">
        <v>185</v>
      </c>
      <c r="F548" s="2" t="e">
        <f>VLOOKUP(B548,MSCI中国成分股!A:B,1,)</f>
        <v>#N/A</v>
      </c>
    </row>
    <row r="549" spans="1:6" ht="20.25" hidden="1" customHeight="1" x14ac:dyDescent="0.15">
      <c r="A549" s="2" t="s">
        <v>1280</v>
      </c>
      <c r="B549" s="2" t="s">
        <v>1281</v>
      </c>
      <c r="C549" s="2">
        <v>3.29</v>
      </c>
      <c r="D549" s="2">
        <v>0.61809999999999998</v>
      </c>
      <c r="E549" s="2" t="s">
        <v>1282</v>
      </c>
      <c r="F549" s="2" t="e">
        <f>VLOOKUP(B549,MSCI中国成分股!A:B,1,)</f>
        <v>#N/A</v>
      </c>
    </row>
    <row r="550" spans="1:6" ht="20.25" customHeight="1" x14ac:dyDescent="0.15">
      <c r="A550" s="2" t="s">
        <v>1089</v>
      </c>
      <c r="B550" s="2" t="s">
        <v>1090</v>
      </c>
      <c r="C550" s="2">
        <v>-0.24</v>
      </c>
      <c r="D550" s="2">
        <v>1.014</v>
      </c>
      <c r="E550" s="2" t="s">
        <v>1091</v>
      </c>
      <c r="F550" s="2" t="str">
        <f>VLOOKUP(B550,MSCI中国成分股!A:B,1,)</f>
        <v>601118</v>
      </c>
    </row>
    <row r="551" spans="1:6" ht="20.25" hidden="1" customHeight="1" x14ac:dyDescent="0.15">
      <c r="A551" s="2" t="s">
        <v>1286</v>
      </c>
      <c r="B551" s="2" t="s">
        <v>1287</v>
      </c>
      <c r="C551" s="2">
        <v>0.04</v>
      </c>
      <c r="D551" s="2">
        <v>7.0118999999999998</v>
      </c>
      <c r="E551" s="2" t="s">
        <v>100</v>
      </c>
      <c r="F551" s="2" t="e">
        <f>VLOOKUP(B551,MSCI中国成分股!A:B,1,)</f>
        <v>#N/A</v>
      </c>
    </row>
    <row r="552" spans="1:6" ht="20.25" customHeight="1" x14ac:dyDescent="0.15">
      <c r="A552" s="2" t="s">
        <v>440</v>
      </c>
      <c r="B552" s="2" t="s">
        <v>441</v>
      </c>
      <c r="C552" s="2">
        <v>-0.34</v>
      </c>
      <c r="D552" s="2">
        <v>2.9289000000000001</v>
      </c>
      <c r="E552" s="2" t="s">
        <v>217</v>
      </c>
      <c r="F552" s="2" t="str">
        <f>VLOOKUP(B552,MSCI中国成分股!A:B,1,)</f>
        <v>601021</v>
      </c>
    </row>
    <row r="553" spans="1:6" ht="20.25" customHeight="1" x14ac:dyDescent="0.15">
      <c r="A553" s="2" t="s">
        <v>1062</v>
      </c>
      <c r="B553" s="2" t="s">
        <v>1063</v>
      </c>
      <c r="C553" s="2">
        <v>-0.36</v>
      </c>
      <c r="D553" s="2">
        <v>1.1771</v>
      </c>
      <c r="E553" s="2" t="s">
        <v>281</v>
      </c>
      <c r="F553" s="2" t="str">
        <f>VLOOKUP(B553,MSCI中国成分股!A:B,1,)</f>
        <v>600004</v>
      </c>
    </row>
    <row r="554" spans="1:6" ht="20.25" hidden="1" customHeight="1" x14ac:dyDescent="0.15">
      <c r="A554" s="2" t="s">
        <v>1292</v>
      </c>
      <c r="B554" s="2" t="s">
        <v>1293</v>
      </c>
      <c r="C554" s="2">
        <v>1.87</v>
      </c>
      <c r="D554" s="2">
        <v>1.7712000000000001</v>
      </c>
      <c r="E554" s="2" t="s">
        <v>511</v>
      </c>
      <c r="F554" s="2" t="e">
        <f>VLOOKUP(B554,MSCI中国成分股!A:B,1,)</f>
        <v>#N/A</v>
      </c>
    </row>
    <row r="555" spans="1:6" ht="20.25" customHeight="1" x14ac:dyDescent="0.15">
      <c r="A555" s="2" t="s">
        <v>720</v>
      </c>
      <c r="B555" s="2" t="s">
        <v>721</v>
      </c>
      <c r="C555" s="2">
        <v>-0.39</v>
      </c>
      <c r="D555" s="2">
        <v>12.881600000000001</v>
      </c>
      <c r="E555" s="2" t="s">
        <v>245</v>
      </c>
      <c r="F555" s="2" t="str">
        <f>VLOOKUP(B555,MSCI中国成分股!A:B,1,)</f>
        <v>600588</v>
      </c>
    </row>
    <row r="556" spans="1:6" ht="20.25" hidden="1" customHeight="1" x14ac:dyDescent="0.15">
      <c r="A556" s="2" t="s">
        <v>1296</v>
      </c>
      <c r="B556" s="2" t="s">
        <v>1297</v>
      </c>
      <c r="C556" s="2">
        <v>1.36</v>
      </c>
      <c r="D556" s="2">
        <v>4.3042999999999996</v>
      </c>
      <c r="E556" s="2" t="s">
        <v>44</v>
      </c>
      <c r="F556" s="2" t="e">
        <f>VLOOKUP(B556,MSCI中国成分股!A:B,1,)</f>
        <v>#N/A</v>
      </c>
    </row>
    <row r="557" spans="1:6" ht="20.25" hidden="1" customHeight="1" x14ac:dyDescent="0.15">
      <c r="A557" s="2" t="s">
        <v>1298</v>
      </c>
      <c r="B557" s="2" t="s">
        <v>1299</v>
      </c>
      <c r="C557" s="2">
        <v>2.625</v>
      </c>
      <c r="D557" s="2">
        <v>6.9199000000000002</v>
      </c>
      <c r="E557" s="2" t="s">
        <v>103</v>
      </c>
      <c r="F557" s="2" t="e">
        <f>VLOOKUP(B557,MSCI中国成分股!A:B,1,)</f>
        <v>#N/A</v>
      </c>
    </row>
    <row r="558" spans="1:6" ht="20.25" hidden="1" customHeight="1" x14ac:dyDescent="0.15">
      <c r="A558" s="2" t="s">
        <v>1300</v>
      </c>
      <c r="B558" s="2" t="s">
        <v>1301</v>
      </c>
      <c r="C558" s="2">
        <v>0.51</v>
      </c>
      <c r="D558" s="2">
        <v>1.24</v>
      </c>
      <c r="E558" s="2" t="s">
        <v>225</v>
      </c>
      <c r="F558" s="2" t="e">
        <f>VLOOKUP(B558,MSCI中国成分股!A:B,1,)</f>
        <v>#N/A</v>
      </c>
    </row>
    <row r="559" spans="1:6" ht="20.25" hidden="1" customHeight="1" x14ac:dyDescent="0.15">
      <c r="A559" s="2" t="s">
        <v>1302</v>
      </c>
      <c r="B559" s="2" t="s">
        <v>1303</v>
      </c>
      <c r="C559" s="2">
        <v>2.0499999999999998</v>
      </c>
      <c r="D559" s="2">
        <v>1.6254999999999999</v>
      </c>
      <c r="E559" s="2" t="s">
        <v>476</v>
      </c>
      <c r="F559" s="2" t="e">
        <f>VLOOKUP(B559,MSCI中国成分股!A:B,1,)</f>
        <v>#N/A</v>
      </c>
    </row>
    <row r="560" spans="1:6" ht="20.25" hidden="1" customHeight="1" x14ac:dyDescent="0.15">
      <c r="A560" s="2" t="s">
        <v>1304</v>
      </c>
      <c r="B560" s="2" t="s">
        <v>1305</v>
      </c>
      <c r="C560" s="2">
        <v>3.64</v>
      </c>
      <c r="D560" s="2">
        <v>1.1882999999999999</v>
      </c>
      <c r="E560" s="2" t="s">
        <v>501</v>
      </c>
      <c r="F560" s="2" t="e">
        <f>VLOOKUP(B560,MSCI中国成分股!A:B,1,)</f>
        <v>#N/A</v>
      </c>
    </row>
    <row r="561" spans="1:6" ht="20.25" customHeight="1" x14ac:dyDescent="0.15">
      <c r="A561" s="2" t="s">
        <v>1083</v>
      </c>
      <c r="B561" s="2" t="s">
        <v>1084</v>
      </c>
      <c r="C561" s="2">
        <v>-0.43</v>
      </c>
      <c r="D561" s="2">
        <v>2.1934999999999998</v>
      </c>
      <c r="E561" s="2" t="s">
        <v>49</v>
      </c>
      <c r="F561" s="2" t="str">
        <f>VLOOKUP(B561,MSCI中国成分股!A:B,1,)</f>
        <v>601333</v>
      </c>
    </row>
    <row r="562" spans="1:6" ht="20.25" hidden="1" customHeight="1" x14ac:dyDescent="0.15">
      <c r="A562" s="2" t="s">
        <v>1308</v>
      </c>
      <c r="B562" s="2" t="s">
        <v>1309</v>
      </c>
      <c r="C562" s="2">
        <v>0.23</v>
      </c>
      <c r="D562" s="2">
        <v>5.1700999999999997</v>
      </c>
      <c r="E562" s="2" t="s">
        <v>551</v>
      </c>
      <c r="F562" s="2" t="e">
        <f>VLOOKUP(B562,MSCI中国成分股!A:B,1,)</f>
        <v>#N/A</v>
      </c>
    </row>
    <row r="563" spans="1:6" ht="20.25" hidden="1" customHeight="1" x14ac:dyDescent="0.15">
      <c r="A563" s="2" t="s">
        <v>1310</v>
      </c>
      <c r="B563" s="2" t="s">
        <v>1311</v>
      </c>
      <c r="C563" s="2">
        <v>3.23</v>
      </c>
      <c r="D563" s="2">
        <v>0.24679999999999999</v>
      </c>
      <c r="E563" s="2" t="s">
        <v>647</v>
      </c>
      <c r="F563" s="2" t="e">
        <f>VLOOKUP(B563,MSCI中国成分股!A:B,1,)</f>
        <v>#N/A</v>
      </c>
    </row>
    <row r="564" spans="1:6" ht="20.25" customHeight="1" x14ac:dyDescent="0.15">
      <c r="A564" s="2" t="s">
        <v>932</v>
      </c>
      <c r="B564" s="2" t="s">
        <v>933</v>
      </c>
      <c r="C564" s="2">
        <v>-0.62</v>
      </c>
      <c r="D564" s="2">
        <v>1.9807999999999999</v>
      </c>
      <c r="E564" s="2" t="s">
        <v>217</v>
      </c>
      <c r="F564" s="2" t="str">
        <f>VLOOKUP(B564,MSCI中国成分股!A:B,1,)</f>
        <v>603885</v>
      </c>
    </row>
    <row r="565" spans="1:6" ht="20.25" customHeight="1" x14ac:dyDescent="0.15">
      <c r="A565" s="2" t="s">
        <v>279</v>
      </c>
      <c r="B565" s="2" t="s">
        <v>280</v>
      </c>
      <c r="C565" s="2">
        <v>-0.74</v>
      </c>
      <c r="D565" s="2">
        <v>1.6407</v>
      </c>
      <c r="E565" s="2" t="s">
        <v>281</v>
      </c>
      <c r="F565" s="2" t="str">
        <f>VLOOKUP(B565,MSCI中国成分股!A:B,1,)</f>
        <v>600009</v>
      </c>
    </row>
    <row r="566" spans="1:6" ht="20.25" customHeight="1" x14ac:dyDescent="0.15">
      <c r="A566" s="2" t="s">
        <v>1075</v>
      </c>
      <c r="B566" s="2" t="s">
        <v>1076</v>
      </c>
      <c r="C566" s="2">
        <v>-0.88</v>
      </c>
      <c r="D566" s="2">
        <v>5.5214999999999996</v>
      </c>
      <c r="E566" s="2" t="s">
        <v>704</v>
      </c>
      <c r="F566" s="2" t="str">
        <f>VLOOKUP(B566,MSCI中国成分股!A:B,1,)</f>
        <v>601933</v>
      </c>
    </row>
    <row r="567" spans="1:6" ht="20.25" hidden="1" customHeight="1" x14ac:dyDescent="0.15">
      <c r="A567" s="2" t="s">
        <v>1318</v>
      </c>
      <c r="B567" s="2" t="s">
        <v>1319</v>
      </c>
      <c r="C567" s="2">
        <v>1.07</v>
      </c>
      <c r="D567" s="2">
        <v>0.58160000000000001</v>
      </c>
      <c r="E567" s="2" t="s">
        <v>322</v>
      </c>
      <c r="F567" s="2" t="e">
        <f>VLOOKUP(B567,MSCI中国成分股!A:B,1,)</f>
        <v>#N/A</v>
      </c>
    </row>
    <row r="568" spans="1:6" ht="20.25" hidden="1" customHeight="1" x14ac:dyDescent="0.15">
      <c r="A568" s="2" t="s">
        <v>1320</v>
      </c>
      <c r="B568" s="2" t="s">
        <v>1321</v>
      </c>
      <c r="C568" s="2">
        <v>0.7</v>
      </c>
      <c r="D568" s="2">
        <v>1.5513999999999999</v>
      </c>
      <c r="E568" s="2" t="s">
        <v>220</v>
      </c>
      <c r="F568" s="2" t="e">
        <f>VLOOKUP(B568,MSCI中国成分股!A:B,1,)</f>
        <v>#N/A</v>
      </c>
    </row>
    <row r="569" spans="1:6" ht="20.25" hidden="1" customHeight="1" x14ac:dyDescent="0.15">
      <c r="A569" s="2" t="s">
        <v>1322</v>
      </c>
      <c r="B569" s="2" t="s">
        <v>1323</v>
      </c>
      <c r="C569" s="2">
        <v>1.49</v>
      </c>
      <c r="D569" s="2">
        <v>0.32579999999999998</v>
      </c>
      <c r="E569" s="2" t="s">
        <v>134</v>
      </c>
      <c r="F569" s="2" t="e">
        <f>VLOOKUP(B569,MSCI中国成分股!A:B,1,)</f>
        <v>#N/A</v>
      </c>
    </row>
    <row r="570" spans="1:6" ht="20.25" hidden="1" customHeight="1" x14ac:dyDescent="0.15">
      <c r="A570" s="2" t="s">
        <v>1324</v>
      </c>
      <c r="B570" s="2" t="s">
        <v>1325</v>
      </c>
      <c r="C570" s="2">
        <v>2.11</v>
      </c>
      <c r="D570" s="2">
        <v>4.5975999999999999</v>
      </c>
      <c r="E570" s="2" t="s">
        <v>371</v>
      </c>
      <c r="F570" s="2" t="e">
        <f>VLOOKUP(B570,MSCI中国成分股!A:B,1,)</f>
        <v>#N/A</v>
      </c>
    </row>
    <row r="571" spans="1:6" ht="20.25" hidden="1" customHeight="1" x14ac:dyDescent="0.15">
      <c r="A571" s="2" t="s">
        <v>1326</v>
      </c>
      <c r="B571" s="2" t="s">
        <v>1327</v>
      </c>
      <c r="C571" s="2">
        <v>1.01</v>
      </c>
      <c r="D571" s="2">
        <v>0.45600000000000002</v>
      </c>
      <c r="E571" s="2" t="s">
        <v>299</v>
      </c>
      <c r="F571" s="2" t="e">
        <f>VLOOKUP(B571,MSCI中国成分股!A:B,1,)</f>
        <v>#N/A</v>
      </c>
    </row>
    <row r="572" spans="1:6" ht="20.25" hidden="1" customHeight="1" x14ac:dyDescent="0.15">
      <c r="A572" s="2" t="s">
        <v>1328</v>
      </c>
      <c r="B572" s="2" t="s">
        <v>1329</v>
      </c>
      <c r="C572" s="2">
        <v>3.78</v>
      </c>
      <c r="D572" s="2">
        <v>17.284500000000001</v>
      </c>
      <c r="E572" s="2" t="s">
        <v>747</v>
      </c>
      <c r="F572" s="2" t="e">
        <f>VLOOKUP(B572,MSCI中国成分股!A:B,1,)</f>
        <v>#N/A</v>
      </c>
    </row>
    <row r="573" spans="1:6" ht="20.25" hidden="1" customHeight="1" x14ac:dyDescent="0.15">
      <c r="A573" s="2" t="s">
        <v>1330</v>
      </c>
      <c r="B573" s="2" t="s">
        <v>1331</v>
      </c>
      <c r="C573" s="2">
        <v>0.64</v>
      </c>
      <c r="D573" s="2">
        <v>1.2434000000000001</v>
      </c>
      <c r="E573" s="2" t="s">
        <v>81</v>
      </c>
      <c r="F573" s="2" t="e">
        <f>VLOOKUP(B573,MSCI中国成分股!A:B,1,)</f>
        <v>#N/A</v>
      </c>
    </row>
    <row r="574" spans="1:6" ht="20.25" hidden="1" customHeight="1" x14ac:dyDescent="0.15">
      <c r="A574" s="2" t="s">
        <v>1332</v>
      </c>
      <c r="B574" s="2" t="s">
        <v>1333</v>
      </c>
      <c r="C574" s="2">
        <v>1.1299999999999999</v>
      </c>
      <c r="D574" s="2">
        <v>2.7143000000000002</v>
      </c>
      <c r="E574" s="2" t="s">
        <v>747</v>
      </c>
      <c r="F574" s="2" t="e">
        <f>VLOOKUP(B574,MSCI中国成分股!A:B,1,)</f>
        <v>#N/A</v>
      </c>
    </row>
    <row r="575" spans="1:6" ht="20.25" hidden="1" customHeight="1" x14ac:dyDescent="0.15">
      <c r="A575" s="2" t="s">
        <v>1334</v>
      </c>
      <c r="B575" s="2" t="s">
        <v>1335</v>
      </c>
      <c r="C575" s="2">
        <v>2.84</v>
      </c>
      <c r="D575" s="2">
        <v>0.78439999999999999</v>
      </c>
      <c r="E575" s="2" t="s">
        <v>137</v>
      </c>
      <c r="F575" s="2" t="e">
        <f>VLOOKUP(B575,MSCI中国成分股!A:B,1,)</f>
        <v>#N/A</v>
      </c>
    </row>
    <row r="576" spans="1:6" ht="20.25" hidden="1" customHeight="1" x14ac:dyDescent="0.15">
      <c r="A576" s="2" t="s">
        <v>1336</v>
      </c>
      <c r="B576" s="2" t="s">
        <v>1337</v>
      </c>
      <c r="C576" s="2">
        <v>3.36</v>
      </c>
      <c r="D576" s="2">
        <v>12.549799999999999</v>
      </c>
      <c r="E576" s="2" t="s">
        <v>1338</v>
      </c>
      <c r="F576" s="2" t="e">
        <f>VLOOKUP(B576,MSCI中国成分股!A:B,1,)</f>
        <v>#N/A</v>
      </c>
    </row>
    <row r="577" spans="1:6" ht="20.25" customHeight="1" x14ac:dyDescent="0.15">
      <c r="A577" s="2" t="s">
        <v>1092</v>
      </c>
      <c r="B577" s="2" t="s">
        <v>1093</v>
      </c>
      <c r="C577" s="2">
        <v>-1</v>
      </c>
      <c r="D577" s="2">
        <v>61.736600000000003</v>
      </c>
      <c r="E577" s="2" t="s">
        <v>1094</v>
      </c>
      <c r="F577" s="2" t="str">
        <f>VLOOKUP(B577,MSCI中国成分股!A:B,1,)</f>
        <v>002739</v>
      </c>
    </row>
    <row r="578" spans="1:6" ht="20.25" customHeight="1" x14ac:dyDescent="0.15">
      <c r="A578" s="2" t="s">
        <v>215</v>
      </c>
      <c r="B578" s="2" t="s">
        <v>216</v>
      </c>
      <c r="C578" s="2">
        <v>-1.45</v>
      </c>
      <c r="D578" s="2">
        <v>2.4399000000000002</v>
      </c>
      <c r="E578" s="2" t="s">
        <v>217</v>
      </c>
      <c r="F578" s="2" t="str">
        <f>VLOOKUP(B578,MSCI中国成分股!A:B,1,)</f>
        <v>601111</v>
      </c>
    </row>
    <row r="579" spans="1:6" ht="20.25" hidden="1" customHeight="1" x14ac:dyDescent="0.15">
      <c r="A579" s="2" t="s">
        <v>1343</v>
      </c>
      <c r="B579" s="2" t="s">
        <v>1344</v>
      </c>
      <c r="C579" s="2">
        <v>-5.66</v>
      </c>
      <c r="D579" s="2">
        <v>309.84100000000001</v>
      </c>
      <c r="E579" s="2" t="s">
        <v>44</v>
      </c>
      <c r="F579" s="2" t="e">
        <f>VLOOKUP(B579,MSCI中国成分股!A:B,1,)</f>
        <v>#N/A</v>
      </c>
    </row>
    <row r="580" spans="1:6" ht="20.25" hidden="1" customHeight="1" x14ac:dyDescent="0.15">
      <c r="A580" s="2" t="s">
        <v>1345</v>
      </c>
      <c r="B580" s="2" t="s">
        <v>1346</v>
      </c>
      <c r="C580" s="2">
        <v>1.04</v>
      </c>
      <c r="D580" s="2">
        <v>74.802400000000006</v>
      </c>
      <c r="E580" s="2" t="s">
        <v>299</v>
      </c>
      <c r="F580" s="2" t="e">
        <f>VLOOKUP(B580,MSCI中国成分股!A:B,1,)</f>
        <v>#N/A</v>
      </c>
    </row>
    <row r="581" spans="1:6" ht="20.25" hidden="1" customHeight="1" x14ac:dyDescent="0.15">
      <c r="A581" s="2" t="s">
        <v>1347</v>
      </c>
      <c r="B581" s="2" t="s">
        <v>1348</v>
      </c>
      <c r="C581" s="2">
        <v>-0.86</v>
      </c>
      <c r="D581" s="2">
        <v>4.3052999999999999</v>
      </c>
      <c r="E581" s="2" t="s">
        <v>371</v>
      </c>
      <c r="F581" s="2" t="e">
        <f>VLOOKUP(B581,MSCI中国成分股!A:B,1,)</f>
        <v>#N/A</v>
      </c>
    </row>
    <row r="582" spans="1:6" ht="20.25" hidden="1" customHeight="1" x14ac:dyDescent="0.15">
      <c r="A582" s="2" t="s">
        <v>1349</v>
      </c>
      <c r="B582" s="2" t="s">
        <v>1350</v>
      </c>
      <c r="C582" s="2">
        <v>-0.45</v>
      </c>
      <c r="D582" s="2">
        <v>0.95430000000000004</v>
      </c>
      <c r="E582" s="2" t="s">
        <v>385</v>
      </c>
      <c r="F582" s="2" t="e">
        <f>VLOOKUP(B582,MSCI中国成分股!A:B,1,)</f>
        <v>#N/A</v>
      </c>
    </row>
    <row r="583" spans="1:6" ht="20.25" hidden="1" customHeight="1" x14ac:dyDescent="0.15">
      <c r="A583" s="2" t="s">
        <v>1351</v>
      </c>
      <c r="B583" s="2" t="s">
        <v>1352</v>
      </c>
      <c r="C583" s="2">
        <v>0.09</v>
      </c>
      <c r="D583" s="2">
        <v>4.1710000000000003</v>
      </c>
      <c r="E583" s="2" t="s">
        <v>146</v>
      </c>
      <c r="F583" s="2" t="e">
        <f>VLOOKUP(B583,MSCI中国成分股!A:B,1,)</f>
        <v>#N/A</v>
      </c>
    </row>
    <row r="584" spans="1:6" ht="20.25" hidden="1" customHeight="1" x14ac:dyDescent="0.15">
      <c r="A584" s="2" t="s">
        <v>1353</v>
      </c>
      <c r="B584" s="2" t="s">
        <v>1354</v>
      </c>
      <c r="C584" s="2">
        <v>0.92</v>
      </c>
      <c r="D584" s="2">
        <v>1.1484000000000001</v>
      </c>
      <c r="E584" s="2" t="s">
        <v>430</v>
      </c>
      <c r="F584" s="2" t="e">
        <f>VLOOKUP(B584,MSCI中国成分股!A:B,1,)</f>
        <v>#N/A</v>
      </c>
    </row>
    <row r="585" spans="1:6" ht="20.25" customHeight="1" x14ac:dyDescent="0.15">
      <c r="A585" s="2" t="s">
        <v>490</v>
      </c>
      <c r="B585" s="2" t="s">
        <v>491</v>
      </c>
      <c r="C585" s="2">
        <v>-1.63</v>
      </c>
      <c r="D585" s="2">
        <v>83.538200000000003</v>
      </c>
      <c r="E585" s="2" t="s">
        <v>217</v>
      </c>
      <c r="F585" s="2" t="str">
        <f>VLOOKUP(B585,MSCI中国成分股!A:B,1,)</f>
        <v>600221</v>
      </c>
    </row>
    <row r="586" spans="1:6" ht="20.25" hidden="1" customHeight="1" x14ac:dyDescent="0.15">
      <c r="A586" s="2" t="s">
        <v>1357</v>
      </c>
      <c r="B586" s="2" t="s">
        <v>1358</v>
      </c>
      <c r="C586" s="2">
        <v>1.94</v>
      </c>
      <c r="D586" s="2">
        <v>3.3803000000000001</v>
      </c>
      <c r="E586" s="2" t="s">
        <v>437</v>
      </c>
      <c r="F586" s="2" t="e">
        <f>VLOOKUP(B586,MSCI中国成分股!A:B,1,)</f>
        <v>#N/A</v>
      </c>
    </row>
    <row r="587" spans="1:6" ht="20.25" hidden="1" customHeight="1" x14ac:dyDescent="0.15">
      <c r="A587" s="2" t="s">
        <v>1359</v>
      </c>
      <c r="B587" s="2" t="s">
        <v>1360</v>
      </c>
      <c r="C587" s="2">
        <v>3.52</v>
      </c>
      <c r="D587" s="2">
        <v>1.329</v>
      </c>
      <c r="E587" s="2" t="s">
        <v>171</v>
      </c>
      <c r="F587" s="2" t="e">
        <f>VLOOKUP(B587,MSCI中国成分股!A:B,1,)</f>
        <v>#N/A</v>
      </c>
    </row>
    <row r="588" spans="1:6" ht="20.25" hidden="1" customHeight="1" x14ac:dyDescent="0.15">
      <c r="A588" s="2" t="s">
        <v>1361</v>
      </c>
      <c r="B588" s="2" t="s">
        <v>1362</v>
      </c>
      <c r="C588" s="2">
        <v>3.44</v>
      </c>
      <c r="D588" s="2">
        <v>16.240300000000001</v>
      </c>
      <c r="E588" s="2" t="s">
        <v>677</v>
      </c>
      <c r="F588" s="2" t="e">
        <f>VLOOKUP(B588,MSCI中国成分股!A:B,1,)</f>
        <v>#N/A</v>
      </c>
    </row>
    <row r="589" spans="1:6" ht="20.25" hidden="1" customHeight="1" x14ac:dyDescent="0.15">
      <c r="A589" s="2" t="s">
        <v>1363</v>
      </c>
      <c r="B589" s="2" t="s">
        <v>1364</v>
      </c>
      <c r="C589" s="2">
        <v>1.49</v>
      </c>
      <c r="D589" s="2">
        <v>6.93E-2</v>
      </c>
      <c r="E589" s="2" t="s">
        <v>201</v>
      </c>
      <c r="F589" s="2" t="e">
        <f>VLOOKUP(B589,MSCI中国成分股!A:B,1,)</f>
        <v>#N/A</v>
      </c>
    </row>
    <row r="590" spans="1:6" ht="20.25" hidden="1" customHeight="1" x14ac:dyDescent="0.15">
      <c r="A590" s="2" t="s">
        <v>1365</v>
      </c>
      <c r="B590" s="2" t="s">
        <v>1366</v>
      </c>
      <c r="C590" s="2">
        <v>1.06</v>
      </c>
      <c r="D590" s="2">
        <v>8.7900000000000006E-2</v>
      </c>
      <c r="E590" s="2" t="s">
        <v>38</v>
      </c>
      <c r="F590" s="2" t="e">
        <f>VLOOKUP(B590,MSCI中国成分股!A:B,1,)</f>
        <v>#N/A</v>
      </c>
    </row>
    <row r="591" spans="1:6" ht="20.25" hidden="1" customHeight="1" x14ac:dyDescent="0.15">
      <c r="A591" s="2" t="s">
        <v>1367</v>
      </c>
      <c r="B591" s="2" t="s">
        <v>1368</v>
      </c>
      <c r="C591" s="2">
        <v>1.36</v>
      </c>
      <c r="D591" s="2">
        <v>0.1326</v>
      </c>
      <c r="E591" s="2" t="s">
        <v>699</v>
      </c>
      <c r="F591" s="2" t="e">
        <f>VLOOKUP(B591,MSCI中国成分股!A:B,1,)</f>
        <v>#N/A</v>
      </c>
    </row>
    <row r="592" spans="1:6" ht="20.25" hidden="1" customHeight="1" x14ac:dyDescent="0.15">
      <c r="A592" s="2" t="s">
        <v>1369</v>
      </c>
      <c r="B592" s="2" t="s">
        <v>1370</v>
      </c>
      <c r="C592" s="2">
        <v>3.4449999999999998</v>
      </c>
      <c r="D592" s="2">
        <v>26.694299999999998</v>
      </c>
      <c r="E592" s="2" t="s">
        <v>501</v>
      </c>
      <c r="F592" s="2" t="e">
        <f>VLOOKUP(B592,MSCI中国成分股!A:B,1,)</f>
        <v>#N/A</v>
      </c>
    </row>
    <row r="593" spans="1:6" ht="20.25" hidden="1" customHeight="1" x14ac:dyDescent="0.15">
      <c r="A593" s="2" t="s">
        <v>1371</v>
      </c>
      <c r="B593" s="2" t="s">
        <v>1372</v>
      </c>
      <c r="C593" s="2">
        <v>0.51</v>
      </c>
      <c r="D593" s="2">
        <v>1.9683999999999999</v>
      </c>
      <c r="E593" s="2" t="s">
        <v>89</v>
      </c>
      <c r="F593" s="2" t="e">
        <f>VLOOKUP(B593,MSCI中国成分股!A:B,1,)</f>
        <v>#N/A</v>
      </c>
    </row>
    <row r="594" spans="1:6" ht="20.25" customHeight="1" x14ac:dyDescent="0.15">
      <c r="A594" s="2" t="s">
        <v>295</v>
      </c>
      <c r="B594" s="2" t="s">
        <v>296</v>
      </c>
      <c r="C594" s="2">
        <v>-1.69</v>
      </c>
      <c r="D594" s="2">
        <v>2.4095</v>
      </c>
      <c r="E594" s="2" t="s">
        <v>217</v>
      </c>
      <c r="F594" s="2" t="str">
        <f>VLOOKUP(B594,MSCI中国成分股!A:B,1,)</f>
        <v>600115</v>
      </c>
    </row>
    <row r="595" spans="1:6" ht="20.25" hidden="1" customHeight="1" x14ac:dyDescent="0.15">
      <c r="A595" s="2" t="s">
        <v>1375</v>
      </c>
      <c r="B595" s="2" t="s">
        <v>1376</v>
      </c>
      <c r="C595" s="2">
        <v>0.91</v>
      </c>
      <c r="D595" s="2">
        <v>0.18</v>
      </c>
      <c r="E595" s="2" t="s">
        <v>81</v>
      </c>
      <c r="F595" s="2" t="e">
        <f>VLOOKUP(B595,MSCI中国成分股!A:B,1,)</f>
        <v>#N/A</v>
      </c>
    </row>
    <row r="596" spans="1:6" ht="20.25" hidden="1" customHeight="1" x14ac:dyDescent="0.15">
      <c r="A596" s="2" t="s">
        <v>1377</v>
      </c>
      <c r="B596" s="2" t="s">
        <v>1378</v>
      </c>
      <c r="C596" s="2">
        <v>3.47</v>
      </c>
      <c r="D596" s="2">
        <v>1.8856999999999999</v>
      </c>
      <c r="E596" s="2" t="s">
        <v>501</v>
      </c>
      <c r="F596" s="2" t="e">
        <f>VLOOKUP(B596,MSCI中国成分股!A:B,1,)</f>
        <v>#N/A</v>
      </c>
    </row>
    <row r="597" spans="1:6" ht="20.25" customHeight="1" x14ac:dyDescent="0.15">
      <c r="A597" s="2" t="s">
        <v>248</v>
      </c>
      <c r="B597" s="2" t="s">
        <v>249</v>
      </c>
      <c r="C597" s="2">
        <v>-1.82</v>
      </c>
      <c r="D597" s="2">
        <v>3.0520999999999998</v>
      </c>
      <c r="E597" s="2" t="s">
        <v>217</v>
      </c>
      <c r="F597" s="2" t="str">
        <f>VLOOKUP(B597,MSCI中国成分股!A:B,1,)</f>
        <v>600029</v>
      </c>
    </row>
    <row r="598" spans="1:6" ht="20.25" hidden="1" customHeight="1" x14ac:dyDescent="0.15">
      <c r="A598" s="2" t="s">
        <v>1382</v>
      </c>
      <c r="B598" s="2" t="s">
        <v>1383</v>
      </c>
      <c r="C598" s="2">
        <v>0.16</v>
      </c>
      <c r="D598" s="2">
        <v>7.3056000000000001</v>
      </c>
      <c r="E598" s="2" t="s">
        <v>371</v>
      </c>
      <c r="F598" s="2" t="e">
        <f>VLOOKUP(B598,MSCI中国成分股!A:B,1,)</f>
        <v>#N/A</v>
      </c>
    </row>
    <row r="599" spans="1:6" ht="20.25" hidden="1" customHeight="1" x14ac:dyDescent="0.15">
      <c r="A599" s="2" t="s">
        <v>1384</v>
      </c>
      <c r="B599" s="2" t="s">
        <v>1385</v>
      </c>
      <c r="C599" s="2">
        <v>2.13</v>
      </c>
      <c r="D599" s="2">
        <v>19.1187</v>
      </c>
      <c r="E599" s="2" t="s">
        <v>140</v>
      </c>
      <c r="F599" s="2" t="e">
        <f>VLOOKUP(B599,MSCI中国成分股!A:B,1,)</f>
        <v>#N/A</v>
      </c>
    </row>
    <row r="600" spans="1:6" ht="20.25" hidden="1" customHeight="1" x14ac:dyDescent="0.15">
      <c r="A600" s="2" t="s">
        <v>1386</v>
      </c>
      <c r="B600" s="2" t="s">
        <v>1387</v>
      </c>
      <c r="C600" s="2">
        <v>1.84</v>
      </c>
      <c r="D600" s="2">
        <v>3.0347</v>
      </c>
      <c r="E600" s="2" t="s">
        <v>371</v>
      </c>
      <c r="F600" s="2" t="e">
        <f>VLOOKUP(B600,MSCI中国成分股!A:B,1,)</f>
        <v>#N/A</v>
      </c>
    </row>
    <row r="601" spans="1:6" ht="20.25" hidden="1" customHeight="1" x14ac:dyDescent="0.15">
      <c r="A601" s="2" t="s">
        <v>1388</v>
      </c>
      <c r="B601" s="2" t="s">
        <v>1389</v>
      </c>
      <c r="C601" s="2">
        <v>1.91</v>
      </c>
      <c r="D601" s="2">
        <v>0.98609999999999998</v>
      </c>
      <c r="E601" s="2" t="s">
        <v>1390</v>
      </c>
      <c r="F601" s="2" t="e">
        <f>VLOOKUP(B601,MSCI中国成分股!A:B,1,)</f>
        <v>#N/A</v>
      </c>
    </row>
    <row r="602" spans="1:6" ht="20.25" customHeight="1" x14ac:dyDescent="0.15">
      <c r="A602" s="2" t="s">
        <v>770</v>
      </c>
      <c r="B602" s="2" t="s">
        <v>771</v>
      </c>
      <c r="C602" s="2">
        <v>-2.69</v>
      </c>
      <c r="D602" s="2">
        <v>73.179900000000004</v>
      </c>
      <c r="E602" s="2" t="s">
        <v>299</v>
      </c>
      <c r="F602" s="2" t="str">
        <f>VLOOKUP(B602,MSCI中国成分股!A:B,1,)</f>
        <v>600536</v>
      </c>
    </row>
    <row r="603" spans="1:6" ht="20.25" customHeight="1" x14ac:dyDescent="0.15">
      <c r="A603" s="2" t="s">
        <v>158</v>
      </c>
      <c r="B603" s="2" t="s">
        <v>159</v>
      </c>
      <c r="C603" s="2">
        <v>-3.92</v>
      </c>
      <c r="D603" s="2">
        <v>20.552199999999999</v>
      </c>
      <c r="E603" s="2" t="s">
        <v>18</v>
      </c>
      <c r="F603" s="2" t="str">
        <f>VLOOKUP(B603,MSCI中国成分股!A:B,1,)</f>
        <v>601127</v>
      </c>
    </row>
    <row r="604" spans="1:6" ht="20.25" hidden="1" customHeight="1" x14ac:dyDescent="0.15">
      <c r="A604" s="2" t="s">
        <v>1395</v>
      </c>
      <c r="B604" s="2" t="s">
        <v>1396</v>
      </c>
      <c r="C604" s="2">
        <v>2.35</v>
      </c>
      <c r="D604" s="2">
        <v>4.5467000000000004</v>
      </c>
      <c r="E604" s="2" t="s">
        <v>265</v>
      </c>
      <c r="F604" s="2" t="e">
        <f>VLOOKUP(B604,MSCI中国成分股!A:B,1,)</f>
        <v>#N/A</v>
      </c>
    </row>
    <row r="605" spans="1:6" ht="20.25" hidden="1" customHeight="1" x14ac:dyDescent="0.15">
      <c r="A605" s="2" t="s">
        <v>1397</v>
      </c>
      <c r="B605" s="2" t="s">
        <v>1398</v>
      </c>
      <c r="C605" s="2">
        <v>3.33</v>
      </c>
      <c r="D605" s="2">
        <v>2.1846999999999999</v>
      </c>
      <c r="E605" s="2" t="s">
        <v>143</v>
      </c>
      <c r="F605" s="2" t="e">
        <f>VLOOKUP(B605,MSCI中国成分股!A:B,1,)</f>
        <v>#N/A</v>
      </c>
    </row>
    <row r="606" spans="1:6" ht="20.25" hidden="1" customHeight="1" x14ac:dyDescent="0.15">
      <c r="A606" s="2" t="s">
        <v>1399</v>
      </c>
      <c r="B606" s="2" t="s">
        <v>1400</v>
      </c>
      <c r="C606" s="2">
        <v>3.51</v>
      </c>
      <c r="D606" s="2">
        <v>4.1772999999999998</v>
      </c>
      <c r="E606" s="2" t="s">
        <v>368</v>
      </c>
      <c r="F606" s="2" t="e">
        <f>VLOOKUP(B606,MSCI中国成分股!A:B,1,)</f>
        <v>#N/A</v>
      </c>
    </row>
    <row r="607" spans="1:6" ht="20.25" hidden="1" customHeight="1" x14ac:dyDescent="0.15">
      <c r="A607" s="2" t="s">
        <v>1401</v>
      </c>
      <c r="B607" s="2" t="s">
        <v>1402</v>
      </c>
      <c r="C607" s="2">
        <v>1.49</v>
      </c>
      <c r="D607" s="2">
        <v>0.39119999999999999</v>
      </c>
      <c r="E607" s="2" t="s">
        <v>1403</v>
      </c>
      <c r="F607" s="2" t="e">
        <f>VLOOKUP(B607,MSCI中国成分股!A:B,1,)</f>
        <v>#N/A</v>
      </c>
    </row>
    <row r="608" spans="1:6" ht="20.25" hidden="1" customHeight="1" x14ac:dyDescent="0.15">
      <c r="A608" s="2" t="s">
        <v>1404</v>
      </c>
      <c r="B608" s="2" t="s">
        <v>1405</v>
      </c>
      <c r="C608" s="2">
        <v>2.2999999999999998</v>
      </c>
      <c r="D608" s="2">
        <v>2.8702999999999999</v>
      </c>
      <c r="E608" s="2" t="s">
        <v>391</v>
      </c>
      <c r="F608" s="2" t="e">
        <f>VLOOKUP(B608,MSCI中国成分股!A:B,1,)</f>
        <v>#N/A</v>
      </c>
    </row>
    <row r="609" spans="1:6" ht="20.25" hidden="1" customHeight="1" x14ac:dyDescent="0.15">
      <c r="A609" s="2" t="s">
        <v>1406</v>
      </c>
      <c r="B609" s="2" t="s">
        <v>1407</v>
      </c>
      <c r="C609" s="2">
        <v>1.37</v>
      </c>
      <c r="D609" s="2">
        <v>0.1177</v>
      </c>
      <c r="E609" s="2" t="s">
        <v>134</v>
      </c>
      <c r="F609" s="2" t="e">
        <f>VLOOKUP(B609,MSCI中国成分股!A:B,1,)</f>
        <v>#N/A</v>
      </c>
    </row>
    <row r="610" spans="1:6" ht="20.25" hidden="1" customHeight="1" x14ac:dyDescent="0.15">
      <c r="A610" s="2" t="s">
        <v>1408</v>
      </c>
      <c r="B610" s="2" t="s">
        <v>1409</v>
      </c>
      <c r="C610" s="2">
        <v>0.83</v>
      </c>
      <c r="D610" s="2">
        <v>0.54920000000000002</v>
      </c>
      <c r="E610" s="2" t="s">
        <v>1011</v>
      </c>
      <c r="F610" s="2" t="e">
        <f>VLOOKUP(B610,MSCI中国成分股!A:B,1,)</f>
        <v>#N/A</v>
      </c>
    </row>
    <row r="611" spans="1:6" ht="20.25" customHeight="1" x14ac:dyDescent="0.15">
      <c r="A611" s="2" t="s">
        <v>221</v>
      </c>
      <c r="B611" s="2" t="s">
        <v>222</v>
      </c>
      <c r="C611" s="2">
        <v>-3.96</v>
      </c>
      <c r="D611" s="2">
        <v>2.5224000000000002</v>
      </c>
      <c r="E611" s="2" t="s">
        <v>185</v>
      </c>
      <c r="F611" s="2" t="str">
        <f>VLOOKUP(B611,MSCI中国成分股!A:B,1,)</f>
        <v>688256</v>
      </c>
    </row>
    <row r="612" spans="1:6" ht="20.25" hidden="1" customHeight="1" x14ac:dyDescent="0.15">
      <c r="A612" s="2" t="s">
        <v>1412</v>
      </c>
      <c r="B612" s="2" t="s">
        <v>1413</v>
      </c>
      <c r="C612" s="2">
        <v>0.08</v>
      </c>
      <c r="D612" s="2">
        <v>3.0670000000000002</v>
      </c>
      <c r="E612" s="2" t="s">
        <v>271</v>
      </c>
      <c r="F612" s="2" t="e">
        <f>VLOOKUP(B612,MSCI中国成分股!A:B,1,)</f>
        <v>#N/A</v>
      </c>
    </row>
    <row r="613" spans="1:6" ht="20.25" hidden="1" customHeight="1" x14ac:dyDescent="0.15">
      <c r="A613" s="2" t="s">
        <v>1414</v>
      </c>
      <c r="B613" s="2" t="s">
        <v>1415</v>
      </c>
      <c r="C613" s="2">
        <v>3.02</v>
      </c>
      <c r="D613" s="2">
        <v>1.7437</v>
      </c>
      <c r="E613" s="2" t="s">
        <v>7</v>
      </c>
      <c r="F613" s="2" t="e">
        <f>VLOOKUP(B613,MSCI中国成分股!A:B,1,)</f>
        <v>#N/A</v>
      </c>
    </row>
    <row r="614" spans="1:6" ht="20.25" hidden="1" customHeight="1" x14ac:dyDescent="0.15">
      <c r="A614" s="2" t="s">
        <v>1416</v>
      </c>
      <c r="B614" s="2" t="s">
        <v>1417</v>
      </c>
      <c r="C614" s="2">
        <v>0.63</v>
      </c>
      <c r="D614" s="2">
        <v>0.1938</v>
      </c>
      <c r="E614" s="2" t="s">
        <v>784</v>
      </c>
      <c r="F614" s="2" t="e">
        <f>VLOOKUP(B614,MSCI中国成分股!A:B,1,)</f>
        <v>#N/A</v>
      </c>
    </row>
    <row r="615" spans="1:6" ht="20.25" hidden="1" customHeight="1" x14ac:dyDescent="0.15">
      <c r="A615" s="2" t="s">
        <v>1418</v>
      </c>
      <c r="B615" s="2" t="s">
        <v>1419</v>
      </c>
      <c r="C615" s="2">
        <v>1.69</v>
      </c>
      <c r="D615" s="2">
        <v>0.47120000000000001</v>
      </c>
      <c r="E615" s="2" t="s">
        <v>1420</v>
      </c>
      <c r="F615" s="2" t="e">
        <f>VLOOKUP(B615,MSCI中国成分股!A:B,1,)</f>
        <v>#N/A</v>
      </c>
    </row>
    <row r="616" spans="1:6" ht="20.25" hidden="1" customHeight="1" x14ac:dyDescent="0.15">
      <c r="A616" s="2" t="s">
        <v>1421</v>
      </c>
      <c r="B616" s="2" t="s">
        <v>1422</v>
      </c>
      <c r="C616" s="2">
        <v>1.38</v>
      </c>
      <c r="D616" s="2">
        <v>0.67900000000000005</v>
      </c>
      <c r="E616" s="2" t="s">
        <v>140</v>
      </c>
      <c r="F616" s="2" t="e">
        <f>VLOOKUP(B616,MSCI中国成分股!A:B,1,)</f>
        <v>#N/A</v>
      </c>
    </row>
    <row r="617" spans="1:6" ht="20.25" hidden="1" customHeight="1" x14ac:dyDescent="0.15">
      <c r="A617" s="2" t="s">
        <v>1423</v>
      </c>
      <c r="B617" s="2" t="s">
        <v>1424</v>
      </c>
      <c r="C617" s="2">
        <v>2.98</v>
      </c>
      <c r="D617" s="2">
        <v>1.6240000000000001</v>
      </c>
      <c r="E617" s="2" t="s">
        <v>1425</v>
      </c>
      <c r="F617" s="2" t="e">
        <f>VLOOKUP(B617,MSCI中国成分股!A:B,1,)</f>
        <v>#N/A</v>
      </c>
    </row>
    <row r="618" spans="1:6" ht="20.25" hidden="1" customHeight="1" x14ac:dyDescent="0.15">
      <c r="A618" s="2" t="s">
        <v>1426</v>
      </c>
      <c r="B618" s="2" t="s">
        <v>1427</v>
      </c>
      <c r="C618" s="2">
        <v>0.78</v>
      </c>
      <c r="D618" s="2">
        <v>2.0950000000000002</v>
      </c>
      <c r="E618" s="2" t="s">
        <v>362</v>
      </c>
      <c r="F618" s="2" t="e">
        <f>VLOOKUP(B618,MSCI中国成分股!A:B,1,)</f>
        <v>#N/A</v>
      </c>
    </row>
    <row r="619" spans="1:6" ht="20.25" hidden="1" customHeight="1" x14ac:dyDescent="0.15">
      <c r="A619" s="2" t="s">
        <v>1428</v>
      </c>
      <c r="B619" s="2" t="s">
        <v>1429</v>
      </c>
      <c r="C619" s="2">
        <v>0.08</v>
      </c>
      <c r="D619" s="2">
        <v>4.1544999999999996</v>
      </c>
      <c r="E619" s="2" t="s">
        <v>784</v>
      </c>
      <c r="F619" s="2" t="e">
        <f>VLOOKUP(B619,MSCI中国成分股!A:B,1,)</f>
        <v>#N/A</v>
      </c>
    </row>
    <row r="620" spans="1:6" ht="20.25" hidden="1" customHeight="1" x14ac:dyDescent="0.15">
      <c r="A620" s="2" t="s">
        <v>1430</v>
      </c>
      <c r="B620" s="2" t="s">
        <v>1431</v>
      </c>
      <c r="C620" s="2">
        <v>1.56</v>
      </c>
      <c r="D620" s="2">
        <v>0.2102</v>
      </c>
      <c r="E620" s="2" t="s">
        <v>450</v>
      </c>
      <c r="F620" s="2" t="e">
        <f>VLOOKUP(B620,MSCI中国成分股!A:B,1,)</f>
        <v>#N/A</v>
      </c>
    </row>
    <row r="621" spans="1:6" ht="20.25" hidden="1" customHeight="1" x14ac:dyDescent="0.15">
      <c r="A621" s="2" t="s">
        <v>1432</v>
      </c>
      <c r="B621" s="2" t="s">
        <v>1433</v>
      </c>
      <c r="C621" s="2">
        <v>3.04</v>
      </c>
      <c r="D621" s="2">
        <v>1.6788000000000001</v>
      </c>
      <c r="E621" s="2" t="s">
        <v>747</v>
      </c>
      <c r="F621" s="2" t="e">
        <f>VLOOKUP(B621,MSCI中国成分股!A:B,1,)</f>
        <v>#N/A</v>
      </c>
    </row>
    <row r="622" spans="1:6" ht="20.25" hidden="1" customHeight="1" x14ac:dyDescent="0.15">
      <c r="A622" s="2" t="s">
        <v>1434</v>
      </c>
      <c r="B622" s="2" t="s">
        <v>1435</v>
      </c>
      <c r="C622" s="2">
        <v>2.0499999999999998</v>
      </c>
      <c r="D622" s="2">
        <v>0.93959999999999999</v>
      </c>
      <c r="E622" s="2" t="s">
        <v>1436</v>
      </c>
      <c r="F622" s="2" t="e">
        <f>VLOOKUP(B622,MSCI中国成分股!A:B,1,)</f>
        <v>#N/A</v>
      </c>
    </row>
    <row r="623" spans="1:6" ht="20.25" hidden="1" customHeight="1" x14ac:dyDescent="0.15">
      <c r="A623" s="2" t="s">
        <v>1437</v>
      </c>
      <c r="B623" s="2" t="s">
        <v>1438</v>
      </c>
      <c r="C623" s="2">
        <v>0.51</v>
      </c>
      <c r="D623" s="2">
        <v>0.40039999999999998</v>
      </c>
      <c r="E623" s="2" t="s">
        <v>220</v>
      </c>
      <c r="F623" s="2" t="e">
        <f>VLOOKUP(B623,MSCI中国成分股!A:B,1,)</f>
        <v>#N/A</v>
      </c>
    </row>
    <row r="624" spans="1:6" ht="20.25" hidden="1" customHeight="1" x14ac:dyDescent="0.15">
      <c r="A624" s="2" t="s">
        <v>1439</v>
      </c>
      <c r="B624" s="2" t="s">
        <v>1440</v>
      </c>
      <c r="C624" s="2">
        <v>0.31</v>
      </c>
      <c r="D624" s="2">
        <v>9.7569999999999997</v>
      </c>
      <c r="E624" s="2" t="s">
        <v>143</v>
      </c>
      <c r="F624" s="2" t="e">
        <f>VLOOKUP(B624,MSCI中国成分股!A:B,1,)</f>
        <v>#N/A</v>
      </c>
    </row>
    <row r="625" spans="1:6" ht="20.25" hidden="1" customHeight="1" x14ac:dyDescent="0.15">
      <c r="A625" s="2" t="s">
        <v>1441</v>
      </c>
      <c r="B625" s="2" t="s">
        <v>1442</v>
      </c>
      <c r="C625" s="2">
        <v>1.81</v>
      </c>
      <c r="D625" s="2">
        <v>5.2003000000000004</v>
      </c>
      <c r="E625" s="2" t="s">
        <v>231</v>
      </c>
      <c r="F625" s="2" t="e">
        <f>VLOOKUP(B625,MSCI中国成分股!A:B,1,)</f>
        <v>#N/A</v>
      </c>
    </row>
    <row r="626" spans="1:6" ht="20.25" hidden="1" customHeight="1" x14ac:dyDescent="0.15">
      <c r="A626" s="2" t="s">
        <v>1443</v>
      </c>
      <c r="B626" s="2" t="s">
        <v>1444</v>
      </c>
      <c r="C626" s="2">
        <v>1.56</v>
      </c>
      <c r="D626" s="2">
        <v>8.0007999999999999</v>
      </c>
      <c r="E626" s="2" t="s">
        <v>111</v>
      </c>
      <c r="F626" s="2" t="e">
        <f>VLOOKUP(B626,MSCI中国成分股!A:B,1,)</f>
        <v>#N/A</v>
      </c>
    </row>
    <row r="627" spans="1:6" ht="20.25" hidden="1" customHeight="1" x14ac:dyDescent="0.15">
      <c r="A627" s="2" t="s">
        <v>1445</v>
      </c>
      <c r="B627" s="2" t="s">
        <v>1446</v>
      </c>
      <c r="C627" s="2">
        <v>1.72</v>
      </c>
      <c r="D627" s="2">
        <v>10.127000000000001</v>
      </c>
      <c r="E627" s="2" t="s">
        <v>657</v>
      </c>
      <c r="F627" s="2" t="e">
        <f>VLOOKUP(B627,MSCI中国成分股!A:B,1,)</f>
        <v>#N/A</v>
      </c>
    </row>
    <row r="628" spans="1:6" ht="20.25" hidden="1" customHeight="1" x14ac:dyDescent="0.15">
      <c r="A628" s="2" t="s">
        <v>1447</v>
      </c>
      <c r="B628" s="2" t="s">
        <v>1448</v>
      </c>
      <c r="C628" s="2">
        <v>0.67</v>
      </c>
      <c r="D628" s="2">
        <v>0.79310000000000003</v>
      </c>
      <c r="E628" s="2" t="s">
        <v>818</v>
      </c>
      <c r="F628" s="2" t="e">
        <f>VLOOKUP(B628,MSCI中国成分股!A:B,1,)</f>
        <v>#N/A</v>
      </c>
    </row>
    <row r="629" spans="1:6" ht="20.25" hidden="1" customHeight="1" x14ac:dyDescent="0.15">
      <c r="A629" s="2" t="s">
        <v>1449</v>
      </c>
      <c r="B629" s="2" t="s">
        <v>1450</v>
      </c>
      <c r="C629" s="2">
        <v>1.03</v>
      </c>
      <c r="D629" s="2">
        <v>0.219</v>
      </c>
      <c r="E629" s="2" t="s">
        <v>750</v>
      </c>
      <c r="F629" s="2" t="e">
        <f>VLOOKUP(B629,MSCI中国成分股!A:B,1,)</f>
        <v>#N/A</v>
      </c>
    </row>
    <row r="630" spans="1:6" ht="20.25" hidden="1" customHeight="1" x14ac:dyDescent="0.15">
      <c r="A630" s="2" t="s">
        <v>1451</v>
      </c>
      <c r="B630" s="2" t="s">
        <v>1452</v>
      </c>
      <c r="C630" s="2">
        <v>2.5499999999999998</v>
      </c>
      <c r="D630" s="2">
        <v>1.9866999999999999</v>
      </c>
      <c r="E630" s="2" t="s">
        <v>630</v>
      </c>
      <c r="F630" s="2" t="e">
        <f>VLOOKUP(B630,MSCI中国成分股!A:B,1,)</f>
        <v>#N/A</v>
      </c>
    </row>
    <row r="631" spans="1:6" ht="20.25" hidden="1" customHeight="1" x14ac:dyDescent="0.15">
      <c r="A631" s="2" t="s">
        <v>1453</v>
      </c>
      <c r="B631" s="2" t="s">
        <v>1454</v>
      </c>
      <c r="C631" s="2">
        <v>3.64</v>
      </c>
      <c r="D631" s="2">
        <v>2.722</v>
      </c>
      <c r="E631" s="2" t="s">
        <v>741</v>
      </c>
      <c r="F631" s="2" t="e">
        <f>VLOOKUP(B631,MSCI中国成分股!A:B,1,)</f>
        <v>#N/A</v>
      </c>
    </row>
    <row r="632" spans="1:6" ht="20.25" hidden="1" customHeight="1" x14ac:dyDescent="0.15">
      <c r="A632" s="2" t="s">
        <v>1455</v>
      </c>
      <c r="B632" s="2" t="s">
        <v>1456</v>
      </c>
      <c r="C632" s="2">
        <v>2.4900000000000002</v>
      </c>
      <c r="D632" s="2">
        <v>4.2960000000000003</v>
      </c>
      <c r="E632" s="2" t="s">
        <v>201</v>
      </c>
      <c r="F632" s="2" t="e">
        <f>VLOOKUP(B632,MSCI中国成分股!A:B,1,)</f>
        <v>#N/A</v>
      </c>
    </row>
    <row r="633" spans="1:6" ht="20.25" hidden="1" customHeight="1" x14ac:dyDescent="0.15">
      <c r="A633" s="2" t="s">
        <v>1457</v>
      </c>
      <c r="B633" s="2" t="s">
        <v>1458</v>
      </c>
      <c r="C633" s="2">
        <v>0.76</v>
      </c>
      <c r="D633" s="2">
        <v>18.4754</v>
      </c>
      <c r="E633" s="2" t="s">
        <v>1459</v>
      </c>
      <c r="F633" s="2" t="e">
        <f>VLOOKUP(B633,MSCI中国成分股!A:B,1,)</f>
        <v>#N/A</v>
      </c>
    </row>
    <row r="634" spans="1:6" ht="20.25" hidden="1" customHeight="1" x14ac:dyDescent="0.15">
      <c r="A634" s="2" t="s">
        <v>1460</v>
      </c>
      <c r="B634" s="2" t="s">
        <v>1461</v>
      </c>
      <c r="C634" s="2">
        <v>0.24</v>
      </c>
      <c r="D634" s="2">
        <v>0.82840000000000003</v>
      </c>
      <c r="E634" s="2" t="s">
        <v>171</v>
      </c>
      <c r="F634" s="2" t="e">
        <f>VLOOKUP(B634,MSCI中国成分股!A:B,1,)</f>
        <v>#N/A</v>
      </c>
    </row>
    <row r="635" spans="1:6" ht="20.25" hidden="1" customHeight="1" x14ac:dyDescent="0.15">
      <c r="A635" s="2" t="s">
        <v>1462</v>
      </c>
      <c r="B635" s="2" t="s">
        <v>1463</v>
      </c>
      <c r="C635" s="2">
        <v>7.34</v>
      </c>
      <c r="D635" s="2">
        <v>4.6212999999999997</v>
      </c>
      <c r="E635" s="2" t="s">
        <v>633</v>
      </c>
      <c r="F635" s="2" t="e">
        <f>VLOOKUP(B635,MSCI中国成分股!A:B,1,)</f>
        <v>#N/A</v>
      </c>
    </row>
    <row r="636" spans="1:6" ht="20.25" hidden="1" customHeight="1" x14ac:dyDescent="0.15">
      <c r="A636" s="2" t="s">
        <v>1464</v>
      </c>
      <c r="B636" s="2" t="s">
        <v>1465</v>
      </c>
      <c r="C636" s="2">
        <v>1.29</v>
      </c>
      <c r="D636" s="2">
        <v>4.5332999999999997</v>
      </c>
      <c r="E636" s="2" t="s">
        <v>299</v>
      </c>
      <c r="F636" s="2" t="e">
        <f>VLOOKUP(B636,MSCI中国成分股!A:B,1,)</f>
        <v>#N/A</v>
      </c>
    </row>
    <row r="637" spans="1:6" ht="20.25" hidden="1" customHeight="1" x14ac:dyDescent="0.15">
      <c r="A637" s="2" t="s">
        <v>1466</v>
      </c>
      <c r="B637" s="2" t="s">
        <v>1467</v>
      </c>
      <c r="C637" s="2">
        <v>-15.83</v>
      </c>
      <c r="D637" s="2">
        <v>172.87389999999999</v>
      </c>
      <c r="E637" s="2" t="s">
        <v>677</v>
      </c>
      <c r="F637" s="2" t="e">
        <f>VLOOKUP(B637,MSCI中国成分股!A:B,1,)</f>
        <v>#N/A</v>
      </c>
    </row>
    <row r="638" spans="1:6" ht="20.25" hidden="1" customHeight="1" x14ac:dyDescent="0.15">
      <c r="A638" s="2" t="s">
        <v>1468</v>
      </c>
      <c r="B638" s="2" t="s">
        <v>1469</v>
      </c>
      <c r="C638" s="2">
        <v>3.15</v>
      </c>
      <c r="D638" s="2">
        <v>1.1457999999999999</v>
      </c>
      <c r="E638" s="2" t="s">
        <v>647</v>
      </c>
      <c r="F638" s="2" t="e">
        <f>VLOOKUP(B638,MSCI中国成分股!A:B,1,)</f>
        <v>#N/A</v>
      </c>
    </row>
    <row r="639" spans="1:6" ht="20.25" hidden="1" customHeight="1" x14ac:dyDescent="0.15">
      <c r="A639" s="2" t="s">
        <v>1470</v>
      </c>
      <c r="B639" s="2" t="s">
        <v>1471</v>
      </c>
      <c r="C639" s="2">
        <v>1.1000000000000001</v>
      </c>
      <c r="D639" s="2">
        <v>0.27960000000000002</v>
      </c>
      <c r="E639" s="2" t="s">
        <v>916</v>
      </c>
      <c r="F639" s="2" t="e">
        <f>VLOOKUP(B639,MSCI中国成分股!A:B,1,)</f>
        <v>#N/A</v>
      </c>
    </row>
    <row r="640" spans="1:6" ht="20.25" hidden="1" customHeight="1" x14ac:dyDescent="0.15">
      <c r="A640" s="2" t="s">
        <v>1472</v>
      </c>
      <c r="B640" s="2" t="s">
        <v>1473</v>
      </c>
      <c r="C640" s="2">
        <v>1.84</v>
      </c>
      <c r="D640" s="2">
        <v>8.1694999999999993</v>
      </c>
      <c r="E640" s="2" t="s">
        <v>614</v>
      </c>
      <c r="F640" s="2" t="e">
        <f>VLOOKUP(B640,MSCI中国成分股!A:B,1,)</f>
        <v>#N/A</v>
      </c>
    </row>
    <row r="641" spans="1:6" ht="20.25" hidden="1" customHeight="1" x14ac:dyDescent="0.15">
      <c r="A641" s="2" t="s">
        <v>1474</v>
      </c>
      <c r="B641" s="2" t="s">
        <v>1475</v>
      </c>
      <c r="C641" s="2">
        <v>0.47</v>
      </c>
      <c r="D641" s="2">
        <v>50.29</v>
      </c>
      <c r="E641" s="2" t="s">
        <v>371</v>
      </c>
      <c r="F641" s="2" t="e">
        <f>VLOOKUP(B641,MSCI中国成分股!A:B,1,)</f>
        <v>#N/A</v>
      </c>
    </row>
    <row r="642" spans="1:6" ht="20.25" hidden="1" customHeight="1" x14ac:dyDescent="0.15">
      <c r="A642" s="2" t="s">
        <v>1476</v>
      </c>
      <c r="B642" s="2" t="s">
        <v>1477</v>
      </c>
      <c r="C642" s="2">
        <v>1.94</v>
      </c>
      <c r="D642" s="2">
        <v>0.13669999999999999</v>
      </c>
      <c r="E642" s="2" t="s">
        <v>86</v>
      </c>
      <c r="F642" s="2" t="e">
        <f>VLOOKUP(B642,MSCI中国成分股!A:B,1,)</f>
        <v>#N/A</v>
      </c>
    </row>
    <row r="643" spans="1:6" ht="20.25" hidden="1" customHeight="1" x14ac:dyDescent="0.15">
      <c r="A643" s="2" t="s">
        <v>1478</v>
      </c>
      <c r="B643" s="2" t="s">
        <v>1479</v>
      </c>
      <c r="C643" s="2">
        <v>1.73</v>
      </c>
      <c r="D643" s="2">
        <v>30.442599999999999</v>
      </c>
      <c r="E643" s="2" t="s">
        <v>299</v>
      </c>
      <c r="F643" s="2" t="e">
        <f>VLOOKUP(B643,MSCI中国成分股!A:B,1,)</f>
        <v>#N/A</v>
      </c>
    </row>
    <row r="644" spans="1:6" ht="20.25" customHeight="1" x14ac:dyDescent="0.15">
      <c r="A644" s="2" t="s">
        <v>564</v>
      </c>
      <c r="B644" s="2" t="s">
        <v>565</v>
      </c>
      <c r="C644" s="2">
        <v>-4.54</v>
      </c>
      <c r="D644" s="2">
        <v>9.3698999999999995</v>
      </c>
      <c r="E644" s="2" t="s">
        <v>18</v>
      </c>
      <c r="F644" s="2" t="str">
        <f>VLOOKUP(B644,MSCI中国成分股!A:B,1,)</f>
        <v>600733</v>
      </c>
    </row>
    <row r="645" spans="1:6" ht="20.25" hidden="1" customHeight="1" x14ac:dyDescent="0.15">
      <c r="A645" s="2" t="s">
        <v>1482</v>
      </c>
      <c r="B645" s="2" t="s">
        <v>1483</v>
      </c>
      <c r="C645" s="2">
        <v>1.31</v>
      </c>
      <c r="D645" s="2">
        <v>1.1406000000000001</v>
      </c>
      <c r="E645" s="2" t="s">
        <v>339</v>
      </c>
      <c r="F645" s="2" t="e">
        <f>VLOOKUP(B645,MSCI中国成分股!A:B,1,)</f>
        <v>#N/A</v>
      </c>
    </row>
    <row r="646" spans="1:6" ht="20.25" hidden="1" customHeight="1" x14ac:dyDescent="0.15">
      <c r="A646" s="2" t="s">
        <v>1484</v>
      </c>
      <c r="B646" s="2" t="s">
        <v>1485</v>
      </c>
      <c r="C646" s="2">
        <v>2.7549999999999999</v>
      </c>
      <c r="D646" s="2">
        <v>60.4313</v>
      </c>
      <c r="E646" s="2" t="s">
        <v>1486</v>
      </c>
      <c r="F646" s="2" t="e">
        <f>VLOOKUP(B646,MSCI中国成分股!A:B,1,)</f>
        <v>#N/A</v>
      </c>
    </row>
    <row r="647" spans="1:6" ht="20.25" hidden="1" customHeight="1" x14ac:dyDescent="0.15">
      <c r="A647" s="2" t="s">
        <v>1487</v>
      </c>
      <c r="B647" s="2" t="s">
        <v>1488</v>
      </c>
      <c r="C647" s="2">
        <v>3.98</v>
      </c>
      <c r="D647" s="2">
        <v>10.6877</v>
      </c>
      <c r="E647" s="2" t="s">
        <v>677</v>
      </c>
      <c r="F647" s="2" t="e">
        <f>VLOOKUP(B647,MSCI中国成分股!A:B,1,)</f>
        <v>#N/A</v>
      </c>
    </row>
    <row r="648" spans="1:6" ht="20.25" hidden="1" customHeight="1" x14ac:dyDescent="0.15">
      <c r="A648" s="2" t="s">
        <v>1489</v>
      </c>
      <c r="B648" s="2" t="s">
        <v>1490</v>
      </c>
      <c r="C648" s="2">
        <v>0.09</v>
      </c>
      <c r="D648" s="2">
        <v>5.0812999999999997</v>
      </c>
      <c r="E648" s="2" t="s">
        <v>418</v>
      </c>
      <c r="F648" s="2" t="e">
        <f>VLOOKUP(B648,MSCI中国成分股!A:B,1,)</f>
        <v>#N/A</v>
      </c>
    </row>
    <row r="649" spans="1:6" ht="20.25" hidden="1" customHeight="1" x14ac:dyDescent="0.15">
      <c r="A649" s="2" t="s">
        <v>1491</v>
      </c>
      <c r="B649" s="2" t="s">
        <v>1492</v>
      </c>
      <c r="C649" s="2">
        <v>3.22</v>
      </c>
      <c r="D649" s="2">
        <v>1.33</v>
      </c>
      <c r="E649" s="2" t="s">
        <v>207</v>
      </c>
      <c r="F649" s="2" t="e">
        <f>VLOOKUP(B649,MSCI中国成分股!A:B,1,)</f>
        <v>#N/A</v>
      </c>
    </row>
    <row r="650" spans="1:6" ht="20.25" hidden="1" customHeight="1" x14ac:dyDescent="0.15">
      <c r="A650" s="2" t="s">
        <v>1493</v>
      </c>
      <c r="B650" s="2" t="s">
        <v>1494</v>
      </c>
      <c r="C650" s="2">
        <v>-0.62</v>
      </c>
      <c r="D650" s="2">
        <v>3.3077000000000001</v>
      </c>
      <c r="E650" s="2" t="s">
        <v>21</v>
      </c>
      <c r="F650" s="2" t="e">
        <f>VLOOKUP(B650,MSCI中国成分股!A:B,1,)</f>
        <v>#N/A</v>
      </c>
    </row>
    <row r="651" spans="1:6" ht="20.25" hidden="1" customHeight="1" x14ac:dyDescent="0.15">
      <c r="A651" s="2" t="s">
        <v>1495</v>
      </c>
      <c r="B651" s="2" t="s">
        <v>1496</v>
      </c>
      <c r="C651" s="2">
        <v>0.11</v>
      </c>
      <c r="D651" s="2">
        <v>1.3021</v>
      </c>
      <c r="E651" s="2" t="s">
        <v>220</v>
      </c>
      <c r="F651" s="2" t="e">
        <f>VLOOKUP(B651,MSCI中国成分股!A:B,1,)</f>
        <v>#N/A</v>
      </c>
    </row>
    <row r="652" spans="1:6" ht="20.25" hidden="1" customHeight="1" x14ac:dyDescent="0.15">
      <c r="A652" s="2" t="s">
        <v>1497</v>
      </c>
      <c r="B652" s="2" t="s">
        <v>1498</v>
      </c>
      <c r="C652" s="2">
        <v>3.11</v>
      </c>
      <c r="D652" s="2">
        <v>3.0135000000000001</v>
      </c>
      <c r="E652" s="2" t="s">
        <v>961</v>
      </c>
      <c r="F652" s="2" t="e">
        <f>VLOOKUP(B652,MSCI中国成分股!A:B,1,)</f>
        <v>#N/A</v>
      </c>
    </row>
    <row r="653" spans="1:6" ht="20.25" hidden="1" customHeight="1" x14ac:dyDescent="0.15">
      <c r="A653" s="2" t="s">
        <v>1499</v>
      </c>
      <c r="B653" s="2" t="s">
        <v>1500</v>
      </c>
      <c r="C653" s="2">
        <v>1.915</v>
      </c>
      <c r="D653" s="2">
        <v>3.4855999999999998</v>
      </c>
      <c r="E653" s="2" t="s">
        <v>724</v>
      </c>
      <c r="F653" s="2" t="e">
        <f>VLOOKUP(B653,MSCI中国成分股!A:B,1,)</f>
        <v>#N/A</v>
      </c>
    </row>
    <row r="654" spans="1:6" ht="20.25" hidden="1" customHeight="1" x14ac:dyDescent="0.15">
      <c r="A654" s="2" t="s">
        <v>1501</v>
      </c>
      <c r="B654" s="2" t="s">
        <v>1502</v>
      </c>
      <c r="C654" s="2">
        <v>1.44</v>
      </c>
      <c r="D654" s="2">
        <v>4.7827999999999999</v>
      </c>
      <c r="E654" s="2" t="s">
        <v>614</v>
      </c>
      <c r="F654" s="2" t="e">
        <f>VLOOKUP(B654,MSCI中国成分股!A:B,1,)</f>
        <v>#N/A</v>
      </c>
    </row>
    <row r="655" spans="1:6" ht="20.25" hidden="1" customHeight="1" x14ac:dyDescent="0.15">
      <c r="A655" s="2" t="s">
        <v>1503</v>
      </c>
      <c r="B655" s="2" t="s">
        <v>1504</v>
      </c>
      <c r="C655" s="2">
        <v>2.04</v>
      </c>
      <c r="D655" s="2">
        <v>1.4407000000000001</v>
      </c>
      <c r="E655" s="2" t="s">
        <v>1224</v>
      </c>
      <c r="F655" s="2" t="e">
        <f>VLOOKUP(B655,MSCI中国成分股!A:B,1,)</f>
        <v>#N/A</v>
      </c>
    </row>
    <row r="656" spans="1:6" ht="20.25" hidden="1" customHeight="1" x14ac:dyDescent="0.15">
      <c r="A656" s="2" t="s">
        <v>1505</v>
      </c>
      <c r="B656" s="2" t="s">
        <v>1506</v>
      </c>
      <c r="C656" s="2">
        <v>1.07</v>
      </c>
      <c r="D656" s="2">
        <v>1.9222999999999999</v>
      </c>
      <c r="E656" s="2" t="s">
        <v>459</v>
      </c>
      <c r="F656" s="2" t="e">
        <f>VLOOKUP(B656,MSCI中国成分股!A:B,1,)</f>
        <v>#N/A</v>
      </c>
    </row>
    <row r="657" spans="1:6" ht="20.25" hidden="1" customHeight="1" x14ac:dyDescent="0.15">
      <c r="A657" s="2" t="s">
        <v>1507</v>
      </c>
      <c r="B657" s="2" t="s">
        <v>1508</v>
      </c>
      <c r="C657" s="2">
        <v>1.36</v>
      </c>
      <c r="D657" s="2">
        <v>9.3675999999999995</v>
      </c>
      <c r="E657" s="2" t="s">
        <v>207</v>
      </c>
      <c r="F657" s="2" t="e">
        <f>VLOOKUP(B657,MSCI中国成分股!A:B,1,)</f>
        <v>#N/A</v>
      </c>
    </row>
    <row r="658" spans="1:6" ht="20.25" hidden="1" customHeight="1" x14ac:dyDescent="0.15">
      <c r="A658" s="2" t="s">
        <v>1509</v>
      </c>
      <c r="B658" s="2" t="s">
        <v>1510</v>
      </c>
      <c r="C658" s="2">
        <v>0.87</v>
      </c>
      <c r="D658" s="2">
        <v>1.3268</v>
      </c>
      <c r="E658" s="2" t="s">
        <v>299</v>
      </c>
      <c r="F658" s="2" t="e">
        <f>VLOOKUP(B658,MSCI中国成分股!A:B,1,)</f>
        <v>#N/A</v>
      </c>
    </row>
    <row r="659" spans="1:6" ht="20.25" hidden="1" customHeight="1" x14ac:dyDescent="0.15">
      <c r="A659" s="2" t="s">
        <v>1511</v>
      </c>
      <c r="B659" s="2" t="s">
        <v>1512</v>
      </c>
      <c r="C659" s="2">
        <v>2.17</v>
      </c>
      <c r="D659" s="2">
        <v>15.3497</v>
      </c>
      <c r="E659" s="2" t="s">
        <v>198</v>
      </c>
      <c r="F659" s="2" t="e">
        <f>VLOOKUP(B659,MSCI中国成分股!A:B,1,)</f>
        <v>#N/A</v>
      </c>
    </row>
    <row r="660" spans="1:6" ht="20.25" hidden="1" customHeight="1" x14ac:dyDescent="0.15">
      <c r="A660" s="2" t="s">
        <v>1513</v>
      </c>
      <c r="B660" s="2" t="s">
        <v>1514</v>
      </c>
      <c r="C660" s="2">
        <v>-0.43</v>
      </c>
      <c r="D660" s="2">
        <v>4.6589999999999998</v>
      </c>
      <c r="E660" s="2" t="s">
        <v>1515</v>
      </c>
      <c r="F660" s="2" t="e">
        <f>VLOOKUP(B660,MSCI中国成分股!A:B,1,)</f>
        <v>#N/A</v>
      </c>
    </row>
    <row r="661" spans="1:6" ht="20.25" hidden="1" customHeight="1" x14ac:dyDescent="0.15">
      <c r="A661" s="2" t="s">
        <v>1516</v>
      </c>
      <c r="B661" s="2" t="s">
        <v>1517</v>
      </c>
      <c r="C661" s="2">
        <v>2.04</v>
      </c>
      <c r="D661" s="2">
        <v>7.4955999999999996</v>
      </c>
      <c r="E661" s="2" t="s">
        <v>633</v>
      </c>
      <c r="F661" s="2" t="e">
        <f>VLOOKUP(B661,MSCI中国成分股!A:B,1,)</f>
        <v>#N/A</v>
      </c>
    </row>
    <row r="662" spans="1:6" ht="20.25" hidden="1" customHeight="1" x14ac:dyDescent="0.15">
      <c r="A662" s="2" t="s">
        <v>1518</v>
      </c>
      <c r="B662" s="2" t="s">
        <v>1519</v>
      </c>
      <c r="C662" s="2">
        <v>3.66</v>
      </c>
      <c r="D662" s="2">
        <v>4.5566000000000004</v>
      </c>
      <c r="E662" s="2" t="s">
        <v>92</v>
      </c>
      <c r="F662" s="2" t="e">
        <f>VLOOKUP(B662,MSCI中国成分股!A:B,1,)</f>
        <v>#N/A</v>
      </c>
    </row>
    <row r="663" spans="1:6" ht="20.25" hidden="1" customHeight="1" x14ac:dyDescent="0.15">
      <c r="A663" s="2" t="s">
        <v>1520</v>
      </c>
      <c r="B663" s="2" t="s">
        <v>1521</v>
      </c>
      <c r="C663" s="2">
        <v>2.72</v>
      </c>
      <c r="D663" s="2">
        <v>0.68</v>
      </c>
      <c r="E663" s="2" t="s">
        <v>605</v>
      </c>
      <c r="F663" s="2" t="e">
        <f>VLOOKUP(B663,MSCI中国成分股!A:B,1,)</f>
        <v>#N/A</v>
      </c>
    </row>
    <row r="664" spans="1:6" ht="20.25" hidden="1" customHeight="1" x14ac:dyDescent="0.15">
      <c r="A664" s="2" t="s">
        <v>1522</v>
      </c>
      <c r="B664" s="2" t="s">
        <v>1523</v>
      </c>
      <c r="C664" s="2">
        <v>6.09</v>
      </c>
      <c r="D664" s="2">
        <v>2.5972</v>
      </c>
      <c r="E664" s="2" t="s">
        <v>506</v>
      </c>
      <c r="F664" s="2" t="e">
        <f>VLOOKUP(B664,MSCI中国成分股!A:B,1,)</f>
        <v>#N/A</v>
      </c>
    </row>
    <row r="665" spans="1:6" ht="20.25" hidden="1" customHeight="1" x14ac:dyDescent="0.15">
      <c r="A665" s="2" t="s">
        <v>1524</v>
      </c>
      <c r="B665" s="2" t="s">
        <v>1525</v>
      </c>
      <c r="C665" s="2">
        <v>2.13</v>
      </c>
      <c r="D665" s="2">
        <v>14.3766</v>
      </c>
      <c r="E665" s="2" t="s">
        <v>529</v>
      </c>
      <c r="F665" s="2" t="e">
        <f>VLOOKUP(B665,MSCI中国成分股!A:B,1,)</f>
        <v>#N/A</v>
      </c>
    </row>
    <row r="666" spans="1:6" ht="20.25" hidden="1" customHeight="1" x14ac:dyDescent="0.15">
      <c r="A666" s="2" t="s">
        <v>1526</v>
      </c>
      <c r="B666" s="2" t="s">
        <v>1527</v>
      </c>
      <c r="C666" s="2">
        <v>0.51</v>
      </c>
      <c r="D666" s="2">
        <v>39.0946</v>
      </c>
      <c r="E666" s="2" t="s">
        <v>1528</v>
      </c>
      <c r="F666" s="2" t="e">
        <f>VLOOKUP(B666,MSCI中国成分股!A:B,1,)</f>
        <v>#N/A</v>
      </c>
    </row>
    <row r="667" spans="1:6" ht="20.25" hidden="1" customHeight="1" x14ac:dyDescent="0.15">
      <c r="A667" s="2" t="s">
        <v>1529</v>
      </c>
      <c r="B667" s="2" t="s">
        <v>1530</v>
      </c>
      <c r="C667" s="2">
        <v>0.35</v>
      </c>
      <c r="D667" s="2">
        <v>8.8499999999999995E-2</v>
      </c>
      <c r="E667" s="2" t="s">
        <v>220</v>
      </c>
      <c r="F667" s="2" t="e">
        <f>VLOOKUP(B667,MSCI中国成分股!A:B,1,)</f>
        <v>#N/A</v>
      </c>
    </row>
    <row r="668" spans="1:6" ht="20.25" hidden="1" customHeight="1" x14ac:dyDescent="0.15">
      <c r="A668" s="2" t="s">
        <v>1531</v>
      </c>
      <c r="B668" s="2" t="s">
        <v>1532</v>
      </c>
      <c r="C668" s="2">
        <v>2.0499999999999998</v>
      </c>
      <c r="D668" s="2">
        <v>6.8234000000000004</v>
      </c>
      <c r="E668" s="2" t="s">
        <v>1533</v>
      </c>
      <c r="F668" s="2" t="e">
        <f>VLOOKUP(B668,MSCI中国成分股!A:B,1,)</f>
        <v>#N/A</v>
      </c>
    </row>
    <row r="669" spans="1:6" ht="20.25" hidden="1" customHeight="1" x14ac:dyDescent="0.15">
      <c r="A669" s="2" t="s">
        <v>1534</v>
      </c>
      <c r="B669" s="2" t="s">
        <v>1535</v>
      </c>
      <c r="C669" s="2">
        <v>1.59</v>
      </c>
      <c r="D669" s="2">
        <v>3.1303999999999998</v>
      </c>
      <c r="E669" s="2" t="s">
        <v>286</v>
      </c>
      <c r="F669" s="2" t="e">
        <f>VLOOKUP(B669,MSCI中国成分股!A:B,1,)</f>
        <v>#N/A</v>
      </c>
    </row>
    <row r="670" spans="1:6" ht="20.25" hidden="1" customHeight="1" x14ac:dyDescent="0.15">
      <c r="A670" s="2" t="s">
        <v>1536</v>
      </c>
      <c r="B670" s="2" t="s">
        <v>1537</v>
      </c>
      <c r="C670" s="2">
        <v>2.56</v>
      </c>
      <c r="D670" s="2">
        <v>1.7279</v>
      </c>
      <c r="E670" s="2" t="s">
        <v>699</v>
      </c>
      <c r="F670" s="2" t="e">
        <f>VLOOKUP(B670,MSCI中国成分股!A:B,1,)</f>
        <v>#N/A</v>
      </c>
    </row>
    <row r="671" spans="1:6" ht="20.25" hidden="1" customHeight="1" x14ac:dyDescent="0.15">
      <c r="A671" s="2" t="s">
        <v>1538</v>
      </c>
      <c r="B671" s="2" t="s">
        <v>1539</v>
      </c>
      <c r="C671" s="2">
        <v>-3.2349999999999999</v>
      </c>
      <c r="D671" s="2">
        <v>34.499899999999997</v>
      </c>
      <c r="E671" s="2" t="s">
        <v>245</v>
      </c>
      <c r="F671" s="2" t="e">
        <f>VLOOKUP(B671,MSCI中国成分股!A:B,1,)</f>
        <v>#N/A</v>
      </c>
    </row>
    <row r="672" spans="1:6" ht="20.25" hidden="1" customHeight="1" x14ac:dyDescent="0.15">
      <c r="A672" s="2" t="s">
        <v>1540</v>
      </c>
      <c r="B672" s="2" t="s">
        <v>1541</v>
      </c>
      <c r="C672" s="2">
        <v>3.14</v>
      </c>
      <c r="D672" s="2">
        <v>1.4314</v>
      </c>
      <c r="E672" s="2" t="s">
        <v>713</v>
      </c>
      <c r="F672" s="2" t="e">
        <f>VLOOKUP(B672,MSCI中国成分股!A:B,1,)</f>
        <v>#N/A</v>
      </c>
    </row>
    <row r="673" spans="1:6" ht="20.25" hidden="1" customHeight="1" x14ac:dyDescent="0.15">
      <c r="A673" s="2" t="s">
        <v>1542</v>
      </c>
      <c r="B673" s="2" t="s">
        <v>1543</v>
      </c>
      <c r="C673" s="2">
        <v>1.84</v>
      </c>
      <c r="D673" s="2">
        <v>4.9555999999999996</v>
      </c>
      <c r="E673" s="2" t="s">
        <v>1420</v>
      </c>
      <c r="F673" s="2" t="e">
        <f>VLOOKUP(B673,MSCI中国成分股!A:B,1,)</f>
        <v>#N/A</v>
      </c>
    </row>
    <row r="674" spans="1:6" ht="20.25" hidden="1" customHeight="1" x14ac:dyDescent="0.15">
      <c r="A674" s="2" t="s">
        <v>1544</v>
      </c>
      <c r="B674" s="2" t="s">
        <v>1545</v>
      </c>
      <c r="C674" s="2">
        <v>1.17</v>
      </c>
      <c r="D674" s="2">
        <v>0.4652</v>
      </c>
      <c r="E674" s="2" t="s">
        <v>81</v>
      </c>
      <c r="F674" s="2" t="e">
        <f>VLOOKUP(B674,MSCI中国成分股!A:B,1,)</f>
        <v>#N/A</v>
      </c>
    </row>
    <row r="675" spans="1:6" ht="20.25" hidden="1" customHeight="1" x14ac:dyDescent="0.15">
      <c r="A675" s="2" t="s">
        <v>1546</v>
      </c>
      <c r="B675" s="2" t="s">
        <v>1547</v>
      </c>
      <c r="C675" s="2">
        <v>0.85</v>
      </c>
      <c r="D675" s="2">
        <v>3.7797999999999998</v>
      </c>
      <c r="E675" s="2" t="s">
        <v>35</v>
      </c>
      <c r="F675" s="2" t="e">
        <f>VLOOKUP(B675,MSCI中国成分股!A:B,1,)</f>
        <v>#N/A</v>
      </c>
    </row>
    <row r="676" spans="1:6" ht="20.25" hidden="1" customHeight="1" x14ac:dyDescent="0.15">
      <c r="A676" s="2" t="s">
        <v>1548</v>
      </c>
      <c r="B676" s="2" t="s">
        <v>1549</v>
      </c>
      <c r="C676" s="2">
        <v>5.75</v>
      </c>
      <c r="D676" s="2">
        <v>67.298599999999993</v>
      </c>
      <c r="E676" s="2" t="s">
        <v>409</v>
      </c>
      <c r="F676" s="2" t="e">
        <f>VLOOKUP(B676,MSCI中国成分股!A:B,1,)</f>
        <v>#N/A</v>
      </c>
    </row>
    <row r="677" spans="1:6" ht="20.25" hidden="1" customHeight="1" x14ac:dyDescent="0.15">
      <c r="A677" s="2" t="s">
        <v>1550</v>
      </c>
      <c r="B677" s="2" t="s">
        <v>1551</v>
      </c>
      <c r="C677" s="2">
        <v>1.405</v>
      </c>
      <c r="D677" s="2">
        <v>1.7763</v>
      </c>
      <c r="E677" s="2" t="s">
        <v>286</v>
      </c>
      <c r="F677" s="2" t="e">
        <f>VLOOKUP(B677,MSCI中国成分股!A:B,1,)</f>
        <v>#N/A</v>
      </c>
    </row>
    <row r="678" spans="1:6" ht="20.25" hidden="1" customHeight="1" x14ac:dyDescent="0.15">
      <c r="A678" s="2" t="s">
        <v>1552</v>
      </c>
      <c r="B678" s="2" t="s">
        <v>1553</v>
      </c>
      <c r="C678" s="2">
        <v>2.86</v>
      </c>
      <c r="D678" s="2">
        <v>0.82930000000000004</v>
      </c>
      <c r="E678" s="2" t="s">
        <v>207</v>
      </c>
      <c r="F678" s="2" t="e">
        <f>VLOOKUP(B678,MSCI中国成分股!A:B,1,)</f>
        <v>#N/A</v>
      </c>
    </row>
    <row r="679" spans="1:6" ht="20.25" hidden="1" customHeight="1" x14ac:dyDescent="0.15">
      <c r="A679" s="2" t="s">
        <v>1554</v>
      </c>
      <c r="B679" s="2" t="s">
        <v>1555</v>
      </c>
      <c r="C679" s="2">
        <v>3.23</v>
      </c>
      <c r="D679" s="2">
        <v>2.7084000000000001</v>
      </c>
      <c r="E679" s="2" t="s">
        <v>71</v>
      </c>
      <c r="F679" s="2" t="e">
        <f>VLOOKUP(B679,MSCI中国成分股!A:B,1,)</f>
        <v>#N/A</v>
      </c>
    </row>
    <row r="680" spans="1:6" ht="20.25" hidden="1" customHeight="1" x14ac:dyDescent="0.15">
      <c r="A680" s="2" t="s">
        <v>1556</v>
      </c>
      <c r="B680" s="2" t="s">
        <v>1557</v>
      </c>
      <c r="C680" s="2">
        <v>1.54</v>
      </c>
      <c r="D680" s="2">
        <v>0.92569999999999997</v>
      </c>
      <c r="E680" s="2" t="s">
        <v>359</v>
      </c>
      <c r="F680" s="2" t="e">
        <f>VLOOKUP(B680,MSCI中国成分股!A:B,1,)</f>
        <v>#N/A</v>
      </c>
    </row>
    <row r="681" spans="1:6" ht="20.25" customHeight="1" x14ac:dyDescent="0.15">
      <c r="A681" s="2" t="s">
        <v>952</v>
      </c>
      <c r="B681" s="2" t="s">
        <v>953</v>
      </c>
      <c r="C681" s="2">
        <v>-5.08</v>
      </c>
      <c r="D681" s="2">
        <v>1546.3936000000001</v>
      </c>
      <c r="E681" s="2" t="s">
        <v>322</v>
      </c>
      <c r="F681" s="2" t="str">
        <f>VLOOKUP(B681,MSCI中国成分股!A:B,1,)</f>
        <v>600816</v>
      </c>
    </row>
    <row r="682" spans="1:6" ht="20.25" hidden="1" customHeight="1" x14ac:dyDescent="0.15">
      <c r="A682" s="2" t="s">
        <v>1560</v>
      </c>
      <c r="B682" s="2" t="s">
        <v>1561</v>
      </c>
      <c r="C682" s="2">
        <v>1.03</v>
      </c>
      <c r="D682" s="2">
        <v>4.1632999999999996</v>
      </c>
      <c r="E682" s="2" t="s">
        <v>542</v>
      </c>
      <c r="F682" s="2" t="e">
        <f>VLOOKUP(B682,MSCI中国成分股!A:B,1,)</f>
        <v>#N/A</v>
      </c>
    </row>
    <row r="683" spans="1:6" ht="20.25" hidden="1" customHeight="1" x14ac:dyDescent="0.15">
      <c r="A683" s="2" t="s">
        <v>1562</v>
      </c>
      <c r="B683" s="2" t="s">
        <v>1563</v>
      </c>
      <c r="C683" s="2">
        <v>0.96</v>
      </c>
      <c r="D683" s="2">
        <v>17.836400000000001</v>
      </c>
      <c r="E683" s="2" t="s">
        <v>371</v>
      </c>
      <c r="F683" s="2" t="e">
        <f>VLOOKUP(B683,MSCI中国成分股!A:B,1,)</f>
        <v>#N/A</v>
      </c>
    </row>
    <row r="684" spans="1:6" ht="20.25" hidden="1" customHeight="1" x14ac:dyDescent="0.15">
      <c r="A684" s="2" t="s">
        <v>1564</v>
      </c>
      <c r="B684" s="2" t="s">
        <v>1565</v>
      </c>
      <c r="C684" s="2">
        <v>1.67</v>
      </c>
      <c r="D684" s="2">
        <v>0.68889999999999996</v>
      </c>
      <c r="E684" s="2" t="s">
        <v>638</v>
      </c>
      <c r="F684" s="2" t="e">
        <f>VLOOKUP(B684,MSCI中国成分股!A:B,1,)</f>
        <v>#N/A</v>
      </c>
    </row>
    <row r="685" spans="1:6" ht="20.25" hidden="1" customHeight="1" x14ac:dyDescent="0.15">
      <c r="A685" s="2" t="s">
        <v>1566</v>
      </c>
      <c r="B685" s="2" t="s">
        <v>1567</v>
      </c>
      <c r="C685" s="2">
        <v>1.82</v>
      </c>
      <c r="D685" s="2">
        <v>1.6936</v>
      </c>
      <c r="E685" s="2" t="s">
        <v>437</v>
      </c>
      <c r="F685" s="2" t="e">
        <f>VLOOKUP(B685,MSCI中国成分股!A:B,1,)</f>
        <v>#N/A</v>
      </c>
    </row>
    <row r="686" spans="1:6" ht="20.25" hidden="1" customHeight="1" x14ac:dyDescent="0.15">
      <c r="A686" s="2" t="s">
        <v>1568</v>
      </c>
      <c r="B686" s="2" t="s">
        <v>1569</v>
      </c>
      <c r="C686" s="2">
        <v>0.53</v>
      </c>
      <c r="D686" s="2">
        <v>0.88229999999999997</v>
      </c>
      <c r="E686" s="2" t="s">
        <v>1570</v>
      </c>
      <c r="F686" s="2" t="e">
        <f>VLOOKUP(B686,MSCI中国成分股!A:B,1,)</f>
        <v>#N/A</v>
      </c>
    </row>
    <row r="687" spans="1:6" ht="20.25" hidden="1" customHeight="1" x14ac:dyDescent="0.15">
      <c r="A687" s="2" t="s">
        <v>1571</v>
      </c>
      <c r="B687" s="2" t="s">
        <v>1572</v>
      </c>
      <c r="C687" s="2">
        <v>2.4900000000000002</v>
      </c>
      <c r="D687" s="2">
        <v>15.441000000000001</v>
      </c>
      <c r="E687" s="2" t="s">
        <v>254</v>
      </c>
      <c r="F687" s="2" t="e">
        <f>VLOOKUP(B687,MSCI中国成分股!A:B,1,)</f>
        <v>#N/A</v>
      </c>
    </row>
    <row r="688" spans="1:6" ht="20.25" hidden="1" customHeight="1" x14ac:dyDescent="0.15">
      <c r="A688" s="2" t="s">
        <v>1573</v>
      </c>
      <c r="B688" s="2" t="s">
        <v>1574</v>
      </c>
      <c r="C688" s="2">
        <v>2.13</v>
      </c>
      <c r="D688" s="2">
        <v>0.22639999999999999</v>
      </c>
      <c r="E688" s="2" t="s">
        <v>391</v>
      </c>
      <c r="F688" s="2" t="e">
        <f>VLOOKUP(B688,MSCI中国成分股!A:B,1,)</f>
        <v>#N/A</v>
      </c>
    </row>
    <row r="689" spans="1:6" ht="20.25" hidden="1" customHeight="1" x14ac:dyDescent="0.15">
      <c r="A689" s="2" t="s">
        <v>1575</v>
      </c>
      <c r="B689" s="2" t="s">
        <v>1576</v>
      </c>
      <c r="C689" s="2">
        <v>2.33</v>
      </c>
      <c r="D689" s="2">
        <v>5.3047000000000004</v>
      </c>
      <c r="E689" s="2" t="s">
        <v>670</v>
      </c>
      <c r="F689" s="2" t="e">
        <f>VLOOKUP(B689,MSCI中国成分股!A:B,1,)</f>
        <v>#N/A</v>
      </c>
    </row>
    <row r="690" spans="1:6" ht="20.25" hidden="1" customHeight="1" x14ac:dyDescent="0.15">
      <c r="A690" s="2" t="s">
        <v>1577</v>
      </c>
      <c r="B690" s="2" t="s">
        <v>1578</v>
      </c>
      <c r="C690" s="2">
        <v>1.1000000000000001</v>
      </c>
      <c r="D690" s="2">
        <v>8.4000000000000005E-2</v>
      </c>
      <c r="E690" s="2" t="s">
        <v>322</v>
      </c>
      <c r="F690" s="2" t="e">
        <f>VLOOKUP(B690,MSCI中国成分股!A:B,1,)</f>
        <v>#N/A</v>
      </c>
    </row>
    <row r="691" spans="1:6" ht="20.25" hidden="1" customHeight="1" x14ac:dyDescent="0.15">
      <c r="A691" s="2" t="s">
        <v>1579</v>
      </c>
      <c r="B691" s="2" t="s">
        <v>1580</v>
      </c>
      <c r="C691" s="2">
        <v>3.44</v>
      </c>
      <c r="D691" s="2">
        <v>2.4198</v>
      </c>
      <c r="E691" s="2" t="s">
        <v>68</v>
      </c>
      <c r="F691" s="2" t="e">
        <f>VLOOKUP(B691,MSCI中国成分股!A:B,1,)</f>
        <v>#N/A</v>
      </c>
    </row>
    <row r="692" spans="1:6" ht="20.25" hidden="1" customHeight="1" x14ac:dyDescent="0.15">
      <c r="A692" s="2" t="s">
        <v>1581</v>
      </c>
      <c r="B692" s="2" t="s">
        <v>1582</v>
      </c>
      <c r="C692" s="2">
        <v>2.37</v>
      </c>
      <c r="D692" s="2">
        <v>0.53769999999999996</v>
      </c>
      <c r="E692" s="2" t="s">
        <v>68</v>
      </c>
      <c r="F692" s="2" t="e">
        <f>VLOOKUP(B692,MSCI中国成分股!A:B,1,)</f>
        <v>#N/A</v>
      </c>
    </row>
    <row r="693" spans="1:6" ht="20.25" hidden="1" customHeight="1" x14ac:dyDescent="0.15">
      <c r="A693" s="2" t="s">
        <v>1583</v>
      </c>
      <c r="B693" s="2" t="s">
        <v>1584</v>
      </c>
      <c r="C693" s="2">
        <v>3.15</v>
      </c>
      <c r="D693" s="2">
        <v>1.0042</v>
      </c>
      <c r="E693" s="2" t="s">
        <v>511</v>
      </c>
      <c r="F693" s="2" t="e">
        <f>VLOOKUP(B693,MSCI中国成分股!A:B,1,)</f>
        <v>#N/A</v>
      </c>
    </row>
    <row r="694" spans="1:6" ht="20.25" hidden="1" customHeight="1" x14ac:dyDescent="0.15">
      <c r="A694" s="2" t="s">
        <v>1585</v>
      </c>
      <c r="B694" s="2" t="s">
        <v>1586</v>
      </c>
      <c r="C694" s="2">
        <v>1.64</v>
      </c>
      <c r="D694" s="2">
        <v>0.31540000000000001</v>
      </c>
      <c r="E694" s="2" t="s">
        <v>201</v>
      </c>
      <c r="F694" s="2" t="e">
        <f>VLOOKUP(B694,MSCI中国成分股!A:B,1,)</f>
        <v>#N/A</v>
      </c>
    </row>
    <row r="695" spans="1:6" ht="20.25" hidden="1" customHeight="1" x14ac:dyDescent="0.15">
      <c r="A695" s="2" t="s">
        <v>1587</v>
      </c>
      <c r="B695" s="2" t="s">
        <v>1588</v>
      </c>
      <c r="C695" s="2">
        <v>1.38</v>
      </c>
      <c r="D695" s="2">
        <v>6.6584000000000003</v>
      </c>
      <c r="E695" s="2" t="s">
        <v>1459</v>
      </c>
      <c r="F695" s="2" t="e">
        <f>VLOOKUP(B695,MSCI中国成分股!A:B,1,)</f>
        <v>#N/A</v>
      </c>
    </row>
    <row r="696" spans="1:6" ht="20.25" hidden="1" customHeight="1" x14ac:dyDescent="0.15">
      <c r="A696" s="2" t="s">
        <v>1589</v>
      </c>
      <c r="B696" s="2" t="s">
        <v>1590</v>
      </c>
      <c r="C696" s="2">
        <v>1.17</v>
      </c>
      <c r="D696" s="2">
        <v>3.5034000000000001</v>
      </c>
      <c r="E696" s="2" t="s">
        <v>347</v>
      </c>
      <c r="F696" s="2" t="e">
        <f>VLOOKUP(B696,MSCI中国成分股!A:B,1,)</f>
        <v>#N/A</v>
      </c>
    </row>
    <row r="697" spans="1:6" ht="20.25" hidden="1" customHeight="1" x14ac:dyDescent="0.15">
      <c r="A697" s="2" t="s">
        <v>1591</v>
      </c>
      <c r="B697" s="2" t="s">
        <v>1592</v>
      </c>
      <c r="C697" s="2">
        <v>4.22</v>
      </c>
      <c r="D697" s="2">
        <v>1.2143999999999999</v>
      </c>
      <c r="E697" s="2" t="s">
        <v>1593</v>
      </c>
      <c r="F697" s="2" t="e">
        <f>VLOOKUP(B697,MSCI中国成分股!A:B,1,)</f>
        <v>#N/A</v>
      </c>
    </row>
    <row r="698" spans="1:6" ht="20.25" hidden="1" customHeight="1" x14ac:dyDescent="0.15">
      <c r="A698" s="2" t="s">
        <v>1594</v>
      </c>
      <c r="B698" s="2" t="s">
        <v>1595</v>
      </c>
      <c r="C698" s="2">
        <v>2.12</v>
      </c>
      <c r="D698" s="2">
        <v>3.2652000000000001</v>
      </c>
      <c r="E698" s="2" t="s">
        <v>41</v>
      </c>
      <c r="F698" s="2" t="e">
        <f>VLOOKUP(B698,MSCI中国成分股!A:B,1,)</f>
        <v>#N/A</v>
      </c>
    </row>
    <row r="699" spans="1:6" ht="20.25" hidden="1" customHeight="1" x14ac:dyDescent="0.15">
      <c r="A699" s="2" t="s">
        <v>1596</v>
      </c>
      <c r="B699" s="2" t="s">
        <v>1597</v>
      </c>
      <c r="C699" s="2">
        <v>0.27</v>
      </c>
      <c r="D699" s="2">
        <v>4.2700000000000002E-2</v>
      </c>
      <c r="E699" s="2" t="s">
        <v>784</v>
      </c>
      <c r="F699" s="2" t="e">
        <f>VLOOKUP(B699,MSCI中国成分股!A:B,1,)</f>
        <v>#N/A</v>
      </c>
    </row>
    <row r="700" spans="1:6" ht="20.25" hidden="1" customHeight="1" x14ac:dyDescent="0.15">
      <c r="A700" s="2" t="s">
        <v>1598</v>
      </c>
      <c r="B700" s="2" t="s">
        <v>1599</v>
      </c>
      <c r="C700" s="2">
        <v>2.4700000000000002</v>
      </c>
      <c r="D700" s="2">
        <v>11.8431</v>
      </c>
      <c r="E700" s="2" t="s">
        <v>630</v>
      </c>
      <c r="F700" s="2" t="e">
        <f>VLOOKUP(B700,MSCI中国成分股!A:B,1,)</f>
        <v>#N/A</v>
      </c>
    </row>
    <row r="701" spans="1:6" ht="20.25" hidden="1" customHeight="1" x14ac:dyDescent="0.15">
      <c r="A701" s="2" t="s">
        <v>1600</v>
      </c>
      <c r="B701" s="2" t="s">
        <v>1601</v>
      </c>
      <c r="C701" s="2">
        <v>3.87</v>
      </c>
      <c r="D701" s="2">
        <v>3.4845000000000002</v>
      </c>
      <c r="E701" s="2" t="s">
        <v>1224</v>
      </c>
      <c r="F701" s="2" t="e">
        <f>VLOOKUP(B701,MSCI中国成分股!A:B,1,)</f>
        <v>#N/A</v>
      </c>
    </row>
    <row r="702" spans="1:6" ht="20.25" hidden="1" customHeight="1" x14ac:dyDescent="0.15">
      <c r="A702" s="2" t="s">
        <v>1602</v>
      </c>
      <c r="B702" s="2" t="s">
        <v>1603</v>
      </c>
      <c r="C702" s="2">
        <v>1.81</v>
      </c>
      <c r="D702" s="2">
        <v>13032.0016</v>
      </c>
      <c r="E702" s="2" t="s">
        <v>89</v>
      </c>
      <c r="F702" s="2" t="e">
        <f>VLOOKUP(B702,MSCI中国成分股!A:B,1,)</f>
        <v>#N/A</v>
      </c>
    </row>
    <row r="703" spans="1:6" ht="20.25" hidden="1" customHeight="1" x14ac:dyDescent="0.15">
      <c r="A703" s="2" t="s">
        <v>1604</v>
      </c>
      <c r="B703" s="2" t="s">
        <v>1605</v>
      </c>
      <c r="C703" s="2">
        <v>1.53</v>
      </c>
      <c r="D703" s="2">
        <v>0.54410000000000003</v>
      </c>
      <c r="E703" s="2" t="s">
        <v>44</v>
      </c>
      <c r="F703" s="2" t="e">
        <f>VLOOKUP(B703,MSCI中国成分股!A:B,1,)</f>
        <v>#N/A</v>
      </c>
    </row>
    <row r="704" spans="1:6" ht="20.25" hidden="1" customHeight="1" x14ac:dyDescent="0.15">
      <c r="A704" s="2" t="s">
        <v>1606</v>
      </c>
      <c r="B704" s="2" t="s">
        <v>1607</v>
      </c>
      <c r="C704" s="2">
        <v>0.88</v>
      </c>
      <c r="D704" s="2">
        <v>1.2010000000000001</v>
      </c>
      <c r="E704" s="2" t="s">
        <v>1608</v>
      </c>
      <c r="F704" s="2" t="e">
        <f>VLOOKUP(B704,MSCI中国成分股!A:B,1,)</f>
        <v>#N/A</v>
      </c>
    </row>
    <row r="705" spans="1:6" ht="20.25" hidden="1" customHeight="1" x14ac:dyDescent="0.15">
      <c r="A705" s="2" t="s">
        <v>1609</v>
      </c>
      <c r="B705" s="2" t="s">
        <v>1610</v>
      </c>
      <c r="C705" s="2">
        <v>2.2200000000000002</v>
      </c>
      <c r="D705" s="2">
        <v>0.9012</v>
      </c>
      <c r="E705" s="2" t="s">
        <v>35</v>
      </c>
      <c r="F705" s="2" t="e">
        <f>VLOOKUP(B705,MSCI中国成分股!A:B,1,)</f>
        <v>#N/A</v>
      </c>
    </row>
    <row r="706" spans="1:6" ht="20.25" hidden="1" customHeight="1" x14ac:dyDescent="0.15">
      <c r="A706" s="2" t="s">
        <v>1611</v>
      </c>
      <c r="B706" s="2" t="s">
        <v>1612</v>
      </c>
      <c r="C706" s="2">
        <v>2.12</v>
      </c>
      <c r="D706" s="2">
        <v>9.8899000000000008</v>
      </c>
      <c r="E706" s="2" t="s">
        <v>1613</v>
      </c>
      <c r="F706" s="2" t="e">
        <f>VLOOKUP(B706,MSCI中国成分股!A:B,1,)</f>
        <v>#N/A</v>
      </c>
    </row>
    <row r="707" spans="1:6" ht="20.25" hidden="1" customHeight="1" x14ac:dyDescent="0.15">
      <c r="A707" s="2" t="s">
        <v>1614</v>
      </c>
      <c r="B707" s="2" t="s">
        <v>1615</v>
      </c>
      <c r="C707" s="2">
        <v>2.48</v>
      </c>
      <c r="D707" s="2">
        <v>1.0204</v>
      </c>
      <c r="E707" s="2" t="s">
        <v>286</v>
      </c>
      <c r="F707" s="2" t="e">
        <f>VLOOKUP(B707,MSCI中国成分股!A:B,1,)</f>
        <v>#N/A</v>
      </c>
    </row>
    <row r="708" spans="1:6" ht="20.25" hidden="1" customHeight="1" x14ac:dyDescent="0.15">
      <c r="A708" s="2" t="s">
        <v>1616</v>
      </c>
      <c r="B708" s="2" t="s">
        <v>1617</v>
      </c>
      <c r="C708" s="2">
        <v>2.23</v>
      </c>
      <c r="D708" s="2">
        <v>247.458</v>
      </c>
      <c r="E708" s="2" t="s">
        <v>38</v>
      </c>
      <c r="F708" s="2" t="e">
        <f>VLOOKUP(B708,MSCI中国成分股!A:B,1,)</f>
        <v>#N/A</v>
      </c>
    </row>
    <row r="709" spans="1:6" ht="20.25" hidden="1" customHeight="1" x14ac:dyDescent="0.15">
      <c r="A709" s="2" t="s">
        <v>1618</v>
      </c>
      <c r="B709" s="2" t="s">
        <v>1619</v>
      </c>
      <c r="C709" s="2">
        <v>-0.13</v>
      </c>
      <c r="D709" s="2">
        <v>38.540399999999998</v>
      </c>
      <c r="E709" s="2" t="s">
        <v>699</v>
      </c>
      <c r="F709" s="2" t="e">
        <f>VLOOKUP(B709,MSCI中国成分股!A:B,1,)</f>
        <v>#N/A</v>
      </c>
    </row>
    <row r="710" spans="1:6" ht="20.25" hidden="1" customHeight="1" x14ac:dyDescent="0.15">
      <c r="A710" s="2" t="s">
        <v>1620</v>
      </c>
      <c r="B710" s="2" t="s">
        <v>1621</v>
      </c>
      <c r="C710" s="2">
        <v>0.79</v>
      </c>
      <c r="D710" s="2">
        <v>0.68379999999999996</v>
      </c>
      <c r="E710" s="2" t="s">
        <v>704</v>
      </c>
      <c r="F710" s="2" t="e">
        <f>VLOOKUP(B710,MSCI中国成分股!A:B,1,)</f>
        <v>#N/A</v>
      </c>
    </row>
    <row r="711" spans="1:6" ht="20.25" hidden="1" customHeight="1" x14ac:dyDescent="0.15">
      <c r="A711" s="2" t="s">
        <v>1622</v>
      </c>
      <c r="B711" s="2" t="s">
        <v>1623</v>
      </c>
      <c r="C711" s="2">
        <v>2.93</v>
      </c>
      <c r="D711" s="2">
        <v>1.7411000000000001</v>
      </c>
      <c r="E711" s="2" t="s">
        <v>750</v>
      </c>
      <c r="F711" s="2" t="e">
        <f>VLOOKUP(B711,MSCI中国成分股!A:B,1,)</f>
        <v>#N/A</v>
      </c>
    </row>
    <row r="712" spans="1:6" ht="20.25" hidden="1" customHeight="1" x14ac:dyDescent="0.15">
      <c r="A712" s="2" t="s">
        <v>1624</v>
      </c>
      <c r="B712" s="2" t="s">
        <v>1625</v>
      </c>
      <c r="C712" s="2">
        <v>0.09</v>
      </c>
      <c r="D712" s="2">
        <v>98.249799999999993</v>
      </c>
      <c r="E712" s="2" t="s">
        <v>44</v>
      </c>
      <c r="F712" s="2" t="e">
        <f>VLOOKUP(B712,MSCI中国成分股!A:B,1,)</f>
        <v>#N/A</v>
      </c>
    </row>
    <row r="713" spans="1:6" ht="20.25" hidden="1" customHeight="1" x14ac:dyDescent="0.15">
      <c r="A713" s="2" t="s">
        <v>1626</v>
      </c>
      <c r="B713" s="2" t="s">
        <v>1627</v>
      </c>
      <c r="C713" s="2">
        <v>2.78</v>
      </c>
      <c r="D713" s="2">
        <v>2.9655</v>
      </c>
      <c r="E713" s="2" t="s">
        <v>741</v>
      </c>
      <c r="F713" s="2" t="e">
        <f>VLOOKUP(B713,MSCI中国成分股!A:B,1,)</f>
        <v>#N/A</v>
      </c>
    </row>
    <row r="714" spans="1:6" ht="20.25" hidden="1" customHeight="1" x14ac:dyDescent="0.15">
      <c r="A714" s="2" t="s">
        <v>1628</v>
      </c>
      <c r="B714" s="2" t="s">
        <v>1629</v>
      </c>
      <c r="C714" s="2">
        <v>0.32</v>
      </c>
      <c r="D714" s="2">
        <v>9.3299999999999994E-2</v>
      </c>
      <c r="E714" s="2" t="s">
        <v>1066</v>
      </c>
      <c r="F714" s="2" t="e">
        <f>VLOOKUP(B714,MSCI中国成分股!A:B,1,)</f>
        <v>#N/A</v>
      </c>
    </row>
    <row r="715" spans="1:6" ht="20.25" hidden="1" customHeight="1" x14ac:dyDescent="0.15">
      <c r="A715" s="2" t="s">
        <v>1630</v>
      </c>
      <c r="B715" s="2" t="s">
        <v>1631</v>
      </c>
      <c r="C715" s="2">
        <v>1.7</v>
      </c>
      <c r="D715" s="2">
        <v>1.0876999999999999</v>
      </c>
      <c r="E715" s="2" t="s">
        <v>1436</v>
      </c>
      <c r="F715" s="2" t="e">
        <f>VLOOKUP(B715,MSCI中国成分股!A:B,1,)</f>
        <v>#N/A</v>
      </c>
    </row>
    <row r="716" spans="1:6" ht="20.25" hidden="1" customHeight="1" x14ac:dyDescent="0.15">
      <c r="A716" s="2" t="s">
        <v>1632</v>
      </c>
      <c r="B716" s="2" t="s">
        <v>1633</v>
      </c>
      <c r="C716" s="2">
        <v>0.81</v>
      </c>
      <c r="D716" s="2">
        <v>22.564699999999998</v>
      </c>
      <c r="E716" s="2" t="s">
        <v>260</v>
      </c>
      <c r="F716" s="2" t="e">
        <f>VLOOKUP(B716,MSCI中国成分股!A:B,1,)</f>
        <v>#N/A</v>
      </c>
    </row>
    <row r="717" spans="1:6" ht="20.25" hidden="1" customHeight="1" x14ac:dyDescent="0.15">
      <c r="A717" s="2" t="s">
        <v>1634</v>
      </c>
      <c r="B717" s="2" t="s">
        <v>1635</v>
      </c>
      <c r="C717" s="2">
        <v>1.52</v>
      </c>
      <c r="D717" s="2">
        <v>3.669</v>
      </c>
      <c r="E717" s="2" t="s">
        <v>574</v>
      </c>
      <c r="F717" s="2" t="e">
        <f>VLOOKUP(B717,MSCI中国成分股!A:B,1,)</f>
        <v>#N/A</v>
      </c>
    </row>
    <row r="718" spans="1:6" ht="20.25" hidden="1" customHeight="1" x14ac:dyDescent="0.15">
      <c r="A718" s="2" t="s">
        <v>1636</v>
      </c>
      <c r="B718" s="2" t="s">
        <v>1637</v>
      </c>
      <c r="C718" s="2">
        <v>4.05</v>
      </c>
      <c r="D718" s="2">
        <v>725.08460000000002</v>
      </c>
      <c r="E718" s="2" t="s">
        <v>71</v>
      </c>
      <c r="F718" s="2" t="e">
        <f>VLOOKUP(B718,MSCI中国成分股!A:B,1,)</f>
        <v>#N/A</v>
      </c>
    </row>
    <row r="719" spans="1:6" ht="20.25" hidden="1" customHeight="1" x14ac:dyDescent="0.15">
      <c r="A719" s="2" t="s">
        <v>1638</v>
      </c>
      <c r="B719" s="2" t="s">
        <v>1639</v>
      </c>
      <c r="C719" s="2">
        <v>1.85</v>
      </c>
      <c r="D719" s="2">
        <v>1.8751</v>
      </c>
      <c r="E719" s="2" t="s">
        <v>35</v>
      </c>
      <c r="F719" s="2" t="e">
        <f>VLOOKUP(B719,MSCI中国成分股!A:B,1,)</f>
        <v>#N/A</v>
      </c>
    </row>
    <row r="720" spans="1:6" ht="20.25" hidden="1" customHeight="1" x14ac:dyDescent="0.15">
      <c r="A720" s="2" t="s">
        <v>1640</v>
      </c>
      <c r="B720" s="2" t="s">
        <v>1641</v>
      </c>
      <c r="C720" s="2">
        <v>4.12</v>
      </c>
      <c r="D720" s="2">
        <v>5.5330000000000004</v>
      </c>
      <c r="E720" s="2" t="s">
        <v>44</v>
      </c>
      <c r="F720" s="2" t="e">
        <f>VLOOKUP(B720,MSCI中国成分股!A:B,1,)</f>
        <v>#N/A</v>
      </c>
    </row>
    <row r="721" spans="1:6" ht="20.25" hidden="1" customHeight="1" x14ac:dyDescent="0.15">
      <c r="A721" s="2" t="s">
        <v>1642</v>
      </c>
      <c r="B721" s="2" t="s">
        <v>1643</v>
      </c>
      <c r="C721" s="2">
        <v>1.47</v>
      </c>
      <c r="D721" s="2">
        <v>2.3092999999999999</v>
      </c>
      <c r="E721" s="2" t="s">
        <v>74</v>
      </c>
      <c r="F721" s="2" t="e">
        <f>VLOOKUP(B721,MSCI中国成分股!A:B,1,)</f>
        <v>#N/A</v>
      </c>
    </row>
    <row r="722" spans="1:6" ht="20.25" hidden="1" customHeight="1" x14ac:dyDescent="0.15">
      <c r="A722" s="2" t="s">
        <v>1644</v>
      </c>
      <c r="B722" s="2" t="s">
        <v>1645</v>
      </c>
      <c r="C722" s="2">
        <v>8.32</v>
      </c>
      <c r="D722" s="2">
        <v>24.479399999999998</v>
      </c>
      <c r="E722" s="2" t="s">
        <v>1528</v>
      </c>
      <c r="F722" s="2" t="e">
        <f>VLOOKUP(B722,MSCI中国成分股!A:B,1,)</f>
        <v>#N/A</v>
      </c>
    </row>
    <row r="723" spans="1:6" ht="20.25" hidden="1" customHeight="1" x14ac:dyDescent="0.15">
      <c r="A723" s="2" t="s">
        <v>1646</v>
      </c>
      <c r="B723" s="2" t="s">
        <v>1647</v>
      </c>
      <c r="C723" s="2">
        <v>3.5000000000000003E-2</v>
      </c>
      <c r="D723" s="2">
        <v>7.1139000000000001</v>
      </c>
      <c r="E723" s="2" t="s">
        <v>185</v>
      </c>
      <c r="F723" s="2" t="e">
        <f>VLOOKUP(B723,MSCI中国成分股!A:B,1,)</f>
        <v>#N/A</v>
      </c>
    </row>
    <row r="724" spans="1:6" ht="20.25" hidden="1" customHeight="1" x14ac:dyDescent="0.15">
      <c r="A724" s="2" t="s">
        <v>1648</v>
      </c>
      <c r="B724" s="2" t="s">
        <v>1649</v>
      </c>
      <c r="C724" s="2">
        <v>0.24</v>
      </c>
      <c r="D724" s="2">
        <v>0.17150000000000001</v>
      </c>
      <c r="E724" s="2" t="s">
        <v>100</v>
      </c>
      <c r="F724" s="2" t="e">
        <f>VLOOKUP(B724,MSCI中国成分股!A:B,1,)</f>
        <v>#N/A</v>
      </c>
    </row>
    <row r="725" spans="1:6" ht="20.25" hidden="1" customHeight="1" x14ac:dyDescent="0.15">
      <c r="A725" s="2" t="s">
        <v>1650</v>
      </c>
      <c r="B725" s="2" t="s">
        <v>1651</v>
      </c>
      <c r="C725" s="2">
        <v>1.38</v>
      </c>
      <c r="D725" s="2">
        <v>0.91510000000000002</v>
      </c>
      <c r="E725" s="2" t="s">
        <v>571</v>
      </c>
      <c r="F725" s="2" t="e">
        <f>VLOOKUP(B725,MSCI中国成分股!A:B,1,)</f>
        <v>#N/A</v>
      </c>
    </row>
    <row r="726" spans="1:6" ht="20.25" hidden="1" customHeight="1" x14ac:dyDescent="0.15">
      <c r="A726" s="2" t="s">
        <v>1652</v>
      </c>
      <c r="B726" s="2" t="s">
        <v>1653</v>
      </c>
      <c r="C726" s="2">
        <v>3.9</v>
      </c>
      <c r="D726" s="2">
        <v>5.61</v>
      </c>
      <c r="E726" s="2" t="s">
        <v>92</v>
      </c>
      <c r="F726" s="2" t="e">
        <f>VLOOKUP(B726,MSCI中国成分股!A:B,1,)</f>
        <v>#N/A</v>
      </c>
    </row>
    <row r="727" spans="1:6" ht="20.25" hidden="1" customHeight="1" x14ac:dyDescent="0.15">
      <c r="A727" s="2" t="s">
        <v>1654</v>
      </c>
      <c r="B727" s="2" t="s">
        <v>1655</v>
      </c>
      <c r="C727" s="2">
        <v>1.1599999999999999</v>
      </c>
      <c r="D727" s="2">
        <v>2.9906000000000001</v>
      </c>
      <c r="E727" s="2" t="s">
        <v>10</v>
      </c>
      <c r="F727" s="2" t="e">
        <f>VLOOKUP(B727,MSCI中国成分股!A:B,1,)</f>
        <v>#N/A</v>
      </c>
    </row>
    <row r="728" spans="1:6" ht="20.25" hidden="1" customHeight="1" x14ac:dyDescent="0.15">
      <c r="A728" s="2" t="s">
        <v>1656</v>
      </c>
      <c r="B728" s="2" t="s">
        <v>1657</v>
      </c>
      <c r="C728" s="2">
        <v>-0.01</v>
      </c>
      <c r="D728" s="2">
        <v>11.3028</v>
      </c>
      <c r="E728" s="2" t="s">
        <v>228</v>
      </c>
      <c r="F728" s="2" t="e">
        <f>VLOOKUP(B728,MSCI中国成分股!A:B,1,)</f>
        <v>#N/A</v>
      </c>
    </row>
    <row r="729" spans="1:6" ht="20.25" hidden="1" customHeight="1" x14ac:dyDescent="0.15">
      <c r="A729" s="2" t="s">
        <v>1658</v>
      </c>
      <c r="B729" s="2" t="s">
        <v>1659</v>
      </c>
      <c r="C729" s="2">
        <v>1.96</v>
      </c>
      <c r="D729" s="2">
        <v>0.76890000000000003</v>
      </c>
      <c r="E729" s="2" t="s">
        <v>647</v>
      </c>
      <c r="F729" s="2" t="e">
        <f>VLOOKUP(B729,MSCI中国成分股!A:B,1,)</f>
        <v>#N/A</v>
      </c>
    </row>
    <row r="730" spans="1:6" ht="20.25" hidden="1" customHeight="1" x14ac:dyDescent="0.15">
      <c r="A730" s="2" t="s">
        <v>1660</v>
      </c>
      <c r="B730" s="2" t="s">
        <v>1661</v>
      </c>
      <c r="C730" s="2">
        <v>2.0049999999999999</v>
      </c>
      <c r="D730" s="2">
        <v>0.1782</v>
      </c>
      <c r="E730" s="2" t="s">
        <v>1056</v>
      </c>
      <c r="F730" s="2" t="e">
        <f>VLOOKUP(B730,MSCI中国成分股!A:B,1,)</f>
        <v>#N/A</v>
      </c>
    </row>
    <row r="731" spans="1:6" ht="20.25" hidden="1" customHeight="1" x14ac:dyDescent="0.15">
      <c r="A731" s="2" t="s">
        <v>1662</v>
      </c>
      <c r="B731" s="2" t="s">
        <v>1663</v>
      </c>
      <c r="C731" s="2">
        <v>2.1800000000000002</v>
      </c>
      <c r="D731" s="2">
        <v>1.2821</v>
      </c>
      <c r="E731" s="2" t="s">
        <v>682</v>
      </c>
      <c r="F731" s="2" t="e">
        <f>VLOOKUP(B731,MSCI中国成分股!A:B,1,)</f>
        <v>#N/A</v>
      </c>
    </row>
    <row r="732" spans="1:6" ht="20.25" hidden="1" customHeight="1" x14ac:dyDescent="0.15">
      <c r="A732" s="2" t="s">
        <v>1664</v>
      </c>
      <c r="B732" s="2" t="s">
        <v>1665</v>
      </c>
      <c r="C732" s="2">
        <v>5.91</v>
      </c>
      <c r="D732" s="2">
        <v>18.288699999999999</v>
      </c>
      <c r="E732" s="2" t="s">
        <v>371</v>
      </c>
      <c r="F732" s="2" t="e">
        <f>VLOOKUP(B732,MSCI中国成分股!A:B,1,)</f>
        <v>#N/A</v>
      </c>
    </row>
    <row r="733" spans="1:6" ht="20.25" hidden="1" customHeight="1" x14ac:dyDescent="0.15">
      <c r="A733" s="2" t="s">
        <v>1666</v>
      </c>
      <c r="B733" s="2" t="s">
        <v>1667</v>
      </c>
      <c r="C733" s="2">
        <v>1.88</v>
      </c>
      <c r="D733" s="2">
        <v>0.49630000000000002</v>
      </c>
      <c r="E733" s="2" t="s">
        <v>941</v>
      </c>
      <c r="F733" s="2" t="e">
        <f>VLOOKUP(B733,MSCI中国成分股!A:B,1,)</f>
        <v>#N/A</v>
      </c>
    </row>
    <row r="734" spans="1:6" ht="20.25" hidden="1" customHeight="1" x14ac:dyDescent="0.15">
      <c r="A734" s="2" t="s">
        <v>1668</v>
      </c>
      <c r="B734" s="2" t="s">
        <v>1669</v>
      </c>
      <c r="C734" s="2">
        <v>3.5</v>
      </c>
      <c r="D734" s="2">
        <v>2.2961</v>
      </c>
      <c r="E734" s="2" t="s">
        <v>794</v>
      </c>
      <c r="F734" s="2" t="e">
        <f>VLOOKUP(B734,MSCI中国成分股!A:B,1,)</f>
        <v>#N/A</v>
      </c>
    </row>
    <row r="735" spans="1:6" ht="20.25" hidden="1" customHeight="1" x14ac:dyDescent="0.15">
      <c r="A735" s="2" t="s">
        <v>1670</v>
      </c>
      <c r="B735" s="2" t="s">
        <v>1671</v>
      </c>
      <c r="C735" s="2">
        <v>1.52</v>
      </c>
      <c r="D735" s="2">
        <v>4.1102999999999996</v>
      </c>
      <c r="E735" s="2" t="s">
        <v>185</v>
      </c>
      <c r="F735" s="2" t="e">
        <f>VLOOKUP(B735,MSCI中国成分股!A:B,1,)</f>
        <v>#N/A</v>
      </c>
    </row>
    <row r="736" spans="1:6" ht="20.25" hidden="1" customHeight="1" x14ac:dyDescent="0.15">
      <c r="A736" s="2" t="s">
        <v>1672</v>
      </c>
      <c r="B736" s="2" t="s">
        <v>1673</v>
      </c>
      <c r="C736" s="2">
        <v>0.12</v>
      </c>
      <c r="D736" s="2">
        <v>0.5857</v>
      </c>
      <c r="E736" s="2" t="s">
        <v>299</v>
      </c>
      <c r="F736" s="2" t="e">
        <f>VLOOKUP(B736,MSCI中国成分股!A:B,1,)</f>
        <v>#N/A</v>
      </c>
    </row>
    <row r="737" spans="1:6" ht="20.25" hidden="1" customHeight="1" x14ac:dyDescent="0.15">
      <c r="A737" s="2" t="s">
        <v>1674</v>
      </c>
      <c r="B737" s="2" t="s">
        <v>1675</v>
      </c>
      <c r="C737" s="2">
        <v>5.0199999999999996</v>
      </c>
      <c r="D737" s="2">
        <v>14.5815</v>
      </c>
      <c r="E737" s="2" t="s">
        <v>677</v>
      </c>
      <c r="F737" s="2" t="e">
        <f>VLOOKUP(B737,MSCI中国成分股!A:B,1,)</f>
        <v>#N/A</v>
      </c>
    </row>
    <row r="738" spans="1:6" ht="20.25" hidden="1" customHeight="1" x14ac:dyDescent="0.15">
      <c r="A738" s="2" t="s">
        <v>1676</v>
      </c>
      <c r="B738" s="2" t="s">
        <v>1677</v>
      </c>
      <c r="C738" s="2">
        <v>2.89</v>
      </c>
      <c r="D738" s="2">
        <v>7.0434999999999999</v>
      </c>
      <c r="E738" s="2" t="s">
        <v>568</v>
      </c>
      <c r="F738" s="2" t="e">
        <f>VLOOKUP(B738,MSCI中国成分股!A:B,1,)</f>
        <v>#N/A</v>
      </c>
    </row>
    <row r="739" spans="1:6" ht="20.25" hidden="1" customHeight="1" x14ac:dyDescent="0.15">
      <c r="A739" s="2" t="s">
        <v>1678</v>
      </c>
      <c r="B739" s="2" t="s">
        <v>1679</v>
      </c>
      <c r="C739" s="2">
        <v>2.37</v>
      </c>
      <c r="D739" s="2">
        <v>1.0388999999999999</v>
      </c>
      <c r="E739" s="2" t="s">
        <v>1680</v>
      </c>
      <c r="F739" s="2" t="e">
        <f>VLOOKUP(B739,MSCI中国成分股!A:B,1,)</f>
        <v>#N/A</v>
      </c>
    </row>
    <row r="740" spans="1:6" ht="20.25" hidden="1" customHeight="1" x14ac:dyDescent="0.15">
      <c r="A740" s="2" t="s">
        <v>1681</v>
      </c>
      <c r="B740" s="2" t="s">
        <v>1682</v>
      </c>
      <c r="C740" s="2">
        <v>0.27</v>
      </c>
      <c r="D740" s="2">
        <v>2.6534</v>
      </c>
      <c r="E740" s="2" t="s">
        <v>406</v>
      </c>
      <c r="F740" s="2" t="e">
        <f>VLOOKUP(B740,MSCI中国成分股!A:B,1,)</f>
        <v>#N/A</v>
      </c>
    </row>
    <row r="741" spans="1:6" ht="20.25" hidden="1" customHeight="1" x14ac:dyDescent="0.15">
      <c r="A741" s="2" t="s">
        <v>1683</v>
      </c>
      <c r="B741" s="2" t="s">
        <v>1684</v>
      </c>
      <c r="C741" s="2">
        <v>1.62</v>
      </c>
      <c r="D741" s="2">
        <v>0.95389999999999997</v>
      </c>
      <c r="E741" s="2" t="s">
        <v>368</v>
      </c>
      <c r="F741" s="2" t="e">
        <f>VLOOKUP(B741,MSCI中国成分股!A:B,1,)</f>
        <v>#N/A</v>
      </c>
    </row>
    <row r="742" spans="1:6" ht="20.25" hidden="1" customHeight="1" x14ac:dyDescent="0.15">
      <c r="A742" s="2" t="s">
        <v>1685</v>
      </c>
      <c r="B742" s="2" t="s">
        <v>1686</v>
      </c>
      <c r="C742" s="2">
        <v>2.21</v>
      </c>
      <c r="D742" s="2">
        <v>0.49619999999999997</v>
      </c>
      <c r="E742" s="2" t="s">
        <v>396</v>
      </c>
      <c r="F742" s="2" t="e">
        <f>VLOOKUP(B742,MSCI中国成分股!A:B,1,)</f>
        <v>#N/A</v>
      </c>
    </row>
    <row r="743" spans="1:6" ht="20.25" hidden="1" customHeight="1" x14ac:dyDescent="0.15">
      <c r="A743" s="2" t="s">
        <v>1687</v>
      </c>
      <c r="B743" s="2" t="s">
        <v>1688</v>
      </c>
      <c r="C743" s="2">
        <v>1.575</v>
      </c>
      <c r="D743" s="2">
        <v>0.35239999999999999</v>
      </c>
      <c r="E743" s="2" t="s">
        <v>699</v>
      </c>
      <c r="F743" s="2" t="e">
        <f>VLOOKUP(B743,MSCI中国成分股!A:B,1,)</f>
        <v>#N/A</v>
      </c>
    </row>
    <row r="744" spans="1:6" ht="20.25" hidden="1" customHeight="1" x14ac:dyDescent="0.15">
      <c r="A744" s="2" t="s">
        <v>1689</v>
      </c>
      <c r="B744" s="2" t="s">
        <v>1690</v>
      </c>
      <c r="C744" s="2">
        <v>3.46</v>
      </c>
      <c r="D744" s="2">
        <v>1.8836999999999999</v>
      </c>
      <c r="E744" s="2" t="s">
        <v>1691</v>
      </c>
      <c r="F744" s="2" t="e">
        <f>VLOOKUP(B744,MSCI中国成分股!A:B,1,)</f>
        <v>#N/A</v>
      </c>
    </row>
    <row r="745" spans="1:6" ht="20.25" hidden="1" customHeight="1" x14ac:dyDescent="0.15">
      <c r="A745" s="2" t="s">
        <v>1692</v>
      </c>
      <c r="B745" s="2" t="s">
        <v>1693</v>
      </c>
      <c r="C745" s="2">
        <v>0.97</v>
      </c>
      <c r="D745" s="2">
        <v>4.1429999999999998</v>
      </c>
      <c r="E745" s="2" t="s">
        <v>614</v>
      </c>
      <c r="F745" s="2" t="e">
        <f>VLOOKUP(B745,MSCI中国成分股!A:B,1,)</f>
        <v>#N/A</v>
      </c>
    </row>
    <row r="746" spans="1:6" ht="20.25" hidden="1" customHeight="1" x14ac:dyDescent="0.15">
      <c r="A746" s="2" t="s">
        <v>1694</v>
      </c>
      <c r="B746" s="2" t="s">
        <v>1695</v>
      </c>
      <c r="C746" s="2">
        <v>2.09</v>
      </c>
      <c r="D746" s="2">
        <v>1.7269000000000001</v>
      </c>
      <c r="E746" s="2" t="s">
        <v>741</v>
      </c>
      <c r="F746" s="2" t="e">
        <f>VLOOKUP(B746,MSCI中国成分股!A:B,1,)</f>
        <v>#N/A</v>
      </c>
    </row>
    <row r="747" spans="1:6" ht="20.25" hidden="1" customHeight="1" x14ac:dyDescent="0.15">
      <c r="A747" s="2" t="s">
        <v>1696</v>
      </c>
      <c r="B747" s="2" t="s">
        <v>1697</v>
      </c>
      <c r="C747" s="2">
        <v>-1.97</v>
      </c>
      <c r="D747" s="2">
        <v>14.111800000000001</v>
      </c>
      <c r="E747" s="2" t="s">
        <v>657</v>
      </c>
      <c r="F747" s="2" t="e">
        <f>VLOOKUP(B747,MSCI中国成分股!A:B,1,)</f>
        <v>#N/A</v>
      </c>
    </row>
    <row r="748" spans="1:6" ht="20.25" hidden="1" customHeight="1" x14ac:dyDescent="0.15">
      <c r="A748" s="2" t="s">
        <v>1698</v>
      </c>
      <c r="B748" s="2" t="s">
        <v>1699</v>
      </c>
      <c r="C748" s="2">
        <v>1.79</v>
      </c>
      <c r="D748" s="2">
        <v>0.1022</v>
      </c>
      <c r="E748" s="2" t="s">
        <v>339</v>
      </c>
      <c r="F748" s="2" t="e">
        <f>VLOOKUP(B748,MSCI中国成分股!A:B,1,)</f>
        <v>#N/A</v>
      </c>
    </row>
    <row r="749" spans="1:6" ht="20.25" hidden="1" customHeight="1" x14ac:dyDescent="0.15">
      <c r="A749" s="2" t="s">
        <v>1700</v>
      </c>
      <c r="B749" s="2" t="s">
        <v>1701</v>
      </c>
      <c r="C749" s="2">
        <v>0</v>
      </c>
      <c r="D749" s="2">
        <v>0.31280000000000002</v>
      </c>
      <c r="E749" s="2" t="s">
        <v>322</v>
      </c>
      <c r="F749" s="2" t="e">
        <f>VLOOKUP(B749,MSCI中国成分股!A:B,1,)</f>
        <v>#N/A</v>
      </c>
    </row>
    <row r="750" spans="1:6" ht="20.25" hidden="1" customHeight="1" x14ac:dyDescent="0.15">
      <c r="A750" s="2" t="s">
        <v>1702</v>
      </c>
      <c r="B750" s="2" t="s">
        <v>1703</v>
      </c>
      <c r="C750" s="2">
        <v>1.99</v>
      </c>
      <c r="D750" s="2">
        <v>1.232</v>
      </c>
      <c r="E750" s="2" t="s">
        <v>103</v>
      </c>
      <c r="F750" s="2" t="e">
        <f>VLOOKUP(B750,MSCI中国成分股!A:B,1,)</f>
        <v>#N/A</v>
      </c>
    </row>
    <row r="751" spans="1:6" ht="20.25" hidden="1" customHeight="1" x14ac:dyDescent="0.15">
      <c r="A751" s="2" t="s">
        <v>1704</v>
      </c>
      <c r="B751" s="2" t="s">
        <v>1705</v>
      </c>
      <c r="C751" s="2">
        <v>2.9</v>
      </c>
      <c r="D751" s="2">
        <v>8.1384000000000007</v>
      </c>
      <c r="E751" s="2" t="s">
        <v>596</v>
      </c>
      <c r="F751" s="2" t="e">
        <f>VLOOKUP(B751,MSCI中国成分股!A:B,1,)</f>
        <v>#N/A</v>
      </c>
    </row>
    <row r="752" spans="1:6" ht="20.25" hidden="1" customHeight="1" x14ac:dyDescent="0.15">
      <c r="A752" s="2" t="s">
        <v>1706</v>
      </c>
      <c r="B752" s="2" t="s">
        <v>1707</v>
      </c>
      <c r="C752" s="2">
        <v>1.63</v>
      </c>
      <c r="D752" s="2">
        <v>3.0916999999999999</v>
      </c>
      <c r="E752" s="2" t="s">
        <v>89</v>
      </c>
      <c r="F752" s="2" t="e">
        <f>VLOOKUP(B752,MSCI中国成分股!A:B,1,)</f>
        <v>#N/A</v>
      </c>
    </row>
    <row r="753" spans="1:6" ht="20.25" hidden="1" customHeight="1" x14ac:dyDescent="0.15">
      <c r="A753" s="2" t="s">
        <v>1708</v>
      </c>
      <c r="B753" s="2" t="s">
        <v>1709</v>
      </c>
      <c r="C753" s="2">
        <v>0.43</v>
      </c>
      <c r="D753" s="2">
        <v>0.71850000000000003</v>
      </c>
      <c r="E753" s="2" t="s">
        <v>171</v>
      </c>
      <c r="F753" s="2" t="e">
        <f>VLOOKUP(B753,MSCI中国成分股!A:B,1,)</f>
        <v>#N/A</v>
      </c>
    </row>
    <row r="754" spans="1:6" ht="20.25" hidden="1" customHeight="1" x14ac:dyDescent="0.15">
      <c r="A754" s="2" t="s">
        <v>1710</v>
      </c>
      <c r="B754" s="2" t="s">
        <v>1711</v>
      </c>
      <c r="C754" s="2">
        <v>2.2799999999999998</v>
      </c>
      <c r="D754" s="2">
        <v>1.0257000000000001</v>
      </c>
      <c r="E754" s="2" t="s">
        <v>1712</v>
      </c>
      <c r="F754" s="2" t="e">
        <f>VLOOKUP(B754,MSCI中国成分股!A:B,1,)</f>
        <v>#N/A</v>
      </c>
    </row>
    <row r="755" spans="1:6" ht="20.25" hidden="1" customHeight="1" x14ac:dyDescent="0.15">
      <c r="A755" s="2" t="s">
        <v>1713</v>
      </c>
      <c r="B755" s="2" t="s">
        <v>1714</v>
      </c>
      <c r="C755" s="2">
        <v>1.82</v>
      </c>
      <c r="D755" s="2">
        <v>2.0560999999999998</v>
      </c>
      <c r="E755" s="2" t="s">
        <v>561</v>
      </c>
      <c r="F755" s="2" t="e">
        <f>VLOOKUP(B755,MSCI中国成分股!A:B,1,)</f>
        <v>#N/A</v>
      </c>
    </row>
    <row r="756" spans="1:6" ht="20.25" hidden="1" customHeight="1" x14ac:dyDescent="0.15">
      <c r="A756" s="2" t="s">
        <v>1715</v>
      </c>
      <c r="B756" s="2" t="s">
        <v>1716</v>
      </c>
      <c r="C756" s="2">
        <v>2.04</v>
      </c>
      <c r="D756" s="2">
        <v>0.27110000000000001</v>
      </c>
      <c r="E756" s="2" t="s">
        <v>784</v>
      </c>
      <c r="F756" s="2" t="e">
        <f>VLOOKUP(B756,MSCI中国成分股!A:B,1,)</f>
        <v>#N/A</v>
      </c>
    </row>
    <row r="757" spans="1:6" ht="20.25" hidden="1" customHeight="1" x14ac:dyDescent="0.15">
      <c r="A757" s="2" t="s">
        <v>1717</v>
      </c>
      <c r="B757" s="2" t="s">
        <v>1718</v>
      </c>
      <c r="C757" s="2">
        <v>2.23</v>
      </c>
      <c r="D757" s="2">
        <v>1.2495000000000001</v>
      </c>
      <c r="E757" s="2" t="s">
        <v>1403</v>
      </c>
      <c r="F757" s="2" t="e">
        <f>VLOOKUP(B757,MSCI中国成分股!A:B,1,)</f>
        <v>#N/A</v>
      </c>
    </row>
    <row r="758" spans="1:6" ht="20.25" hidden="1" customHeight="1" x14ac:dyDescent="0.15">
      <c r="A758" s="2" t="s">
        <v>1719</v>
      </c>
      <c r="B758" s="2" t="s">
        <v>1720</v>
      </c>
      <c r="C758" s="2">
        <v>1.55</v>
      </c>
      <c r="D758" s="2">
        <v>0.59309999999999996</v>
      </c>
      <c r="E758" s="2" t="s">
        <v>647</v>
      </c>
      <c r="F758" s="2" t="e">
        <f>VLOOKUP(B758,MSCI中国成分股!A:B,1,)</f>
        <v>#N/A</v>
      </c>
    </row>
    <row r="759" spans="1:6" ht="20.25" hidden="1" customHeight="1" x14ac:dyDescent="0.15">
      <c r="A759" s="2" t="s">
        <v>1721</v>
      </c>
      <c r="B759" s="2" t="s">
        <v>1722</v>
      </c>
      <c r="C759" s="2">
        <v>2.4300000000000002</v>
      </c>
      <c r="D759" s="2">
        <v>10.659599999999999</v>
      </c>
      <c r="E759" s="2" t="s">
        <v>385</v>
      </c>
      <c r="F759" s="2" t="e">
        <f>VLOOKUP(B759,MSCI中国成分股!A:B,1,)</f>
        <v>#N/A</v>
      </c>
    </row>
    <row r="760" spans="1:6" ht="20.25" hidden="1" customHeight="1" x14ac:dyDescent="0.15">
      <c r="A760" s="2" t="s">
        <v>1723</v>
      </c>
      <c r="B760" s="2" t="s">
        <v>1724</v>
      </c>
      <c r="C760" s="2">
        <v>2.19</v>
      </c>
      <c r="D760" s="2">
        <v>0.63200000000000001</v>
      </c>
      <c r="E760" s="2" t="s">
        <v>201</v>
      </c>
      <c r="F760" s="2" t="e">
        <f>VLOOKUP(B760,MSCI中国成分股!A:B,1,)</f>
        <v>#N/A</v>
      </c>
    </row>
    <row r="761" spans="1:6" ht="20.25" hidden="1" customHeight="1" x14ac:dyDescent="0.15">
      <c r="A761" s="2" t="s">
        <v>1725</v>
      </c>
      <c r="B761" s="2" t="s">
        <v>1726</v>
      </c>
      <c r="C761" s="2">
        <v>0.24</v>
      </c>
      <c r="D761" s="2">
        <v>3.0263</v>
      </c>
      <c r="E761" s="2" t="s">
        <v>146</v>
      </c>
      <c r="F761" s="2" t="e">
        <f>VLOOKUP(B761,MSCI中国成分股!A:B,1,)</f>
        <v>#N/A</v>
      </c>
    </row>
    <row r="762" spans="1:6" ht="20.25" hidden="1" customHeight="1" x14ac:dyDescent="0.15">
      <c r="A762" s="2" t="s">
        <v>1727</v>
      </c>
      <c r="B762" s="2" t="s">
        <v>1728</v>
      </c>
      <c r="C762" s="2">
        <v>3.085</v>
      </c>
      <c r="D762" s="2">
        <v>4.7735000000000003</v>
      </c>
      <c r="E762" s="2" t="s">
        <v>41</v>
      </c>
      <c r="F762" s="2" t="e">
        <f>VLOOKUP(B762,MSCI中国成分股!A:B,1,)</f>
        <v>#N/A</v>
      </c>
    </row>
    <row r="763" spans="1:6" ht="20.25" hidden="1" customHeight="1" x14ac:dyDescent="0.15">
      <c r="A763" s="2" t="s">
        <v>1729</v>
      </c>
      <c r="B763" s="2" t="s">
        <v>1730</v>
      </c>
      <c r="C763" s="2">
        <v>0.37</v>
      </c>
      <c r="D763" s="2">
        <v>2.1589</v>
      </c>
      <c r="E763" s="2" t="s">
        <v>958</v>
      </c>
      <c r="F763" s="2" t="e">
        <f>VLOOKUP(B763,MSCI中国成分股!A:B,1,)</f>
        <v>#N/A</v>
      </c>
    </row>
    <row r="764" spans="1:6" ht="20.25" hidden="1" customHeight="1" x14ac:dyDescent="0.15">
      <c r="A764" s="2" t="s">
        <v>1731</v>
      </c>
      <c r="B764" s="2" t="s">
        <v>1732</v>
      </c>
      <c r="C764" s="2">
        <v>1.22</v>
      </c>
      <c r="D764" s="2">
        <v>2.3277999999999999</v>
      </c>
      <c r="E764" s="2" t="s">
        <v>1381</v>
      </c>
      <c r="F764" s="2" t="e">
        <f>VLOOKUP(B764,MSCI中国成分股!A:B,1,)</f>
        <v>#N/A</v>
      </c>
    </row>
    <row r="765" spans="1:6" ht="20.25" hidden="1" customHeight="1" x14ac:dyDescent="0.15">
      <c r="A765" s="2" t="s">
        <v>1733</v>
      </c>
      <c r="B765" s="2" t="s">
        <v>1734</v>
      </c>
      <c r="C765" s="2">
        <v>0.17</v>
      </c>
      <c r="D765" s="2">
        <v>1.7341</v>
      </c>
      <c r="E765" s="2" t="s">
        <v>391</v>
      </c>
      <c r="F765" s="2" t="e">
        <f>VLOOKUP(B765,MSCI中国成分股!A:B,1,)</f>
        <v>#N/A</v>
      </c>
    </row>
    <row r="766" spans="1:6" ht="20.25" hidden="1" customHeight="1" x14ac:dyDescent="0.15">
      <c r="A766" s="2" t="s">
        <v>1735</v>
      </c>
      <c r="B766" s="2" t="s">
        <v>1736</v>
      </c>
      <c r="C766" s="2">
        <v>0.35</v>
      </c>
      <c r="D766" s="2">
        <v>0.35360000000000003</v>
      </c>
      <c r="E766" s="2" t="s">
        <v>10</v>
      </c>
      <c r="F766" s="2" t="e">
        <f>VLOOKUP(B766,MSCI中国成分股!A:B,1,)</f>
        <v>#N/A</v>
      </c>
    </row>
    <row r="767" spans="1:6" ht="20.25" hidden="1" customHeight="1" x14ac:dyDescent="0.15">
      <c r="A767" s="2" t="s">
        <v>1737</v>
      </c>
      <c r="B767" s="2" t="s">
        <v>1738</v>
      </c>
      <c r="C767" s="2">
        <v>1.0049999999999999</v>
      </c>
      <c r="D767" s="2">
        <v>1.177</v>
      </c>
      <c r="E767" s="2" t="s">
        <v>571</v>
      </c>
      <c r="F767" s="2" t="e">
        <f>VLOOKUP(B767,MSCI中国成分股!A:B,1,)</f>
        <v>#N/A</v>
      </c>
    </row>
    <row r="768" spans="1:6" ht="20.25" hidden="1" customHeight="1" x14ac:dyDescent="0.15">
      <c r="A768" s="2" t="s">
        <v>1739</v>
      </c>
      <c r="B768" s="2" t="s">
        <v>1740</v>
      </c>
      <c r="C768" s="2">
        <v>3.98</v>
      </c>
      <c r="D768" s="2">
        <v>11.3162</v>
      </c>
      <c r="E768" s="2" t="s">
        <v>827</v>
      </c>
      <c r="F768" s="2" t="e">
        <f>VLOOKUP(B768,MSCI中国成分股!A:B,1,)</f>
        <v>#N/A</v>
      </c>
    </row>
    <row r="769" spans="1:6" ht="20.25" hidden="1" customHeight="1" x14ac:dyDescent="0.15">
      <c r="A769" s="2" t="s">
        <v>1741</v>
      </c>
      <c r="B769" s="2" t="s">
        <v>1742</v>
      </c>
      <c r="C769" s="2">
        <v>1.98</v>
      </c>
      <c r="D769" s="2">
        <v>132.9502</v>
      </c>
      <c r="E769" s="2" t="s">
        <v>74</v>
      </c>
      <c r="F769" s="2" t="e">
        <f>VLOOKUP(B769,MSCI中国成分股!A:B,1,)</f>
        <v>#N/A</v>
      </c>
    </row>
    <row r="770" spans="1:6" ht="20.25" hidden="1" customHeight="1" x14ac:dyDescent="0.15">
      <c r="A770" s="2" t="s">
        <v>1743</v>
      </c>
      <c r="B770" s="2" t="s">
        <v>1744</v>
      </c>
      <c r="C770" s="2">
        <v>0.83</v>
      </c>
      <c r="D770" s="2">
        <v>2.9319999999999999</v>
      </c>
      <c r="E770" s="2" t="s">
        <v>44</v>
      </c>
      <c r="F770" s="2" t="e">
        <f>VLOOKUP(B770,MSCI中国成分股!A:B,1,)</f>
        <v>#N/A</v>
      </c>
    </row>
    <row r="771" spans="1:6" ht="20.25" hidden="1" customHeight="1" x14ac:dyDescent="0.15">
      <c r="A771" s="2" t="s">
        <v>1745</v>
      </c>
      <c r="B771" s="2" t="s">
        <v>1746</v>
      </c>
      <c r="C771" s="2">
        <v>1.6</v>
      </c>
      <c r="D771" s="2">
        <v>0.48370000000000002</v>
      </c>
      <c r="E771" s="2" t="s">
        <v>1034</v>
      </c>
      <c r="F771" s="2" t="e">
        <f>VLOOKUP(B771,MSCI中国成分股!A:B,1,)</f>
        <v>#N/A</v>
      </c>
    </row>
    <row r="772" spans="1:6" ht="20.25" hidden="1" customHeight="1" x14ac:dyDescent="0.15">
      <c r="A772" s="2" t="s">
        <v>1747</v>
      </c>
      <c r="B772" s="2" t="s">
        <v>1748</v>
      </c>
      <c r="C772" s="2">
        <v>3.73</v>
      </c>
      <c r="D772" s="2">
        <v>90.257800000000003</v>
      </c>
      <c r="E772" s="2" t="s">
        <v>1158</v>
      </c>
      <c r="F772" s="2" t="e">
        <f>VLOOKUP(B772,MSCI中国成分股!A:B,1,)</f>
        <v>#N/A</v>
      </c>
    </row>
    <row r="773" spans="1:6" ht="20.25" hidden="1" customHeight="1" x14ac:dyDescent="0.15">
      <c r="A773" s="2" t="s">
        <v>1749</v>
      </c>
      <c r="B773" s="2" t="s">
        <v>1750</v>
      </c>
      <c r="C773" s="2">
        <v>2.0699999999999998</v>
      </c>
      <c r="D773" s="2">
        <v>4.6085000000000003</v>
      </c>
      <c r="E773" s="2" t="s">
        <v>41</v>
      </c>
      <c r="F773" s="2" t="e">
        <f>VLOOKUP(B773,MSCI中国成分股!A:B,1,)</f>
        <v>#N/A</v>
      </c>
    </row>
    <row r="774" spans="1:6" ht="20.25" hidden="1" customHeight="1" x14ac:dyDescent="0.15">
      <c r="A774" s="2" t="s">
        <v>1751</v>
      </c>
      <c r="B774" s="2" t="s">
        <v>1752</v>
      </c>
      <c r="C774" s="2">
        <v>4.97</v>
      </c>
      <c r="D774" s="2">
        <v>4.9356999999999998</v>
      </c>
      <c r="E774" s="2" t="s">
        <v>647</v>
      </c>
      <c r="F774" s="2" t="e">
        <f>VLOOKUP(B774,MSCI中国成分股!A:B,1,)</f>
        <v>#N/A</v>
      </c>
    </row>
    <row r="775" spans="1:6" ht="20.25" hidden="1" customHeight="1" x14ac:dyDescent="0.15">
      <c r="A775" s="2" t="s">
        <v>1753</v>
      </c>
      <c r="B775" s="2" t="s">
        <v>1754</v>
      </c>
      <c r="C775" s="2">
        <v>0.73</v>
      </c>
      <c r="D775" s="2">
        <v>3.9887999999999999</v>
      </c>
      <c r="E775" s="2" t="s">
        <v>44</v>
      </c>
      <c r="F775" s="2" t="e">
        <f>VLOOKUP(B775,MSCI中国成分股!A:B,1,)</f>
        <v>#N/A</v>
      </c>
    </row>
    <row r="776" spans="1:6" ht="20.25" hidden="1" customHeight="1" x14ac:dyDescent="0.15">
      <c r="A776" s="2" t="s">
        <v>1755</v>
      </c>
      <c r="B776" s="2" t="s">
        <v>1756</v>
      </c>
      <c r="C776" s="2">
        <v>2.64</v>
      </c>
      <c r="D776" s="2">
        <v>4.0214999999999996</v>
      </c>
      <c r="E776" s="2" t="s">
        <v>1757</v>
      </c>
      <c r="F776" s="2" t="e">
        <f>VLOOKUP(B776,MSCI中国成分股!A:B,1,)</f>
        <v>#N/A</v>
      </c>
    </row>
    <row r="777" spans="1:6" ht="20.25" hidden="1" customHeight="1" x14ac:dyDescent="0.15">
      <c r="A777" s="2" t="s">
        <v>1758</v>
      </c>
      <c r="B777" s="2" t="s">
        <v>1759</v>
      </c>
      <c r="C777" s="2">
        <v>2.19</v>
      </c>
      <c r="D777" s="2">
        <v>3.7561</v>
      </c>
      <c r="E777" s="2" t="s">
        <v>137</v>
      </c>
      <c r="F777" s="2" t="e">
        <f>VLOOKUP(B777,MSCI中国成分股!A:B,1,)</f>
        <v>#N/A</v>
      </c>
    </row>
    <row r="778" spans="1:6" ht="20.25" customHeight="1" x14ac:dyDescent="0.15">
      <c r="A778" s="2" t="s">
        <v>1030</v>
      </c>
      <c r="B778" s="2" t="s">
        <v>1031</v>
      </c>
      <c r="C778" s="2">
        <v>-5.14</v>
      </c>
      <c r="D778" s="2">
        <v>12.0876</v>
      </c>
      <c r="E778" s="2" t="s">
        <v>677</v>
      </c>
      <c r="F778" s="2" t="str">
        <f>VLOOKUP(B778,MSCI中国成分股!A:B,1,)</f>
        <v>688180</v>
      </c>
    </row>
    <row r="779" spans="1:6" ht="20.25" hidden="1" customHeight="1" x14ac:dyDescent="0.15">
      <c r="A779" s="2" t="s">
        <v>1762</v>
      </c>
      <c r="B779" s="2" t="s">
        <v>1763</v>
      </c>
      <c r="C779" s="2">
        <v>0.13</v>
      </c>
      <c r="D779" s="2">
        <v>0.18840000000000001</v>
      </c>
      <c r="E779" s="2" t="s">
        <v>204</v>
      </c>
      <c r="F779" s="2" t="e">
        <f>VLOOKUP(B779,MSCI中国成分股!A:B,1,)</f>
        <v>#N/A</v>
      </c>
    </row>
    <row r="780" spans="1:6" ht="20.25" hidden="1" customHeight="1" x14ac:dyDescent="0.15">
      <c r="A780" s="2" t="s">
        <v>1764</v>
      </c>
      <c r="B780" s="2" t="s">
        <v>1765</v>
      </c>
      <c r="C780" s="2">
        <v>0.89</v>
      </c>
      <c r="D780" s="2">
        <v>0.4254</v>
      </c>
      <c r="E780" s="2" t="s">
        <v>750</v>
      </c>
      <c r="F780" s="2" t="e">
        <f>VLOOKUP(B780,MSCI中国成分股!A:B,1,)</f>
        <v>#N/A</v>
      </c>
    </row>
    <row r="781" spans="1:6" ht="20.25" hidden="1" customHeight="1" x14ac:dyDescent="0.15">
      <c r="A781" s="2" t="s">
        <v>1766</v>
      </c>
      <c r="B781" s="2" t="s">
        <v>1767</v>
      </c>
      <c r="C781" s="2">
        <v>0.01</v>
      </c>
      <c r="D781" s="2">
        <v>44.261800000000001</v>
      </c>
      <c r="E781" s="2" t="s">
        <v>621</v>
      </c>
      <c r="F781" s="2" t="e">
        <f>VLOOKUP(B781,MSCI中国成分股!A:B,1,)</f>
        <v>#N/A</v>
      </c>
    </row>
    <row r="782" spans="1:6" ht="20.25" hidden="1" customHeight="1" x14ac:dyDescent="0.15">
      <c r="A782" s="2" t="s">
        <v>1768</v>
      </c>
      <c r="B782" s="2" t="s">
        <v>1769</v>
      </c>
      <c r="C782" s="2">
        <v>1.29</v>
      </c>
      <c r="D782" s="2">
        <v>0.97060000000000002</v>
      </c>
      <c r="E782" s="2" t="s">
        <v>225</v>
      </c>
      <c r="F782" s="2" t="e">
        <f>VLOOKUP(B782,MSCI中国成分股!A:B,1,)</f>
        <v>#N/A</v>
      </c>
    </row>
    <row r="783" spans="1:6" ht="20.25" hidden="1" customHeight="1" x14ac:dyDescent="0.15">
      <c r="A783" s="2" t="s">
        <v>1770</v>
      </c>
      <c r="B783" s="2" t="s">
        <v>1771</v>
      </c>
      <c r="C783" s="2">
        <v>0.61</v>
      </c>
      <c r="D783" s="2">
        <v>4.1660000000000004</v>
      </c>
      <c r="E783" s="2" t="s">
        <v>1436</v>
      </c>
      <c r="F783" s="2" t="e">
        <f>VLOOKUP(B783,MSCI中国成分股!A:B,1,)</f>
        <v>#N/A</v>
      </c>
    </row>
    <row r="784" spans="1:6" ht="20.25" hidden="1" customHeight="1" x14ac:dyDescent="0.15">
      <c r="A784" s="2" t="s">
        <v>1772</v>
      </c>
      <c r="B784" s="2" t="s">
        <v>1773</v>
      </c>
      <c r="C784" s="2">
        <v>-2.0099999999999998</v>
      </c>
      <c r="D784" s="2">
        <v>78.825500000000005</v>
      </c>
      <c r="E784" s="2" t="s">
        <v>1774</v>
      </c>
      <c r="F784" s="2" t="e">
        <f>VLOOKUP(B784,MSCI中国成分股!A:B,1,)</f>
        <v>#N/A</v>
      </c>
    </row>
    <row r="785" spans="1:6" ht="20.25" hidden="1" customHeight="1" x14ac:dyDescent="0.15">
      <c r="A785" s="2" t="s">
        <v>1775</v>
      </c>
      <c r="B785" s="2" t="s">
        <v>1776</v>
      </c>
      <c r="C785" s="2">
        <v>0.94</v>
      </c>
      <c r="D785" s="2">
        <v>8.6501000000000001</v>
      </c>
      <c r="E785" s="2" t="s">
        <v>299</v>
      </c>
      <c r="F785" s="2" t="e">
        <f>VLOOKUP(B785,MSCI中国成分股!A:B,1,)</f>
        <v>#N/A</v>
      </c>
    </row>
    <row r="786" spans="1:6" ht="20.25" hidden="1" customHeight="1" x14ac:dyDescent="0.15">
      <c r="A786" s="2" t="s">
        <v>1777</v>
      </c>
      <c r="B786" s="2" t="s">
        <v>1778</v>
      </c>
      <c r="C786" s="2">
        <v>1.8</v>
      </c>
      <c r="D786" s="2">
        <v>4.2531999999999996</v>
      </c>
      <c r="E786" s="2" t="s">
        <v>437</v>
      </c>
      <c r="F786" s="2" t="e">
        <f>VLOOKUP(B786,MSCI中国成分股!A:B,1,)</f>
        <v>#N/A</v>
      </c>
    </row>
    <row r="787" spans="1:6" ht="20.25" hidden="1" customHeight="1" x14ac:dyDescent="0.15">
      <c r="A787" s="2" t="s">
        <v>1779</v>
      </c>
      <c r="B787" s="2" t="s">
        <v>1780</v>
      </c>
      <c r="C787" s="2">
        <v>1.18</v>
      </c>
      <c r="D787" s="2">
        <v>4.2435999999999998</v>
      </c>
      <c r="E787" s="2" t="s">
        <v>13</v>
      </c>
      <c r="F787" s="2" t="e">
        <f>VLOOKUP(B787,MSCI中国成分股!A:B,1,)</f>
        <v>#N/A</v>
      </c>
    </row>
    <row r="788" spans="1:6" ht="20.25" hidden="1" customHeight="1" x14ac:dyDescent="0.15">
      <c r="A788" s="2" t="s">
        <v>1781</v>
      </c>
      <c r="B788" s="2" t="s">
        <v>1782</v>
      </c>
      <c r="C788" s="2">
        <v>0.81</v>
      </c>
      <c r="D788" s="2">
        <v>10.7026</v>
      </c>
      <c r="E788" s="2" t="s">
        <v>265</v>
      </c>
      <c r="F788" s="2" t="e">
        <f>VLOOKUP(B788,MSCI中国成分股!A:B,1,)</f>
        <v>#N/A</v>
      </c>
    </row>
    <row r="789" spans="1:6" ht="20.25" hidden="1" customHeight="1" x14ac:dyDescent="0.15">
      <c r="A789" s="2" t="s">
        <v>1783</v>
      </c>
      <c r="B789" s="2" t="s">
        <v>1784</v>
      </c>
      <c r="C789" s="2">
        <v>2.06</v>
      </c>
      <c r="D789" s="2">
        <v>1.3093999999999999</v>
      </c>
      <c r="E789" s="2" t="s">
        <v>176</v>
      </c>
      <c r="F789" s="2" t="e">
        <f>VLOOKUP(B789,MSCI中国成分股!A:B,1,)</f>
        <v>#N/A</v>
      </c>
    </row>
    <row r="790" spans="1:6" ht="20.25" hidden="1" customHeight="1" x14ac:dyDescent="0.15">
      <c r="A790" s="2" t="s">
        <v>1785</v>
      </c>
      <c r="B790" s="2" t="s">
        <v>1786</v>
      </c>
      <c r="C790" s="2">
        <v>0.98</v>
      </c>
      <c r="D790" s="2">
        <v>0.27689999999999998</v>
      </c>
      <c r="E790" s="2" t="s">
        <v>146</v>
      </c>
      <c r="F790" s="2" t="e">
        <f>VLOOKUP(B790,MSCI中国成分股!A:B,1,)</f>
        <v>#N/A</v>
      </c>
    </row>
    <row r="791" spans="1:6" ht="20.25" hidden="1" customHeight="1" x14ac:dyDescent="0.15">
      <c r="A791" s="2" t="s">
        <v>1787</v>
      </c>
      <c r="B791" s="2" t="s">
        <v>1788</v>
      </c>
      <c r="C791" s="2">
        <v>1.56</v>
      </c>
      <c r="D791" s="2">
        <v>1.0567</v>
      </c>
      <c r="E791" s="2" t="s">
        <v>1757</v>
      </c>
      <c r="F791" s="2" t="e">
        <f>VLOOKUP(B791,MSCI中国成分股!A:B,1,)</f>
        <v>#N/A</v>
      </c>
    </row>
    <row r="792" spans="1:6" ht="20.25" hidden="1" customHeight="1" x14ac:dyDescent="0.15">
      <c r="A792" s="2" t="s">
        <v>1789</v>
      </c>
      <c r="B792" s="2" t="s">
        <v>1790</v>
      </c>
      <c r="C792" s="2">
        <v>2.36</v>
      </c>
      <c r="D792" s="2">
        <v>1.9918</v>
      </c>
      <c r="E792" s="2" t="s">
        <v>690</v>
      </c>
      <c r="F792" s="2" t="e">
        <f>VLOOKUP(B792,MSCI中国成分股!A:B,1,)</f>
        <v>#N/A</v>
      </c>
    </row>
    <row r="793" spans="1:6" ht="20.25" hidden="1" customHeight="1" x14ac:dyDescent="0.15">
      <c r="A793" s="2" t="s">
        <v>1791</v>
      </c>
      <c r="B793" s="2" t="s">
        <v>1792</v>
      </c>
      <c r="C793" s="2">
        <v>0.99</v>
      </c>
      <c r="D793" s="2">
        <v>0.34239999999999998</v>
      </c>
      <c r="E793" s="2" t="s">
        <v>89</v>
      </c>
      <c r="F793" s="2" t="e">
        <f>VLOOKUP(B793,MSCI中国成分股!A:B,1,)</f>
        <v>#N/A</v>
      </c>
    </row>
    <row r="794" spans="1:6" ht="20.25" hidden="1" customHeight="1" x14ac:dyDescent="0.15">
      <c r="A794" s="2" t="s">
        <v>1793</v>
      </c>
      <c r="B794" s="2" t="s">
        <v>1794</v>
      </c>
      <c r="C794" s="2">
        <v>1.83</v>
      </c>
      <c r="D794" s="2">
        <v>105.0146</v>
      </c>
      <c r="E794" s="2" t="s">
        <v>633</v>
      </c>
      <c r="F794" s="2" t="e">
        <f>VLOOKUP(B794,MSCI中国成分股!A:B,1,)</f>
        <v>#N/A</v>
      </c>
    </row>
    <row r="795" spans="1:6" ht="20.25" hidden="1" customHeight="1" x14ac:dyDescent="0.15">
      <c r="A795" s="2" t="s">
        <v>1795</v>
      </c>
      <c r="B795" s="2" t="s">
        <v>1796</v>
      </c>
      <c r="C795" s="2">
        <v>-0.94</v>
      </c>
      <c r="D795" s="2">
        <v>5.5065999999999997</v>
      </c>
      <c r="E795" s="2" t="s">
        <v>501</v>
      </c>
      <c r="F795" s="2" t="e">
        <f>VLOOKUP(B795,MSCI中国成分股!A:B,1,)</f>
        <v>#N/A</v>
      </c>
    </row>
    <row r="796" spans="1:6" ht="20.25" hidden="1" customHeight="1" x14ac:dyDescent="0.15">
      <c r="A796" s="2" t="s">
        <v>1797</v>
      </c>
      <c r="B796" s="2" t="s">
        <v>1798</v>
      </c>
      <c r="C796" s="2">
        <v>0.23</v>
      </c>
      <c r="D796" s="2">
        <v>0.6835</v>
      </c>
      <c r="E796" s="2" t="s">
        <v>281</v>
      </c>
      <c r="F796" s="2" t="e">
        <f>VLOOKUP(B796,MSCI中国成分股!A:B,1,)</f>
        <v>#N/A</v>
      </c>
    </row>
    <row r="797" spans="1:6" ht="20.25" hidden="1" customHeight="1" x14ac:dyDescent="0.15">
      <c r="A797" s="2" t="s">
        <v>1799</v>
      </c>
      <c r="B797" s="2" t="s">
        <v>1800</v>
      </c>
      <c r="C797" s="2">
        <v>-0.19</v>
      </c>
      <c r="D797" s="2">
        <v>5.9518000000000004</v>
      </c>
      <c r="E797" s="2" t="s">
        <v>1801</v>
      </c>
      <c r="F797" s="2" t="e">
        <f>VLOOKUP(B797,MSCI中国成分股!A:B,1,)</f>
        <v>#N/A</v>
      </c>
    </row>
    <row r="798" spans="1:6" ht="20.25" hidden="1" customHeight="1" x14ac:dyDescent="0.15">
      <c r="A798" s="2" t="s">
        <v>1802</v>
      </c>
      <c r="B798" s="2" t="s">
        <v>1803</v>
      </c>
      <c r="C798" s="2">
        <v>2.13</v>
      </c>
      <c r="D798" s="2">
        <v>0.37</v>
      </c>
      <c r="E798" s="2" t="s">
        <v>961</v>
      </c>
      <c r="F798" s="2" t="e">
        <f>VLOOKUP(B798,MSCI中国成分股!A:B,1,)</f>
        <v>#N/A</v>
      </c>
    </row>
    <row r="799" spans="1:6" ht="20.25" hidden="1" customHeight="1" x14ac:dyDescent="0.15">
      <c r="A799" s="2" t="s">
        <v>1804</v>
      </c>
      <c r="B799" s="2" t="s">
        <v>1805</v>
      </c>
      <c r="C799" s="2">
        <v>0.67</v>
      </c>
      <c r="D799" s="2">
        <v>0.43309999999999998</v>
      </c>
      <c r="E799" s="2" t="s">
        <v>276</v>
      </c>
      <c r="F799" s="2" t="e">
        <f>VLOOKUP(B799,MSCI中国成分股!A:B,1,)</f>
        <v>#N/A</v>
      </c>
    </row>
    <row r="800" spans="1:6" ht="20.25" hidden="1" customHeight="1" x14ac:dyDescent="0.15">
      <c r="A800" s="2" t="s">
        <v>1806</v>
      </c>
      <c r="B800" s="2" t="s">
        <v>1807</v>
      </c>
      <c r="C800" s="2">
        <v>0.74</v>
      </c>
      <c r="D800" s="2">
        <v>1.3569</v>
      </c>
      <c r="E800" s="2" t="s">
        <v>231</v>
      </c>
      <c r="F800" s="2" t="e">
        <f>VLOOKUP(B800,MSCI中国成分股!A:B,1,)</f>
        <v>#N/A</v>
      </c>
    </row>
    <row r="801" spans="1:6" ht="20.25" hidden="1" customHeight="1" x14ac:dyDescent="0.15">
      <c r="A801" s="2" t="s">
        <v>1808</v>
      </c>
      <c r="B801" s="2" t="s">
        <v>1809</v>
      </c>
      <c r="C801" s="2">
        <v>0.51</v>
      </c>
      <c r="D801" s="2">
        <v>0.2034</v>
      </c>
      <c r="E801" s="2" t="s">
        <v>750</v>
      </c>
      <c r="F801" s="2" t="e">
        <f>VLOOKUP(B801,MSCI中国成分股!A:B,1,)</f>
        <v>#N/A</v>
      </c>
    </row>
    <row r="802" spans="1:6" ht="20.25" hidden="1" customHeight="1" x14ac:dyDescent="0.15">
      <c r="A802" s="2" t="s">
        <v>1810</v>
      </c>
      <c r="B802" s="2" t="s">
        <v>1811</v>
      </c>
      <c r="C802" s="2">
        <v>1.67</v>
      </c>
      <c r="D802" s="2">
        <v>10.276</v>
      </c>
      <c r="E802" s="2" t="s">
        <v>21</v>
      </c>
      <c r="F802" s="2" t="e">
        <f>VLOOKUP(B802,MSCI中国成分股!A:B,1,)</f>
        <v>#N/A</v>
      </c>
    </row>
    <row r="803" spans="1:6" ht="20.25" hidden="1" customHeight="1" x14ac:dyDescent="0.15">
      <c r="A803" s="2" t="s">
        <v>1812</v>
      </c>
      <c r="B803" s="2" t="s">
        <v>1813</v>
      </c>
      <c r="C803" s="2">
        <v>0.56999999999999995</v>
      </c>
      <c r="D803" s="2">
        <v>4.2956000000000003</v>
      </c>
      <c r="E803" s="2" t="s">
        <v>146</v>
      </c>
      <c r="F803" s="2" t="e">
        <f>VLOOKUP(B803,MSCI中国成分股!A:B,1,)</f>
        <v>#N/A</v>
      </c>
    </row>
    <row r="804" spans="1:6" ht="20.25" hidden="1" customHeight="1" x14ac:dyDescent="0.15">
      <c r="A804" s="2" t="s">
        <v>1814</v>
      </c>
      <c r="B804" s="2" t="s">
        <v>1815</v>
      </c>
      <c r="C804" s="2">
        <v>2.59</v>
      </c>
      <c r="D804" s="2">
        <v>1.1607000000000001</v>
      </c>
      <c r="E804" s="2" t="s">
        <v>299</v>
      </c>
      <c r="F804" s="2" t="e">
        <f>VLOOKUP(B804,MSCI中国成分股!A:B,1,)</f>
        <v>#N/A</v>
      </c>
    </row>
    <row r="805" spans="1:6" ht="20.25" hidden="1" customHeight="1" x14ac:dyDescent="0.15">
      <c r="A805" s="2" t="s">
        <v>1816</v>
      </c>
      <c r="B805" s="2" t="s">
        <v>1817</v>
      </c>
      <c r="C805" s="2">
        <v>4.32</v>
      </c>
      <c r="D805" s="2">
        <v>2.1160999999999999</v>
      </c>
      <c r="E805" s="2" t="s">
        <v>157</v>
      </c>
      <c r="F805" s="2" t="e">
        <f>VLOOKUP(B805,MSCI中国成分股!A:B,1,)</f>
        <v>#N/A</v>
      </c>
    </row>
    <row r="806" spans="1:6" ht="20.25" hidden="1" customHeight="1" x14ac:dyDescent="0.15">
      <c r="A806" s="2" t="s">
        <v>1818</v>
      </c>
      <c r="B806" s="2" t="s">
        <v>1819</v>
      </c>
      <c r="C806" s="2">
        <v>0.91</v>
      </c>
      <c r="D806" s="2">
        <v>0.52580000000000005</v>
      </c>
      <c r="E806" s="2" t="s">
        <v>1820</v>
      </c>
      <c r="F806" s="2" t="e">
        <f>VLOOKUP(B806,MSCI中国成分股!A:B,1,)</f>
        <v>#N/A</v>
      </c>
    </row>
    <row r="807" spans="1:6" ht="20.25" hidden="1" customHeight="1" x14ac:dyDescent="0.15">
      <c r="A807" s="2" t="s">
        <v>1821</v>
      </c>
      <c r="B807" s="2" t="s">
        <v>1822</v>
      </c>
      <c r="C807" s="2">
        <v>1.18</v>
      </c>
      <c r="D807" s="2">
        <v>2.7686999999999999</v>
      </c>
      <c r="E807" s="2" t="s">
        <v>299</v>
      </c>
      <c r="F807" s="2" t="e">
        <f>VLOOKUP(B807,MSCI中国成分股!A:B,1,)</f>
        <v>#N/A</v>
      </c>
    </row>
    <row r="808" spans="1:6" ht="20.25" hidden="1" customHeight="1" x14ac:dyDescent="0.15">
      <c r="A808" s="2" t="s">
        <v>1823</v>
      </c>
      <c r="B808" s="2" t="s">
        <v>1824</v>
      </c>
      <c r="C808" s="2">
        <v>2.84</v>
      </c>
      <c r="D808" s="2">
        <v>3.5226999999999999</v>
      </c>
      <c r="E808" s="2" t="s">
        <v>265</v>
      </c>
      <c r="F808" s="2" t="e">
        <f>VLOOKUP(B808,MSCI中国成分股!A:B,1,)</f>
        <v>#N/A</v>
      </c>
    </row>
    <row r="809" spans="1:6" ht="20.25" hidden="1" customHeight="1" x14ac:dyDescent="0.15">
      <c r="A809" s="2" t="s">
        <v>1825</v>
      </c>
      <c r="B809" s="2" t="s">
        <v>1826</v>
      </c>
      <c r="C809" s="2">
        <v>0.99</v>
      </c>
      <c r="D809" s="2">
        <v>0.21579999999999999</v>
      </c>
      <c r="E809" s="2" t="s">
        <v>134</v>
      </c>
      <c r="F809" s="2" t="e">
        <f>VLOOKUP(B809,MSCI中国成分股!A:B,1,)</f>
        <v>#N/A</v>
      </c>
    </row>
    <row r="810" spans="1:6" ht="20.25" hidden="1" customHeight="1" x14ac:dyDescent="0.15">
      <c r="A810" s="2" t="s">
        <v>1827</v>
      </c>
      <c r="B810" s="2" t="s">
        <v>1828</v>
      </c>
      <c r="C810" s="2">
        <v>1.4</v>
      </c>
      <c r="D810" s="2">
        <v>14.8635</v>
      </c>
      <c r="E810" s="2" t="s">
        <v>511</v>
      </c>
      <c r="F810" s="2" t="e">
        <f>VLOOKUP(B810,MSCI中国成分股!A:B,1,)</f>
        <v>#N/A</v>
      </c>
    </row>
    <row r="811" spans="1:6" ht="20.25" hidden="1" customHeight="1" x14ac:dyDescent="0.15">
      <c r="A811" s="2" t="s">
        <v>1829</v>
      </c>
      <c r="B811" s="2" t="s">
        <v>1830</v>
      </c>
      <c r="C811" s="2">
        <v>0.44</v>
      </c>
      <c r="D811" s="2">
        <v>0.27229999999999999</v>
      </c>
      <c r="E811" s="2" t="s">
        <v>123</v>
      </c>
      <c r="F811" s="2" t="e">
        <f>VLOOKUP(B811,MSCI中国成分股!A:B,1,)</f>
        <v>#N/A</v>
      </c>
    </row>
    <row r="812" spans="1:6" ht="20.25" hidden="1" customHeight="1" x14ac:dyDescent="0.15">
      <c r="A812" s="2" t="s">
        <v>1831</v>
      </c>
      <c r="B812" s="2" t="s">
        <v>1832</v>
      </c>
      <c r="C812" s="2">
        <v>3.03</v>
      </c>
      <c r="D812" s="2">
        <v>0.78510000000000002</v>
      </c>
      <c r="E812" s="2" t="s">
        <v>403</v>
      </c>
      <c r="F812" s="2" t="e">
        <f>VLOOKUP(B812,MSCI中国成分股!A:B,1,)</f>
        <v>#N/A</v>
      </c>
    </row>
    <row r="813" spans="1:6" ht="20.25" hidden="1" customHeight="1" x14ac:dyDescent="0.15">
      <c r="A813" s="2" t="s">
        <v>1833</v>
      </c>
      <c r="B813" s="2" t="s">
        <v>1834</v>
      </c>
      <c r="C813" s="2">
        <v>4</v>
      </c>
      <c r="D813" s="2">
        <v>1.7867</v>
      </c>
      <c r="E813" s="2" t="s">
        <v>1515</v>
      </c>
      <c r="F813" s="2" t="e">
        <f>VLOOKUP(B813,MSCI中国成分股!A:B,1,)</f>
        <v>#N/A</v>
      </c>
    </row>
    <row r="814" spans="1:6" ht="20.25" hidden="1" customHeight="1" x14ac:dyDescent="0.15">
      <c r="A814" s="2" t="s">
        <v>1835</v>
      </c>
      <c r="B814" s="2" t="s">
        <v>1836</v>
      </c>
      <c r="C814" s="2">
        <v>0.8</v>
      </c>
      <c r="D814" s="2">
        <v>8.6938999999999993</v>
      </c>
      <c r="E814" s="2" t="s">
        <v>140</v>
      </c>
      <c r="F814" s="2" t="e">
        <f>VLOOKUP(B814,MSCI中国成分股!A:B,1,)</f>
        <v>#N/A</v>
      </c>
    </row>
    <row r="815" spans="1:6" ht="20.25" hidden="1" customHeight="1" x14ac:dyDescent="0.15">
      <c r="A815" s="2" t="s">
        <v>1837</v>
      </c>
      <c r="B815" s="2" t="s">
        <v>1838</v>
      </c>
      <c r="C815" s="2">
        <v>1.77</v>
      </c>
      <c r="D815" s="2">
        <v>1.5467</v>
      </c>
      <c r="E815" s="2" t="s">
        <v>123</v>
      </c>
      <c r="F815" s="2" t="e">
        <f>VLOOKUP(B815,MSCI中国成分股!A:B,1,)</f>
        <v>#N/A</v>
      </c>
    </row>
    <row r="816" spans="1:6" ht="20.25" hidden="1" customHeight="1" x14ac:dyDescent="0.15">
      <c r="A816" s="2" t="s">
        <v>1839</v>
      </c>
      <c r="B816" s="2" t="s">
        <v>1840</v>
      </c>
      <c r="C816" s="2">
        <v>3.62</v>
      </c>
      <c r="D816" s="2">
        <v>1.6591</v>
      </c>
      <c r="E816" s="2" t="s">
        <v>140</v>
      </c>
      <c r="F816" s="2" t="e">
        <f>VLOOKUP(B816,MSCI中国成分股!A:B,1,)</f>
        <v>#N/A</v>
      </c>
    </row>
    <row r="817" spans="1:6" ht="20.25" hidden="1" customHeight="1" x14ac:dyDescent="0.15">
      <c r="A817" s="2" t="s">
        <v>1841</v>
      </c>
      <c r="B817" s="2" t="s">
        <v>1842</v>
      </c>
      <c r="C817" s="2">
        <v>3.76</v>
      </c>
      <c r="D817" s="2">
        <v>5.9131999999999998</v>
      </c>
      <c r="E817" s="2" t="s">
        <v>682</v>
      </c>
      <c r="F817" s="2" t="e">
        <f>VLOOKUP(B817,MSCI中国成分股!A:B,1,)</f>
        <v>#N/A</v>
      </c>
    </row>
    <row r="818" spans="1:6" ht="20.25" hidden="1" customHeight="1" x14ac:dyDescent="0.15">
      <c r="A818" s="2" t="s">
        <v>1843</v>
      </c>
      <c r="B818" s="2" t="s">
        <v>1844</v>
      </c>
      <c r="C818" s="2">
        <v>-0.4</v>
      </c>
      <c r="D818" s="2">
        <v>2.9422999999999999</v>
      </c>
      <c r="E818" s="2" t="s">
        <v>220</v>
      </c>
      <c r="F818" s="2" t="e">
        <f>VLOOKUP(B818,MSCI中国成分股!A:B,1,)</f>
        <v>#N/A</v>
      </c>
    </row>
    <row r="819" spans="1:6" ht="20.25" hidden="1" customHeight="1" x14ac:dyDescent="0.15">
      <c r="A819" s="2" t="s">
        <v>1845</v>
      </c>
      <c r="B819" s="2" t="s">
        <v>1846</v>
      </c>
      <c r="C819" s="2">
        <v>4.5599999999999996</v>
      </c>
      <c r="D819" s="2">
        <v>27.398199999999999</v>
      </c>
      <c r="E819" s="2" t="s">
        <v>103</v>
      </c>
      <c r="F819" s="2" t="e">
        <f>VLOOKUP(B819,MSCI中国成分股!A:B,1,)</f>
        <v>#N/A</v>
      </c>
    </row>
    <row r="820" spans="1:6" ht="20.25" hidden="1" customHeight="1" x14ac:dyDescent="0.15">
      <c r="A820" s="2" t="s">
        <v>1847</v>
      </c>
      <c r="B820" s="2" t="s">
        <v>1848</v>
      </c>
      <c r="C820" s="2">
        <v>2.44</v>
      </c>
      <c r="D820" s="2">
        <v>60.599200000000003</v>
      </c>
      <c r="E820" s="2" t="s">
        <v>657</v>
      </c>
      <c r="F820" s="2" t="e">
        <f>VLOOKUP(B820,MSCI中国成分股!A:B,1,)</f>
        <v>#N/A</v>
      </c>
    </row>
    <row r="821" spans="1:6" ht="20.25" hidden="1" customHeight="1" x14ac:dyDescent="0.15">
      <c r="A821" s="2" t="s">
        <v>1849</v>
      </c>
      <c r="B821" s="2" t="s">
        <v>1850</v>
      </c>
      <c r="C821" s="2">
        <v>3.58</v>
      </c>
      <c r="D821" s="2">
        <v>2.9643000000000002</v>
      </c>
      <c r="E821" s="2" t="s">
        <v>506</v>
      </c>
      <c r="F821" s="2" t="e">
        <f>VLOOKUP(B821,MSCI中国成分股!A:B,1,)</f>
        <v>#N/A</v>
      </c>
    </row>
    <row r="822" spans="1:6" ht="20.25" hidden="1" customHeight="1" x14ac:dyDescent="0.15">
      <c r="A822" s="2" t="s">
        <v>1851</v>
      </c>
      <c r="B822" s="2" t="s">
        <v>1852</v>
      </c>
      <c r="C822" s="2">
        <v>0.62</v>
      </c>
      <c r="D822" s="2">
        <v>5.9661999999999997</v>
      </c>
      <c r="E822" s="2" t="s">
        <v>1853</v>
      </c>
      <c r="F822" s="2" t="e">
        <f>VLOOKUP(B822,MSCI中国成分股!A:B,1,)</f>
        <v>#N/A</v>
      </c>
    </row>
    <row r="823" spans="1:6" ht="20.25" hidden="1" customHeight="1" x14ac:dyDescent="0.15">
      <c r="A823" s="2" t="s">
        <v>1854</v>
      </c>
      <c r="B823" s="2" t="s">
        <v>1855</v>
      </c>
      <c r="C823" s="2">
        <v>0.76</v>
      </c>
      <c r="D823" s="2">
        <v>0.48459999999999998</v>
      </c>
      <c r="E823" s="2" t="s">
        <v>322</v>
      </c>
      <c r="F823" s="2" t="e">
        <f>VLOOKUP(B823,MSCI中国成分股!A:B,1,)</f>
        <v>#N/A</v>
      </c>
    </row>
    <row r="824" spans="1:6" ht="20.25" hidden="1" customHeight="1" x14ac:dyDescent="0.15">
      <c r="A824" s="2" t="s">
        <v>1856</v>
      </c>
      <c r="B824" s="2" t="s">
        <v>1857</v>
      </c>
      <c r="C824" s="2">
        <v>5</v>
      </c>
      <c r="D824" s="2">
        <v>9.3216000000000001</v>
      </c>
      <c r="E824" s="2" t="s">
        <v>7</v>
      </c>
      <c r="F824" s="2" t="e">
        <f>VLOOKUP(B824,MSCI中国成分股!A:B,1,)</f>
        <v>#N/A</v>
      </c>
    </row>
    <row r="825" spans="1:6" ht="20.25" hidden="1" customHeight="1" x14ac:dyDescent="0.15">
      <c r="A825" s="2" t="s">
        <v>1858</v>
      </c>
      <c r="B825" s="2" t="s">
        <v>1859</v>
      </c>
      <c r="C825" s="2">
        <v>2.2599999999999998</v>
      </c>
      <c r="D825" s="2">
        <v>2.3757999999999999</v>
      </c>
      <c r="E825" s="2" t="s">
        <v>106</v>
      </c>
      <c r="F825" s="2" t="e">
        <f>VLOOKUP(B825,MSCI中国成分股!A:B,1,)</f>
        <v>#N/A</v>
      </c>
    </row>
    <row r="826" spans="1:6" ht="20.25" hidden="1" customHeight="1" x14ac:dyDescent="0.15">
      <c r="A826" s="2" t="s">
        <v>1860</v>
      </c>
      <c r="B826" s="2" t="s">
        <v>1861</v>
      </c>
      <c r="C826" s="2">
        <v>0.67</v>
      </c>
      <c r="D826" s="2">
        <v>127.00360000000001</v>
      </c>
      <c r="E826" s="2" t="s">
        <v>1436</v>
      </c>
      <c r="F826" s="2" t="e">
        <f>VLOOKUP(B826,MSCI中国成分股!A:B,1,)</f>
        <v>#N/A</v>
      </c>
    </row>
    <row r="827" spans="1:6" ht="20.25" hidden="1" customHeight="1" x14ac:dyDescent="0.15">
      <c r="A827" s="2" t="s">
        <v>1862</v>
      </c>
      <c r="B827" s="2" t="s">
        <v>1863</v>
      </c>
      <c r="C827" s="2">
        <v>1.39</v>
      </c>
      <c r="D827" s="2">
        <v>0.57189999999999996</v>
      </c>
      <c r="E827" s="2" t="s">
        <v>471</v>
      </c>
      <c r="F827" s="2" t="e">
        <f>VLOOKUP(B827,MSCI中国成分股!A:B,1,)</f>
        <v>#N/A</v>
      </c>
    </row>
    <row r="828" spans="1:6" ht="20.25" hidden="1" customHeight="1" x14ac:dyDescent="0.15">
      <c r="A828" s="2" t="s">
        <v>1864</v>
      </c>
      <c r="B828" s="2" t="s">
        <v>1865</v>
      </c>
      <c r="C828" s="2">
        <v>1.95</v>
      </c>
      <c r="D828" s="2">
        <v>1.819</v>
      </c>
      <c r="E828" s="2" t="s">
        <v>596</v>
      </c>
      <c r="F828" s="2" t="e">
        <f>VLOOKUP(B828,MSCI中国成分股!A:B,1,)</f>
        <v>#N/A</v>
      </c>
    </row>
    <row r="829" spans="1:6" ht="20.25" hidden="1" customHeight="1" x14ac:dyDescent="0.15">
      <c r="A829" s="2" t="s">
        <v>1866</v>
      </c>
      <c r="B829" s="2" t="s">
        <v>1867</v>
      </c>
      <c r="C829" s="2">
        <v>0.61</v>
      </c>
      <c r="D829" s="2">
        <v>0.51429999999999998</v>
      </c>
      <c r="E829" s="2" t="s">
        <v>152</v>
      </c>
      <c r="F829" s="2" t="e">
        <f>VLOOKUP(B829,MSCI中国成分股!A:B,1,)</f>
        <v>#N/A</v>
      </c>
    </row>
    <row r="830" spans="1:6" ht="20.25" hidden="1" customHeight="1" x14ac:dyDescent="0.15">
      <c r="A830" s="2" t="s">
        <v>1868</v>
      </c>
      <c r="B830" s="2" t="s">
        <v>1869</v>
      </c>
      <c r="C830" s="2">
        <v>2.34</v>
      </c>
      <c r="D830" s="2">
        <v>10.7165</v>
      </c>
      <c r="E830" s="2" t="s">
        <v>1870</v>
      </c>
      <c r="F830" s="2" t="e">
        <f>VLOOKUP(B830,MSCI中国成分股!A:B,1,)</f>
        <v>#N/A</v>
      </c>
    </row>
    <row r="831" spans="1:6" ht="20.25" hidden="1" customHeight="1" x14ac:dyDescent="0.15">
      <c r="A831" s="2" t="s">
        <v>1871</v>
      </c>
      <c r="B831" s="2" t="s">
        <v>1872</v>
      </c>
      <c r="C831" s="2">
        <v>1.3</v>
      </c>
      <c r="D831" s="2">
        <v>127.041</v>
      </c>
      <c r="E831" s="2" t="s">
        <v>1873</v>
      </c>
      <c r="F831" s="2" t="e">
        <f>VLOOKUP(B831,MSCI中国成分股!A:B,1,)</f>
        <v>#N/A</v>
      </c>
    </row>
    <row r="832" spans="1:6" ht="20.25" hidden="1" customHeight="1" x14ac:dyDescent="0.15">
      <c r="A832" s="2" t="s">
        <v>1874</v>
      </c>
      <c r="B832" s="2" t="s">
        <v>1875</v>
      </c>
      <c r="C832" s="2">
        <v>0.69</v>
      </c>
      <c r="D832" s="2">
        <v>0.69179999999999997</v>
      </c>
      <c r="E832" s="2" t="s">
        <v>92</v>
      </c>
      <c r="F832" s="2" t="e">
        <f>VLOOKUP(B832,MSCI中国成分股!A:B,1,)</f>
        <v>#N/A</v>
      </c>
    </row>
    <row r="833" spans="1:6" ht="20.25" hidden="1" customHeight="1" x14ac:dyDescent="0.15">
      <c r="A833" s="2" t="s">
        <v>1876</v>
      </c>
      <c r="B833" s="2" t="s">
        <v>1877</v>
      </c>
      <c r="C833" s="2">
        <v>1.69</v>
      </c>
      <c r="D833" s="2">
        <v>0.4244</v>
      </c>
      <c r="E833" s="2" t="s">
        <v>1878</v>
      </c>
      <c r="F833" s="2" t="e">
        <f>VLOOKUP(B833,MSCI中国成分股!A:B,1,)</f>
        <v>#N/A</v>
      </c>
    </row>
    <row r="834" spans="1:6" ht="20.25" hidden="1" customHeight="1" x14ac:dyDescent="0.15">
      <c r="A834" s="2" t="s">
        <v>1879</v>
      </c>
      <c r="B834" s="2" t="s">
        <v>1880</v>
      </c>
      <c r="C834" s="2">
        <v>2.16</v>
      </c>
      <c r="D834" s="2">
        <v>1.0673999999999999</v>
      </c>
      <c r="E834" s="2" t="s">
        <v>35</v>
      </c>
      <c r="F834" s="2" t="e">
        <f>VLOOKUP(B834,MSCI中国成分股!A:B,1,)</f>
        <v>#N/A</v>
      </c>
    </row>
    <row r="835" spans="1:6" ht="20.25" hidden="1" customHeight="1" x14ac:dyDescent="0.15">
      <c r="A835" s="2" t="s">
        <v>1881</v>
      </c>
      <c r="B835" s="2" t="s">
        <v>1882</v>
      </c>
      <c r="C835" s="2">
        <v>0.13</v>
      </c>
      <c r="D835" s="2">
        <v>0.56889999999999996</v>
      </c>
      <c r="E835" s="2" t="s">
        <v>1102</v>
      </c>
      <c r="F835" s="2" t="e">
        <f>VLOOKUP(B835,MSCI中国成分股!A:B,1,)</f>
        <v>#N/A</v>
      </c>
    </row>
    <row r="836" spans="1:6" ht="20.25" hidden="1" customHeight="1" x14ac:dyDescent="0.15">
      <c r="A836" s="2" t="s">
        <v>1883</v>
      </c>
      <c r="B836" s="2" t="s">
        <v>1884</v>
      </c>
      <c r="C836" s="2">
        <v>2.4900000000000002</v>
      </c>
      <c r="D836" s="2">
        <v>2.4051</v>
      </c>
      <c r="E836" s="2" t="s">
        <v>388</v>
      </c>
      <c r="F836" s="2" t="e">
        <f>VLOOKUP(B836,MSCI中国成分股!A:B,1,)</f>
        <v>#N/A</v>
      </c>
    </row>
    <row r="837" spans="1:6" ht="20.25" hidden="1" customHeight="1" x14ac:dyDescent="0.15">
      <c r="A837" s="2" t="s">
        <v>1885</v>
      </c>
      <c r="B837" s="2" t="s">
        <v>1886</v>
      </c>
      <c r="C837" s="2">
        <v>2.23</v>
      </c>
      <c r="D837" s="2">
        <v>1.6926000000000001</v>
      </c>
      <c r="E837" s="2" t="s">
        <v>35</v>
      </c>
      <c r="F837" s="2" t="e">
        <f>VLOOKUP(B837,MSCI中国成分股!A:B,1,)</f>
        <v>#N/A</v>
      </c>
    </row>
    <row r="838" spans="1:6" ht="20.25" hidden="1" customHeight="1" x14ac:dyDescent="0.15">
      <c r="A838" s="2" t="s">
        <v>1887</v>
      </c>
      <c r="B838" s="2" t="s">
        <v>1888</v>
      </c>
      <c r="C838" s="2">
        <v>1.1299999999999999</v>
      </c>
      <c r="D838" s="2">
        <v>2.3795000000000002</v>
      </c>
      <c r="E838" s="2" t="s">
        <v>437</v>
      </c>
      <c r="F838" s="2" t="e">
        <f>VLOOKUP(B838,MSCI中国成分股!A:B,1,)</f>
        <v>#N/A</v>
      </c>
    </row>
    <row r="839" spans="1:6" ht="20.25" hidden="1" customHeight="1" x14ac:dyDescent="0.15">
      <c r="A839" s="2" t="s">
        <v>1889</v>
      </c>
      <c r="B839" s="2" t="s">
        <v>1890</v>
      </c>
      <c r="C839" s="2">
        <v>3.04</v>
      </c>
      <c r="D839" s="2">
        <v>0.65300000000000002</v>
      </c>
      <c r="E839" s="2" t="s">
        <v>647</v>
      </c>
      <c r="F839" s="2" t="e">
        <f>VLOOKUP(B839,MSCI中国成分股!A:B,1,)</f>
        <v>#N/A</v>
      </c>
    </row>
    <row r="840" spans="1:6" ht="20.25" hidden="1" customHeight="1" x14ac:dyDescent="0.15">
      <c r="A840" s="2" t="s">
        <v>1891</v>
      </c>
      <c r="B840" s="2" t="s">
        <v>1892</v>
      </c>
      <c r="C840" s="2">
        <v>2.11</v>
      </c>
      <c r="D840" s="2">
        <v>1.6025</v>
      </c>
      <c r="E840" s="2" t="s">
        <v>747</v>
      </c>
      <c r="F840" s="2" t="e">
        <f>VLOOKUP(B840,MSCI中国成分股!A:B,1,)</f>
        <v>#N/A</v>
      </c>
    </row>
    <row r="841" spans="1:6" ht="20.25" hidden="1" customHeight="1" x14ac:dyDescent="0.15">
      <c r="A841" s="2" t="s">
        <v>1893</v>
      </c>
      <c r="B841" s="2" t="s">
        <v>1894</v>
      </c>
      <c r="C841" s="2">
        <v>-0.23</v>
      </c>
      <c r="D841" s="2">
        <v>591.52539999999999</v>
      </c>
      <c r="E841" s="2" t="s">
        <v>614</v>
      </c>
      <c r="F841" s="2" t="e">
        <f>VLOOKUP(B841,MSCI中国成分股!A:B,1,)</f>
        <v>#N/A</v>
      </c>
    </row>
    <row r="842" spans="1:6" ht="20.25" hidden="1" customHeight="1" x14ac:dyDescent="0.15">
      <c r="A842" s="2" t="s">
        <v>1895</v>
      </c>
      <c r="B842" s="2" t="s">
        <v>1896</v>
      </c>
      <c r="C842" s="2">
        <v>1.42</v>
      </c>
      <c r="D842" s="2">
        <v>1.8368</v>
      </c>
      <c r="E842" s="2" t="s">
        <v>1436</v>
      </c>
      <c r="F842" s="2" t="e">
        <f>VLOOKUP(B842,MSCI中国成分股!A:B,1,)</f>
        <v>#N/A</v>
      </c>
    </row>
    <row r="843" spans="1:6" ht="20.25" hidden="1" customHeight="1" x14ac:dyDescent="0.15">
      <c r="A843" s="2" t="s">
        <v>1897</v>
      </c>
      <c r="B843" s="2" t="s">
        <v>1898</v>
      </c>
      <c r="C843" s="2">
        <v>1.37</v>
      </c>
      <c r="D843" s="2">
        <v>0.28199999999999997</v>
      </c>
      <c r="E843" s="2" t="s">
        <v>1066</v>
      </c>
      <c r="F843" s="2" t="e">
        <f>VLOOKUP(B843,MSCI中国成分股!A:B,1,)</f>
        <v>#N/A</v>
      </c>
    </row>
    <row r="844" spans="1:6" ht="20.25" hidden="1" customHeight="1" x14ac:dyDescent="0.15">
      <c r="A844" s="2" t="s">
        <v>1899</v>
      </c>
      <c r="B844" s="2" t="s">
        <v>1900</v>
      </c>
      <c r="C844" s="2">
        <v>-0.19</v>
      </c>
      <c r="D844" s="2">
        <v>23.3964</v>
      </c>
      <c r="E844" s="2" t="s">
        <v>371</v>
      </c>
      <c r="F844" s="2" t="e">
        <f>VLOOKUP(B844,MSCI中国成分股!A:B,1,)</f>
        <v>#N/A</v>
      </c>
    </row>
    <row r="845" spans="1:6" ht="20.25" hidden="1" customHeight="1" x14ac:dyDescent="0.15">
      <c r="A845" s="2" t="s">
        <v>1901</v>
      </c>
      <c r="B845" s="2" t="s">
        <v>1902</v>
      </c>
      <c r="C845" s="2">
        <v>4.74</v>
      </c>
      <c r="D845" s="2">
        <v>1.8288</v>
      </c>
      <c r="E845" s="2" t="s">
        <v>1056</v>
      </c>
      <c r="F845" s="2" t="e">
        <f>VLOOKUP(B845,MSCI中国成分股!A:B,1,)</f>
        <v>#N/A</v>
      </c>
    </row>
    <row r="846" spans="1:6" ht="20.25" hidden="1" customHeight="1" x14ac:dyDescent="0.15">
      <c r="A846" s="2" t="s">
        <v>1903</v>
      </c>
      <c r="B846" s="2" t="s">
        <v>1904</v>
      </c>
      <c r="C846" s="2">
        <v>4.6100000000000003</v>
      </c>
      <c r="D846" s="2">
        <v>2.8490000000000002</v>
      </c>
      <c r="E846" s="2" t="s">
        <v>140</v>
      </c>
      <c r="F846" s="2" t="e">
        <f>VLOOKUP(B846,MSCI中国成分股!A:B,1,)</f>
        <v>#N/A</v>
      </c>
    </row>
    <row r="847" spans="1:6" ht="20.25" hidden="1" customHeight="1" x14ac:dyDescent="0.15">
      <c r="A847" s="2" t="s">
        <v>1905</v>
      </c>
      <c r="B847" s="2" t="s">
        <v>1906</v>
      </c>
      <c r="C847" s="2">
        <v>1.1599999999999999</v>
      </c>
      <c r="D847" s="2">
        <v>49.909399999999998</v>
      </c>
      <c r="E847" s="2" t="s">
        <v>633</v>
      </c>
      <c r="F847" s="2" t="e">
        <f>VLOOKUP(B847,MSCI中国成分股!A:B,1,)</f>
        <v>#N/A</v>
      </c>
    </row>
    <row r="848" spans="1:6" ht="20.25" hidden="1" customHeight="1" x14ac:dyDescent="0.15">
      <c r="A848" s="2" t="s">
        <v>1907</v>
      </c>
      <c r="B848" s="2" t="s">
        <v>1908</v>
      </c>
      <c r="C848" s="2">
        <v>2.38</v>
      </c>
      <c r="D848" s="2">
        <v>13.6762</v>
      </c>
      <c r="E848" s="2" t="s">
        <v>265</v>
      </c>
      <c r="F848" s="2" t="e">
        <f>VLOOKUP(B848,MSCI中国成分股!A:B,1,)</f>
        <v>#N/A</v>
      </c>
    </row>
    <row r="849" spans="1:6" ht="20.25" hidden="1" customHeight="1" x14ac:dyDescent="0.15">
      <c r="A849" s="2" t="s">
        <v>1909</v>
      </c>
      <c r="B849" s="2" t="s">
        <v>1910</v>
      </c>
      <c r="C849" s="2">
        <v>0.51</v>
      </c>
      <c r="D849" s="2">
        <v>0.66679999999999995</v>
      </c>
      <c r="E849" s="2" t="s">
        <v>188</v>
      </c>
      <c r="F849" s="2" t="e">
        <f>VLOOKUP(B849,MSCI中国成分股!A:B,1,)</f>
        <v>#N/A</v>
      </c>
    </row>
    <row r="850" spans="1:6" ht="20.25" hidden="1" customHeight="1" x14ac:dyDescent="0.15">
      <c r="A850" s="2" t="s">
        <v>1911</v>
      </c>
      <c r="B850" s="2" t="s">
        <v>1912</v>
      </c>
      <c r="C850" s="2">
        <v>2.13</v>
      </c>
      <c r="D850" s="2">
        <v>1.2579</v>
      </c>
      <c r="E850" s="2" t="s">
        <v>501</v>
      </c>
      <c r="F850" s="2" t="e">
        <f>VLOOKUP(B850,MSCI中国成分股!A:B,1,)</f>
        <v>#N/A</v>
      </c>
    </row>
    <row r="851" spans="1:6" ht="20.25" hidden="1" customHeight="1" x14ac:dyDescent="0.15">
      <c r="A851" s="2" t="s">
        <v>1913</v>
      </c>
      <c r="B851" s="2" t="s">
        <v>1914</v>
      </c>
      <c r="C851" s="2">
        <v>1.62</v>
      </c>
      <c r="D851" s="2">
        <v>2.7578</v>
      </c>
      <c r="E851" s="2" t="s">
        <v>1757</v>
      </c>
      <c r="F851" s="2" t="e">
        <f>VLOOKUP(B851,MSCI中国成分股!A:B,1,)</f>
        <v>#N/A</v>
      </c>
    </row>
    <row r="852" spans="1:6" ht="20.25" hidden="1" customHeight="1" x14ac:dyDescent="0.15">
      <c r="A852" s="2" t="s">
        <v>1915</v>
      </c>
      <c r="B852" s="2" t="s">
        <v>1916</v>
      </c>
      <c r="C852" s="2">
        <v>2.86</v>
      </c>
      <c r="D852" s="2">
        <v>0.41020000000000001</v>
      </c>
      <c r="E852" s="2" t="s">
        <v>44</v>
      </c>
      <c r="F852" s="2" t="e">
        <f>VLOOKUP(B852,MSCI中国成分股!A:B,1,)</f>
        <v>#N/A</v>
      </c>
    </row>
    <row r="853" spans="1:6" ht="20.25" hidden="1" customHeight="1" x14ac:dyDescent="0.15">
      <c r="A853" s="2" t="s">
        <v>1917</v>
      </c>
      <c r="B853" s="2" t="s">
        <v>1918</v>
      </c>
      <c r="C853" s="2">
        <v>1.0900000000000001</v>
      </c>
      <c r="D853" s="2">
        <v>0.1656</v>
      </c>
      <c r="E853" s="2" t="s">
        <v>217</v>
      </c>
      <c r="F853" s="2" t="e">
        <f>VLOOKUP(B853,MSCI中国成分股!A:B,1,)</f>
        <v>#N/A</v>
      </c>
    </row>
    <row r="854" spans="1:6" ht="20.25" hidden="1" customHeight="1" x14ac:dyDescent="0.15">
      <c r="A854" s="2" t="s">
        <v>1919</v>
      </c>
      <c r="B854" s="2" t="s">
        <v>1920</v>
      </c>
      <c r="C854" s="2">
        <v>3.91</v>
      </c>
      <c r="D854" s="2">
        <v>1.6629</v>
      </c>
      <c r="E854" s="2" t="s">
        <v>727</v>
      </c>
      <c r="F854" s="2" t="e">
        <f>VLOOKUP(B854,MSCI中国成分股!A:B,1,)</f>
        <v>#N/A</v>
      </c>
    </row>
    <row r="855" spans="1:6" ht="20.25" hidden="1" customHeight="1" x14ac:dyDescent="0.15">
      <c r="A855" s="2" t="s">
        <v>1921</v>
      </c>
      <c r="B855" s="2" t="s">
        <v>1922</v>
      </c>
      <c r="C855" s="2">
        <v>1.27</v>
      </c>
      <c r="D855" s="2">
        <v>2.7090000000000001</v>
      </c>
      <c r="E855" s="2" t="s">
        <v>371</v>
      </c>
      <c r="F855" s="2" t="e">
        <f>VLOOKUP(B855,MSCI中国成分股!A:B,1,)</f>
        <v>#N/A</v>
      </c>
    </row>
    <row r="856" spans="1:6" ht="20.25" hidden="1" customHeight="1" x14ac:dyDescent="0.15">
      <c r="A856" s="2" t="s">
        <v>1923</v>
      </c>
      <c r="B856" s="2" t="s">
        <v>1924</v>
      </c>
      <c r="C856" s="2">
        <v>3.7349999999999999</v>
      </c>
      <c r="D856" s="2">
        <v>2.0163000000000002</v>
      </c>
      <c r="E856" s="2" t="s">
        <v>1712</v>
      </c>
      <c r="F856" s="2" t="e">
        <f>VLOOKUP(B856,MSCI中国成分股!A:B,1,)</f>
        <v>#N/A</v>
      </c>
    </row>
    <row r="857" spans="1:6" ht="20.25" hidden="1" customHeight="1" x14ac:dyDescent="0.15">
      <c r="A857" s="2" t="s">
        <v>1925</v>
      </c>
      <c r="B857" s="2" t="s">
        <v>1926</v>
      </c>
      <c r="C857" s="2">
        <v>3.52</v>
      </c>
      <c r="D857" s="2">
        <v>0.9042</v>
      </c>
      <c r="E857" s="2" t="s">
        <v>171</v>
      </c>
      <c r="F857" s="2" t="e">
        <f>VLOOKUP(B857,MSCI中国成分股!A:B,1,)</f>
        <v>#N/A</v>
      </c>
    </row>
    <row r="858" spans="1:6" ht="20.25" hidden="1" customHeight="1" x14ac:dyDescent="0.15">
      <c r="A858" s="2" t="s">
        <v>1927</v>
      </c>
      <c r="B858" s="2" t="s">
        <v>1928</v>
      </c>
      <c r="C858" s="2">
        <v>0.57999999999999996</v>
      </c>
      <c r="D858" s="2">
        <v>7.6901000000000002</v>
      </c>
      <c r="E858" s="2" t="s">
        <v>638</v>
      </c>
      <c r="F858" s="2" t="e">
        <f>VLOOKUP(B858,MSCI中国成分股!A:B,1,)</f>
        <v>#N/A</v>
      </c>
    </row>
    <row r="859" spans="1:6" ht="20.25" hidden="1" customHeight="1" x14ac:dyDescent="0.15">
      <c r="A859" s="2" t="s">
        <v>1929</v>
      </c>
      <c r="B859" s="2" t="s">
        <v>1930</v>
      </c>
      <c r="C859" s="2">
        <v>3.15</v>
      </c>
      <c r="D859" s="2">
        <v>1.1634</v>
      </c>
      <c r="E859" s="2" t="s">
        <v>176</v>
      </c>
      <c r="F859" s="2" t="e">
        <f>VLOOKUP(B859,MSCI中国成分股!A:B,1,)</f>
        <v>#N/A</v>
      </c>
    </row>
    <row r="860" spans="1:6" ht="20.25" hidden="1" customHeight="1" x14ac:dyDescent="0.15">
      <c r="A860" s="2" t="s">
        <v>1931</v>
      </c>
      <c r="B860" s="2" t="s">
        <v>1932</v>
      </c>
      <c r="C860" s="2">
        <v>1.24</v>
      </c>
      <c r="D860" s="2">
        <v>0.2092</v>
      </c>
      <c r="E860" s="2" t="s">
        <v>371</v>
      </c>
      <c r="F860" s="2" t="e">
        <f>VLOOKUP(B860,MSCI中国成分股!A:B,1,)</f>
        <v>#N/A</v>
      </c>
    </row>
    <row r="861" spans="1:6" ht="20.25" hidden="1" customHeight="1" x14ac:dyDescent="0.15">
      <c r="A861" s="2" t="s">
        <v>1933</v>
      </c>
      <c r="B861" s="2" t="s">
        <v>1934</v>
      </c>
      <c r="C861" s="2">
        <v>0.62</v>
      </c>
      <c r="D861" s="2">
        <v>3.4874000000000001</v>
      </c>
      <c r="E861" s="2" t="s">
        <v>204</v>
      </c>
      <c r="F861" s="2" t="e">
        <f>VLOOKUP(B861,MSCI中国成分股!A:B,1,)</f>
        <v>#N/A</v>
      </c>
    </row>
    <row r="862" spans="1:6" ht="20.25" hidden="1" customHeight="1" x14ac:dyDescent="0.15">
      <c r="A862" s="2" t="s">
        <v>1935</v>
      </c>
      <c r="B862" s="2" t="s">
        <v>1936</v>
      </c>
      <c r="C862" s="2">
        <v>2.2000000000000002</v>
      </c>
      <c r="D862" s="2">
        <v>9.3988999999999994</v>
      </c>
      <c r="E862" s="2" t="s">
        <v>157</v>
      </c>
      <c r="F862" s="2" t="e">
        <f>VLOOKUP(B862,MSCI中国成分股!A:B,1,)</f>
        <v>#N/A</v>
      </c>
    </row>
    <row r="863" spans="1:6" ht="20.25" hidden="1" customHeight="1" x14ac:dyDescent="0.15">
      <c r="A863" s="2" t="s">
        <v>1937</v>
      </c>
      <c r="B863" s="2" t="s">
        <v>1938</v>
      </c>
      <c r="C863" s="2">
        <v>2.31</v>
      </c>
      <c r="D863" s="2">
        <v>2.8321000000000001</v>
      </c>
      <c r="E863" s="2" t="s">
        <v>741</v>
      </c>
      <c r="F863" s="2" t="e">
        <f>VLOOKUP(B863,MSCI中国成分股!A:B,1,)</f>
        <v>#N/A</v>
      </c>
    </row>
    <row r="864" spans="1:6" ht="20.25" hidden="1" customHeight="1" x14ac:dyDescent="0.15">
      <c r="A864" s="2" t="s">
        <v>1939</v>
      </c>
      <c r="B864" s="2" t="s">
        <v>1940</v>
      </c>
      <c r="C864" s="2">
        <v>-1.35</v>
      </c>
      <c r="D864" s="2">
        <v>2.2299000000000002</v>
      </c>
      <c r="E864" s="2" t="s">
        <v>13</v>
      </c>
      <c r="F864" s="2" t="e">
        <f>VLOOKUP(B864,MSCI中国成分股!A:B,1,)</f>
        <v>#N/A</v>
      </c>
    </row>
    <row r="865" spans="1:6" ht="20.25" hidden="1" customHeight="1" x14ac:dyDescent="0.15">
      <c r="A865" s="2" t="s">
        <v>1941</v>
      </c>
      <c r="B865" s="2" t="s">
        <v>1942</v>
      </c>
      <c r="C865" s="2">
        <v>1.7</v>
      </c>
      <c r="D865" s="2">
        <v>1.5896999999999999</v>
      </c>
      <c r="E865" s="2" t="s">
        <v>605</v>
      </c>
      <c r="F865" s="2" t="e">
        <f>VLOOKUP(B865,MSCI中国成分股!A:B,1,)</f>
        <v>#N/A</v>
      </c>
    </row>
    <row r="866" spans="1:6" ht="20.25" hidden="1" customHeight="1" x14ac:dyDescent="0.15">
      <c r="A866" s="2" t="s">
        <v>1943</v>
      </c>
      <c r="B866" s="2" t="s">
        <v>1944</v>
      </c>
      <c r="C866" s="2">
        <v>1.74</v>
      </c>
      <c r="D866" s="2">
        <v>1.9934000000000001</v>
      </c>
      <c r="E866" s="2" t="s">
        <v>21</v>
      </c>
      <c r="F866" s="2" t="e">
        <f>VLOOKUP(B866,MSCI中国成分股!A:B,1,)</f>
        <v>#N/A</v>
      </c>
    </row>
    <row r="867" spans="1:6" ht="20.25" hidden="1" customHeight="1" x14ac:dyDescent="0.15">
      <c r="A867" s="2" t="s">
        <v>1945</v>
      </c>
      <c r="B867" s="2" t="s">
        <v>1946</v>
      </c>
      <c r="C867" s="2">
        <v>3.0950000000000002</v>
      </c>
      <c r="D867" s="2">
        <v>2.9447000000000001</v>
      </c>
      <c r="E867" s="2" t="s">
        <v>1011</v>
      </c>
      <c r="F867" s="2" t="e">
        <f>VLOOKUP(B867,MSCI中国成分股!A:B,1,)</f>
        <v>#N/A</v>
      </c>
    </row>
    <row r="868" spans="1:6" ht="20.25" hidden="1" customHeight="1" x14ac:dyDescent="0.15">
      <c r="A868" s="2" t="s">
        <v>1947</v>
      </c>
      <c r="B868" s="2" t="s">
        <v>1948</v>
      </c>
      <c r="C868" s="2">
        <v>6.39</v>
      </c>
      <c r="D868" s="2">
        <v>4.7196999999999996</v>
      </c>
      <c r="E868" s="2" t="s">
        <v>630</v>
      </c>
      <c r="F868" s="2" t="e">
        <f>VLOOKUP(B868,MSCI中国成分股!A:B,1,)</f>
        <v>#N/A</v>
      </c>
    </row>
    <row r="869" spans="1:6" ht="20.25" hidden="1" customHeight="1" x14ac:dyDescent="0.15">
      <c r="A869" s="2" t="s">
        <v>1949</v>
      </c>
      <c r="B869" s="2" t="s">
        <v>1950</v>
      </c>
      <c r="C869" s="2">
        <v>0.49</v>
      </c>
      <c r="D869" s="2">
        <v>1.0325</v>
      </c>
      <c r="E869" s="2" t="s">
        <v>146</v>
      </c>
      <c r="F869" s="2" t="e">
        <f>VLOOKUP(B869,MSCI中国成分股!A:B,1,)</f>
        <v>#N/A</v>
      </c>
    </row>
    <row r="870" spans="1:6" ht="20.25" hidden="1" customHeight="1" x14ac:dyDescent="0.15">
      <c r="A870" s="2" t="s">
        <v>1951</v>
      </c>
      <c r="B870" s="2" t="s">
        <v>1952</v>
      </c>
      <c r="C870" s="2">
        <v>5.3</v>
      </c>
      <c r="D870" s="2">
        <v>4.7803000000000004</v>
      </c>
      <c r="E870" s="2" t="s">
        <v>1691</v>
      </c>
      <c r="F870" s="2" t="e">
        <f>VLOOKUP(B870,MSCI中国成分股!A:B,1,)</f>
        <v>#N/A</v>
      </c>
    </row>
    <row r="871" spans="1:6" ht="20.25" hidden="1" customHeight="1" x14ac:dyDescent="0.15">
      <c r="A871" s="2" t="s">
        <v>1953</v>
      </c>
      <c r="B871" s="2" t="s">
        <v>1954</v>
      </c>
      <c r="C871" s="2">
        <v>1.87</v>
      </c>
      <c r="D871" s="2">
        <v>9.1899999999999996E-2</v>
      </c>
      <c r="E871" s="2" t="s">
        <v>1102</v>
      </c>
      <c r="F871" s="2" t="e">
        <f>VLOOKUP(B871,MSCI中国成分股!A:B,1,)</f>
        <v>#N/A</v>
      </c>
    </row>
    <row r="872" spans="1:6" ht="20.25" hidden="1" customHeight="1" x14ac:dyDescent="0.15">
      <c r="A872" s="2" t="s">
        <v>1955</v>
      </c>
      <c r="B872" s="2" t="s">
        <v>1956</v>
      </c>
      <c r="C872" s="2">
        <v>4.9400000000000004</v>
      </c>
      <c r="D872" s="2">
        <v>3.9076</v>
      </c>
      <c r="E872" s="2" t="s">
        <v>140</v>
      </c>
      <c r="F872" s="2" t="e">
        <f>VLOOKUP(B872,MSCI中国成分股!A:B,1,)</f>
        <v>#N/A</v>
      </c>
    </row>
    <row r="873" spans="1:6" ht="20.25" hidden="1" customHeight="1" x14ac:dyDescent="0.15">
      <c r="A873" s="2" t="s">
        <v>1957</v>
      </c>
      <c r="B873" s="2" t="s">
        <v>1958</v>
      </c>
      <c r="C873" s="2">
        <v>0.49</v>
      </c>
      <c r="D873" s="2">
        <v>11.664999999999999</v>
      </c>
      <c r="E873" s="2" t="s">
        <v>13</v>
      </c>
      <c r="F873" s="2" t="e">
        <f>VLOOKUP(B873,MSCI中国成分股!A:B,1,)</f>
        <v>#N/A</v>
      </c>
    </row>
    <row r="874" spans="1:6" ht="20.25" hidden="1" customHeight="1" x14ac:dyDescent="0.15">
      <c r="A874" s="2" t="s">
        <v>1959</v>
      </c>
      <c r="B874" s="2" t="s">
        <v>1960</v>
      </c>
      <c r="C874" s="2">
        <v>2.91</v>
      </c>
      <c r="D874" s="2">
        <v>2.2570999999999999</v>
      </c>
      <c r="E874" s="2" t="s">
        <v>741</v>
      </c>
      <c r="F874" s="2" t="e">
        <f>VLOOKUP(B874,MSCI中国成分股!A:B,1,)</f>
        <v>#N/A</v>
      </c>
    </row>
    <row r="875" spans="1:6" ht="20.25" hidden="1" customHeight="1" x14ac:dyDescent="0.15">
      <c r="A875" s="2" t="s">
        <v>1961</v>
      </c>
      <c r="B875" s="2" t="s">
        <v>1962</v>
      </c>
      <c r="C875" s="2">
        <v>1.49</v>
      </c>
      <c r="D875" s="2">
        <v>0.85409999999999997</v>
      </c>
      <c r="E875" s="2" t="s">
        <v>1820</v>
      </c>
      <c r="F875" s="2" t="e">
        <f>VLOOKUP(B875,MSCI中国成分股!A:B,1,)</f>
        <v>#N/A</v>
      </c>
    </row>
    <row r="876" spans="1:6" ht="20.25" hidden="1" customHeight="1" x14ac:dyDescent="0.15">
      <c r="A876" s="2" t="s">
        <v>1963</v>
      </c>
      <c r="B876" s="2" t="s">
        <v>1964</v>
      </c>
      <c r="C876" s="2">
        <v>1.84</v>
      </c>
      <c r="D876" s="2">
        <v>0.16750000000000001</v>
      </c>
      <c r="E876" s="2" t="s">
        <v>1381</v>
      </c>
      <c r="F876" s="2" t="e">
        <f>VLOOKUP(B876,MSCI中国成分股!A:B,1,)</f>
        <v>#N/A</v>
      </c>
    </row>
    <row r="877" spans="1:6" ht="20.25" hidden="1" customHeight="1" x14ac:dyDescent="0.15">
      <c r="A877" s="2" t="s">
        <v>1965</v>
      </c>
      <c r="B877" s="2" t="s">
        <v>1966</v>
      </c>
      <c r="C877" s="2">
        <v>2.2999999999999998</v>
      </c>
      <c r="D877" s="2">
        <v>25.355899999999998</v>
      </c>
      <c r="E877" s="2" t="s">
        <v>310</v>
      </c>
      <c r="F877" s="2" t="e">
        <f>VLOOKUP(B877,MSCI中国成分股!A:B,1,)</f>
        <v>#N/A</v>
      </c>
    </row>
    <row r="878" spans="1:6" ht="20.25" hidden="1" customHeight="1" x14ac:dyDescent="0.15">
      <c r="A878" s="2" t="s">
        <v>1967</v>
      </c>
      <c r="B878" s="2" t="s">
        <v>1968</v>
      </c>
      <c r="C878" s="2">
        <v>0.51</v>
      </c>
      <c r="D878" s="2">
        <v>0.69379999999999997</v>
      </c>
      <c r="E878" s="2" t="s">
        <v>1969</v>
      </c>
      <c r="F878" s="2" t="e">
        <f>VLOOKUP(B878,MSCI中国成分股!A:B,1,)</f>
        <v>#N/A</v>
      </c>
    </row>
    <row r="879" spans="1:6" ht="20.25" hidden="1" customHeight="1" x14ac:dyDescent="0.15">
      <c r="A879" s="2" t="s">
        <v>1970</v>
      </c>
      <c r="B879" s="2" t="s">
        <v>1971</v>
      </c>
      <c r="C879" s="2">
        <v>0.77500000000000002</v>
      </c>
      <c r="D879" s="2">
        <v>2.2517</v>
      </c>
      <c r="E879" s="2" t="s">
        <v>396</v>
      </c>
      <c r="F879" s="2" t="e">
        <f>VLOOKUP(B879,MSCI中国成分股!A:B,1,)</f>
        <v>#N/A</v>
      </c>
    </row>
    <row r="880" spans="1:6" ht="20.25" hidden="1" customHeight="1" x14ac:dyDescent="0.15">
      <c r="A880" s="2" t="s">
        <v>1972</v>
      </c>
      <c r="B880" s="2" t="s">
        <v>1973</v>
      </c>
      <c r="C880" s="2">
        <v>1.35</v>
      </c>
      <c r="D880" s="2">
        <v>2.0606</v>
      </c>
      <c r="E880" s="2" t="s">
        <v>21</v>
      </c>
      <c r="F880" s="2" t="e">
        <f>VLOOKUP(B880,MSCI中国成分股!A:B,1,)</f>
        <v>#N/A</v>
      </c>
    </row>
    <row r="881" spans="1:6" ht="20.25" hidden="1" customHeight="1" x14ac:dyDescent="0.15">
      <c r="A881" s="2" t="s">
        <v>1974</v>
      </c>
      <c r="B881" s="2" t="s">
        <v>1975</v>
      </c>
      <c r="C881" s="2">
        <v>0.64</v>
      </c>
      <c r="D881" s="2">
        <v>0.3417</v>
      </c>
      <c r="E881" s="2" t="s">
        <v>1390</v>
      </c>
      <c r="F881" s="2" t="e">
        <f>VLOOKUP(B881,MSCI中国成分股!A:B,1,)</f>
        <v>#N/A</v>
      </c>
    </row>
    <row r="882" spans="1:6" ht="20.25" hidden="1" customHeight="1" x14ac:dyDescent="0.15">
      <c r="A882" s="2" t="s">
        <v>1976</v>
      </c>
      <c r="B882" s="2" t="s">
        <v>1977</v>
      </c>
      <c r="C882" s="2">
        <v>6.43</v>
      </c>
      <c r="D882" s="2">
        <v>4.8648999999999996</v>
      </c>
      <c r="E882" s="2" t="s">
        <v>727</v>
      </c>
      <c r="F882" s="2" t="e">
        <f>VLOOKUP(B882,MSCI中国成分股!A:B,1,)</f>
        <v>#N/A</v>
      </c>
    </row>
    <row r="883" spans="1:6" ht="20.25" hidden="1" customHeight="1" x14ac:dyDescent="0.15">
      <c r="A883" s="2" t="s">
        <v>1978</v>
      </c>
      <c r="B883" s="2" t="s">
        <v>1979</v>
      </c>
      <c r="C883" s="2">
        <v>0.89</v>
      </c>
      <c r="D883" s="2">
        <v>0.22969999999999999</v>
      </c>
      <c r="E883" s="2" t="s">
        <v>1870</v>
      </c>
      <c r="F883" s="2" t="e">
        <f>VLOOKUP(B883,MSCI中国成分股!A:B,1,)</f>
        <v>#N/A</v>
      </c>
    </row>
    <row r="884" spans="1:6" ht="20.25" hidden="1" customHeight="1" x14ac:dyDescent="0.15">
      <c r="A884" s="2" t="s">
        <v>1980</v>
      </c>
      <c r="B884" s="2" t="s">
        <v>1981</v>
      </c>
      <c r="C884" s="2">
        <v>3.58</v>
      </c>
      <c r="D884" s="2">
        <v>2.5002</v>
      </c>
      <c r="E884" s="2" t="s">
        <v>71</v>
      </c>
      <c r="F884" s="2" t="e">
        <f>VLOOKUP(B884,MSCI中国成分股!A:B,1,)</f>
        <v>#N/A</v>
      </c>
    </row>
    <row r="885" spans="1:6" ht="20.25" hidden="1" customHeight="1" x14ac:dyDescent="0.15">
      <c r="A885" s="2" t="s">
        <v>1982</v>
      </c>
      <c r="B885" s="2" t="s">
        <v>1983</v>
      </c>
      <c r="C885" s="2">
        <v>0.73</v>
      </c>
      <c r="D885" s="2">
        <v>0.85029999999999994</v>
      </c>
      <c r="E885" s="2" t="s">
        <v>1248</v>
      </c>
      <c r="F885" s="2" t="e">
        <f>VLOOKUP(B885,MSCI中国成分股!A:B,1,)</f>
        <v>#N/A</v>
      </c>
    </row>
    <row r="886" spans="1:6" ht="20.25" hidden="1" customHeight="1" x14ac:dyDescent="0.15">
      <c r="A886" s="2" t="s">
        <v>1984</v>
      </c>
      <c r="B886" s="2" t="s">
        <v>1985</v>
      </c>
      <c r="C886" s="2">
        <v>2.82</v>
      </c>
      <c r="D886" s="2">
        <v>0.54500000000000004</v>
      </c>
      <c r="E886" s="2" t="s">
        <v>362</v>
      </c>
      <c r="F886" s="2" t="e">
        <f>VLOOKUP(B886,MSCI中国成分股!A:B,1,)</f>
        <v>#N/A</v>
      </c>
    </row>
    <row r="887" spans="1:6" ht="20.25" hidden="1" customHeight="1" x14ac:dyDescent="0.15">
      <c r="A887" s="2" t="s">
        <v>1986</v>
      </c>
      <c r="B887" s="2" t="s">
        <v>1987</v>
      </c>
      <c r="C887" s="2">
        <v>1.79</v>
      </c>
      <c r="D887" s="2">
        <v>0.73729999999999996</v>
      </c>
      <c r="E887" s="2" t="s">
        <v>35</v>
      </c>
      <c r="F887" s="2" t="e">
        <f>VLOOKUP(B887,MSCI中国成分股!A:B,1,)</f>
        <v>#N/A</v>
      </c>
    </row>
    <row r="888" spans="1:6" ht="20.25" hidden="1" customHeight="1" x14ac:dyDescent="0.15">
      <c r="A888" s="2" t="s">
        <v>1988</v>
      </c>
      <c r="B888" s="2" t="s">
        <v>1989</v>
      </c>
      <c r="C888" s="2">
        <v>0.72</v>
      </c>
      <c r="D888" s="2">
        <v>3.8691</v>
      </c>
      <c r="E888" s="2" t="s">
        <v>225</v>
      </c>
      <c r="F888" s="2" t="e">
        <f>VLOOKUP(B888,MSCI中国成分股!A:B,1,)</f>
        <v>#N/A</v>
      </c>
    </row>
    <row r="889" spans="1:6" ht="20.25" hidden="1" customHeight="1" x14ac:dyDescent="0.15">
      <c r="A889" s="2" t="s">
        <v>1990</v>
      </c>
      <c r="B889" s="2" t="s">
        <v>1991</v>
      </c>
      <c r="C889" s="2">
        <v>2.27</v>
      </c>
      <c r="D889" s="2">
        <v>2.4020000000000001</v>
      </c>
      <c r="E889" s="2" t="s">
        <v>365</v>
      </c>
      <c r="F889" s="2" t="e">
        <f>VLOOKUP(B889,MSCI中国成分股!A:B,1,)</f>
        <v>#N/A</v>
      </c>
    </row>
    <row r="890" spans="1:6" ht="20.25" hidden="1" customHeight="1" x14ac:dyDescent="0.15">
      <c r="A890" s="2" t="s">
        <v>1992</v>
      </c>
      <c r="B890" s="2" t="s">
        <v>1993</v>
      </c>
      <c r="C890" s="2">
        <v>1.99</v>
      </c>
      <c r="D890" s="2">
        <v>0.80569999999999997</v>
      </c>
      <c r="E890" s="2" t="s">
        <v>1994</v>
      </c>
      <c r="F890" s="2" t="e">
        <f>VLOOKUP(B890,MSCI中国成分股!A:B,1,)</f>
        <v>#N/A</v>
      </c>
    </row>
    <row r="891" spans="1:6" ht="20.25" hidden="1" customHeight="1" x14ac:dyDescent="0.15">
      <c r="A891" s="2" t="s">
        <v>1995</v>
      </c>
      <c r="B891" s="2" t="s">
        <v>1996</v>
      </c>
      <c r="C891" s="2">
        <v>1.51</v>
      </c>
      <c r="D891" s="2">
        <v>0.50609999999999999</v>
      </c>
      <c r="E891" s="2" t="s">
        <v>1997</v>
      </c>
      <c r="F891" s="2" t="e">
        <f>VLOOKUP(B891,MSCI中国成分股!A:B,1,)</f>
        <v>#N/A</v>
      </c>
    </row>
    <row r="892" spans="1:6" ht="20.25" hidden="1" customHeight="1" x14ac:dyDescent="0.15">
      <c r="A892" s="2" t="s">
        <v>1998</v>
      </c>
      <c r="B892" s="2" t="s">
        <v>1999</v>
      </c>
      <c r="C892" s="2">
        <v>-1.87</v>
      </c>
      <c r="D892" s="2">
        <v>62.642800000000001</v>
      </c>
      <c r="E892" s="2" t="s">
        <v>286</v>
      </c>
      <c r="F892" s="2" t="e">
        <f>VLOOKUP(B892,MSCI中国成分股!A:B,1,)</f>
        <v>#N/A</v>
      </c>
    </row>
    <row r="893" spans="1:6" ht="20.25" hidden="1" customHeight="1" x14ac:dyDescent="0.15">
      <c r="A893" s="2" t="s">
        <v>2000</v>
      </c>
      <c r="B893" s="2" t="s">
        <v>2001</v>
      </c>
      <c r="C893" s="2">
        <v>1.57</v>
      </c>
      <c r="D893" s="2">
        <v>0.626</v>
      </c>
      <c r="E893" s="2" t="s">
        <v>1061</v>
      </c>
      <c r="F893" s="2" t="e">
        <f>VLOOKUP(B893,MSCI中国成分股!A:B,1,)</f>
        <v>#N/A</v>
      </c>
    </row>
    <row r="894" spans="1:6" ht="20.25" hidden="1" customHeight="1" x14ac:dyDescent="0.15">
      <c r="A894" s="2" t="s">
        <v>2002</v>
      </c>
      <c r="B894" s="2" t="s">
        <v>2003</v>
      </c>
      <c r="C894" s="2">
        <v>3.16</v>
      </c>
      <c r="D894" s="2">
        <v>5.6605999999999996</v>
      </c>
      <c r="E894" s="2" t="s">
        <v>1139</v>
      </c>
      <c r="F894" s="2" t="e">
        <f>VLOOKUP(B894,MSCI中国成分股!A:B,1,)</f>
        <v>#N/A</v>
      </c>
    </row>
    <row r="895" spans="1:6" ht="20.25" hidden="1" customHeight="1" x14ac:dyDescent="0.15">
      <c r="A895" s="2" t="s">
        <v>2004</v>
      </c>
      <c r="B895" s="2" t="s">
        <v>2005</v>
      </c>
      <c r="C895" s="2">
        <v>2.6</v>
      </c>
      <c r="D895" s="2">
        <v>37.722499999999997</v>
      </c>
      <c r="E895" s="2" t="s">
        <v>409</v>
      </c>
      <c r="F895" s="2" t="e">
        <f>VLOOKUP(B895,MSCI中国成分股!A:B,1,)</f>
        <v>#N/A</v>
      </c>
    </row>
    <row r="896" spans="1:6" ht="20.25" hidden="1" customHeight="1" x14ac:dyDescent="0.15">
      <c r="A896" s="2" t="s">
        <v>2006</v>
      </c>
      <c r="B896" s="2" t="s">
        <v>2007</v>
      </c>
      <c r="C896" s="2">
        <v>-0.08</v>
      </c>
      <c r="D896" s="2">
        <v>3.9016999999999999</v>
      </c>
      <c r="E896" s="2" t="s">
        <v>7</v>
      </c>
      <c r="F896" s="2" t="e">
        <f>VLOOKUP(B896,MSCI中国成分股!A:B,1,)</f>
        <v>#N/A</v>
      </c>
    </row>
    <row r="897" spans="1:6" ht="20.25" hidden="1" customHeight="1" x14ac:dyDescent="0.15">
      <c r="A897" s="2" t="s">
        <v>2008</v>
      </c>
      <c r="B897" s="2" t="s">
        <v>2009</v>
      </c>
      <c r="C897" s="2">
        <v>0.49</v>
      </c>
      <c r="D897" s="2">
        <v>2.4081999999999999</v>
      </c>
      <c r="E897" s="2" t="s">
        <v>677</v>
      </c>
      <c r="F897" s="2" t="e">
        <f>VLOOKUP(B897,MSCI中国成分股!A:B,1,)</f>
        <v>#N/A</v>
      </c>
    </row>
    <row r="898" spans="1:6" ht="20.25" hidden="1" customHeight="1" x14ac:dyDescent="0.15">
      <c r="A898" s="2" t="s">
        <v>2010</v>
      </c>
      <c r="B898" s="2" t="s">
        <v>2011</v>
      </c>
      <c r="C898" s="2">
        <v>1.88</v>
      </c>
      <c r="D898" s="2">
        <v>0.72609999999999997</v>
      </c>
      <c r="E898" s="2" t="s">
        <v>1515</v>
      </c>
      <c r="F898" s="2" t="e">
        <f>VLOOKUP(B898,MSCI中国成分股!A:B,1,)</f>
        <v>#N/A</v>
      </c>
    </row>
    <row r="899" spans="1:6" ht="20.25" hidden="1" customHeight="1" x14ac:dyDescent="0.15">
      <c r="A899" s="2" t="s">
        <v>2012</v>
      </c>
      <c r="B899" s="2" t="s">
        <v>2013</v>
      </c>
      <c r="C899" s="2">
        <v>3.05</v>
      </c>
      <c r="D899" s="2">
        <v>5.5792999999999999</v>
      </c>
      <c r="E899" s="2" t="s">
        <v>396</v>
      </c>
      <c r="F899" s="2" t="e">
        <f>VLOOKUP(B899,MSCI中国成分股!A:B,1,)</f>
        <v>#N/A</v>
      </c>
    </row>
    <row r="900" spans="1:6" ht="20.25" hidden="1" customHeight="1" x14ac:dyDescent="0.15">
      <c r="A900" s="2" t="s">
        <v>2014</v>
      </c>
      <c r="B900" s="2" t="s">
        <v>2015</v>
      </c>
      <c r="C900" s="2">
        <v>1.1499999999999999</v>
      </c>
      <c r="D900" s="2">
        <v>2.4739</v>
      </c>
      <c r="E900" s="2" t="s">
        <v>198</v>
      </c>
      <c r="F900" s="2" t="e">
        <f>VLOOKUP(B900,MSCI中国成分股!A:B,1,)</f>
        <v>#N/A</v>
      </c>
    </row>
    <row r="901" spans="1:6" ht="20.25" hidden="1" customHeight="1" x14ac:dyDescent="0.15">
      <c r="A901" s="2" t="s">
        <v>2016</v>
      </c>
      <c r="B901" s="2" t="s">
        <v>2017</v>
      </c>
      <c r="C901" s="2">
        <v>2.56</v>
      </c>
      <c r="D901" s="2">
        <v>1.3409</v>
      </c>
      <c r="E901" s="2" t="s">
        <v>741</v>
      </c>
      <c r="F901" s="2" t="e">
        <f>VLOOKUP(B901,MSCI中国成分股!A:B,1,)</f>
        <v>#N/A</v>
      </c>
    </row>
    <row r="902" spans="1:6" ht="20.25" hidden="1" customHeight="1" x14ac:dyDescent="0.15">
      <c r="A902" s="2" t="s">
        <v>2018</v>
      </c>
      <c r="B902" s="2" t="s">
        <v>2019</v>
      </c>
      <c r="C902" s="2">
        <v>1.91</v>
      </c>
      <c r="D902" s="2">
        <v>1.6289</v>
      </c>
      <c r="E902" s="2" t="s">
        <v>664</v>
      </c>
      <c r="F902" s="2" t="e">
        <f>VLOOKUP(B902,MSCI中国成分股!A:B,1,)</f>
        <v>#N/A</v>
      </c>
    </row>
    <row r="903" spans="1:6" ht="20.25" hidden="1" customHeight="1" x14ac:dyDescent="0.15">
      <c r="A903" s="2" t="s">
        <v>2020</v>
      </c>
      <c r="B903" s="2" t="s">
        <v>2021</v>
      </c>
      <c r="C903" s="2">
        <v>1.29</v>
      </c>
      <c r="D903" s="2">
        <v>2.3988999999999998</v>
      </c>
      <c r="E903" s="2" t="s">
        <v>1338</v>
      </c>
      <c r="F903" s="2" t="e">
        <f>VLOOKUP(B903,MSCI中国成分股!A:B,1,)</f>
        <v>#N/A</v>
      </c>
    </row>
    <row r="904" spans="1:6" ht="20.25" hidden="1" customHeight="1" x14ac:dyDescent="0.15">
      <c r="A904" s="2" t="s">
        <v>2022</v>
      </c>
      <c r="B904" s="2" t="s">
        <v>2023</v>
      </c>
      <c r="C904" s="2">
        <v>1.97</v>
      </c>
      <c r="D904" s="2">
        <v>0.51019999999999999</v>
      </c>
      <c r="E904" s="2" t="s">
        <v>483</v>
      </c>
      <c r="F904" s="2" t="e">
        <f>VLOOKUP(B904,MSCI中国成分股!A:B,1,)</f>
        <v>#N/A</v>
      </c>
    </row>
    <row r="905" spans="1:6" ht="20.25" hidden="1" customHeight="1" x14ac:dyDescent="0.15">
      <c r="A905" s="2" t="s">
        <v>2024</v>
      </c>
      <c r="B905" s="2" t="s">
        <v>2025</v>
      </c>
      <c r="C905" s="2">
        <v>1.63</v>
      </c>
      <c r="D905" s="2">
        <v>2.7745000000000002</v>
      </c>
      <c r="E905" s="2" t="s">
        <v>1011</v>
      </c>
      <c r="F905" s="2" t="e">
        <f>VLOOKUP(B905,MSCI中国成分股!A:B,1,)</f>
        <v>#N/A</v>
      </c>
    </row>
    <row r="906" spans="1:6" ht="20.25" hidden="1" customHeight="1" x14ac:dyDescent="0.15">
      <c r="A906" s="2" t="s">
        <v>2026</v>
      </c>
      <c r="B906" s="2" t="s">
        <v>2027</v>
      </c>
      <c r="C906" s="2">
        <v>0.1</v>
      </c>
      <c r="D906" s="2">
        <v>16.204799999999999</v>
      </c>
      <c r="E906" s="2" t="s">
        <v>265</v>
      </c>
      <c r="F906" s="2" t="e">
        <f>VLOOKUP(B906,MSCI中国成分股!A:B,1,)</f>
        <v>#N/A</v>
      </c>
    </row>
    <row r="907" spans="1:6" ht="20.25" hidden="1" customHeight="1" x14ac:dyDescent="0.15">
      <c r="A907" s="2" t="s">
        <v>2028</v>
      </c>
      <c r="B907" s="2" t="s">
        <v>2029</v>
      </c>
      <c r="C907" s="2">
        <v>0.92</v>
      </c>
      <c r="D907" s="2">
        <v>0.1411</v>
      </c>
      <c r="E907" s="2" t="s">
        <v>89</v>
      </c>
      <c r="F907" s="2" t="e">
        <f>VLOOKUP(B907,MSCI中国成分股!A:B,1,)</f>
        <v>#N/A</v>
      </c>
    </row>
    <row r="908" spans="1:6" ht="20.25" hidden="1" customHeight="1" x14ac:dyDescent="0.15">
      <c r="A908" s="2" t="s">
        <v>2030</v>
      </c>
      <c r="B908" s="2" t="s">
        <v>2031</v>
      </c>
      <c r="C908" s="2">
        <v>2.2999999999999998</v>
      </c>
      <c r="D908" s="2">
        <v>3.4527000000000001</v>
      </c>
      <c r="E908" s="2" t="s">
        <v>741</v>
      </c>
      <c r="F908" s="2" t="e">
        <f>VLOOKUP(B908,MSCI中国成分股!A:B,1,)</f>
        <v>#N/A</v>
      </c>
    </row>
    <row r="909" spans="1:6" ht="20.25" hidden="1" customHeight="1" x14ac:dyDescent="0.15">
      <c r="A909" s="2" t="s">
        <v>2032</v>
      </c>
      <c r="B909" s="2" t="s">
        <v>2033</v>
      </c>
      <c r="C909" s="2">
        <v>4.1900000000000004</v>
      </c>
      <c r="D909" s="2">
        <v>4.3996000000000004</v>
      </c>
      <c r="E909" s="2" t="s">
        <v>406</v>
      </c>
      <c r="F909" s="2" t="e">
        <f>VLOOKUP(B909,MSCI中国成分股!A:B,1,)</f>
        <v>#N/A</v>
      </c>
    </row>
    <row r="910" spans="1:6" ht="20.25" hidden="1" customHeight="1" x14ac:dyDescent="0.15">
      <c r="A910" s="2" t="s">
        <v>2034</v>
      </c>
      <c r="B910" s="2" t="s">
        <v>2035</v>
      </c>
      <c r="C910" s="2">
        <v>1.05</v>
      </c>
      <c r="D910" s="2">
        <v>44.0563</v>
      </c>
      <c r="E910" s="2" t="s">
        <v>1094</v>
      </c>
      <c r="F910" s="2" t="e">
        <f>VLOOKUP(B910,MSCI中国成分股!A:B,1,)</f>
        <v>#N/A</v>
      </c>
    </row>
    <row r="911" spans="1:6" ht="20.25" hidden="1" customHeight="1" x14ac:dyDescent="0.15">
      <c r="A911" s="2" t="s">
        <v>2036</v>
      </c>
      <c r="B911" s="2" t="s">
        <v>2037</v>
      </c>
      <c r="C911" s="2">
        <v>1.69</v>
      </c>
      <c r="D911" s="2">
        <v>0.41060000000000002</v>
      </c>
      <c r="E911" s="2" t="s">
        <v>2038</v>
      </c>
      <c r="F911" s="2" t="e">
        <f>VLOOKUP(B911,MSCI中国成分股!A:B,1,)</f>
        <v>#N/A</v>
      </c>
    </row>
    <row r="912" spans="1:6" ht="20.25" hidden="1" customHeight="1" x14ac:dyDescent="0.15">
      <c r="A912" s="2" t="s">
        <v>2039</v>
      </c>
      <c r="B912" s="2" t="s">
        <v>2040</v>
      </c>
      <c r="C912" s="2">
        <v>2.04</v>
      </c>
      <c r="D912" s="2">
        <v>1.3963000000000001</v>
      </c>
      <c r="E912" s="2" t="s">
        <v>21</v>
      </c>
      <c r="F912" s="2" t="e">
        <f>VLOOKUP(B912,MSCI中国成分股!A:B,1,)</f>
        <v>#N/A</v>
      </c>
    </row>
    <row r="913" spans="1:6" ht="20.25" hidden="1" customHeight="1" x14ac:dyDescent="0.15">
      <c r="A913" s="2" t="s">
        <v>2041</v>
      </c>
      <c r="B913" s="2" t="s">
        <v>2042</v>
      </c>
      <c r="C913" s="2">
        <v>3.98</v>
      </c>
      <c r="D913" s="2">
        <v>2.4636</v>
      </c>
      <c r="E913" s="2" t="s">
        <v>421</v>
      </c>
      <c r="F913" s="2" t="e">
        <f>VLOOKUP(B913,MSCI中国成分股!A:B,1,)</f>
        <v>#N/A</v>
      </c>
    </row>
    <row r="914" spans="1:6" ht="20.25" hidden="1" customHeight="1" x14ac:dyDescent="0.15">
      <c r="A914" s="2" t="s">
        <v>2043</v>
      </c>
      <c r="B914" s="2" t="s">
        <v>2044</v>
      </c>
      <c r="C914" s="2">
        <v>3.11</v>
      </c>
      <c r="D914" s="2">
        <v>2.7812000000000001</v>
      </c>
      <c r="E914" s="2" t="s">
        <v>1243</v>
      </c>
      <c r="F914" s="2" t="e">
        <f>VLOOKUP(B914,MSCI中国成分股!A:B,1,)</f>
        <v>#N/A</v>
      </c>
    </row>
    <row r="915" spans="1:6" ht="20.25" hidden="1" customHeight="1" x14ac:dyDescent="0.15">
      <c r="A915" s="2" t="s">
        <v>2045</v>
      </c>
      <c r="B915" s="2" t="s">
        <v>2046</v>
      </c>
      <c r="C915" s="2">
        <v>3.06</v>
      </c>
      <c r="D915" s="2">
        <v>0.66259999999999997</v>
      </c>
      <c r="E915" s="2" t="s">
        <v>1680</v>
      </c>
      <c r="F915" s="2" t="e">
        <f>VLOOKUP(B915,MSCI中国成分股!A:B,1,)</f>
        <v>#N/A</v>
      </c>
    </row>
    <row r="916" spans="1:6" ht="20.25" hidden="1" customHeight="1" x14ac:dyDescent="0.15">
      <c r="A916" s="2" t="s">
        <v>2047</v>
      </c>
      <c r="B916" s="2" t="s">
        <v>2048</v>
      </c>
      <c r="C916" s="2">
        <v>4.88</v>
      </c>
      <c r="D916" s="2">
        <v>12.686199999999999</v>
      </c>
      <c r="E916" s="2" t="s">
        <v>677</v>
      </c>
      <c r="F916" s="2" t="e">
        <f>VLOOKUP(B916,MSCI中国成分股!A:B,1,)</f>
        <v>#N/A</v>
      </c>
    </row>
    <row r="917" spans="1:6" ht="20.25" hidden="1" customHeight="1" x14ac:dyDescent="0.15">
      <c r="A917" s="2" t="s">
        <v>2049</v>
      </c>
      <c r="B917" s="2" t="s">
        <v>2050</v>
      </c>
      <c r="C917" s="2">
        <v>0.21</v>
      </c>
      <c r="D917" s="2">
        <v>80.3703</v>
      </c>
      <c r="E917" s="2" t="s">
        <v>198</v>
      </c>
      <c r="F917" s="2" t="e">
        <f>VLOOKUP(B917,MSCI中国成分股!A:B,1,)</f>
        <v>#N/A</v>
      </c>
    </row>
    <row r="918" spans="1:6" ht="20.25" hidden="1" customHeight="1" x14ac:dyDescent="0.15">
      <c r="A918" s="2" t="s">
        <v>2051</v>
      </c>
      <c r="B918" s="2" t="s">
        <v>2052</v>
      </c>
      <c r="C918" s="2">
        <v>1.59</v>
      </c>
      <c r="D918" s="2">
        <v>0.31909999999999999</v>
      </c>
      <c r="E918" s="2" t="s">
        <v>1102</v>
      </c>
      <c r="F918" s="2" t="e">
        <f>VLOOKUP(B918,MSCI中国成分股!A:B,1,)</f>
        <v>#N/A</v>
      </c>
    </row>
    <row r="919" spans="1:6" ht="20.25" hidden="1" customHeight="1" x14ac:dyDescent="0.15">
      <c r="A919" s="2" t="s">
        <v>2053</v>
      </c>
      <c r="B919" s="2" t="s">
        <v>2054</v>
      </c>
      <c r="C919" s="2">
        <v>1.34</v>
      </c>
      <c r="D919" s="2">
        <v>0.50280000000000002</v>
      </c>
      <c r="E919" s="2" t="s">
        <v>2038</v>
      </c>
      <c r="F919" s="2" t="e">
        <f>VLOOKUP(B919,MSCI中国成分股!A:B,1,)</f>
        <v>#N/A</v>
      </c>
    </row>
    <row r="920" spans="1:6" ht="20.25" hidden="1" customHeight="1" x14ac:dyDescent="0.15">
      <c r="A920" s="2" t="s">
        <v>2055</v>
      </c>
      <c r="B920" s="2" t="s">
        <v>2056</v>
      </c>
      <c r="C920" s="2">
        <v>2.98</v>
      </c>
      <c r="D920" s="2">
        <v>2.8525999999999998</v>
      </c>
      <c r="E920" s="2" t="s">
        <v>106</v>
      </c>
      <c r="F920" s="2" t="e">
        <f>VLOOKUP(B920,MSCI中国成分股!A:B,1,)</f>
        <v>#N/A</v>
      </c>
    </row>
    <row r="921" spans="1:6" ht="20.25" hidden="1" customHeight="1" x14ac:dyDescent="0.15">
      <c r="A921" s="2" t="s">
        <v>2057</v>
      </c>
      <c r="B921" s="2" t="s">
        <v>2058</v>
      </c>
      <c r="C921" s="2">
        <v>-0.21</v>
      </c>
      <c r="D921" s="2">
        <v>14.3599</v>
      </c>
      <c r="E921" s="2" t="s">
        <v>299</v>
      </c>
      <c r="F921" s="2" t="e">
        <f>VLOOKUP(B921,MSCI中国成分股!A:B,1,)</f>
        <v>#N/A</v>
      </c>
    </row>
    <row r="922" spans="1:6" ht="20.25" hidden="1" customHeight="1" x14ac:dyDescent="0.15">
      <c r="A922" s="2" t="s">
        <v>2059</v>
      </c>
      <c r="B922" s="2" t="s">
        <v>2060</v>
      </c>
      <c r="C922" s="2">
        <v>0.37</v>
      </c>
      <c r="D922" s="2">
        <v>1.3482000000000001</v>
      </c>
      <c r="E922" s="2" t="s">
        <v>95</v>
      </c>
      <c r="F922" s="2" t="e">
        <f>VLOOKUP(B922,MSCI中国成分股!A:B,1,)</f>
        <v>#N/A</v>
      </c>
    </row>
    <row r="923" spans="1:6" ht="20.25" hidden="1" customHeight="1" x14ac:dyDescent="0.15">
      <c r="A923" s="2" t="s">
        <v>2061</v>
      </c>
      <c r="B923" s="2" t="s">
        <v>2062</v>
      </c>
      <c r="C923" s="2">
        <v>3.4</v>
      </c>
      <c r="D923" s="2">
        <v>1.1132</v>
      </c>
      <c r="E923" s="2" t="s">
        <v>2063</v>
      </c>
      <c r="F923" s="2" t="e">
        <f>VLOOKUP(B923,MSCI中国成分股!A:B,1,)</f>
        <v>#N/A</v>
      </c>
    </row>
    <row r="924" spans="1:6" ht="20.25" hidden="1" customHeight="1" x14ac:dyDescent="0.15">
      <c r="A924" s="2" t="s">
        <v>2064</v>
      </c>
      <c r="B924" s="2" t="s">
        <v>2065</v>
      </c>
      <c r="C924" s="2">
        <v>0.53</v>
      </c>
      <c r="D924" s="2">
        <v>8.1299999999999997E-2</v>
      </c>
      <c r="E924" s="2" t="s">
        <v>699</v>
      </c>
      <c r="F924" s="2" t="e">
        <f>VLOOKUP(B924,MSCI中国成分股!A:B,1,)</f>
        <v>#N/A</v>
      </c>
    </row>
    <row r="925" spans="1:6" ht="20.25" hidden="1" customHeight="1" x14ac:dyDescent="0.15">
      <c r="A925" s="2" t="s">
        <v>2066</v>
      </c>
      <c r="B925" s="2" t="s">
        <v>2067</v>
      </c>
      <c r="C925" s="2">
        <v>2.59</v>
      </c>
      <c r="D925" s="2">
        <v>3.7088000000000001</v>
      </c>
      <c r="E925" s="2" t="s">
        <v>2068</v>
      </c>
      <c r="F925" s="2" t="e">
        <f>VLOOKUP(B925,MSCI中国成分股!A:B,1,)</f>
        <v>#N/A</v>
      </c>
    </row>
    <row r="926" spans="1:6" ht="20.25" hidden="1" customHeight="1" x14ac:dyDescent="0.15">
      <c r="A926" s="2" t="s">
        <v>2069</v>
      </c>
      <c r="B926" s="2" t="s">
        <v>2070</v>
      </c>
      <c r="C926" s="2">
        <v>0.7</v>
      </c>
      <c r="D926" s="2">
        <v>0.28000000000000003</v>
      </c>
      <c r="E926" s="2" t="s">
        <v>1515</v>
      </c>
      <c r="F926" s="2" t="e">
        <f>VLOOKUP(B926,MSCI中国成分股!A:B,1,)</f>
        <v>#N/A</v>
      </c>
    </row>
    <row r="927" spans="1:6" ht="20.25" hidden="1" customHeight="1" x14ac:dyDescent="0.15">
      <c r="A927" s="2" t="s">
        <v>2071</v>
      </c>
      <c r="B927" s="2" t="s">
        <v>2072</v>
      </c>
      <c r="C927" s="2">
        <v>1.21</v>
      </c>
      <c r="D927" s="2">
        <v>0.33100000000000002</v>
      </c>
      <c r="E927" s="2" t="s">
        <v>897</v>
      </c>
      <c r="F927" s="2" t="e">
        <f>VLOOKUP(B927,MSCI中国成分股!A:B,1,)</f>
        <v>#N/A</v>
      </c>
    </row>
    <row r="928" spans="1:6" ht="20.25" hidden="1" customHeight="1" x14ac:dyDescent="0.15">
      <c r="A928" s="2" t="s">
        <v>2073</v>
      </c>
      <c r="B928" s="2" t="s">
        <v>2074</v>
      </c>
      <c r="C928" s="2">
        <v>0.86</v>
      </c>
      <c r="D928" s="2">
        <v>0.89329999999999998</v>
      </c>
      <c r="E928" s="2" t="s">
        <v>421</v>
      </c>
      <c r="F928" s="2" t="e">
        <f>VLOOKUP(B928,MSCI中国成分股!A:B,1,)</f>
        <v>#N/A</v>
      </c>
    </row>
    <row r="929" spans="1:6" ht="20.25" hidden="1" customHeight="1" x14ac:dyDescent="0.15">
      <c r="A929" s="2" t="s">
        <v>2075</v>
      </c>
      <c r="B929" s="2" t="s">
        <v>2076</v>
      </c>
      <c r="C929" s="2">
        <v>1.34</v>
      </c>
      <c r="D929" s="2">
        <v>1.335</v>
      </c>
      <c r="E929" s="2" t="s">
        <v>92</v>
      </c>
      <c r="F929" s="2" t="e">
        <f>VLOOKUP(B929,MSCI中国成分股!A:B,1,)</f>
        <v>#N/A</v>
      </c>
    </row>
    <row r="930" spans="1:6" ht="20.25" hidden="1" customHeight="1" x14ac:dyDescent="0.15">
      <c r="A930" s="2" t="s">
        <v>2077</v>
      </c>
      <c r="B930" s="2" t="s">
        <v>2078</v>
      </c>
      <c r="C930" s="2">
        <v>1.9</v>
      </c>
      <c r="D930" s="2">
        <v>1.3204</v>
      </c>
      <c r="E930" s="2" t="s">
        <v>185</v>
      </c>
      <c r="F930" s="2" t="e">
        <f>VLOOKUP(B930,MSCI中国成分股!A:B,1,)</f>
        <v>#N/A</v>
      </c>
    </row>
    <row r="931" spans="1:6" ht="20.25" hidden="1" customHeight="1" x14ac:dyDescent="0.15">
      <c r="A931" s="2" t="s">
        <v>2079</v>
      </c>
      <c r="B931" s="2" t="s">
        <v>2080</v>
      </c>
      <c r="C931" s="2">
        <v>-1.87</v>
      </c>
      <c r="D931" s="2">
        <v>69.951999999999998</v>
      </c>
      <c r="E931" s="2" t="s">
        <v>201</v>
      </c>
      <c r="F931" s="2" t="e">
        <f>VLOOKUP(B931,MSCI中国成分股!A:B,1,)</f>
        <v>#N/A</v>
      </c>
    </row>
    <row r="932" spans="1:6" ht="20.25" hidden="1" customHeight="1" x14ac:dyDescent="0.15">
      <c r="A932" s="2" t="s">
        <v>2081</v>
      </c>
      <c r="B932" s="2" t="s">
        <v>2082</v>
      </c>
      <c r="C932" s="2">
        <v>1.98</v>
      </c>
      <c r="D932" s="2">
        <v>0.48139999999999999</v>
      </c>
      <c r="E932" s="2" t="s">
        <v>171</v>
      </c>
      <c r="F932" s="2" t="e">
        <f>VLOOKUP(B932,MSCI中国成分股!A:B,1,)</f>
        <v>#N/A</v>
      </c>
    </row>
    <row r="933" spans="1:6" ht="20.25" hidden="1" customHeight="1" x14ac:dyDescent="0.15">
      <c r="A933" s="2" t="s">
        <v>2083</v>
      </c>
      <c r="B933" s="2" t="s">
        <v>2084</v>
      </c>
      <c r="C933" s="2">
        <v>3.05</v>
      </c>
      <c r="D933" s="2">
        <v>2.8835999999999999</v>
      </c>
      <c r="E933" s="2" t="s">
        <v>506</v>
      </c>
      <c r="F933" s="2" t="e">
        <f>VLOOKUP(B933,MSCI中国成分股!A:B,1,)</f>
        <v>#N/A</v>
      </c>
    </row>
    <row r="934" spans="1:6" ht="20.25" hidden="1" customHeight="1" x14ac:dyDescent="0.15">
      <c r="A934" s="2" t="s">
        <v>2085</v>
      </c>
      <c r="B934" s="2" t="s">
        <v>2086</v>
      </c>
      <c r="C934" s="2">
        <v>0.28000000000000003</v>
      </c>
      <c r="D934" s="2">
        <v>7.8600000000000003E-2</v>
      </c>
      <c r="E934" s="2" t="s">
        <v>220</v>
      </c>
      <c r="F934" s="2" t="e">
        <f>VLOOKUP(B934,MSCI中国成分股!A:B,1,)</f>
        <v>#N/A</v>
      </c>
    </row>
    <row r="935" spans="1:6" ht="20.25" hidden="1" customHeight="1" x14ac:dyDescent="0.15">
      <c r="A935" s="2" t="s">
        <v>2087</v>
      </c>
      <c r="B935" s="2" t="s">
        <v>2088</v>
      </c>
      <c r="C935" s="2">
        <v>0.87</v>
      </c>
      <c r="D935" s="2">
        <v>7.0404</v>
      </c>
      <c r="E935" s="2" t="s">
        <v>385</v>
      </c>
      <c r="F935" s="2" t="e">
        <f>VLOOKUP(B935,MSCI中国成分股!A:B,1,)</f>
        <v>#N/A</v>
      </c>
    </row>
    <row r="936" spans="1:6" ht="20.25" hidden="1" customHeight="1" x14ac:dyDescent="0.15">
      <c r="A936" s="2" t="s">
        <v>2089</v>
      </c>
      <c r="B936" s="2" t="s">
        <v>2090</v>
      </c>
      <c r="C936" s="2">
        <v>0</v>
      </c>
      <c r="D936" s="2">
        <v>9.5607000000000006</v>
      </c>
      <c r="E936" s="2" t="s">
        <v>418</v>
      </c>
      <c r="F936" s="2" t="e">
        <f>VLOOKUP(B936,MSCI中国成分股!A:B,1,)</f>
        <v>#N/A</v>
      </c>
    </row>
    <row r="937" spans="1:6" ht="20.25" hidden="1" customHeight="1" x14ac:dyDescent="0.15">
      <c r="A937" s="2" t="s">
        <v>2091</v>
      </c>
      <c r="B937" s="2" t="s">
        <v>2092</v>
      </c>
      <c r="C937" s="2">
        <v>1.33</v>
      </c>
      <c r="D937" s="2">
        <v>34.499200000000002</v>
      </c>
      <c r="E937" s="2" t="s">
        <v>140</v>
      </c>
      <c r="F937" s="2" t="e">
        <f>VLOOKUP(B937,MSCI中国成分股!A:B,1,)</f>
        <v>#N/A</v>
      </c>
    </row>
    <row r="938" spans="1:6" ht="20.25" hidden="1" customHeight="1" x14ac:dyDescent="0.15">
      <c r="A938" s="2" t="s">
        <v>2093</v>
      </c>
      <c r="B938" s="2" t="s">
        <v>2094</v>
      </c>
      <c r="C938" s="2">
        <v>1.26</v>
      </c>
      <c r="D938" s="2">
        <v>0.72270000000000001</v>
      </c>
      <c r="E938" s="2" t="s">
        <v>633</v>
      </c>
      <c r="F938" s="2" t="e">
        <f>VLOOKUP(B938,MSCI中国成分股!A:B,1,)</f>
        <v>#N/A</v>
      </c>
    </row>
    <row r="939" spans="1:6" ht="20.25" hidden="1" customHeight="1" x14ac:dyDescent="0.15">
      <c r="A939" s="2" t="s">
        <v>2095</v>
      </c>
      <c r="B939" s="2" t="s">
        <v>2096</v>
      </c>
      <c r="C939" s="2">
        <v>5.37</v>
      </c>
      <c r="D939" s="2">
        <v>2.2823000000000002</v>
      </c>
      <c r="E939" s="2" t="s">
        <v>647</v>
      </c>
      <c r="F939" s="2" t="e">
        <f>VLOOKUP(B939,MSCI中国成分股!A:B,1,)</f>
        <v>#N/A</v>
      </c>
    </row>
    <row r="940" spans="1:6" ht="20.25" hidden="1" customHeight="1" x14ac:dyDescent="0.15">
      <c r="A940" s="2" t="s">
        <v>2097</v>
      </c>
      <c r="B940" s="2" t="s">
        <v>2098</v>
      </c>
      <c r="C940" s="2">
        <v>3.75</v>
      </c>
      <c r="D940" s="2">
        <v>0.85609999999999997</v>
      </c>
      <c r="E940" s="2" t="s">
        <v>787</v>
      </c>
      <c r="F940" s="2" t="e">
        <f>VLOOKUP(B940,MSCI中国成分股!A:B,1,)</f>
        <v>#N/A</v>
      </c>
    </row>
    <row r="941" spans="1:6" ht="20.25" hidden="1" customHeight="1" x14ac:dyDescent="0.15">
      <c r="A941" s="2" t="s">
        <v>2099</v>
      </c>
      <c r="B941" s="2" t="s">
        <v>2100</v>
      </c>
      <c r="C941" s="2">
        <v>1.23</v>
      </c>
      <c r="D941" s="2">
        <v>1.1508</v>
      </c>
      <c r="E941" s="2" t="s">
        <v>120</v>
      </c>
      <c r="F941" s="2" t="e">
        <f>VLOOKUP(B941,MSCI中国成分股!A:B,1,)</f>
        <v>#N/A</v>
      </c>
    </row>
    <row r="942" spans="1:6" ht="20.25" hidden="1" customHeight="1" x14ac:dyDescent="0.15">
      <c r="A942" s="2" t="s">
        <v>2101</v>
      </c>
      <c r="B942" s="2" t="s">
        <v>2102</v>
      </c>
      <c r="C942" s="2">
        <v>0.66</v>
      </c>
      <c r="D942" s="2">
        <v>2.1000000000000001E-2</v>
      </c>
      <c r="E942" s="2" t="s">
        <v>193</v>
      </c>
      <c r="F942" s="2" t="e">
        <f>VLOOKUP(B942,MSCI中国成分股!A:B,1,)</f>
        <v>#N/A</v>
      </c>
    </row>
    <row r="943" spans="1:6" ht="20.25" hidden="1" customHeight="1" x14ac:dyDescent="0.15">
      <c r="A943" s="2" t="s">
        <v>2103</v>
      </c>
      <c r="B943" s="2" t="s">
        <v>2104</v>
      </c>
      <c r="C943" s="2">
        <v>0.5</v>
      </c>
      <c r="D943" s="2">
        <v>1.2724</v>
      </c>
      <c r="E943" s="2" t="s">
        <v>81</v>
      </c>
      <c r="F943" s="2" t="e">
        <f>VLOOKUP(B943,MSCI中国成分股!A:B,1,)</f>
        <v>#N/A</v>
      </c>
    </row>
    <row r="944" spans="1:6" ht="20.25" hidden="1" customHeight="1" x14ac:dyDescent="0.15">
      <c r="A944" s="2" t="s">
        <v>2105</v>
      </c>
      <c r="B944" s="2" t="s">
        <v>2106</v>
      </c>
      <c r="C944" s="2">
        <v>4.6449999999999996</v>
      </c>
      <c r="D944" s="2">
        <v>3.1145</v>
      </c>
      <c r="E944" s="2" t="s">
        <v>1853</v>
      </c>
      <c r="F944" s="2" t="e">
        <f>VLOOKUP(B944,MSCI中国成分股!A:B,1,)</f>
        <v>#N/A</v>
      </c>
    </row>
    <row r="945" spans="1:6" ht="20.25" hidden="1" customHeight="1" x14ac:dyDescent="0.15">
      <c r="A945" s="2" t="s">
        <v>2107</v>
      </c>
      <c r="B945" s="2" t="s">
        <v>2108</v>
      </c>
      <c r="C945" s="2">
        <v>1.65</v>
      </c>
      <c r="D945" s="2">
        <v>0.38929999999999998</v>
      </c>
      <c r="E945" s="2" t="s">
        <v>41</v>
      </c>
      <c r="F945" s="2" t="e">
        <f>VLOOKUP(B945,MSCI中国成分股!A:B,1,)</f>
        <v>#N/A</v>
      </c>
    </row>
    <row r="946" spans="1:6" ht="20.25" hidden="1" customHeight="1" x14ac:dyDescent="0.15">
      <c r="A946" s="2" t="s">
        <v>2109</v>
      </c>
      <c r="B946" s="2" t="s">
        <v>2110</v>
      </c>
      <c r="C946" s="2">
        <v>1.69</v>
      </c>
      <c r="D946" s="2">
        <v>49.516500000000001</v>
      </c>
      <c r="E946" s="2" t="s">
        <v>143</v>
      </c>
      <c r="F946" s="2" t="e">
        <f>VLOOKUP(B946,MSCI中国成分股!A:B,1,)</f>
        <v>#N/A</v>
      </c>
    </row>
    <row r="947" spans="1:6" ht="20.25" hidden="1" customHeight="1" x14ac:dyDescent="0.15">
      <c r="A947" s="2" t="s">
        <v>2111</v>
      </c>
      <c r="B947" s="2" t="s">
        <v>2112</v>
      </c>
      <c r="C947" s="2">
        <v>0.19</v>
      </c>
      <c r="D947" s="2">
        <v>6.6632999999999996</v>
      </c>
      <c r="E947" s="2" t="s">
        <v>299</v>
      </c>
      <c r="F947" s="2" t="e">
        <f>VLOOKUP(B947,MSCI中国成分股!A:B,1,)</f>
        <v>#N/A</v>
      </c>
    </row>
    <row r="948" spans="1:6" ht="20.25" hidden="1" customHeight="1" x14ac:dyDescent="0.15">
      <c r="A948" s="2" t="s">
        <v>2113</v>
      </c>
      <c r="B948" s="2" t="s">
        <v>2114</v>
      </c>
      <c r="C948" s="2">
        <v>0.08</v>
      </c>
      <c r="D948" s="2">
        <v>0.69489999999999996</v>
      </c>
      <c r="E948" s="2" t="s">
        <v>690</v>
      </c>
      <c r="F948" s="2" t="e">
        <f>VLOOKUP(B948,MSCI中国成分股!A:B,1,)</f>
        <v>#N/A</v>
      </c>
    </row>
    <row r="949" spans="1:6" ht="20.25" hidden="1" customHeight="1" x14ac:dyDescent="0.15">
      <c r="A949" s="2" t="s">
        <v>2115</v>
      </c>
      <c r="B949" s="2" t="s">
        <v>2116</v>
      </c>
      <c r="C949" s="2">
        <v>2.95</v>
      </c>
      <c r="D949" s="2">
        <v>1.9718</v>
      </c>
      <c r="E949" s="2" t="s">
        <v>21</v>
      </c>
      <c r="F949" s="2" t="e">
        <f>VLOOKUP(B949,MSCI中国成分股!A:B,1,)</f>
        <v>#N/A</v>
      </c>
    </row>
    <row r="950" spans="1:6" ht="20.25" hidden="1" customHeight="1" x14ac:dyDescent="0.15">
      <c r="A950" s="2" t="s">
        <v>2117</v>
      </c>
      <c r="B950" s="2" t="s">
        <v>2118</v>
      </c>
      <c r="C950" s="2">
        <v>1.42</v>
      </c>
      <c r="D950" s="2">
        <v>2.1425999999999998</v>
      </c>
      <c r="E950" s="2" t="s">
        <v>44</v>
      </c>
      <c r="F950" s="2" t="e">
        <f>VLOOKUP(B950,MSCI中国成分股!A:B,1,)</f>
        <v>#N/A</v>
      </c>
    </row>
    <row r="951" spans="1:6" ht="20.25" hidden="1" customHeight="1" x14ac:dyDescent="0.15">
      <c r="A951" s="2" t="s">
        <v>2119</v>
      </c>
      <c r="B951" s="2" t="s">
        <v>2120</v>
      </c>
      <c r="C951" s="2">
        <v>3.93</v>
      </c>
      <c r="D951" s="2">
        <v>15.0901</v>
      </c>
      <c r="E951" s="2" t="s">
        <v>647</v>
      </c>
      <c r="F951" s="2" t="e">
        <f>VLOOKUP(B951,MSCI中国成分股!A:B,1,)</f>
        <v>#N/A</v>
      </c>
    </row>
    <row r="952" spans="1:6" ht="20.25" hidden="1" customHeight="1" x14ac:dyDescent="0.15">
      <c r="A952" s="2" t="s">
        <v>2121</v>
      </c>
      <c r="B952" s="2" t="s">
        <v>2122</v>
      </c>
      <c r="C952" s="2">
        <v>1.23</v>
      </c>
      <c r="D952" s="2">
        <v>15.689299999999999</v>
      </c>
      <c r="E952" s="2" t="s">
        <v>44</v>
      </c>
      <c r="F952" s="2" t="e">
        <f>VLOOKUP(B952,MSCI中国成分股!A:B,1,)</f>
        <v>#N/A</v>
      </c>
    </row>
    <row r="953" spans="1:6" ht="20.25" hidden="1" customHeight="1" x14ac:dyDescent="0.15">
      <c r="A953" s="2" t="s">
        <v>2123</v>
      </c>
      <c r="B953" s="2" t="s">
        <v>2124</v>
      </c>
      <c r="C953" s="2">
        <v>0.75</v>
      </c>
      <c r="D953" s="2">
        <v>3.7267000000000001</v>
      </c>
      <c r="E953" s="2" t="s">
        <v>220</v>
      </c>
      <c r="F953" s="2" t="e">
        <f>VLOOKUP(B953,MSCI中国成分股!A:B,1,)</f>
        <v>#N/A</v>
      </c>
    </row>
    <row r="954" spans="1:6" ht="20.25" hidden="1" customHeight="1" x14ac:dyDescent="0.15">
      <c r="A954" s="2" t="s">
        <v>2125</v>
      </c>
      <c r="B954" s="2" t="s">
        <v>2126</v>
      </c>
      <c r="C954" s="2">
        <v>1.1399999999999999</v>
      </c>
      <c r="D954" s="2">
        <v>11.052</v>
      </c>
      <c r="E954" s="2" t="s">
        <v>421</v>
      </c>
      <c r="F954" s="2" t="e">
        <f>VLOOKUP(B954,MSCI中国成分股!A:B,1,)</f>
        <v>#N/A</v>
      </c>
    </row>
    <row r="955" spans="1:6" ht="20.25" hidden="1" customHeight="1" x14ac:dyDescent="0.15">
      <c r="A955" s="2" t="s">
        <v>2127</v>
      </c>
      <c r="B955" s="2" t="s">
        <v>2128</v>
      </c>
      <c r="C955" s="2">
        <v>1.22</v>
      </c>
      <c r="D955" s="2">
        <v>0.94779999999999998</v>
      </c>
      <c r="E955" s="2" t="s">
        <v>365</v>
      </c>
      <c r="F955" s="2" t="e">
        <f>VLOOKUP(B955,MSCI中国成分股!A:B,1,)</f>
        <v>#N/A</v>
      </c>
    </row>
    <row r="956" spans="1:6" ht="20.25" hidden="1" customHeight="1" x14ac:dyDescent="0.15">
      <c r="A956" s="2" t="s">
        <v>2129</v>
      </c>
      <c r="B956" s="2" t="s">
        <v>2130</v>
      </c>
      <c r="C956" s="2">
        <v>1.1399999999999999</v>
      </c>
      <c r="D956" s="2">
        <v>0.94120000000000004</v>
      </c>
      <c r="E956" s="2" t="s">
        <v>747</v>
      </c>
      <c r="F956" s="2" t="e">
        <f>VLOOKUP(B956,MSCI中国成分股!A:B,1,)</f>
        <v>#N/A</v>
      </c>
    </row>
    <row r="957" spans="1:6" ht="20.25" hidden="1" customHeight="1" x14ac:dyDescent="0.15">
      <c r="A957" s="2" t="s">
        <v>2131</v>
      </c>
      <c r="B957" s="2" t="s">
        <v>2132</v>
      </c>
      <c r="C957" s="2">
        <v>1.5</v>
      </c>
      <c r="D957" s="2">
        <v>3.0834000000000001</v>
      </c>
      <c r="E957" s="2" t="s">
        <v>137</v>
      </c>
      <c r="F957" s="2" t="e">
        <f>VLOOKUP(B957,MSCI中国成分股!A:B,1,)</f>
        <v>#N/A</v>
      </c>
    </row>
    <row r="958" spans="1:6" ht="20.25" hidden="1" customHeight="1" x14ac:dyDescent="0.15">
      <c r="A958" s="2" t="s">
        <v>2133</v>
      </c>
      <c r="B958" s="2" t="s">
        <v>2134</v>
      </c>
      <c r="C958" s="2">
        <v>1.89</v>
      </c>
      <c r="D958" s="2">
        <v>2.3102999999999998</v>
      </c>
      <c r="E958" s="2" t="s">
        <v>621</v>
      </c>
      <c r="F958" s="2" t="e">
        <f>VLOOKUP(B958,MSCI中国成分股!A:B,1,)</f>
        <v>#N/A</v>
      </c>
    </row>
    <row r="959" spans="1:6" ht="20.25" hidden="1" customHeight="1" x14ac:dyDescent="0.15">
      <c r="A959" s="2" t="s">
        <v>2135</v>
      </c>
      <c r="B959" s="2" t="s">
        <v>2136</v>
      </c>
      <c r="C959" s="2">
        <v>1.05</v>
      </c>
      <c r="D959" s="2">
        <v>0.67330000000000001</v>
      </c>
      <c r="E959" s="2" t="s">
        <v>916</v>
      </c>
      <c r="F959" s="2" t="e">
        <f>VLOOKUP(B959,MSCI中国成分股!A:B,1,)</f>
        <v>#N/A</v>
      </c>
    </row>
    <row r="960" spans="1:6" ht="20.25" hidden="1" customHeight="1" x14ac:dyDescent="0.15">
      <c r="A960" s="2" t="s">
        <v>2137</v>
      </c>
      <c r="B960" s="2" t="s">
        <v>2138</v>
      </c>
      <c r="C960" s="2">
        <v>2.33</v>
      </c>
      <c r="D960" s="2">
        <v>1.0213000000000001</v>
      </c>
      <c r="E960" s="2" t="s">
        <v>359</v>
      </c>
      <c r="F960" s="2" t="e">
        <f>VLOOKUP(B960,MSCI中国成分股!A:B,1,)</f>
        <v>#N/A</v>
      </c>
    </row>
    <row r="961" spans="1:6" ht="20.25" hidden="1" customHeight="1" x14ac:dyDescent="0.15">
      <c r="A961" s="2" t="s">
        <v>2139</v>
      </c>
      <c r="B961" s="2" t="s">
        <v>2140</v>
      </c>
      <c r="C961" s="2">
        <v>2.88</v>
      </c>
      <c r="D961" s="2">
        <v>27.264299999999999</v>
      </c>
      <c r="E961" s="2" t="s">
        <v>1420</v>
      </c>
      <c r="F961" s="2" t="e">
        <f>VLOOKUP(B961,MSCI中国成分股!A:B,1,)</f>
        <v>#N/A</v>
      </c>
    </row>
    <row r="962" spans="1:6" ht="20.25" hidden="1" customHeight="1" x14ac:dyDescent="0.15">
      <c r="A962" s="2" t="s">
        <v>2141</v>
      </c>
      <c r="B962" s="2" t="s">
        <v>2142</v>
      </c>
      <c r="C962" s="2">
        <v>1.27</v>
      </c>
      <c r="D962" s="2">
        <v>2.1698</v>
      </c>
      <c r="E962" s="2" t="s">
        <v>630</v>
      </c>
      <c r="F962" s="2" t="e">
        <f>VLOOKUP(B962,MSCI中国成分股!A:B,1,)</f>
        <v>#N/A</v>
      </c>
    </row>
    <row r="963" spans="1:6" ht="20.25" hidden="1" customHeight="1" x14ac:dyDescent="0.15">
      <c r="A963" s="2" t="s">
        <v>2143</v>
      </c>
      <c r="B963" s="2" t="s">
        <v>2144</v>
      </c>
      <c r="C963" s="2">
        <v>1.93</v>
      </c>
      <c r="D963" s="2">
        <v>3.9937</v>
      </c>
      <c r="E963" s="2" t="s">
        <v>747</v>
      </c>
      <c r="F963" s="2" t="e">
        <f>VLOOKUP(B963,MSCI中国成分股!A:B,1,)</f>
        <v>#N/A</v>
      </c>
    </row>
    <row r="964" spans="1:6" ht="20.25" hidden="1" customHeight="1" x14ac:dyDescent="0.15">
      <c r="A964" s="2" t="s">
        <v>2145</v>
      </c>
      <c r="B964" s="2" t="s">
        <v>2146</v>
      </c>
      <c r="C964" s="2">
        <v>6.12</v>
      </c>
      <c r="D964" s="2">
        <v>106.0005</v>
      </c>
      <c r="E964" s="2" t="s">
        <v>60</v>
      </c>
      <c r="F964" s="2" t="e">
        <f>VLOOKUP(B964,MSCI中国成分股!A:B,1,)</f>
        <v>#N/A</v>
      </c>
    </row>
    <row r="965" spans="1:6" ht="20.25" hidden="1" customHeight="1" x14ac:dyDescent="0.15">
      <c r="A965" s="2" t="s">
        <v>2147</v>
      </c>
      <c r="B965" s="2" t="s">
        <v>2148</v>
      </c>
      <c r="C965" s="2">
        <v>0.47</v>
      </c>
      <c r="D965" s="2">
        <v>0.55400000000000005</v>
      </c>
      <c r="E965" s="2" t="s">
        <v>699</v>
      </c>
      <c r="F965" s="2" t="e">
        <f>VLOOKUP(B965,MSCI中国成分股!A:B,1,)</f>
        <v>#N/A</v>
      </c>
    </row>
    <row r="966" spans="1:6" ht="20.25" hidden="1" customHeight="1" x14ac:dyDescent="0.15">
      <c r="A966" s="2" t="s">
        <v>2149</v>
      </c>
      <c r="B966" s="2" t="s">
        <v>2150</v>
      </c>
      <c r="C966" s="2">
        <v>1.93</v>
      </c>
      <c r="D966" s="2">
        <v>0.99529999999999996</v>
      </c>
      <c r="E966" s="2" t="s">
        <v>2151</v>
      </c>
      <c r="F966" s="2" t="e">
        <f>VLOOKUP(B966,MSCI中国成分股!A:B,1,)</f>
        <v>#N/A</v>
      </c>
    </row>
    <row r="967" spans="1:6" ht="20.25" hidden="1" customHeight="1" x14ac:dyDescent="0.15">
      <c r="A967" s="2" t="s">
        <v>2152</v>
      </c>
      <c r="B967" s="2" t="s">
        <v>2153</v>
      </c>
      <c r="C967" s="2">
        <v>7.125</v>
      </c>
      <c r="D967" s="2">
        <v>321.76609999999999</v>
      </c>
      <c r="E967" s="2" t="s">
        <v>374</v>
      </c>
      <c r="F967" s="2" t="e">
        <f>VLOOKUP(B967,MSCI中国成分股!A:B,1,)</f>
        <v>#N/A</v>
      </c>
    </row>
    <row r="968" spans="1:6" ht="20.25" hidden="1" customHeight="1" x14ac:dyDescent="0.15">
      <c r="A968" s="2" t="s">
        <v>2154</v>
      </c>
      <c r="B968" s="2" t="s">
        <v>2155</v>
      </c>
      <c r="C968" s="2">
        <v>0.62</v>
      </c>
      <c r="D968" s="2">
        <v>1.7563</v>
      </c>
      <c r="E968" s="2" t="s">
        <v>81</v>
      </c>
      <c r="F968" s="2" t="e">
        <f>VLOOKUP(B968,MSCI中国成分股!A:B,1,)</f>
        <v>#N/A</v>
      </c>
    </row>
    <row r="969" spans="1:6" ht="20.25" hidden="1" customHeight="1" x14ac:dyDescent="0.15">
      <c r="A969" s="2" t="s">
        <v>2156</v>
      </c>
      <c r="B969" s="2" t="s">
        <v>2157</v>
      </c>
      <c r="C969" s="2">
        <v>4.4249999999999998</v>
      </c>
      <c r="D969" s="2">
        <v>1.5279</v>
      </c>
      <c r="E969" s="2" t="s">
        <v>1486</v>
      </c>
      <c r="F969" s="2" t="e">
        <f>VLOOKUP(B969,MSCI中国成分股!A:B,1,)</f>
        <v>#N/A</v>
      </c>
    </row>
    <row r="970" spans="1:6" ht="20.25" hidden="1" customHeight="1" x14ac:dyDescent="0.15">
      <c r="A970" s="2" t="s">
        <v>2158</v>
      </c>
      <c r="B970" s="2" t="s">
        <v>2159</v>
      </c>
      <c r="C970" s="2">
        <v>-1.76</v>
      </c>
      <c r="D970" s="2">
        <v>4.2087000000000003</v>
      </c>
      <c r="E970" s="2" t="s">
        <v>228</v>
      </c>
      <c r="F970" s="2" t="e">
        <f>VLOOKUP(B970,MSCI中国成分股!A:B,1,)</f>
        <v>#N/A</v>
      </c>
    </row>
    <row r="971" spans="1:6" ht="20.25" hidden="1" customHeight="1" x14ac:dyDescent="0.15">
      <c r="A971" s="2" t="s">
        <v>2160</v>
      </c>
      <c r="B971" s="2" t="s">
        <v>2161</v>
      </c>
      <c r="C971" s="2">
        <v>3.82</v>
      </c>
      <c r="D971" s="2">
        <v>1.6867000000000001</v>
      </c>
      <c r="E971" s="2" t="s">
        <v>406</v>
      </c>
      <c r="F971" s="2" t="e">
        <f>VLOOKUP(B971,MSCI中国成分股!A:B,1,)</f>
        <v>#N/A</v>
      </c>
    </row>
    <row r="972" spans="1:6" ht="20.25" hidden="1" customHeight="1" x14ac:dyDescent="0.15">
      <c r="A972" s="2" t="s">
        <v>2162</v>
      </c>
      <c r="B972" s="2" t="s">
        <v>2163</v>
      </c>
      <c r="C972" s="2">
        <v>3.82</v>
      </c>
      <c r="D972" s="2">
        <v>24.6754</v>
      </c>
      <c r="E972" s="2" t="s">
        <v>374</v>
      </c>
      <c r="F972" s="2" t="e">
        <f>VLOOKUP(B972,MSCI中国成分股!A:B,1,)</f>
        <v>#N/A</v>
      </c>
    </row>
    <row r="973" spans="1:6" ht="20.25" hidden="1" customHeight="1" x14ac:dyDescent="0.15">
      <c r="A973" s="2" t="s">
        <v>2164</v>
      </c>
      <c r="B973" s="2" t="s">
        <v>2165</v>
      </c>
      <c r="C973" s="2">
        <v>2.69</v>
      </c>
      <c r="D973" s="2">
        <v>23.006399999999999</v>
      </c>
      <c r="E973" s="2" t="s">
        <v>140</v>
      </c>
      <c r="F973" s="2" t="e">
        <f>VLOOKUP(B973,MSCI中国成分股!A:B,1,)</f>
        <v>#N/A</v>
      </c>
    </row>
    <row r="974" spans="1:6" ht="20.25" hidden="1" customHeight="1" x14ac:dyDescent="0.15">
      <c r="A974" s="2" t="s">
        <v>2166</v>
      </c>
      <c r="B974" s="2" t="s">
        <v>2167</v>
      </c>
      <c r="C974" s="2">
        <v>0.81</v>
      </c>
      <c r="D974" s="2">
        <v>6.9885999999999999</v>
      </c>
      <c r="E974" s="2" t="s">
        <v>409</v>
      </c>
      <c r="F974" s="2" t="e">
        <f>VLOOKUP(B974,MSCI中国成分股!A:B,1,)</f>
        <v>#N/A</v>
      </c>
    </row>
    <row r="975" spans="1:6" ht="20.25" hidden="1" customHeight="1" x14ac:dyDescent="0.15">
      <c r="A975" s="2" t="s">
        <v>2168</v>
      </c>
      <c r="B975" s="2" t="s">
        <v>2169</v>
      </c>
      <c r="C975" s="2">
        <v>6.45</v>
      </c>
      <c r="D975" s="2">
        <v>4.5053999999999998</v>
      </c>
      <c r="E975" s="2" t="s">
        <v>1774</v>
      </c>
      <c r="F975" s="2" t="e">
        <f>VLOOKUP(B975,MSCI中国成分股!A:B,1,)</f>
        <v>#N/A</v>
      </c>
    </row>
    <row r="976" spans="1:6" ht="20.25" hidden="1" customHeight="1" x14ac:dyDescent="0.15">
      <c r="A976" s="2" t="s">
        <v>2170</v>
      </c>
      <c r="B976" s="2" t="s">
        <v>2171</v>
      </c>
      <c r="C976" s="2">
        <v>4.78</v>
      </c>
      <c r="D976" s="2">
        <v>2.8871000000000002</v>
      </c>
      <c r="E976" s="2" t="s">
        <v>690</v>
      </c>
      <c r="F976" s="2" t="e">
        <f>VLOOKUP(B976,MSCI中国成分股!A:B,1,)</f>
        <v>#N/A</v>
      </c>
    </row>
    <row r="977" spans="1:6" ht="20.25" hidden="1" customHeight="1" x14ac:dyDescent="0.15">
      <c r="A977" s="2" t="s">
        <v>2172</v>
      </c>
      <c r="B977" s="2" t="s">
        <v>2173</v>
      </c>
      <c r="C977" s="2">
        <v>3.53</v>
      </c>
      <c r="D977" s="2">
        <v>1.1072</v>
      </c>
      <c r="E977" s="2" t="s">
        <v>140</v>
      </c>
      <c r="F977" s="2" t="e">
        <f>VLOOKUP(B977,MSCI中国成分股!A:B,1,)</f>
        <v>#N/A</v>
      </c>
    </row>
    <row r="978" spans="1:6" ht="20.25" hidden="1" customHeight="1" x14ac:dyDescent="0.15">
      <c r="A978" s="2" t="s">
        <v>2174</v>
      </c>
      <c r="B978" s="2" t="s">
        <v>2175</v>
      </c>
      <c r="C978" s="2">
        <v>1.44</v>
      </c>
      <c r="D978" s="2">
        <v>3.1625000000000001</v>
      </c>
      <c r="E978" s="2" t="s">
        <v>724</v>
      </c>
      <c r="F978" s="2" t="e">
        <f>VLOOKUP(B978,MSCI中国成分股!A:B,1,)</f>
        <v>#N/A</v>
      </c>
    </row>
    <row r="979" spans="1:6" ht="20.25" hidden="1" customHeight="1" x14ac:dyDescent="0.15">
      <c r="A979" s="2" t="s">
        <v>2176</v>
      </c>
      <c r="B979" s="2" t="s">
        <v>2177</v>
      </c>
      <c r="C979" s="2">
        <v>1.72</v>
      </c>
      <c r="D979" s="2">
        <v>21.4879</v>
      </c>
      <c r="E979" s="2" t="s">
        <v>1774</v>
      </c>
      <c r="F979" s="2" t="e">
        <f>VLOOKUP(B979,MSCI中国成分股!A:B,1,)</f>
        <v>#N/A</v>
      </c>
    </row>
    <row r="980" spans="1:6" ht="20.25" hidden="1" customHeight="1" x14ac:dyDescent="0.15">
      <c r="A980" s="2" t="s">
        <v>2178</v>
      </c>
      <c r="B980" s="2" t="s">
        <v>2179</v>
      </c>
      <c r="C980" s="2">
        <v>0.78</v>
      </c>
      <c r="D980" s="2">
        <v>0.3876</v>
      </c>
      <c r="E980" s="2" t="s">
        <v>276</v>
      </c>
      <c r="F980" s="2" t="e">
        <f>VLOOKUP(B980,MSCI中国成分股!A:B,1,)</f>
        <v>#N/A</v>
      </c>
    </row>
    <row r="981" spans="1:6" ht="20.25" hidden="1" customHeight="1" x14ac:dyDescent="0.15">
      <c r="A981" s="2" t="s">
        <v>2180</v>
      </c>
      <c r="B981" s="2" t="s">
        <v>2181</v>
      </c>
      <c r="C981" s="2">
        <v>1.25</v>
      </c>
      <c r="D981" s="2">
        <v>18.491199999999999</v>
      </c>
      <c r="E981" s="2" t="s">
        <v>265</v>
      </c>
      <c r="F981" s="2" t="e">
        <f>VLOOKUP(B981,MSCI中国成分股!A:B,1,)</f>
        <v>#N/A</v>
      </c>
    </row>
    <row r="982" spans="1:6" ht="20.25" hidden="1" customHeight="1" x14ac:dyDescent="0.15">
      <c r="A982" s="2" t="s">
        <v>2182</v>
      </c>
      <c r="B982" s="2" t="s">
        <v>2183</v>
      </c>
      <c r="C982" s="2">
        <v>2.2400000000000002</v>
      </c>
      <c r="D982" s="2">
        <v>0.55189999999999995</v>
      </c>
      <c r="E982" s="2" t="s">
        <v>143</v>
      </c>
      <c r="F982" s="2" t="e">
        <f>VLOOKUP(B982,MSCI中国成分股!A:B,1,)</f>
        <v>#N/A</v>
      </c>
    </row>
    <row r="983" spans="1:6" ht="20.25" hidden="1" customHeight="1" x14ac:dyDescent="0.15">
      <c r="A983" s="2" t="s">
        <v>2184</v>
      </c>
      <c r="B983" s="2" t="s">
        <v>2185</v>
      </c>
      <c r="C983" s="2">
        <v>0.99</v>
      </c>
      <c r="D983" s="2">
        <v>1.2484</v>
      </c>
      <c r="E983" s="2" t="s">
        <v>1680</v>
      </c>
      <c r="F983" s="2" t="e">
        <f>VLOOKUP(B983,MSCI中国成分股!A:B,1,)</f>
        <v>#N/A</v>
      </c>
    </row>
    <row r="984" spans="1:6" ht="20.25" hidden="1" customHeight="1" x14ac:dyDescent="0.15">
      <c r="A984" s="2" t="s">
        <v>2186</v>
      </c>
      <c r="B984" s="2" t="s">
        <v>2187</v>
      </c>
      <c r="C984" s="2">
        <v>5.83</v>
      </c>
      <c r="D984" s="2">
        <v>1.3213999999999999</v>
      </c>
      <c r="E984" s="2" t="s">
        <v>1820</v>
      </c>
      <c r="F984" s="2" t="e">
        <f>VLOOKUP(B984,MSCI中国成分股!A:B,1,)</f>
        <v>#N/A</v>
      </c>
    </row>
    <row r="985" spans="1:6" ht="20.25" hidden="1" customHeight="1" x14ac:dyDescent="0.15">
      <c r="A985" s="2" t="s">
        <v>2188</v>
      </c>
      <c r="B985" s="2" t="s">
        <v>2189</v>
      </c>
      <c r="C985" s="2">
        <v>-0.09</v>
      </c>
      <c r="D985" s="2">
        <v>0.71799999999999997</v>
      </c>
      <c r="E985" s="2" t="s">
        <v>271</v>
      </c>
      <c r="F985" s="2" t="e">
        <f>VLOOKUP(B985,MSCI中国成分股!A:B,1,)</f>
        <v>#N/A</v>
      </c>
    </row>
    <row r="986" spans="1:6" ht="20.25" hidden="1" customHeight="1" x14ac:dyDescent="0.15">
      <c r="A986" s="2" t="s">
        <v>2190</v>
      </c>
      <c r="B986" s="2" t="s">
        <v>2191</v>
      </c>
      <c r="C986" s="2">
        <v>1.18</v>
      </c>
      <c r="D986" s="2">
        <v>0.79239999999999999</v>
      </c>
      <c r="E986" s="2" t="s">
        <v>299</v>
      </c>
      <c r="F986" s="2" t="e">
        <f>VLOOKUP(B986,MSCI中国成分股!A:B,1,)</f>
        <v>#N/A</v>
      </c>
    </row>
    <row r="987" spans="1:6" ht="20.25" hidden="1" customHeight="1" x14ac:dyDescent="0.15">
      <c r="A987" s="2" t="s">
        <v>2192</v>
      </c>
      <c r="B987" s="2" t="s">
        <v>2193</v>
      </c>
      <c r="C987" s="2">
        <v>1.27</v>
      </c>
      <c r="D987" s="2">
        <v>15.8271</v>
      </c>
      <c r="E987" s="2" t="s">
        <v>140</v>
      </c>
      <c r="F987" s="2" t="e">
        <f>VLOOKUP(B987,MSCI中国成分股!A:B,1,)</f>
        <v>#N/A</v>
      </c>
    </row>
    <row r="988" spans="1:6" ht="20.25" hidden="1" customHeight="1" x14ac:dyDescent="0.15">
      <c r="A988" s="2" t="s">
        <v>2194</v>
      </c>
      <c r="B988" s="2" t="s">
        <v>2195</v>
      </c>
      <c r="C988" s="2">
        <v>0</v>
      </c>
      <c r="D988" s="2">
        <v>0.36559999999999998</v>
      </c>
      <c r="E988" s="2" t="s">
        <v>100</v>
      </c>
      <c r="F988" s="2" t="e">
        <f>VLOOKUP(B988,MSCI中国成分股!A:B,1,)</f>
        <v>#N/A</v>
      </c>
    </row>
    <row r="989" spans="1:6" ht="20.25" hidden="1" customHeight="1" x14ac:dyDescent="0.15">
      <c r="A989" s="2" t="s">
        <v>2196</v>
      </c>
      <c r="B989" s="2" t="s">
        <v>2197</v>
      </c>
      <c r="C989" s="2">
        <v>0.8</v>
      </c>
      <c r="D989" s="2">
        <v>0.13170000000000001</v>
      </c>
      <c r="E989" s="2" t="s">
        <v>699</v>
      </c>
      <c r="F989" s="2" t="e">
        <f>VLOOKUP(B989,MSCI中国成分股!A:B,1,)</f>
        <v>#N/A</v>
      </c>
    </row>
    <row r="990" spans="1:6" ht="20.25" hidden="1" customHeight="1" x14ac:dyDescent="0.15">
      <c r="A990" s="2" t="s">
        <v>2198</v>
      </c>
      <c r="B990" s="2" t="s">
        <v>2199</v>
      </c>
      <c r="C990" s="2">
        <v>0.52</v>
      </c>
      <c r="D990" s="2">
        <v>1.3746</v>
      </c>
      <c r="E990" s="2" t="s">
        <v>89</v>
      </c>
      <c r="F990" s="2" t="e">
        <f>VLOOKUP(B990,MSCI中国成分股!A:B,1,)</f>
        <v>#N/A</v>
      </c>
    </row>
    <row r="991" spans="1:6" ht="20.25" hidden="1" customHeight="1" x14ac:dyDescent="0.15">
      <c r="A991" s="2" t="s">
        <v>2200</v>
      </c>
      <c r="B991" s="2" t="s">
        <v>2201</v>
      </c>
      <c r="C991" s="2">
        <v>1.1200000000000001</v>
      </c>
      <c r="D991" s="2">
        <v>12.6595</v>
      </c>
      <c r="E991" s="2" t="s">
        <v>299</v>
      </c>
      <c r="F991" s="2" t="e">
        <f>VLOOKUP(B991,MSCI中国成分股!A:B,1,)</f>
        <v>#N/A</v>
      </c>
    </row>
    <row r="992" spans="1:6" ht="20.25" hidden="1" customHeight="1" x14ac:dyDescent="0.15">
      <c r="A992" s="2" t="s">
        <v>2202</v>
      </c>
      <c r="B992" s="2" t="s">
        <v>2203</v>
      </c>
      <c r="C992" s="2">
        <v>0.85</v>
      </c>
      <c r="D992" s="2">
        <v>6.9820000000000002</v>
      </c>
      <c r="E992" s="2" t="s">
        <v>185</v>
      </c>
      <c r="F992" s="2" t="e">
        <f>VLOOKUP(B992,MSCI中国成分股!A:B,1,)</f>
        <v>#N/A</v>
      </c>
    </row>
    <row r="993" spans="1:6" ht="20.25" hidden="1" customHeight="1" x14ac:dyDescent="0.15">
      <c r="A993" s="2" t="s">
        <v>2204</v>
      </c>
      <c r="B993" s="2" t="s">
        <v>2205</v>
      </c>
      <c r="C993" s="2">
        <v>1.61</v>
      </c>
      <c r="D993" s="2">
        <v>0.88390000000000002</v>
      </c>
      <c r="E993" s="2" t="s">
        <v>589</v>
      </c>
      <c r="F993" s="2" t="e">
        <f>VLOOKUP(B993,MSCI中国成分股!A:B,1,)</f>
        <v>#N/A</v>
      </c>
    </row>
    <row r="994" spans="1:6" ht="20.25" hidden="1" customHeight="1" x14ac:dyDescent="0.15">
      <c r="A994" s="2" t="s">
        <v>2206</v>
      </c>
      <c r="B994" s="2" t="s">
        <v>2207</v>
      </c>
      <c r="C994" s="2">
        <v>0.95</v>
      </c>
      <c r="D994" s="2">
        <v>1.0971</v>
      </c>
      <c r="E994" s="2" t="s">
        <v>140</v>
      </c>
      <c r="F994" s="2" t="e">
        <f>VLOOKUP(B994,MSCI中国成分股!A:B,1,)</f>
        <v>#N/A</v>
      </c>
    </row>
    <row r="995" spans="1:6" ht="20.25" hidden="1" customHeight="1" x14ac:dyDescent="0.15">
      <c r="A995" s="2" t="s">
        <v>2208</v>
      </c>
      <c r="B995" s="2" t="s">
        <v>2209</v>
      </c>
      <c r="C995" s="2">
        <v>1.17</v>
      </c>
      <c r="D995" s="2">
        <v>36.6526</v>
      </c>
      <c r="E995" s="2" t="s">
        <v>657</v>
      </c>
      <c r="F995" s="2" t="e">
        <f>VLOOKUP(B995,MSCI中国成分股!A:B,1,)</f>
        <v>#N/A</v>
      </c>
    </row>
    <row r="996" spans="1:6" ht="20.25" hidden="1" customHeight="1" x14ac:dyDescent="0.15">
      <c r="A996" s="2" t="s">
        <v>2210</v>
      </c>
      <c r="B996" s="2" t="s">
        <v>2211</v>
      </c>
      <c r="C996" s="2">
        <v>4.53</v>
      </c>
      <c r="D996" s="2">
        <v>3.8681999999999999</v>
      </c>
      <c r="E996" s="2" t="s">
        <v>1034</v>
      </c>
      <c r="F996" s="2" t="e">
        <f>VLOOKUP(B996,MSCI中国成分股!A:B,1,)</f>
        <v>#N/A</v>
      </c>
    </row>
    <row r="997" spans="1:6" ht="20.25" hidden="1" customHeight="1" x14ac:dyDescent="0.15">
      <c r="A997" s="2" t="s">
        <v>2212</v>
      </c>
      <c r="B997" s="2" t="s">
        <v>2213</v>
      </c>
      <c r="C997" s="2">
        <v>1.43</v>
      </c>
      <c r="D997" s="2">
        <v>2.6292</v>
      </c>
      <c r="E997" s="2" t="s">
        <v>1420</v>
      </c>
      <c r="F997" s="2" t="e">
        <f>VLOOKUP(B997,MSCI中国成分股!A:B,1,)</f>
        <v>#N/A</v>
      </c>
    </row>
    <row r="998" spans="1:6" ht="20.25" hidden="1" customHeight="1" x14ac:dyDescent="0.15">
      <c r="A998" s="2" t="s">
        <v>2214</v>
      </c>
      <c r="B998" s="2" t="s">
        <v>2215</v>
      </c>
      <c r="C998" s="2">
        <v>1.2</v>
      </c>
      <c r="D998" s="2">
        <v>16.959099999999999</v>
      </c>
      <c r="E998" s="2" t="s">
        <v>1094</v>
      </c>
      <c r="F998" s="2" t="e">
        <f>VLOOKUP(B998,MSCI中国成分股!A:B,1,)</f>
        <v>#N/A</v>
      </c>
    </row>
    <row r="999" spans="1:6" ht="20.25" hidden="1" customHeight="1" x14ac:dyDescent="0.15">
      <c r="A999" s="2" t="s">
        <v>2216</v>
      </c>
      <c r="B999" s="2" t="s">
        <v>2217</v>
      </c>
      <c r="C999" s="2">
        <v>1.45</v>
      </c>
      <c r="D999" s="2">
        <v>0.81269999999999998</v>
      </c>
      <c r="E999" s="2" t="s">
        <v>21</v>
      </c>
      <c r="F999" s="2" t="e">
        <f>VLOOKUP(B999,MSCI中国成分股!A:B,1,)</f>
        <v>#N/A</v>
      </c>
    </row>
    <row r="1000" spans="1:6" ht="20.25" hidden="1" customHeight="1" x14ac:dyDescent="0.15">
      <c r="A1000" s="2" t="s">
        <v>2218</v>
      </c>
      <c r="B1000" s="2" t="s">
        <v>2219</v>
      </c>
      <c r="C1000" s="2">
        <v>1.81</v>
      </c>
      <c r="D1000" s="2">
        <v>0.78200000000000003</v>
      </c>
      <c r="E1000" s="2" t="s">
        <v>41</v>
      </c>
      <c r="F1000" s="2" t="e">
        <f>VLOOKUP(B1000,MSCI中国成分股!A:B,1,)</f>
        <v>#N/A</v>
      </c>
    </row>
    <row r="1001" spans="1:6" ht="20.25" hidden="1" customHeight="1" x14ac:dyDescent="0.15">
      <c r="A1001" s="2" t="s">
        <v>2220</v>
      </c>
      <c r="B1001" s="2" t="s">
        <v>2221</v>
      </c>
      <c r="C1001" s="2">
        <v>3.97</v>
      </c>
      <c r="D1001" s="2">
        <v>2.1374</v>
      </c>
      <c r="E1001" s="2" t="s">
        <v>44</v>
      </c>
      <c r="F1001" s="2" t="e">
        <f>VLOOKUP(B1001,MSCI中国成分股!A:B,1,)</f>
        <v>#N/A</v>
      </c>
    </row>
    <row r="1002" spans="1:6" ht="20.25" hidden="1" customHeight="1" x14ac:dyDescent="0.15">
      <c r="A1002" s="2" t="s">
        <v>2222</v>
      </c>
      <c r="B1002" s="2" t="s">
        <v>2223</v>
      </c>
      <c r="C1002" s="2">
        <v>1.51</v>
      </c>
      <c r="D1002" s="2">
        <v>1.4213</v>
      </c>
      <c r="E1002" s="2" t="s">
        <v>769</v>
      </c>
      <c r="F1002" s="2" t="e">
        <f>VLOOKUP(B1002,MSCI中国成分股!A:B,1,)</f>
        <v>#N/A</v>
      </c>
    </row>
    <row r="1003" spans="1:6" ht="20.25" hidden="1" customHeight="1" x14ac:dyDescent="0.15">
      <c r="A1003" s="2" t="s">
        <v>2224</v>
      </c>
      <c r="B1003" s="2" t="s">
        <v>2225</v>
      </c>
      <c r="C1003" s="2">
        <v>0.17</v>
      </c>
      <c r="D1003" s="2">
        <v>8.7607999999999997</v>
      </c>
      <c r="E1003" s="2" t="s">
        <v>193</v>
      </c>
      <c r="F1003" s="2" t="e">
        <f>VLOOKUP(B1003,MSCI中国成分股!A:B,1,)</f>
        <v>#N/A</v>
      </c>
    </row>
    <row r="1004" spans="1:6" ht="20.25" hidden="1" customHeight="1" x14ac:dyDescent="0.15">
      <c r="A1004" s="2" t="s">
        <v>2226</v>
      </c>
      <c r="B1004" s="2" t="s">
        <v>2227</v>
      </c>
      <c r="C1004" s="2">
        <v>1.96</v>
      </c>
      <c r="D1004" s="2">
        <v>0.53339999999999999</v>
      </c>
      <c r="E1004" s="2" t="s">
        <v>140</v>
      </c>
      <c r="F1004" s="2" t="e">
        <f>VLOOKUP(B1004,MSCI中国成分股!A:B,1,)</f>
        <v>#N/A</v>
      </c>
    </row>
    <row r="1005" spans="1:6" ht="20.25" hidden="1" customHeight="1" x14ac:dyDescent="0.15">
      <c r="A1005" s="2" t="s">
        <v>2228</v>
      </c>
      <c r="B1005" s="2" t="s">
        <v>2229</v>
      </c>
      <c r="C1005" s="2">
        <v>3.37</v>
      </c>
      <c r="D1005" s="2">
        <v>2.6482000000000001</v>
      </c>
      <c r="E1005" s="2" t="s">
        <v>403</v>
      </c>
      <c r="F1005" s="2" t="e">
        <f>VLOOKUP(B1005,MSCI中国成分股!A:B,1,)</f>
        <v>#N/A</v>
      </c>
    </row>
    <row r="1006" spans="1:6" ht="20.25" hidden="1" customHeight="1" x14ac:dyDescent="0.15">
      <c r="A1006" s="2" t="s">
        <v>2230</v>
      </c>
      <c r="B1006" s="2" t="s">
        <v>2231</v>
      </c>
      <c r="C1006" s="2">
        <v>1.49</v>
      </c>
      <c r="D1006" s="2">
        <v>1.3461000000000001</v>
      </c>
      <c r="E1006" s="2" t="s">
        <v>140</v>
      </c>
      <c r="F1006" s="2" t="e">
        <f>VLOOKUP(B1006,MSCI中国成分股!A:B,1,)</f>
        <v>#N/A</v>
      </c>
    </row>
    <row r="1007" spans="1:6" ht="20.25" hidden="1" customHeight="1" x14ac:dyDescent="0.15">
      <c r="A1007" s="2" t="s">
        <v>2232</v>
      </c>
      <c r="B1007" s="2" t="s">
        <v>2233</v>
      </c>
      <c r="C1007" s="2">
        <v>2.08</v>
      </c>
      <c r="D1007" s="2">
        <v>1.8920999999999999</v>
      </c>
      <c r="E1007" s="2" t="s">
        <v>667</v>
      </c>
      <c r="F1007" s="2" t="e">
        <f>VLOOKUP(B1007,MSCI中国成分股!A:B,1,)</f>
        <v>#N/A</v>
      </c>
    </row>
    <row r="1008" spans="1:6" ht="20.25" hidden="1" customHeight="1" x14ac:dyDescent="0.15">
      <c r="A1008" s="2" t="s">
        <v>2234</v>
      </c>
      <c r="B1008" s="2" t="s">
        <v>2235</v>
      </c>
      <c r="C1008" s="2">
        <v>2.06</v>
      </c>
      <c r="D1008" s="2">
        <v>1.2807999999999999</v>
      </c>
      <c r="E1008" s="2" t="s">
        <v>193</v>
      </c>
      <c r="F1008" s="2" t="e">
        <f>VLOOKUP(B1008,MSCI中国成分股!A:B,1,)</f>
        <v>#N/A</v>
      </c>
    </row>
    <row r="1009" spans="1:6" ht="20.25" hidden="1" customHeight="1" x14ac:dyDescent="0.15">
      <c r="A1009" s="2" t="s">
        <v>2236</v>
      </c>
      <c r="B1009" s="2" t="s">
        <v>2237</v>
      </c>
      <c r="C1009" s="2">
        <v>2.0499999999999998</v>
      </c>
      <c r="D1009" s="2">
        <v>5.5537999999999998</v>
      </c>
      <c r="E1009" s="2" t="s">
        <v>231</v>
      </c>
      <c r="F1009" s="2" t="e">
        <f>VLOOKUP(B1009,MSCI中国成分股!A:B,1,)</f>
        <v>#N/A</v>
      </c>
    </row>
    <row r="1010" spans="1:6" ht="20.25" hidden="1" customHeight="1" x14ac:dyDescent="0.15">
      <c r="A1010" s="2" t="s">
        <v>2238</v>
      </c>
      <c r="B1010" s="2" t="s">
        <v>2239</v>
      </c>
      <c r="C1010" s="2">
        <v>2.08</v>
      </c>
      <c r="D1010" s="2">
        <v>0.6885</v>
      </c>
      <c r="E1010" s="2" t="s">
        <v>614</v>
      </c>
      <c r="F1010" s="2" t="e">
        <f>VLOOKUP(B1010,MSCI中国成分股!A:B,1,)</f>
        <v>#N/A</v>
      </c>
    </row>
    <row r="1011" spans="1:6" ht="20.25" hidden="1" customHeight="1" x14ac:dyDescent="0.15">
      <c r="A1011" s="2" t="s">
        <v>2240</v>
      </c>
      <c r="B1011" s="2" t="s">
        <v>2241</v>
      </c>
      <c r="C1011" s="2">
        <v>2.5299999999999998</v>
      </c>
      <c r="D1011" s="2">
        <v>0.98370000000000002</v>
      </c>
      <c r="E1011" s="2" t="s">
        <v>1224</v>
      </c>
      <c r="F1011" s="2" t="e">
        <f>VLOOKUP(B1011,MSCI中国成分股!A:B,1,)</f>
        <v>#N/A</v>
      </c>
    </row>
    <row r="1012" spans="1:6" ht="20.25" hidden="1" customHeight="1" x14ac:dyDescent="0.15">
      <c r="A1012" s="2" t="s">
        <v>2242</v>
      </c>
      <c r="B1012" s="2" t="s">
        <v>2243</v>
      </c>
      <c r="C1012" s="2">
        <v>0.05</v>
      </c>
      <c r="D1012" s="2">
        <v>0.7641</v>
      </c>
      <c r="E1012" s="2" t="s">
        <v>1139</v>
      </c>
      <c r="F1012" s="2" t="e">
        <f>VLOOKUP(B1012,MSCI中国成分股!A:B,1,)</f>
        <v>#N/A</v>
      </c>
    </row>
    <row r="1013" spans="1:6" ht="20.25" hidden="1" customHeight="1" x14ac:dyDescent="0.15">
      <c r="A1013" s="2" t="s">
        <v>2244</v>
      </c>
      <c r="B1013" s="2" t="s">
        <v>2245</v>
      </c>
      <c r="C1013" s="2">
        <v>-0.01</v>
      </c>
      <c r="D1013" s="2">
        <v>71.812299999999993</v>
      </c>
      <c r="E1013" s="2" t="s">
        <v>638</v>
      </c>
      <c r="F1013" s="2" t="e">
        <f>VLOOKUP(B1013,MSCI中国成分股!A:B,1,)</f>
        <v>#N/A</v>
      </c>
    </row>
    <row r="1014" spans="1:6" ht="20.25" hidden="1" customHeight="1" x14ac:dyDescent="0.15">
      <c r="A1014" s="2" t="s">
        <v>2246</v>
      </c>
      <c r="B1014" s="2" t="s">
        <v>2247</v>
      </c>
      <c r="C1014" s="2">
        <v>0.94</v>
      </c>
      <c r="D1014" s="2">
        <v>5.5065</v>
      </c>
      <c r="E1014" s="2" t="s">
        <v>406</v>
      </c>
      <c r="F1014" s="2" t="e">
        <f>VLOOKUP(B1014,MSCI中国成分股!A:B,1,)</f>
        <v>#N/A</v>
      </c>
    </row>
    <row r="1015" spans="1:6" ht="20.25" hidden="1" customHeight="1" x14ac:dyDescent="0.15">
      <c r="A1015" s="2" t="s">
        <v>2248</v>
      </c>
      <c r="B1015" s="2" t="s">
        <v>2249</v>
      </c>
      <c r="C1015" s="2">
        <v>3.17</v>
      </c>
      <c r="D1015" s="2">
        <v>1.1768000000000001</v>
      </c>
      <c r="E1015" s="2" t="s">
        <v>44</v>
      </c>
      <c r="F1015" s="2" t="e">
        <f>VLOOKUP(B1015,MSCI中国成分股!A:B,1,)</f>
        <v>#N/A</v>
      </c>
    </row>
    <row r="1016" spans="1:6" ht="20.25" hidden="1" customHeight="1" x14ac:dyDescent="0.15">
      <c r="A1016" s="2" t="s">
        <v>2250</v>
      </c>
      <c r="B1016" s="2" t="s">
        <v>2251</v>
      </c>
      <c r="C1016" s="2">
        <v>2.5</v>
      </c>
      <c r="D1016" s="2">
        <v>1.6989000000000001</v>
      </c>
      <c r="E1016" s="2" t="s">
        <v>220</v>
      </c>
      <c r="F1016" s="2" t="e">
        <f>VLOOKUP(B1016,MSCI中国成分股!A:B,1,)</f>
        <v>#N/A</v>
      </c>
    </row>
    <row r="1017" spans="1:6" ht="20.25" hidden="1" customHeight="1" x14ac:dyDescent="0.15">
      <c r="A1017" s="2" t="s">
        <v>2252</v>
      </c>
      <c r="B1017" s="2" t="s">
        <v>2253</v>
      </c>
      <c r="C1017" s="2">
        <v>2.73</v>
      </c>
      <c r="D1017" s="2">
        <v>1.7316</v>
      </c>
      <c r="E1017" s="2" t="s">
        <v>794</v>
      </c>
      <c r="F1017" s="2" t="e">
        <f>VLOOKUP(B1017,MSCI中国成分股!A:B,1,)</f>
        <v>#N/A</v>
      </c>
    </row>
    <row r="1018" spans="1:6" ht="20.25" hidden="1" customHeight="1" x14ac:dyDescent="0.15">
      <c r="A1018" s="2" t="s">
        <v>2254</v>
      </c>
      <c r="B1018" s="2" t="s">
        <v>2255</v>
      </c>
      <c r="C1018" s="2">
        <v>2.6</v>
      </c>
      <c r="D1018" s="2">
        <v>2.9801000000000002</v>
      </c>
      <c r="E1018" s="2" t="s">
        <v>71</v>
      </c>
      <c r="F1018" s="2" t="e">
        <f>VLOOKUP(B1018,MSCI中国成分股!A:B,1,)</f>
        <v>#N/A</v>
      </c>
    </row>
    <row r="1019" spans="1:6" ht="20.25" hidden="1" customHeight="1" x14ac:dyDescent="0.15">
      <c r="A1019" s="2" t="s">
        <v>2256</v>
      </c>
      <c r="B1019" s="2" t="s">
        <v>2257</v>
      </c>
      <c r="C1019" s="2">
        <v>0.78</v>
      </c>
      <c r="D1019" s="2">
        <v>12.6716</v>
      </c>
      <c r="E1019" s="2" t="s">
        <v>1139</v>
      </c>
      <c r="F1019" s="2" t="e">
        <f>VLOOKUP(B1019,MSCI中国成分股!A:B,1,)</f>
        <v>#N/A</v>
      </c>
    </row>
    <row r="1020" spans="1:6" ht="20.25" hidden="1" customHeight="1" x14ac:dyDescent="0.15">
      <c r="A1020" s="2" t="s">
        <v>2258</v>
      </c>
      <c r="B1020" s="2" t="s">
        <v>2259</v>
      </c>
      <c r="C1020" s="2">
        <v>4.7699999999999996</v>
      </c>
      <c r="D1020" s="2">
        <v>89.698599999999999</v>
      </c>
      <c r="E1020" s="2" t="s">
        <v>322</v>
      </c>
      <c r="F1020" s="2" t="e">
        <f>VLOOKUP(B1020,MSCI中国成分股!A:B,1,)</f>
        <v>#N/A</v>
      </c>
    </row>
    <row r="1021" spans="1:6" ht="20.25" hidden="1" customHeight="1" x14ac:dyDescent="0.15">
      <c r="A1021" s="2" t="s">
        <v>2260</v>
      </c>
      <c r="B1021" s="2" t="s">
        <v>2261</v>
      </c>
      <c r="C1021" s="2">
        <v>2.36</v>
      </c>
      <c r="D1021" s="2">
        <v>19.733000000000001</v>
      </c>
      <c r="E1021" s="2" t="s">
        <v>176</v>
      </c>
      <c r="F1021" s="2" t="e">
        <f>VLOOKUP(B1021,MSCI中国成分股!A:B,1,)</f>
        <v>#N/A</v>
      </c>
    </row>
    <row r="1022" spans="1:6" ht="20.25" hidden="1" customHeight="1" x14ac:dyDescent="0.15">
      <c r="A1022" s="2" t="s">
        <v>2262</v>
      </c>
      <c r="B1022" s="2" t="s">
        <v>2263</v>
      </c>
      <c r="C1022" s="2">
        <v>1.1299999999999999</v>
      </c>
      <c r="D1022" s="2">
        <v>1.4444999999999999</v>
      </c>
      <c r="E1022" s="2" t="s">
        <v>1186</v>
      </c>
      <c r="F1022" s="2" t="e">
        <f>VLOOKUP(B1022,MSCI中国成分股!A:B,1,)</f>
        <v>#N/A</v>
      </c>
    </row>
    <row r="1023" spans="1:6" ht="20.25" hidden="1" customHeight="1" x14ac:dyDescent="0.15">
      <c r="A1023" s="2" t="s">
        <v>2264</v>
      </c>
      <c r="B1023" s="2" t="s">
        <v>2265</v>
      </c>
      <c r="C1023" s="2">
        <v>0.7</v>
      </c>
      <c r="D1023" s="2">
        <v>2.6185999999999998</v>
      </c>
      <c r="E1023" s="2" t="s">
        <v>769</v>
      </c>
      <c r="F1023" s="2" t="e">
        <f>VLOOKUP(B1023,MSCI中国成分股!A:B,1,)</f>
        <v>#N/A</v>
      </c>
    </row>
    <row r="1024" spans="1:6" ht="20.25" hidden="1" customHeight="1" x14ac:dyDescent="0.15">
      <c r="A1024" s="2" t="s">
        <v>2266</v>
      </c>
      <c r="B1024" s="2" t="s">
        <v>2267</v>
      </c>
      <c r="C1024" s="2">
        <v>0.6</v>
      </c>
      <c r="D1024" s="2">
        <v>20.025300000000001</v>
      </c>
      <c r="E1024" s="2" t="s">
        <v>44</v>
      </c>
      <c r="F1024" s="2" t="e">
        <f>VLOOKUP(B1024,MSCI中国成分股!A:B,1,)</f>
        <v>#N/A</v>
      </c>
    </row>
    <row r="1025" spans="1:6" ht="20.25" hidden="1" customHeight="1" x14ac:dyDescent="0.15">
      <c r="A1025" s="2" t="s">
        <v>2268</v>
      </c>
      <c r="B1025" s="2" t="s">
        <v>2269</v>
      </c>
      <c r="C1025" s="2">
        <v>2.9449999999999998</v>
      </c>
      <c r="D1025" s="2">
        <v>2.0379</v>
      </c>
      <c r="E1025" s="2" t="s">
        <v>359</v>
      </c>
      <c r="F1025" s="2" t="e">
        <f>VLOOKUP(B1025,MSCI中国成分股!A:B,1,)</f>
        <v>#N/A</v>
      </c>
    </row>
    <row r="1026" spans="1:6" ht="20.25" hidden="1" customHeight="1" x14ac:dyDescent="0.15">
      <c r="A1026" s="2" t="s">
        <v>2270</v>
      </c>
      <c r="B1026" s="2" t="s">
        <v>2271</v>
      </c>
      <c r="C1026" s="2">
        <v>0.96</v>
      </c>
      <c r="D1026" s="2">
        <v>0.43880000000000002</v>
      </c>
      <c r="E1026" s="2" t="s">
        <v>2068</v>
      </c>
      <c r="F1026" s="2" t="e">
        <f>VLOOKUP(B1026,MSCI中国成分股!A:B,1,)</f>
        <v>#N/A</v>
      </c>
    </row>
    <row r="1027" spans="1:6" ht="20.25" hidden="1" customHeight="1" x14ac:dyDescent="0.15">
      <c r="A1027" s="2" t="s">
        <v>2272</v>
      </c>
      <c r="B1027" s="2" t="s">
        <v>2273</v>
      </c>
      <c r="C1027" s="2">
        <v>2.23</v>
      </c>
      <c r="D1027" s="2">
        <v>2.0019999999999998</v>
      </c>
      <c r="E1027" s="2" t="s">
        <v>667</v>
      </c>
      <c r="F1027" s="2" t="e">
        <f>VLOOKUP(B1027,MSCI中国成分股!A:B,1,)</f>
        <v>#N/A</v>
      </c>
    </row>
    <row r="1028" spans="1:6" ht="20.25" hidden="1" customHeight="1" x14ac:dyDescent="0.15">
      <c r="A1028" s="2" t="s">
        <v>2274</v>
      </c>
      <c r="B1028" s="2" t="s">
        <v>2275</v>
      </c>
      <c r="C1028" s="2">
        <v>0.72</v>
      </c>
      <c r="D1028" s="2">
        <v>0.73260000000000003</v>
      </c>
      <c r="E1028" s="2" t="s">
        <v>89</v>
      </c>
      <c r="F1028" s="2" t="e">
        <f>VLOOKUP(B1028,MSCI中国成分股!A:B,1,)</f>
        <v>#N/A</v>
      </c>
    </row>
    <row r="1029" spans="1:6" ht="20.25" hidden="1" customHeight="1" x14ac:dyDescent="0.15">
      <c r="A1029" s="2" t="s">
        <v>2276</v>
      </c>
      <c r="B1029" s="2" t="s">
        <v>2277</v>
      </c>
      <c r="C1029" s="2">
        <v>6.915</v>
      </c>
      <c r="D1029" s="2">
        <v>14.3847</v>
      </c>
      <c r="E1029" s="2" t="s">
        <v>257</v>
      </c>
      <c r="F1029" s="2" t="e">
        <f>VLOOKUP(B1029,MSCI中国成分股!A:B,1,)</f>
        <v>#N/A</v>
      </c>
    </row>
    <row r="1030" spans="1:6" ht="20.25" hidden="1" customHeight="1" x14ac:dyDescent="0.15">
      <c r="A1030" s="2" t="s">
        <v>2278</v>
      </c>
      <c r="B1030" s="2" t="s">
        <v>2279</v>
      </c>
      <c r="C1030" s="2">
        <v>0.94</v>
      </c>
      <c r="D1030" s="2">
        <v>39.457500000000003</v>
      </c>
      <c r="E1030" s="2" t="s">
        <v>1338</v>
      </c>
      <c r="F1030" s="2" t="e">
        <f>VLOOKUP(B1030,MSCI中国成分股!A:B,1,)</f>
        <v>#N/A</v>
      </c>
    </row>
    <row r="1031" spans="1:6" ht="20.25" hidden="1" customHeight="1" x14ac:dyDescent="0.15">
      <c r="A1031" s="2" t="s">
        <v>2280</v>
      </c>
      <c r="B1031" s="2" t="s">
        <v>2281</v>
      </c>
      <c r="C1031" s="2">
        <v>2.4</v>
      </c>
      <c r="D1031" s="2">
        <v>47.885800000000003</v>
      </c>
      <c r="E1031" s="2" t="s">
        <v>1034</v>
      </c>
      <c r="F1031" s="2" t="e">
        <f>VLOOKUP(B1031,MSCI中国成分股!A:B,1,)</f>
        <v>#N/A</v>
      </c>
    </row>
    <row r="1032" spans="1:6" ht="20.25" hidden="1" customHeight="1" x14ac:dyDescent="0.15">
      <c r="A1032" s="2" t="s">
        <v>2282</v>
      </c>
      <c r="B1032" s="2" t="s">
        <v>2283</v>
      </c>
      <c r="C1032" s="2">
        <v>2.95</v>
      </c>
      <c r="D1032" s="2">
        <v>2.4258999999999999</v>
      </c>
      <c r="E1032" s="2" t="s">
        <v>265</v>
      </c>
      <c r="F1032" s="2" t="e">
        <f>VLOOKUP(B1032,MSCI中国成分股!A:B,1,)</f>
        <v>#N/A</v>
      </c>
    </row>
    <row r="1033" spans="1:6" ht="20.25" hidden="1" customHeight="1" x14ac:dyDescent="0.15">
      <c r="A1033" s="2" t="s">
        <v>2284</v>
      </c>
      <c r="B1033" s="2" t="s">
        <v>2285</v>
      </c>
      <c r="C1033" s="2">
        <v>0.95</v>
      </c>
      <c r="D1033" s="2">
        <v>6.6750999999999996</v>
      </c>
      <c r="E1033" s="2" t="s">
        <v>371</v>
      </c>
      <c r="F1033" s="2" t="e">
        <f>VLOOKUP(B1033,MSCI中国成分股!A:B,1,)</f>
        <v>#N/A</v>
      </c>
    </row>
    <row r="1034" spans="1:6" ht="20.25" hidden="1" customHeight="1" x14ac:dyDescent="0.15">
      <c r="A1034" s="2" t="s">
        <v>2286</v>
      </c>
      <c r="B1034" s="2" t="s">
        <v>2287</v>
      </c>
      <c r="C1034" s="2">
        <v>1.1599999999999999</v>
      </c>
      <c r="D1034" s="2">
        <v>7.3167</v>
      </c>
      <c r="E1034" s="2" t="s">
        <v>207</v>
      </c>
      <c r="F1034" s="2" t="e">
        <f>VLOOKUP(B1034,MSCI中国成分股!A:B,1,)</f>
        <v>#N/A</v>
      </c>
    </row>
    <row r="1035" spans="1:6" ht="20.25" hidden="1" customHeight="1" x14ac:dyDescent="0.15">
      <c r="A1035" s="2" t="s">
        <v>2288</v>
      </c>
      <c r="B1035" s="2" t="s">
        <v>2289</v>
      </c>
      <c r="C1035" s="2">
        <v>4.42</v>
      </c>
      <c r="D1035" s="2">
        <v>6.8710000000000004</v>
      </c>
      <c r="E1035" s="2" t="s">
        <v>265</v>
      </c>
      <c r="F1035" s="2" t="e">
        <f>VLOOKUP(B1035,MSCI中国成分股!A:B,1,)</f>
        <v>#N/A</v>
      </c>
    </row>
    <row r="1036" spans="1:6" ht="20.25" hidden="1" customHeight="1" x14ac:dyDescent="0.15">
      <c r="A1036" s="2" t="s">
        <v>2290</v>
      </c>
      <c r="B1036" s="2" t="s">
        <v>2291</v>
      </c>
      <c r="C1036" s="2">
        <v>0.54</v>
      </c>
      <c r="D1036" s="2">
        <v>2.1231</v>
      </c>
      <c r="E1036" s="2" t="s">
        <v>1224</v>
      </c>
      <c r="F1036" s="2" t="e">
        <f>VLOOKUP(B1036,MSCI中国成分股!A:B,1,)</f>
        <v>#N/A</v>
      </c>
    </row>
    <row r="1037" spans="1:6" ht="20.25" hidden="1" customHeight="1" x14ac:dyDescent="0.15">
      <c r="A1037" s="2" t="s">
        <v>2292</v>
      </c>
      <c r="B1037" s="2" t="s">
        <v>2293</v>
      </c>
      <c r="C1037" s="2">
        <v>3.74</v>
      </c>
      <c r="D1037" s="2">
        <v>4.6973000000000003</v>
      </c>
      <c r="E1037" s="2" t="s">
        <v>171</v>
      </c>
      <c r="F1037" s="2" t="e">
        <f>VLOOKUP(B1037,MSCI中国成分股!A:B,1,)</f>
        <v>#N/A</v>
      </c>
    </row>
    <row r="1038" spans="1:6" ht="20.25" hidden="1" customHeight="1" x14ac:dyDescent="0.15">
      <c r="A1038" s="2" t="s">
        <v>2294</v>
      </c>
      <c r="B1038" s="2" t="s">
        <v>2295</v>
      </c>
      <c r="C1038" s="2">
        <v>3.17</v>
      </c>
      <c r="D1038" s="2">
        <v>3.7707000000000002</v>
      </c>
      <c r="E1038" s="2" t="s">
        <v>35</v>
      </c>
      <c r="F1038" s="2" t="e">
        <f>VLOOKUP(B1038,MSCI中国成分股!A:B,1,)</f>
        <v>#N/A</v>
      </c>
    </row>
    <row r="1039" spans="1:6" ht="20.25" hidden="1" customHeight="1" x14ac:dyDescent="0.15">
      <c r="A1039" s="2" t="s">
        <v>2296</v>
      </c>
      <c r="B1039" s="2" t="s">
        <v>2297</v>
      </c>
      <c r="C1039" s="2">
        <v>4.74</v>
      </c>
      <c r="D1039" s="2">
        <v>4.6685999999999996</v>
      </c>
      <c r="E1039" s="2" t="s">
        <v>1139</v>
      </c>
      <c r="F1039" s="2" t="e">
        <f>VLOOKUP(B1039,MSCI中国成分股!A:B,1,)</f>
        <v>#N/A</v>
      </c>
    </row>
    <row r="1040" spans="1:6" ht="20.25" hidden="1" customHeight="1" x14ac:dyDescent="0.15">
      <c r="A1040" s="2" t="s">
        <v>2298</v>
      </c>
      <c r="B1040" s="2" t="s">
        <v>2299</v>
      </c>
      <c r="C1040" s="2">
        <v>1.71</v>
      </c>
      <c r="D1040" s="2">
        <v>2.2957999999999998</v>
      </c>
      <c r="E1040" s="2" t="s">
        <v>982</v>
      </c>
      <c r="F1040" s="2" t="e">
        <f>VLOOKUP(B1040,MSCI中国成分股!A:B,1,)</f>
        <v>#N/A</v>
      </c>
    </row>
    <row r="1041" spans="1:6" ht="20.25" hidden="1" customHeight="1" x14ac:dyDescent="0.15">
      <c r="A1041" s="2" t="s">
        <v>2300</v>
      </c>
      <c r="B1041" s="2" t="s">
        <v>2301</v>
      </c>
      <c r="C1041" s="2">
        <v>0.44</v>
      </c>
      <c r="D1041" s="2">
        <v>4.4569000000000001</v>
      </c>
      <c r="E1041" s="2" t="s">
        <v>299</v>
      </c>
      <c r="F1041" s="2" t="e">
        <f>VLOOKUP(B1041,MSCI中国成分股!A:B,1,)</f>
        <v>#N/A</v>
      </c>
    </row>
    <row r="1042" spans="1:6" ht="20.25" hidden="1" customHeight="1" x14ac:dyDescent="0.15">
      <c r="A1042" s="2" t="s">
        <v>2302</v>
      </c>
      <c r="B1042" s="2" t="s">
        <v>2303</v>
      </c>
      <c r="C1042" s="2">
        <v>1.06</v>
      </c>
      <c r="D1042" s="2">
        <v>0.29809999999999998</v>
      </c>
      <c r="E1042" s="2" t="s">
        <v>1034</v>
      </c>
      <c r="F1042" s="2" t="e">
        <f>VLOOKUP(B1042,MSCI中国成分股!A:B,1,)</f>
        <v>#N/A</v>
      </c>
    </row>
    <row r="1043" spans="1:6" ht="20.25" hidden="1" customHeight="1" x14ac:dyDescent="0.15">
      <c r="A1043" s="2" t="s">
        <v>2304</v>
      </c>
      <c r="B1043" s="2" t="s">
        <v>2305</v>
      </c>
      <c r="C1043" s="2">
        <v>1.48</v>
      </c>
      <c r="D1043" s="2">
        <v>0.72709999999999997</v>
      </c>
      <c r="E1043" s="2" t="s">
        <v>276</v>
      </c>
      <c r="F1043" s="2" t="e">
        <f>VLOOKUP(B1043,MSCI中国成分股!A:B,1,)</f>
        <v>#N/A</v>
      </c>
    </row>
    <row r="1044" spans="1:6" ht="20.25" hidden="1" customHeight="1" x14ac:dyDescent="0.15">
      <c r="A1044" s="2" t="s">
        <v>2306</v>
      </c>
      <c r="B1044" s="2" t="s">
        <v>2307</v>
      </c>
      <c r="C1044" s="2">
        <v>4.1500000000000004</v>
      </c>
      <c r="D1044" s="2">
        <v>3.8820000000000001</v>
      </c>
      <c r="E1044" s="2" t="s">
        <v>677</v>
      </c>
      <c r="F1044" s="2" t="e">
        <f>VLOOKUP(B1044,MSCI中国成分股!A:B,1,)</f>
        <v>#N/A</v>
      </c>
    </row>
    <row r="1045" spans="1:6" ht="20.25" hidden="1" customHeight="1" x14ac:dyDescent="0.15">
      <c r="A1045" s="2" t="s">
        <v>2308</v>
      </c>
      <c r="B1045" s="2" t="s">
        <v>2309</v>
      </c>
      <c r="C1045" s="2">
        <v>3.125</v>
      </c>
      <c r="D1045" s="2">
        <v>15.846399999999999</v>
      </c>
      <c r="E1045" s="2" t="s">
        <v>13</v>
      </c>
      <c r="F1045" s="2" t="e">
        <f>VLOOKUP(B1045,MSCI中国成分股!A:B,1,)</f>
        <v>#N/A</v>
      </c>
    </row>
    <row r="1046" spans="1:6" ht="20.25" hidden="1" customHeight="1" x14ac:dyDescent="0.15">
      <c r="A1046" s="2" t="s">
        <v>2310</v>
      </c>
      <c r="B1046" s="2" t="s">
        <v>2311</v>
      </c>
      <c r="C1046" s="2">
        <v>-0.39</v>
      </c>
      <c r="D1046" s="2">
        <v>3.5722</v>
      </c>
      <c r="E1046" s="2" t="s">
        <v>149</v>
      </c>
      <c r="F1046" s="2" t="e">
        <f>VLOOKUP(B1046,MSCI中国成分股!A:B,1,)</f>
        <v>#N/A</v>
      </c>
    </row>
    <row r="1047" spans="1:6" ht="20.25" hidden="1" customHeight="1" x14ac:dyDescent="0.15">
      <c r="A1047" s="2" t="s">
        <v>2312</v>
      </c>
      <c r="B1047" s="2" t="s">
        <v>2313</v>
      </c>
      <c r="C1047" s="2">
        <v>-0.81</v>
      </c>
      <c r="D1047" s="2">
        <v>21.094200000000001</v>
      </c>
      <c r="E1047" s="2" t="s">
        <v>371</v>
      </c>
      <c r="F1047" s="2" t="e">
        <f>VLOOKUP(B1047,MSCI中国成分股!A:B,1,)</f>
        <v>#N/A</v>
      </c>
    </row>
    <row r="1048" spans="1:6" ht="20.25" hidden="1" customHeight="1" x14ac:dyDescent="0.15">
      <c r="A1048" s="2" t="s">
        <v>2314</v>
      </c>
      <c r="B1048" s="2" t="s">
        <v>2315</v>
      </c>
      <c r="C1048" s="2">
        <v>1.44</v>
      </c>
      <c r="D1048" s="2">
        <v>0.60060000000000002</v>
      </c>
      <c r="E1048" s="2" t="s">
        <v>403</v>
      </c>
      <c r="F1048" s="2" t="e">
        <f>VLOOKUP(B1048,MSCI中国成分股!A:B,1,)</f>
        <v>#N/A</v>
      </c>
    </row>
    <row r="1049" spans="1:6" ht="20.25" hidden="1" customHeight="1" x14ac:dyDescent="0.15">
      <c r="A1049" s="2" t="s">
        <v>2316</v>
      </c>
      <c r="B1049" s="2" t="s">
        <v>2317</v>
      </c>
      <c r="C1049" s="2">
        <v>-1.67</v>
      </c>
      <c r="D1049" s="2">
        <v>2.1539000000000001</v>
      </c>
      <c r="E1049" s="2" t="s">
        <v>123</v>
      </c>
      <c r="F1049" s="2" t="e">
        <f>VLOOKUP(B1049,MSCI中国成分股!A:B,1,)</f>
        <v>#N/A</v>
      </c>
    </row>
    <row r="1050" spans="1:6" ht="20.25" hidden="1" customHeight="1" x14ac:dyDescent="0.15">
      <c r="A1050" s="2" t="s">
        <v>2318</v>
      </c>
      <c r="B1050" s="2" t="s">
        <v>2319</v>
      </c>
      <c r="C1050" s="2">
        <v>1.26</v>
      </c>
      <c r="D1050" s="2">
        <v>8.8572000000000006</v>
      </c>
      <c r="E1050" s="2" t="s">
        <v>299</v>
      </c>
      <c r="F1050" s="2" t="e">
        <f>VLOOKUP(B1050,MSCI中国成分股!A:B,1,)</f>
        <v>#N/A</v>
      </c>
    </row>
    <row r="1051" spans="1:6" ht="20.25" hidden="1" customHeight="1" x14ac:dyDescent="0.15">
      <c r="A1051" s="2" t="s">
        <v>2320</v>
      </c>
      <c r="B1051" s="2" t="s">
        <v>2321</v>
      </c>
      <c r="C1051" s="2">
        <v>2.27</v>
      </c>
      <c r="D1051" s="2">
        <v>1.4171</v>
      </c>
      <c r="E1051" s="2" t="s">
        <v>2151</v>
      </c>
      <c r="F1051" s="2" t="e">
        <f>VLOOKUP(B1051,MSCI中国成分股!A:B,1,)</f>
        <v>#N/A</v>
      </c>
    </row>
    <row r="1052" spans="1:6" ht="20.25" hidden="1" customHeight="1" x14ac:dyDescent="0.15">
      <c r="A1052" s="2" t="s">
        <v>2322</v>
      </c>
      <c r="B1052" s="2" t="s">
        <v>2323</v>
      </c>
      <c r="C1052" s="2">
        <v>2.13</v>
      </c>
      <c r="D1052" s="2">
        <v>2.3313999999999999</v>
      </c>
      <c r="E1052" s="2" t="s">
        <v>55</v>
      </c>
      <c r="F1052" s="2" t="e">
        <f>VLOOKUP(B1052,MSCI中国成分股!A:B,1,)</f>
        <v>#N/A</v>
      </c>
    </row>
    <row r="1053" spans="1:6" ht="20.25" hidden="1" customHeight="1" x14ac:dyDescent="0.15">
      <c r="A1053" s="2" t="s">
        <v>2324</v>
      </c>
      <c r="B1053" s="2" t="s">
        <v>2325</v>
      </c>
      <c r="C1053" s="2">
        <v>3.98</v>
      </c>
      <c r="D1053" s="2">
        <v>2.1749000000000001</v>
      </c>
      <c r="E1053" s="2" t="s">
        <v>2063</v>
      </c>
      <c r="F1053" s="2" t="e">
        <f>VLOOKUP(B1053,MSCI中国成分股!A:B,1,)</f>
        <v>#N/A</v>
      </c>
    </row>
    <row r="1054" spans="1:6" ht="20.25" hidden="1" customHeight="1" x14ac:dyDescent="0.15">
      <c r="A1054" s="2" t="s">
        <v>2326</v>
      </c>
      <c r="B1054" s="2" t="s">
        <v>2327</v>
      </c>
      <c r="C1054" s="2">
        <v>0.02</v>
      </c>
      <c r="D1054" s="2">
        <v>4.0659000000000001</v>
      </c>
      <c r="E1054" s="2" t="s">
        <v>146</v>
      </c>
      <c r="F1054" s="2" t="e">
        <f>VLOOKUP(B1054,MSCI中国成分股!A:B,1,)</f>
        <v>#N/A</v>
      </c>
    </row>
    <row r="1055" spans="1:6" ht="20.25" hidden="1" customHeight="1" x14ac:dyDescent="0.15">
      <c r="A1055" s="2" t="s">
        <v>2328</v>
      </c>
      <c r="B1055" s="2" t="s">
        <v>2329</v>
      </c>
      <c r="C1055" s="2">
        <v>1.91</v>
      </c>
      <c r="D1055" s="2">
        <v>9.7174999999999994</v>
      </c>
      <c r="E1055" s="2" t="s">
        <v>1853</v>
      </c>
      <c r="F1055" s="2" t="e">
        <f>VLOOKUP(B1055,MSCI中国成分股!A:B,1,)</f>
        <v>#N/A</v>
      </c>
    </row>
    <row r="1056" spans="1:6" ht="20.25" hidden="1" customHeight="1" x14ac:dyDescent="0.15">
      <c r="A1056" s="2" t="s">
        <v>2330</v>
      </c>
      <c r="B1056" s="2" t="s">
        <v>2331</v>
      </c>
      <c r="C1056" s="2">
        <v>0.78</v>
      </c>
      <c r="D1056" s="2">
        <v>2.5066000000000002</v>
      </c>
      <c r="E1056" s="2" t="s">
        <v>713</v>
      </c>
      <c r="F1056" s="2" t="e">
        <f>VLOOKUP(B1056,MSCI中国成分股!A:B,1,)</f>
        <v>#N/A</v>
      </c>
    </row>
    <row r="1057" spans="1:6" ht="20.25" hidden="1" customHeight="1" x14ac:dyDescent="0.15">
      <c r="A1057" s="2" t="s">
        <v>2332</v>
      </c>
      <c r="B1057" s="2" t="s">
        <v>2333</v>
      </c>
      <c r="C1057" s="2">
        <v>0.62</v>
      </c>
      <c r="D1057" s="2">
        <v>0.1012</v>
      </c>
      <c r="E1057" s="2" t="s">
        <v>459</v>
      </c>
      <c r="F1057" s="2" t="e">
        <f>VLOOKUP(B1057,MSCI中国成分股!A:B,1,)</f>
        <v>#N/A</v>
      </c>
    </row>
    <row r="1058" spans="1:6" ht="20.25" hidden="1" customHeight="1" x14ac:dyDescent="0.15">
      <c r="A1058" s="2" t="s">
        <v>2334</v>
      </c>
      <c r="B1058" s="2" t="s">
        <v>2335</v>
      </c>
      <c r="C1058" s="2">
        <v>1.0900000000000001</v>
      </c>
      <c r="D1058" s="2">
        <v>0.22950000000000001</v>
      </c>
      <c r="E1058" s="2" t="s">
        <v>483</v>
      </c>
      <c r="F1058" s="2" t="e">
        <f>VLOOKUP(B1058,MSCI中国成分股!A:B,1,)</f>
        <v>#N/A</v>
      </c>
    </row>
    <row r="1059" spans="1:6" ht="20.25" hidden="1" customHeight="1" x14ac:dyDescent="0.15">
      <c r="A1059" s="2" t="s">
        <v>2336</v>
      </c>
      <c r="B1059" s="2" t="s">
        <v>2337</v>
      </c>
      <c r="C1059" s="2">
        <v>0.42</v>
      </c>
      <c r="D1059" s="2">
        <v>0.42530000000000001</v>
      </c>
      <c r="E1059" s="2" t="s">
        <v>769</v>
      </c>
      <c r="F1059" s="2" t="e">
        <f>VLOOKUP(B1059,MSCI中国成分股!A:B,1,)</f>
        <v>#N/A</v>
      </c>
    </row>
    <row r="1060" spans="1:6" ht="20.25" hidden="1" customHeight="1" x14ac:dyDescent="0.15">
      <c r="A1060" s="2" t="s">
        <v>2338</v>
      </c>
      <c r="B1060" s="2" t="s">
        <v>2339</v>
      </c>
      <c r="C1060" s="2">
        <v>-1.19</v>
      </c>
      <c r="D1060" s="2">
        <v>4.1113999999999997</v>
      </c>
      <c r="E1060" s="2" t="s">
        <v>1066</v>
      </c>
      <c r="F1060" s="2" t="e">
        <f>VLOOKUP(B1060,MSCI中国成分股!A:B,1,)</f>
        <v>#N/A</v>
      </c>
    </row>
    <row r="1061" spans="1:6" ht="20.25" hidden="1" customHeight="1" x14ac:dyDescent="0.15">
      <c r="A1061" s="2" t="s">
        <v>2340</v>
      </c>
      <c r="B1061" s="2" t="s">
        <v>2341</v>
      </c>
      <c r="C1061" s="2">
        <v>2.4</v>
      </c>
      <c r="D1061" s="2">
        <v>2.9186000000000001</v>
      </c>
      <c r="E1061" s="2" t="s">
        <v>589</v>
      </c>
      <c r="F1061" s="2" t="e">
        <f>VLOOKUP(B1061,MSCI中国成分股!A:B,1,)</f>
        <v>#N/A</v>
      </c>
    </row>
    <row r="1062" spans="1:6" ht="20.25" hidden="1" customHeight="1" x14ac:dyDescent="0.15">
      <c r="A1062" s="2" t="s">
        <v>2342</v>
      </c>
      <c r="B1062" s="2" t="s">
        <v>2343</v>
      </c>
      <c r="C1062" s="2">
        <v>1.61</v>
      </c>
      <c r="D1062" s="2">
        <v>0.9123</v>
      </c>
      <c r="E1062" s="2" t="s">
        <v>2344</v>
      </c>
      <c r="F1062" s="2" t="e">
        <f>VLOOKUP(B1062,MSCI中国成分股!A:B,1,)</f>
        <v>#N/A</v>
      </c>
    </row>
    <row r="1063" spans="1:6" ht="20.25" hidden="1" customHeight="1" x14ac:dyDescent="0.15">
      <c r="A1063" s="2" t="s">
        <v>2345</v>
      </c>
      <c r="B1063" s="2" t="s">
        <v>2346</v>
      </c>
      <c r="C1063" s="2">
        <v>3.18</v>
      </c>
      <c r="D1063" s="2">
        <v>0.49419999999999997</v>
      </c>
      <c r="E1063" s="2" t="s">
        <v>368</v>
      </c>
      <c r="F1063" s="2" t="e">
        <f>VLOOKUP(B1063,MSCI中国成分股!A:B,1,)</f>
        <v>#N/A</v>
      </c>
    </row>
    <row r="1064" spans="1:6" ht="20.25" hidden="1" customHeight="1" x14ac:dyDescent="0.15">
      <c r="A1064" s="2" t="s">
        <v>2347</v>
      </c>
      <c r="B1064" s="2" t="s">
        <v>2348</v>
      </c>
      <c r="C1064" s="2">
        <v>0.64</v>
      </c>
      <c r="D1064" s="2">
        <v>28.168600000000001</v>
      </c>
      <c r="E1064" s="2" t="s">
        <v>371</v>
      </c>
      <c r="F1064" s="2" t="e">
        <f>VLOOKUP(B1064,MSCI中国成分股!A:B,1,)</f>
        <v>#N/A</v>
      </c>
    </row>
    <row r="1065" spans="1:6" ht="20.25" hidden="1" customHeight="1" x14ac:dyDescent="0.15">
      <c r="A1065" s="2" t="s">
        <v>2349</v>
      </c>
      <c r="B1065" s="2" t="s">
        <v>2350</v>
      </c>
      <c r="C1065" s="2">
        <v>3.31</v>
      </c>
      <c r="D1065" s="2">
        <v>2.9209999999999998</v>
      </c>
      <c r="E1065" s="2" t="s">
        <v>982</v>
      </c>
      <c r="F1065" s="2" t="e">
        <f>VLOOKUP(B1065,MSCI中国成分股!A:B,1,)</f>
        <v>#N/A</v>
      </c>
    </row>
    <row r="1066" spans="1:6" ht="20.25" hidden="1" customHeight="1" x14ac:dyDescent="0.15">
      <c r="A1066" s="2" t="s">
        <v>2351</v>
      </c>
      <c r="B1066" s="2" t="s">
        <v>2352</v>
      </c>
      <c r="C1066" s="2">
        <v>0.11</v>
      </c>
      <c r="D1066" s="2">
        <v>10.3245</v>
      </c>
      <c r="E1066" s="2" t="s">
        <v>1094</v>
      </c>
      <c r="F1066" s="2" t="e">
        <f>VLOOKUP(B1066,MSCI中国成分股!A:B,1,)</f>
        <v>#N/A</v>
      </c>
    </row>
    <row r="1067" spans="1:6" ht="20.25" hidden="1" customHeight="1" x14ac:dyDescent="0.15">
      <c r="A1067" s="2" t="s">
        <v>2353</v>
      </c>
      <c r="B1067" s="2" t="s">
        <v>2354</v>
      </c>
      <c r="C1067" s="2">
        <v>1.18</v>
      </c>
      <c r="D1067" s="2">
        <v>0.13170000000000001</v>
      </c>
      <c r="E1067" s="2" t="s">
        <v>2355</v>
      </c>
      <c r="F1067" s="2" t="e">
        <f>VLOOKUP(B1067,MSCI中国成分股!A:B,1,)</f>
        <v>#N/A</v>
      </c>
    </row>
    <row r="1068" spans="1:6" ht="20.25" hidden="1" customHeight="1" x14ac:dyDescent="0.15">
      <c r="A1068" s="2" t="s">
        <v>2356</v>
      </c>
      <c r="B1068" s="2" t="s">
        <v>2357</v>
      </c>
      <c r="C1068" s="2">
        <v>1.3</v>
      </c>
      <c r="D1068" s="2">
        <v>4.2760999999999996</v>
      </c>
      <c r="E1068" s="2" t="s">
        <v>1034</v>
      </c>
      <c r="F1068" s="2" t="e">
        <f>VLOOKUP(B1068,MSCI中国成分股!A:B,1,)</f>
        <v>#N/A</v>
      </c>
    </row>
    <row r="1069" spans="1:6" ht="20.25" hidden="1" customHeight="1" x14ac:dyDescent="0.15">
      <c r="A1069" s="2" t="s">
        <v>2358</v>
      </c>
      <c r="B1069" s="2" t="s">
        <v>2359</v>
      </c>
      <c r="C1069" s="2">
        <v>0.5</v>
      </c>
      <c r="D1069" s="2">
        <v>1.3303</v>
      </c>
      <c r="E1069" s="2" t="s">
        <v>220</v>
      </c>
      <c r="F1069" s="2" t="e">
        <f>VLOOKUP(B1069,MSCI中国成分股!A:B,1,)</f>
        <v>#N/A</v>
      </c>
    </row>
    <row r="1070" spans="1:6" ht="20.25" hidden="1" customHeight="1" x14ac:dyDescent="0.15">
      <c r="A1070" s="2" t="s">
        <v>2360</v>
      </c>
      <c r="B1070" s="2" t="s">
        <v>2361</v>
      </c>
      <c r="C1070" s="2">
        <v>-1.27</v>
      </c>
      <c r="D1070" s="2">
        <v>58.811500000000002</v>
      </c>
      <c r="E1070" s="2" t="s">
        <v>542</v>
      </c>
      <c r="F1070" s="2" t="e">
        <f>VLOOKUP(B1070,MSCI中国成分股!A:B,1,)</f>
        <v>#N/A</v>
      </c>
    </row>
    <row r="1071" spans="1:6" ht="20.25" hidden="1" customHeight="1" x14ac:dyDescent="0.15">
      <c r="A1071" s="2" t="s">
        <v>2362</v>
      </c>
      <c r="B1071" s="2" t="s">
        <v>2363</v>
      </c>
      <c r="C1071" s="2">
        <v>1.78</v>
      </c>
      <c r="D1071" s="2">
        <v>1.3433999999999999</v>
      </c>
      <c r="E1071" s="2" t="s">
        <v>322</v>
      </c>
      <c r="F1071" s="2" t="e">
        <f>VLOOKUP(B1071,MSCI中国成分股!A:B,1,)</f>
        <v>#N/A</v>
      </c>
    </row>
    <row r="1072" spans="1:6" ht="20.25" hidden="1" customHeight="1" x14ac:dyDescent="0.15">
      <c r="A1072" s="2" t="s">
        <v>2364</v>
      </c>
      <c r="B1072" s="2" t="s">
        <v>2365</v>
      </c>
      <c r="C1072" s="2">
        <v>1.51</v>
      </c>
      <c r="D1072" s="2">
        <v>0.37580000000000002</v>
      </c>
      <c r="E1072" s="2" t="s">
        <v>799</v>
      </c>
      <c r="F1072" s="2" t="e">
        <f>VLOOKUP(B1072,MSCI中国成分股!A:B,1,)</f>
        <v>#N/A</v>
      </c>
    </row>
    <row r="1073" spans="1:6" ht="20.25" hidden="1" customHeight="1" x14ac:dyDescent="0.15">
      <c r="A1073" s="2" t="s">
        <v>2366</v>
      </c>
      <c r="B1073" s="2" t="s">
        <v>2367</v>
      </c>
      <c r="C1073" s="2">
        <v>1.44</v>
      </c>
      <c r="D1073" s="2">
        <v>248.60290000000001</v>
      </c>
      <c r="E1073" s="2" t="s">
        <v>92</v>
      </c>
      <c r="F1073" s="2" t="e">
        <f>VLOOKUP(B1073,MSCI中国成分股!A:B,1,)</f>
        <v>#N/A</v>
      </c>
    </row>
    <row r="1074" spans="1:6" ht="20.25" hidden="1" customHeight="1" x14ac:dyDescent="0.15">
      <c r="A1074" s="2" t="s">
        <v>2368</v>
      </c>
      <c r="B1074" s="2" t="s">
        <v>2369</v>
      </c>
      <c r="C1074" s="2">
        <v>0.43</v>
      </c>
      <c r="D1074" s="2">
        <v>15.432</v>
      </c>
      <c r="E1074" s="2" t="s">
        <v>198</v>
      </c>
      <c r="F1074" s="2" t="e">
        <f>VLOOKUP(B1074,MSCI中国成分股!A:B,1,)</f>
        <v>#N/A</v>
      </c>
    </row>
    <row r="1075" spans="1:6" ht="20.25" hidden="1" customHeight="1" x14ac:dyDescent="0.15">
      <c r="A1075" s="2" t="s">
        <v>2370</v>
      </c>
      <c r="B1075" s="2" t="s">
        <v>2371</v>
      </c>
      <c r="C1075" s="2">
        <v>0.96</v>
      </c>
      <c r="D1075" s="2">
        <v>0.89839999999999998</v>
      </c>
      <c r="E1075" s="2" t="s">
        <v>916</v>
      </c>
      <c r="F1075" s="2" t="e">
        <f>VLOOKUP(B1075,MSCI中国成分股!A:B,1,)</f>
        <v>#N/A</v>
      </c>
    </row>
    <row r="1076" spans="1:6" ht="20.25" hidden="1" customHeight="1" x14ac:dyDescent="0.15">
      <c r="A1076" s="2" t="s">
        <v>2372</v>
      </c>
      <c r="B1076" s="2" t="s">
        <v>2373</v>
      </c>
      <c r="C1076" s="2">
        <v>1.1000000000000001</v>
      </c>
      <c r="D1076" s="2">
        <v>1.1514</v>
      </c>
      <c r="E1076" s="2" t="s">
        <v>2374</v>
      </c>
      <c r="F1076" s="2" t="e">
        <f>VLOOKUP(B1076,MSCI中国成分股!A:B,1,)</f>
        <v>#N/A</v>
      </c>
    </row>
    <row r="1077" spans="1:6" ht="20.25" hidden="1" customHeight="1" x14ac:dyDescent="0.15">
      <c r="A1077" s="2" t="s">
        <v>2375</v>
      </c>
      <c r="B1077" s="2" t="s">
        <v>2376</v>
      </c>
      <c r="C1077" s="2">
        <v>4.0199999999999996</v>
      </c>
      <c r="D1077" s="2">
        <v>18.174499999999998</v>
      </c>
      <c r="E1077" s="2" t="s">
        <v>240</v>
      </c>
      <c r="F1077" s="2" t="e">
        <f>VLOOKUP(B1077,MSCI中国成分股!A:B,1,)</f>
        <v>#N/A</v>
      </c>
    </row>
    <row r="1078" spans="1:6" ht="20.25" hidden="1" customHeight="1" x14ac:dyDescent="0.15">
      <c r="A1078" s="2" t="s">
        <v>2377</v>
      </c>
      <c r="B1078" s="2" t="s">
        <v>2378</v>
      </c>
      <c r="C1078" s="2">
        <v>0.26</v>
      </c>
      <c r="D1078" s="2">
        <v>0.25969999999999999</v>
      </c>
      <c r="E1078" s="2" t="s">
        <v>1878</v>
      </c>
      <c r="F1078" s="2" t="e">
        <f>VLOOKUP(B1078,MSCI中国成分股!A:B,1,)</f>
        <v>#N/A</v>
      </c>
    </row>
    <row r="1079" spans="1:6" ht="20.25" hidden="1" customHeight="1" x14ac:dyDescent="0.15">
      <c r="A1079" s="2" t="s">
        <v>2379</v>
      </c>
      <c r="B1079" s="2" t="s">
        <v>2380</v>
      </c>
      <c r="C1079" s="2">
        <v>1.78</v>
      </c>
      <c r="D1079" s="2">
        <v>0.43540000000000001</v>
      </c>
      <c r="E1079" s="2" t="s">
        <v>276</v>
      </c>
      <c r="F1079" s="2" t="e">
        <f>VLOOKUP(B1079,MSCI中国成分股!A:B,1,)</f>
        <v>#N/A</v>
      </c>
    </row>
    <row r="1080" spans="1:6" ht="20.25" hidden="1" customHeight="1" x14ac:dyDescent="0.15">
      <c r="A1080" s="2" t="s">
        <v>2381</v>
      </c>
      <c r="B1080" s="2" t="s">
        <v>2382</v>
      </c>
      <c r="C1080" s="2">
        <v>0.73</v>
      </c>
      <c r="D1080" s="2">
        <v>31.8569</v>
      </c>
      <c r="E1080" s="2" t="s">
        <v>1459</v>
      </c>
      <c r="F1080" s="2" t="e">
        <f>VLOOKUP(B1080,MSCI中国成分股!A:B,1,)</f>
        <v>#N/A</v>
      </c>
    </row>
    <row r="1081" spans="1:6" ht="20.25" hidden="1" customHeight="1" x14ac:dyDescent="0.15">
      <c r="A1081" s="2" t="s">
        <v>2383</v>
      </c>
      <c r="B1081" s="2" t="s">
        <v>2384</v>
      </c>
      <c r="C1081" s="2">
        <v>2.48</v>
      </c>
      <c r="D1081" s="2">
        <v>1.1941999999999999</v>
      </c>
      <c r="E1081" s="2" t="s">
        <v>207</v>
      </c>
      <c r="F1081" s="2" t="e">
        <f>VLOOKUP(B1081,MSCI中国成分股!A:B,1,)</f>
        <v>#N/A</v>
      </c>
    </row>
    <row r="1082" spans="1:6" ht="20.25" hidden="1" customHeight="1" x14ac:dyDescent="0.15">
      <c r="A1082" s="2" t="s">
        <v>2385</v>
      </c>
      <c r="B1082" s="2" t="s">
        <v>2386</v>
      </c>
      <c r="C1082" s="2">
        <v>3.57</v>
      </c>
      <c r="D1082" s="2">
        <v>23.575500000000002</v>
      </c>
      <c r="E1082" s="2" t="s">
        <v>633</v>
      </c>
      <c r="F1082" s="2" t="e">
        <f>VLOOKUP(B1082,MSCI中国成分股!A:B,1,)</f>
        <v>#N/A</v>
      </c>
    </row>
    <row r="1083" spans="1:6" ht="20.25" hidden="1" customHeight="1" x14ac:dyDescent="0.15">
      <c r="A1083" s="2" t="s">
        <v>2387</v>
      </c>
      <c r="B1083" s="2" t="s">
        <v>2388</v>
      </c>
      <c r="C1083" s="2">
        <v>3.27</v>
      </c>
      <c r="D1083" s="2">
        <v>1.1552</v>
      </c>
      <c r="E1083" s="2" t="s">
        <v>214</v>
      </c>
      <c r="F1083" s="2" t="e">
        <f>VLOOKUP(B1083,MSCI中国成分股!A:B,1,)</f>
        <v>#N/A</v>
      </c>
    </row>
    <row r="1084" spans="1:6" ht="20.25" hidden="1" customHeight="1" x14ac:dyDescent="0.15">
      <c r="A1084" s="2" t="s">
        <v>2389</v>
      </c>
      <c r="B1084" s="2" t="s">
        <v>2390</v>
      </c>
      <c r="C1084" s="2">
        <v>2.93</v>
      </c>
      <c r="D1084" s="2">
        <v>11.8826</v>
      </c>
      <c r="E1084" s="2" t="s">
        <v>385</v>
      </c>
      <c r="F1084" s="2" t="e">
        <f>VLOOKUP(B1084,MSCI中国成分股!A:B,1,)</f>
        <v>#N/A</v>
      </c>
    </row>
    <row r="1085" spans="1:6" ht="20.25" hidden="1" customHeight="1" x14ac:dyDescent="0.15">
      <c r="A1085" s="2" t="s">
        <v>2391</v>
      </c>
      <c r="B1085" s="2" t="s">
        <v>2392</v>
      </c>
      <c r="C1085" s="2">
        <v>0.27</v>
      </c>
      <c r="D1085" s="2">
        <v>35.408200000000001</v>
      </c>
      <c r="E1085" s="2" t="s">
        <v>123</v>
      </c>
      <c r="F1085" s="2" t="e">
        <f>VLOOKUP(B1085,MSCI中国成分股!A:B,1,)</f>
        <v>#N/A</v>
      </c>
    </row>
    <row r="1086" spans="1:6" ht="20.25" hidden="1" customHeight="1" x14ac:dyDescent="0.15">
      <c r="A1086" s="2" t="s">
        <v>2393</v>
      </c>
      <c r="B1086" s="2" t="s">
        <v>2394</v>
      </c>
      <c r="C1086" s="2">
        <v>1.61</v>
      </c>
      <c r="D1086" s="2">
        <v>19.0229</v>
      </c>
      <c r="E1086" s="2" t="s">
        <v>1436</v>
      </c>
      <c r="F1086" s="2" t="e">
        <f>VLOOKUP(B1086,MSCI中国成分股!A:B,1,)</f>
        <v>#N/A</v>
      </c>
    </row>
    <row r="1087" spans="1:6" ht="20.25" hidden="1" customHeight="1" x14ac:dyDescent="0.15">
      <c r="A1087" s="2" t="s">
        <v>2395</v>
      </c>
      <c r="B1087" s="2" t="s">
        <v>2396</v>
      </c>
      <c r="C1087" s="2">
        <v>0.03</v>
      </c>
      <c r="D1087" s="2">
        <v>2.3235999999999999</v>
      </c>
      <c r="E1087" s="2" t="s">
        <v>787</v>
      </c>
      <c r="F1087" s="2" t="e">
        <f>VLOOKUP(B1087,MSCI中国成分股!A:B,1,)</f>
        <v>#N/A</v>
      </c>
    </row>
    <row r="1088" spans="1:6" ht="20.25" hidden="1" customHeight="1" x14ac:dyDescent="0.15">
      <c r="A1088" s="2" t="s">
        <v>2397</v>
      </c>
      <c r="B1088" s="2" t="s">
        <v>2398</v>
      </c>
      <c r="C1088" s="2">
        <v>0.48</v>
      </c>
      <c r="D1088" s="2">
        <v>2.7675000000000001</v>
      </c>
      <c r="E1088" s="2" t="s">
        <v>359</v>
      </c>
      <c r="F1088" s="2" t="e">
        <f>VLOOKUP(B1088,MSCI中国成分股!A:B,1,)</f>
        <v>#N/A</v>
      </c>
    </row>
    <row r="1089" spans="1:6" ht="20.25" hidden="1" customHeight="1" x14ac:dyDescent="0.15">
      <c r="A1089" s="2" t="s">
        <v>2399</v>
      </c>
      <c r="B1089" s="2" t="s">
        <v>2400</v>
      </c>
      <c r="C1089" s="2">
        <v>1.58</v>
      </c>
      <c r="D1089" s="2">
        <v>6.7491000000000003</v>
      </c>
      <c r="E1089" s="2" t="s">
        <v>1285</v>
      </c>
      <c r="F1089" s="2" t="e">
        <f>VLOOKUP(B1089,MSCI中国成分股!A:B,1,)</f>
        <v>#N/A</v>
      </c>
    </row>
    <row r="1090" spans="1:6" ht="20.25" hidden="1" customHeight="1" x14ac:dyDescent="0.15">
      <c r="A1090" s="2" t="s">
        <v>2401</v>
      </c>
      <c r="B1090" s="2" t="s">
        <v>2402</v>
      </c>
      <c r="C1090" s="2">
        <v>2.9</v>
      </c>
      <c r="D1090" s="2">
        <v>1.8759999999999999</v>
      </c>
      <c r="E1090" s="2" t="s">
        <v>140</v>
      </c>
      <c r="F1090" s="2" t="e">
        <f>VLOOKUP(B1090,MSCI中国成分股!A:B,1,)</f>
        <v>#N/A</v>
      </c>
    </row>
    <row r="1091" spans="1:6" ht="20.25" hidden="1" customHeight="1" x14ac:dyDescent="0.15">
      <c r="A1091" s="2" t="s">
        <v>2403</v>
      </c>
      <c r="B1091" s="2" t="s">
        <v>2404</v>
      </c>
      <c r="C1091" s="2">
        <v>1.46</v>
      </c>
      <c r="D1091" s="2">
        <v>0.77039999999999997</v>
      </c>
      <c r="E1091" s="2" t="s">
        <v>41</v>
      </c>
      <c r="F1091" s="2" t="e">
        <f>VLOOKUP(B1091,MSCI中国成分股!A:B,1,)</f>
        <v>#N/A</v>
      </c>
    </row>
    <row r="1092" spans="1:6" ht="20.25" hidden="1" customHeight="1" x14ac:dyDescent="0.15">
      <c r="A1092" s="2" t="s">
        <v>2405</v>
      </c>
      <c r="B1092" s="2" t="s">
        <v>2406</v>
      </c>
      <c r="C1092" s="2">
        <v>0.04</v>
      </c>
      <c r="D1092" s="2">
        <v>4.9371</v>
      </c>
      <c r="E1092" s="2" t="s">
        <v>220</v>
      </c>
      <c r="F1092" s="2" t="e">
        <f>VLOOKUP(B1092,MSCI中国成分股!A:B,1,)</f>
        <v>#N/A</v>
      </c>
    </row>
    <row r="1093" spans="1:6" ht="20.25" hidden="1" customHeight="1" x14ac:dyDescent="0.15">
      <c r="A1093" s="2" t="s">
        <v>2407</v>
      </c>
      <c r="B1093" s="2" t="s">
        <v>2408</v>
      </c>
      <c r="C1093" s="2">
        <v>3.01</v>
      </c>
      <c r="D1093" s="2">
        <v>5.3644999999999996</v>
      </c>
      <c r="E1093" s="2" t="s">
        <v>670</v>
      </c>
      <c r="F1093" s="2" t="e">
        <f>VLOOKUP(B1093,MSCI中国成分股!A:B,1,)</f>
        <v>#N/A</v>
      </c>
    </row>
    <row r="1094" spans="1:6" ht="20.25" hidden="1" customHeight="1" x14ac:dyDescent="0.15">
      <c r="A1094" s="2" t="s">
        <v>2409</v>
      </c>
      <c r="B1094" s="2" t="s">
        <v>2410</v>
      </c>
      <c r="C1094" s="2">
        <v>0.56999999999999995</v>
      </c>
      <c r="D1094" s="2">
        <v>5.8563000000000001</v>
      </c>
      <c r="E1094" s="2" t="s">
        <v>123</v>
      </c>
      <c r="F1094" s="2" t="e">
        <f>VLOOKUP(B1094,MSCI中国成分股!A:B,1,)</f>
        <v>#N/A</v>
      </c>
    </row>
    <row r="1095" spans="1:6" ht="20.25" hidden="1" customHeight="1" x14ac:dyDescent="0.15">
      <c r="A1095" s="2" t="s">
        <v>2411</v>
      </c>
      <c r="B1095" s="2" t="s">
        <v>2412</v>
      </c>
      <c r="C1095" s="2">
        <v>0.16</v>
      </c>
      <c r="D1095" s="2">
        <v>4.4912000000000001</v>
      </c>
      <c r="E1095" s="2" t="s">
        <v>146</v>
      </c>
      <c r="F1095" s="2" t="e">
        <f>VLOOKUP(B1095,MSCI中国成分股!A:B,1,)</f>
        <v>#N/A</v>
      </c>
    </row>
    <row r="1096" spans="1:6" ht="20.25" hidden="1" customHeight="1" x14ac:dyDescent="0.15">
      <c r="A1096" s="2" t="s">
        <v>2413</v>
      </c>
      <c r="B1096" s="2" t="s">
        <v>2414</v>
      </c>
      <c r="C1096" s="2">
        <v>0.89</v>
      </c>
      <c r="D1096" s="2">
        <v>4.1870000000000003</v>
      </c>
      <c r="E1096" s="2" t="s">
        <v>44</v>
      </c>
      <c r="F1096" s="2" t="e">
        <f>VLOOKUP(B1096,MSCI中国成分股!A:B,1,)</f>
        <v>#N/A</v>
      </c>
    </row>
    <row r="1097" spans="1:6" ht="20.25" hidden="1" customHeight="1" x14ac:dyDescent="0.15">
      <c r="A1097" s="2" t="s">
        <v>2415</v>
      </c>
      <c r="B1097" s="2" t="s">
        <v>2416</v>
      </c>
      <c r="C1097" s="2">
        <v>1.51</v>
      </c>
      <c r="D1097" s="2">
        <v>0.19439999999999999</v>
      </c>
      <c r="E1097" s="2" t="s">
        <v>322</v>
      </c>
      <c r="F1097" s="2" t="e">
        <f>VLOOKUP(B1097,MSCI中国成分股!A:B,1,)</f>
        <v>#N/A</v>
      </c>
    </row>
    <row r="1098" spans="1:6" ht="20.25" hidden="1" customHeight="1" x14ac:dyDescent="0.15">
      <c r="A1098" s="2" t="s">
        <v>2417</v>
      </c>
      <c r="B1098" s="2" t="s">
        <v>2418</v>
      </c>
      <c r="C1098" s="2">
        <v>1.05</v>
      </c>
      <c r="D1098" s="2">
        <v>4.1656000000000004</v>
      </c>
      <c r="E1098" s="2" t="s">
        <v>374</v>
      </c>
      <c r="F1098" s="2" t="e">
        <f>VLOOKUP(B1098,MSCI中国成分股!A:B,1,)</f>
        <v>#N/A</v>
      </c>
    </row>
    <row r="1099" spans="1:6" ht="20.25" hidden="1" customHeight="1" x14ac:dyDescent="0.15">
      <c r="A1099" s="2" t="s">
        <v>2419</v>
      </c>
      <c r="B1099" s="2" t="s">
        <v>2420</v>
      </c>
      <c r="C1099" s="2">
        <v>0.85</v>
      </c>
      <c r="D1099" s="2">
        <v>1.1194</v>
      </c>
      <c r="E1099" s="2" t="s">
        <v>542</v>
      </c>
      <c r="F1099" s="2" t="e">
        <f>VLOOKUP(B1099,MSCI中国成分股!A:B,1,)</f>
        <v>#N/A</v>
      </c>
    </row>
    <row r="1100" spans="1:6" ht="20.25" hidden="1" customHeight="1" x14ac:dyDescent="0.15">
      <c r="A1100" s="2" t="s">
        <v>2421</v>
      </c>
      <c r="B1100" s="2" t="s">
        <v>2422</v>
      </c>
      <c r="C1100" s="2">
        <v>2.2000000000000002</v>
      </c>
      <c r="D1100" s="2">
        <v>3.4571999999999998</v>
      </c>
      <c r="E1100" s="2" t="s">
        <v>371</v>
      </c>
      <c r="F1100" s="2" t="e">
        <f>VLOOKUP(B1100,MSCI中国成分股!A:B,1,)</f>
        <v>#N/A</v>
      </c>
    </row>
    <row r="1101" spans="1:6" ht="20.25" hidden="1" customHeight="1" x14ac:dyDescent="0.15">
      <c r="A1101" s="2" t="s">
        <v>2423</v>
      </c>
      <c r="B1101" s="2" t="s">
        <v>2424</v>
      </c>
      <c r="C1101" s="2">
        <v>0.13</v>
      </c>
      <c r="D1101" s="2">
        <v>22.49</v>
      </c>
      <c r="E1101" s="2" t="s">
        <v>568</v>
      </c>
      <c r="F1101" s="2" t="e">
        <f>VLOOKUP(B1101,MSCI中国成分股!A:B,1,)</f>
        <v>#N/A</v>
      </c>
    </row>
    <row r="1102" spans="1:6" ht="20.25" hidden="1" customHeight="1" x14ac:dyDescent="0.15">
      <c r="A1102" s="2" t="s">
        <v>2425</v>
      </c>
      <c r="B1102" s="2" t="s">
        <v>2426</v>
      </c>
      <c r="C1102" s="2">
        <v>4.59</v>
      </c>
      <c r="D1102" s="2">
        <v>3.8064</v>
      </c>
      <c r="E1102" s="2" t="s">
        <v>1041</v>
      </c>
      <c r="F1102" s="2" t="e">
        <f>VLOOKUP(B1102,MSCI中国成分股!A:B,1,)</f>
        <v>#N/A</v>
      </c>
    </row>
    <row r="1103" spans="1:6" ht="20.25" hidden="1" customHeight="1" x14ac:dyDescent="0.15">
      <c r="A1103" s="2" t="s">
        <v>2427</v>
      </c>
      <c r="B1103" s="2" t="s">
        <v>2428</v>
      </c>
      <c r="C1103" s="2">
        <v>0.96</v>
      </c>
      <c r="D1103" s="2">
        <v>0.2044</v>
      </c>
      <c r="E1103" s="2" t="s">
        <v>339</v>
      </c>
      <c r="F1103" s="2" t="e">
        <f>VLOOKUP(B1103,MSCI中国成分股!A:B,1,)</f>
        <v>#N/A</v>
      </c>
    </row>
    <row r="1104" spans="1:6" ht="20.25" hidden="1" customHeight="1" x14ac:dyDescent="0.15">
      <c r="A1104" s="2" t="s">
        <v>2429</v>
      </c>
      <c r="B1104" s="2" t="s">
        <v>2430</v>
      </c>
      <c r="C1104" s="2">
        <v>0.88</v>
      </c>
      <c r="D1104" s="2">
        <v>49.44</v>
      </c>
      <c r="E1104" s="2" t="s">
        <v>1381</v>
      </c>
      <c r="F1104" s="2" t="e">
        <f>VLOOKUP(B1104,MSCI中国成分股!A:B,1,)</f>
        <v>#N/A</v>
      </c>
    </row>
    <row r="1105" spans="1:6" ht="20.25" hidden="1" customHeight="1" x14ac:dyDescent="0.15">
      <c r="A1105" s="2" t="s">
        <v>2431</v>
      </c>
      <c r="B1105" s="2" t="s">
        <v>2432</v>
      </c>
      <c r="C1105" s="2">
        <v>0.08</v>
      </c>
      <c r="D1105" s="2">
        <v>1.9782999999999999</v>
      </c>
      <c r="E1105" s="2" t="s">
        <v>462</v>
      </c>
      <c r="F1105" s="2" t="e">
        <f>VLOOKUP(B1105,MSCI中国成分股!A:B,1,)</f>
        <v>#N/A</v>
      </c>
    </row>
    <row r="1106" spans="1:6" ht="20.25" hidden="1" customHeight="1" x14ac:dyDescent="0.15">
      <c r="A1106" s="2" t="s">
        <v>2433</v>
      </c>
      <c r="B1106" s="2" t="s">
        <v>2434</v>
      </c>
      <c r="C1106" s="2">
        <v>2.71</v>
      </c>
      <c r="D1106" s="2">
        <v>0.88539999999999996</v>
      </c>
      <c r="E1106" s="2" t="s">
        <v>310</v>
      </c>
      <c r="F1106" s="2" t="e">
        <f>VLOOKUP(B1106,MSCI中国成分股!A:B,1,)</f>
        <v>#N/A</v>
      </c>
    </row>
    <row r="1107" spans="1:6" ht="20.25" hidden="1" customHeight="1" x14ac:dyDescent="0.15">
      <c r="A1107" s="2" t="s">
        <v>2435</v>
      </c>
      <c r="B1107" s="2" t="s">
        <v>2436</v>
      </c>
      <c r="C1107" s="2">
        <v>1.42</v>
      </c>
      <c r="D1107" s="2">
        <v>0.52549999999999997</v>
      </c>
      <c r="E1107" s="2" t="s">
        <v>152</v>
      </c>
      <c r="F1107" s="2" t="e">
        <f>VLOOKUP(B1107,MSCI中国成分股!A:B,1,)</f>
        <v>#N/A</v>
      </c>
    </row>
    <row r="1108" spans="1:6" ht="20.25" hidden="1" customHeight="1" x14ac:dyDescent="0.15">
      <c r="A1108" s="2" t="s">
        <v>2437</v>
      </c>
      <c r="B1108" s="2" t="s">
        <v>2438</v>
      </c>
      <c r="C1108" s="2">
        <v>0.27</v>
      </c>
      <c r="D1108" s="2">
        <v>0.58420000000000005</v>
      </c>
      <c r="E1108" s="2" t="s">
        <v>24</v>
      </c>
      <c r="F1108" s="2" t="e">
        <f>VLOOKUP(B1108,MSCI中国成分股!A:B,1,)</f>
        <v>#N/A</v>
      </c>
    </row>
    <row r="1109" spans="1:6" ht="20.25" hidden="1" customHeight="1" x14ac:dyDescent="0.15">
      <c r="A1109" s="2" t="s">
        <v>2439</v>
      </c>
      <c r="B1109" s="2" t="s">
        <v>2440</v>
      </c>
      <c r="C1109" s="2">
        <v>1.49</v>
      </c>
      <c r="D1109" s="2">
        <v>0.34660000000000002</v>
      </c>
      <c r="E1109" s="2" t="s">
        <v>667</v>
      </c>
      <c r="F1109" s="2" t="e">
        <f>VLOOKUP(B1109,MSCI中国成分股!A:B,1,)</f>
        <v>#N/A</v>
      </c>
    </row>
    <row r="1110" spans="1:6" ht="20.25" hidden="1" customHeight="1" x14ac:dyDescent="0.15">
      <c r="A1110" s="2" t="s">
        <v>2441</v>
      </c>
      <c r="B1110" s="2" t="s">
        <v>2442</v>
      </c>
      <c r="C1110" s="2">
        <v>1.1000000000000001</v>
      </c>
      <c r="D1110" s="2">
        <v>15.636699999999999</v>
      </c>
      <c r="E1110" s="2" t="s">
        <v>35</v>
      </c>
      <c r="F1110" s="2" t="e">
        <f>VLOOKUP(B1110,MSCI中国成分股!A:B,1,)</f>
        <v>#N/A</v>
      </c>
    </row>
    <row r="1111" spans="1:6" ht="20.25" hidden="1" customHeight="1" x14ac:dyDescent="0.15">
      <c r="A1111" s="2" t="s">
        <v>2443</v>
      </c>
      <c r="B1111" s="2" t="s">
        <v>2444</v>
      </c>
      <c r="C1111" s="2">
        <v>3.99</v>
      </c>
      <c r="D1111" s="2">
        <v>2.0287000000000002</v>
      </c>
      <c r="E1111" s="2" t="s">
        <v>1608</v>
      </c>
      <c r="F1111" s="2" t="e">
        <f>VLOOKUP(B1111,MSCI中国成分股!A:B,1,)</f>
        <v>#N/A</v>
      </c>
    </row>
    <row r="1112" spans="1:6" ht="20.25" hidden="1" customHeight="1" x14ac:dyDescent="0.15">
      <c r="A1112" s="2" t="s">
        <v>2445</v>
      </c>
      <c r="B1112" s="2" t="s">
        <v>2446</v>
      </c>
      <c r="C1112" s="2">
        <v>1.84</v>
      </c>
      <c r="D1112" s="2">
        <v>2.3025000000000002</v>
      </c>
      <c r="E1112" s="2" t="s">
        <v>1425</v>
      </c>
      <c r="F1112" s="2" t="e">
        <f>VLOOKUP(B1112,MSCI中国成分股!A:B,1,)</f>
        <v>#N/A</v>
      </c>
    </row>
    <row r="1113" spans="1:6" ht="20.25" hidden="1" customHeight="1" x14ac:dyDescent="0.15">
      <c r="A1113" s="2" t="s">
        <v>2447</v>
      </c>
      <c r="B1113" s="2" t="s">
        <v>2448</v>
      </c>
      <c r="C1113" s="2">
        <v>3.83</v>
      </c>
      <c r="D1113" s="2">
        <v>3.2193000000000001</v>
      </c>
      <c r="E1113" s="2" t="s">
        <v>630</v>
      </c>
      <c r="F1113" s="2" t="e">
        <f>VLOOKUP(B1113,MSCI中国成分股!A:B,1,)</f>
        <v>#N/A</v>
      </c>
    </row>
    <row r="1114" spans="1:6" ht="20.25" hidden="1" customHeight="1" x14ac:dyDescent="0.15">
      <c r="A1114" s="2" t="s">
        <v>2449</v>
      </c>
      <c r="B1114" s="2" t="s">
        <v>2450</v>
      </c>
      <c r="C1114" s="2">
        <v>1.1599999999999999</v>
      </c>
      <c r="D1114" s="2">
        <v>1.4728000000000001</v>
      </c>
      <c r="E1114" s="2" t="s">
        <v>1268</v>
      </c>
      <c r="F1114" s="2" t="e">
        <f>VLOOKUP(B1114,MSCI中国成分股!A:B,1,)</f>
        <v>#N/A</v>
      </c>
    </row>
    <row r="1115" spans="1:6" ht="20.25" hidden="1" customHeight="1" x14ac:dyDescent="0.15">
      <c r="A1115" s="2" t="s">
        <v>2451</v>
      </c>
      <c r="B1115" s="2" t="s">
        <v>2452</v>
      </c>
      <c r="C1115" s="2">
        <v>0.11</v>
      </c>
      <c r="D1115" s="2">
        <v>0.43890000000000001</v>
      </c>
      <c r="E1115" s="2" t="s">
        <v>220</v>
      </c>
      <c r="F1115" s="2" t="e">
        <f>VLOOKUP(B1115,MSCI中国成分股!A:B,1,)</f>
        <v>#N/A</v>
      </c>
    </row>
    <row r="1116" spans="1:6" ht="20.25" hidden="1" customHeight="1" x14ac:dyDescent="0.15">
      <c r="A1116" s="2" t="s">
        <v>2453</v>
      </c>
      <c r="B1116" s="2" t="s">
        <v>2454</v>
      </c>
      <c r="C1116" s="2">
        <v>0.9</v>
      </c>
      <c r="D1116" s="2">
        <v>2.8346</v>
      </c>
      <c r="E1116" s="2" t="s">
        <v>60</v>
      </c>
      <c r="F1116" s="2" t="e">
        <f>VLOOKUP(B1116,MSCI中国成分股!A:B,1,)</f>
        <v>#N/A</v>
      </c>
    </row>
    <row r="1117" spans="1:6" ht="20.25" hidden="1" customHeight="1" x14ac:dyDescent="0.15">
      <c r="A1117" s="2" t="s">
        <v>2455</v>
      </c>
      <c r="B1117" s="2" t="s">
        <v>2456</v>
      </c>
      <c r="C1117" s="2">
        <v>0.87</v>
      </c>
      <c r="D1117" s="2">
        <v>0.32</v>
      </c>
      <c r="E1117" s="2" t="s">
        <v>1997</v>
      </c>
      <c r="F1117" s="2" t="e">
        <f>VLOOKUP(B1117,MSCI中国成分股!A:B,1,)</f>
        <v>#N/A</v>
      </c>
    </row>
    <row r="1118" spans="1:6" ht="20.25" hidden="1" customHeight="1" x14ac:dyDescent="0.15">
      <c r="A1118" s="2" t="s">
        <v>2457</v>
      </c>
      <c r="B1118" s="2" t="s">
        <v>2458</v>
      </c>
      <c r="C1118" s="2">
        <v>1.98</v>
      </c>
      <c r="D1118" s="2">
        <v>2.8799000000000001</v>
      </c>
      <c r="E1118" s="2" t="s">
        <v>146</v>
      </c>
      <c r="F1118" s="2" t="e">
        <f>VLOOKUP(B1118,MSCI中国成分股!A:B,1,)</f>
        <v>#N/A</v>
      </c>
    </row>
    <row r="1119" spans="1:6" ht="20.25" hidden="1" customHeight="1" x14ac:dyDescent="0.15">
      <c r="A1119" s="2" t="s">
        <v>2459</v>
      </c>
      <c r="B1119" s="2" t="s">
        <v>2460</v>
      </c>
      <c r="C1119" s="2">
        <v>1.2</v>
      </c>
      <c r="D1119" s="2">
        <v>0.21440000000000001</v>
      </c>
      <c r="E1119" s="2" t="s">
        <v>1994</v>
      </c>
      <c r="F1119" s="2" t="e">
        <f>VLOOKUP(B1119,MSCI中国成分股!A:B,1,)</f>
        <v>#N/A</v>
      </c>
    </row>
    <row r="1120" spans="1:6" ht="20.25" hidden="1" customHeight="1" x14ac:dyDescent="0.15">
      <c r="A1120" s="2" t="s">
        <v>2461</v>
      </c>
      <c r="B1120" s="2" t="s">
        <v>2462</v>
      </c>
      <c r="C1120" s="2">
        <v>5.3650000000000002</v>
      </c>
      <c r="D1120" s="2">
        <v>5.4935</v>
      </c>
      <c r="E1120" s="2" t="s">
        <v>2463</v>
      </c>
      <c r="F1120" s="2" t="e">
        <f>VLOOKUP(B1120,MSCI中国成分股!A:B,1,)</f>
        <v>#N/A</v>
      </c>
    </row>
    <row r="1121" spans="1:6" ht="20.25" hidden="1" customHeight="1" x14ac:dyDescent="0.15">
      <c r="A1121" s="2" t="s">
        <v>2464</v>
      </c>
      <c r="B1121" s="2" t="s">
        <v>2465</v>
      </c>
      <c r="C1121" s="2">
        <v>3.4</v>
      </c>
      <c r="D1121" s="2">
        <v>0.50049999999999994</v>
      </c>
      <c r="E1121" s="2" t="s">
        <v>459</v>
      </c>
      <c r="F1121" s="2" t="e">
        <f>VLOOKUP(B1121,MSCI中国成分股!A:B,1,)</f>
        <v>#N/A</v>
      </c>
    </row>
    <row r="1122" spans="1:6" ht="20.25" hidden="1" customHeight="1" x14ac:dyDescent="0.15">
      <c r="A1122" s="2" t="s">
        <v>2466</v>
      </c>
      <c r="B1122" s="2" t="s">
        <v>2467</v>
      </c>
      <c r="C1122" s="2">
        <v>0.26</v>
      </c>
      <c r="D1122" s="2">
        <v>8.6986000000000008</v>
      </c>
      <c r="E1122" s="2" t="s">
        <v>65</v>
      </c>
      <c r="F1122" s="2" t="e">
        <f>VLOOKUP(B1122,MSCI中国成分股!A:B,1,)</f>
        <v>#N/A</v>
      </c>
    </row>
    <row r="1123" spans="1:6" ht="20.25" hidden="1" customHeight="1" x14ac:dyDescent="0.15">
      <c r="A1123" s="2" t="s">
        <v>2468</v>
      </c>
      <c r="B1123" s="2" t="s">
        <v>2469</v>
      </c>
      <c r="C1123" s="2">
        <v>2.2799999999999998</v>
      </c>
      <c r="D1123" s="2">
        <v>0.998</v>
      </c>
      <c r="E1123" s="2" t="s">
        <v>2068</v>
      </c>
      <c r="F1123" s="2" t="e">
        <f>VLOOKUP(B1123,MSCI中国成分股!A:B,1,)</f>
        <v>#N/A</v>
      </c>
    </row>
    <row r="1124" spans="1:6" ht="20.25" hidden="1" customHeight="1" x14ac:dyDescent="0.15">
      <c r="A1124" s="2" t="s">
        <v>2470</v>
      </c>
      <c r="B1124" s="2" t="s">
        <v>2471</v>
      </c>
      <c r="C1124" s="2">
        <v>5.52</v>
      </c>
      <c r="D1124" s="2">
        <v>4.6178999999999997</v>
      </c>
      <c r="E1124" s="2" t="s">
        <v>589</v>
      </c>
      <c r="F1124" s="2" t="e">
        <f>VLOOKUP(B1124,MSCI中国成分股!A:B,1,)</f>
        <v>#N/A</v>
      </c>
    </row>
    <row r="1125" spans="1:6" ht="20.25" hidden="1" customHeight="1" x14ac:dyDescent="0.15">
      <c r="A1125" s="2" t="s">
        <v>2472</v>
      </c>
      <c r="B1125" s="2" t="s">
        <v>2473</v>
      </c>
      <c r="C1125" s="2">
        <v>1.1499999999999999</v>
      </c>
      <c r="D1125" s="2">
        <v>1.4805999999999999</v>
      </c>
      <c r="E1125" s="2" t="s">
        <v>13</v>
      </c>
      <c r="F1125" s="2" t="e">
        <f>VLOOKUP(B1125,MSCI中国成分股!A:B,1,)</f>
        <v>#N/A</v>
      </c>
    </row>
    <row r="1126" spans="1:6" ht="20.25" hidden="1" customHeight="1" x14ac:dyDescent="0.15">
      <c r="A1126" s="2" t="s">
        <v>2474</v>
      </c>
      <c r="B1126" s="2" t="s">
        <v>2475</v>
      </c>
      <c r="C1126" s="2">
        <v>2.2200000000000002</v>
      </c>
      <c r="D1126" s="2">
        <v>3.2566000000000002</v>
      </c>
      <c r="E1126" s="2" t="s">
        <v>7</v>
      </c>
      <c r="F1126" s="2" t="e">
        <f>VLOOKUP(B1126,MSCI中国成分股!A:B,1,)</f>
        <v>#N/A</v>
      </c>
    </row>
    <row r="1127" spans="1:6" ht="20.25" hidden="1" customHeight="1" x14ac:dyDescent="0.15">
      <c r="A1127" s="2" t="s">
        <v>2476</v>
      </c>
      <c r="B1127" s="2" t="s">
        <v>2477</v>
      </c>
      <c r="C1127" s="2">
        <v>3.16</v>
      </c>
      <c r="D1127" s="2">
        <v>1.0244</v>
      </c>
      <c r="E1127" s="2" t="s">
        <v>1691</v>
      </c>
      <c r="F1127" s="2" t="e">
        <f>VLOOKUP(B1127,MSCI中国成分股!A:B,1,)</f>
        <v>#N/A</v>
      </c>
    </row>
    <row r="1128" spans="1:6" ht="20.25" hidden="1" customHeight="1" x14ac:dyDescent="0.15">
      <c r="A1128" s="2" t="s">
        <v>2478</v>
      </c>
      <c r="B1128" s="2" t="s">
        <v>2479</v>
      </c>
      <c r="C1128" s="2">
        <v>1</v>
      </c>
      <c r="D1128" s="2">
        <v>3.3258000000000001</v>
      </c>
      <c r="E1128" s="2" t="s">
        <v>35</v>
      </c>
      <c r="F1128" s="2" t="e">
        <f>VLOOKUP(B1128,MSCI中国成分股!A:B,1,)</f>
        <v>#N/A</v>
      </c>
    </row>
    <row r="1129" spans="1:6" ht="20.25" hidden="1" customHeight="1" x14ac:dyDescent="0.15">
      <c r="A1129" s="2" t="s">
        <v>2480</v>
      </c>
      <c r="B1129" s="2" t="s">
        <v>2481</v>
      </c>
      <c r="C1129" s="2">
        <v>3.42</v>
      </c>
      <c r="D1129" s="2">
        <v>26.667100000000001</v>
      </c>
      <c r="E1129" s="2" t="s">
        <v>201</v>
      </c>
      <c r="F1129" s="2" t="e">
        <f>VLOOKUP(B1129,MSCI中国成分股!A:B,1,)</f>
        <v>#N/A</v>
      </c>
    </row>
    <row r="1130" spans="1:6" ht="20.25" hidden="1" customHeight="1" x14ac:dyDescent="0.15">
      <c r="A1130" s="2" t="s">
        <v>2482</v>
      </c>
      <c r="B1130" s="2" t="s">
        <v>2483</v>
      </c>
      <c r="C1130" s="2">
        <v>1.04</v>
      </c>
      <c r="D1130" s="2">
        <v>1.5013000000000001</v>
      </c>
      <c r="E1130" s="2" t="s">
        <v>225</v>
      </c>
      <c r="F1130" s="2" t="e">
        <f>VLOOKUP(B1130,MSCI中国成分股!A:B,1,)</f>
        <v>#N/A</v>
      </c>
    </row>
    <row r="1131" spans="1:6" ht="20.25" hidden="1" customHeight="1" x14ac:dyDescent="0.15">
      <c r="A1131" s="2" t="s">
        <v>2484</v>
      </c>
      <c r="B1131" s="2" t="s">
        <v>2485</v>
      </c>
      <c r="C1131" s="2">
        <v>-6.59</v>
      </c>
      <c r="D1131" s="2">
        <v>36.631500000000003</v>
      </c>
      <c r="E1131" s="2" t="s">
        <v>677</v>
      </c>
      <c r="F1131" s="2" t="e">
        <f>VLOOKUP(B1131,MSCI中国成分股!A:B,1,)</f>
        <v>#N/A</v>
      </c>
    </row>
    <row r="1132" spans="1:6" ht="20.25" hidden="1" customHeight="1" x14ac:dyDescent="0.15">
      <c r="A1132" s="2" t="s">
        <v>2486</v>
      </c>
      <c r="B1132" s="2" t="s">
        <v>2487</v>
      </c>
      <c r="C1132" s="2">
        <v>-3.51</v>
      </c>
      <c r="D1132" s="2">
        <v>18.9648</v>
      </c>
      <c r="E1132" s="2" t="s">
        <v>123</v>
      </c>
      <c r="F1132" s="2" t="e">
        <f>VLOOKUP(B1132,MSCI中国成分股!A:B,1,)</f>
        <v>#N/A</v>
      </c>
    </row>
    <row r="1133" spans="1:6" ht="20.25" hidden="1" customHeight="1" x14ac:dyDescent="0.15">
      <c r="A1133" s="2" t="s">
        <v>2488</v>
      </c>
      <c r="B1133" s="2" t="s">
        <v>2489</v>
      </c>
      <c r="C1133" s="2">
        <v>3.09</v>
      </c>
      <c r="D1133" s="2">
        <v>3.7094999999999998</v>
      </c>
      <c r="E1133" s="2" t="s">
        <v>13</v>
      </c>
      <c r="F1133" s="2" t="e">
        <f>VLOOKUP(B1133,MSCI中国成分股!A:B,1,)</f>
        <v>#N/A</v>
      </c>
    </row>
    <row r="1134" spans="1:6" ht="20.25" hidden="1" customHeight="1" x14ac:dyDescent="0.15">
      <c r="A1134" s="2" t="s">
        <v>2490</v>
      </c>
      <c r="B1134" s="2" t="s">
        <v>2491</v>
      </c>
      <c r="C1134" s="2">
        <v>0.37</v>
      </c>
      <c r="D1134" s="2">
        <v>0.2321</v>
      </c>
      <c r="E1134" s="2" t="s">
        <v>276</v>
      </c>
      <c r="F1134" s="2" t="e">
        <f>VLOOKUP(B1134,MSCI中国成分股!A:B,1,)</f>
        <v>#N/A</v>
      </c>
    </row>
    <row r="1135" spans="1:6" ht="20.25" hidden="1" customHeight="1" x14ac:dyDescent="0.15">
      <c r="A1135" s="2" t="s">
        <v>2492</v>
      </c>
      <c r="B1135" s="2" t="s">
        <v>2493</v>
      </c>
      <c r="C1135" s="2">
        <v>0.33</v>
      </c>
      <c r="D1135" s="2">
        <v>0.2092</v>
      </c>
      <c r="E1135" s="2" t="s">
        <v>81</v>
      </c>
      <c r="F1135" s="2" t="e">
        <f>VLOOKUP(B1135,MSCI中国成分股!A:B,1,)</f>
        <v>#N/A</v>
      </c>
    </row>
    <row r="1136" spans="1:6" ht="20.25" hidden="1" customHeight="1" x14ac:dyDescent="0.15">
      <c r="A1136" s="2" t="s">
        <v>2494</v>
      </c>
      <c r="B1136" s="2" t="s">
        <v>2495</v>
      </c>
      <c r="C1136" s="2">
        <v>0.2</v>
      </c>
      <c r="D1136" s="2">
        <v>0.53059999999999996</v>
      </c>
      <c r="E1136" s="2" t="s">
        <v>459</v>
      </c>
      <c r="F1136" s="2" t="e">
        <f>VLOOKUP(B1136,MSCI中国成分股!A:B,1,)</f>
        <v>#N/A</v>
      </c>
    </row>
    <row r="1137" spans="1:6" ht="20.25" hidden="1" customHeight="1" x14ac:dyDescent="0.15">
      <c r="A1137" s="2" t="s">
        <v>2496</v>
      </c>
      <c r="B1137" s="2" t="s">
        <v>2497</v>
      </c>
      <c r="C1137" s="2">
        <v>0.94</v>
      </c>
      <c r="D1137" s="2">
        <v>0.20610000000000001</v>
      </c>
      <c r="E1137" s="2" t="s">
        <v>339</v>
      </c>
      <c r="F1137" s="2" t="e">
        <f>VLOOKUP(B1137,MSCI中国成分股!A:B,1,)</f>
        <v>#N/A</v>
      </c>
    </row>
    <row r="1138" spans="1:6" ht="20.25" hidden="1" customHeight="1" x14ac:dyDescent="0.15">
      <c r="A1138" s="2" t="s">
        <v>2498</v>
      </c>
      <c r="B1138" s="2" t="s">
        <v>2499</v>
      </c>
      <c r="C1138" s="2">
        <v>2.06</v>
      </c>
      <c r="D1138" s="2">
        <v>17.773099999999999</v>
      </c>
      <c r="E1138" s="2" t="s">
        <v>916</v>
      </c>
      <c r="F1138" s="2" t="e">
        <f>VLOOKUP(B1138,MSCI中国成分股!A:B,1,)</f>
        <v>#N/A</v>
      </c>
    </row>
    <row r="1139" spans="1:6" ht="20.25" hidden="1" customHeight="1" x14ac:dyDescent="0.15">
      <c r="A1139" s="2" t="s">
        <v>2500</v>
      </c>
      <c r="B1139" s="2" t="s">
        <v>2501</v>
      </c>
      <c r="C1139" s="2">
        <v>-0.13</v>
      </c>
      <c r="D1139" s="2">
        <v>9.6473999999999993</v>
      </c>
      <c r="E1139" s="2" t="s">
        <v>265</v>
      </c>
      <c r="F1139" s="2" t="e">
        <f>VLOOKUP(B1139,MSCI中国成分股!A:B,1,)</f>
        <v>#N/A</v>
      </c>
    </row>
    <row r="1140" spans="1:6" ht="20.25" hidden="1" customHeight="1" x14ac:dyDescent="0.15">
      <c r="A1140" s="2" t="s">
        <v>2502</v>
      </c>
      <c r="B1140" s="2" t="s">
        <v>2503</v>
      </c>
      <c r="C1140" s="2">
        <v>1.7</v>
      </c>
      <c r="D1140" s="2">
        <v>0.47910000000000003</v>
      </c>
      <c r="E1140" s="2" t="s">
        <v>418</v>
      </c>
      <c r="F1140" s="2" t="e">
        <f>VLOOKUP(B1140,MSCI中国成分股!A:B,1,)</f>
        <v>#N/A</v>
      </c>
    </row>
    <row r="1141" spans="1:6" ht="20.25" hidden="1" customHeight="1" x14ac:dyDescent="0.15">
      <c r="A1141" s="2" t="s">
        <v>2504</v>
      </c>
      <c r="B1141" s="2" t="s">
        <v>2505</v>
      </c>
      <c r="C1141" s="2">
        <v>2.58</v>
      </c>
      <c r="D1141" s="2">
        <v>0.42930000000000001</v>
      </c>
      <c r="E1141" s="2" t="s">
        <v>201</v>
      </c>
      <c r="F1141" s="2" t="e">
        <f>VLOOKUP(B1141,MSCI中国成分股!A:B,1,)</f>
        <v>#N/A</v>
      </c>
    </row>
    <row r="1142" spans="1:6" ht="20.25" hidden="1" customHeight="1" x14ac:dyDescent="0.15">
      <c r="A1142" s="2" t="s">
        <v>2506</v>
      </c>
      <c r="B1142" s="2" t="s">
        <v>2507</v>
      </c>
      <c r="C1142" s="2">
        <v>2.12</v>
      </c>
      <c r="D1142" s="2">
        <v>0.77190000000000003</v>
      </c>
      <c r="E1142" s="2" t="s">
        <v>286</v>
      </c>
      <c r="F1142" s="2" t="e">
        <f>VLOOKUP(B1142,MSCI中国成分股!A:B,1,)</f>
        <v>#N/A</v>
      </c>
    </row>
    <row r="1143" spans="1:6" ht="20.25" hidden="1" customHeight="1" x14ac:dyDescent="0.15">
      <c r="A1143" s="2" t="s">
        <v>2508</v>
      </c>
      <c r="B1143" s="2" t="s">
        <v>2509</v>
      </c>
      <c r="C1143" s="2">
        <v>4.59</v>
      </c>
      <c r="D1143" s="2">
        <v>0.76239999999999997</v>
      </c>
      <c r="E1143" s="2" t="s">
        <v>1997</v>
      </c>
      <c r="F1143" s="2" t="e">
        <f>VLOOKUP(B1143,MSCI中国成分股!A:B,1,)</f>
        <v>#N/A</v>
      </c>
    </row>
    <row r="1144" spans="1:6" ht="20.25" hidden="1" customHeight="1" x14ac:dyDescent="0.15">
      <c r="A1144" s="2" t="s">
        <v>2510</v>
      </c>
      <c r="B1144" s="2" t="s">
        <v>2511</v>
      </c>
      <c r="C1144" s="2">
        <v>1.69</v>
      </c>
      <c r="D1144" s="2">
        <v>6.4577999999999998</v>
      </c>
      <c r="E1144" s="2" t="s">
        <v>794</v>
      </c>
      <c r="F1144" s="2" t="e">
        <f>VLOOKUP(B1144,MSCI中国成分股!A:B,1,)</f>
        <v>#N/A</v>
      </c>
    </row>
    <row r="1145" spans="1:6" ht="20.25" hidden="1" customHeight="1" x14ac:dyDescent="0.15">
      <c r="A1145" s="2" t="s">
        <v>2512</v>
      </c>
      <c r="B1145" s="2" t="s">
        <v>2513</v>
      </c>
      <c r="C1145" s="2">
        <v>0.35</v>
      </c>
      <c r="D1145" s="2">
        <v>7.4969000000000001</v>
      </c>
      <c r="E1145" s="2" t="s">
        <v>140</v>
      </c>
      <c r="F1145" s="2" t="e">
        <f>VLOOKUP(B1145,MSCI中国成分股!A:B,1,)</f>
        <v>#N/A</v>
      </c>
    </row>
    <row r="1146" spans="1:6" ht="20.25" hidden="1" customHeight="1" x14ac:dyDescent="0.15">
      <c r="A1146" s="2" t="s">
        <v>2514</v>
      </c>
      <c r="B1146" s="2" t="s">
        <v>2515</v>
      </c>
      <c r="C1146" s="2">
        <v>1.47</v>
      </c>
      <c r="D1146" s="2">
        <v>0.46679999999999999</v>
      </c>
      <c r="E1146" s="2" t="s">
        <v>149</v>
      </c>
      <c r="F1146" s="2" t="e">
        <f>VLOOKUP(B1146,MSCI中国成分股!A:B,1,)</f>
        <v>#N/A</v>
      </c>
    </row>
    <row r="1147" spans="1:6" ht="20.25" hidden="1" customHeight="1" x14ac:dyDescent="0.15">
      <c r="A1147" s="2" t="s">
        <v>2516</v>
      </c>
      <c r="B1147" s="2" t="s">
        <v>2517</v>
      </c>
      <c r="C1147" s="2">
        <v>3.66</v>
      </c>
      <c r="D1147" s="2">
        <v>8.1130999999999993</v>
      </c>
      <c r="E1147" s="2" t="s">
        <v>365</v>
      </c>
      <c r="F1147" s="2" t="e">
        <f>VLOOKUP(B1147,MSCI中国成分股!A:B,1,)</f>
        <v>#N/A</v>
      </c>
    </row>
    <row r="1148" spans="1:6" ht="20.25" hidden="1" customHeight="1" x14ac:dyDescent="0.15">
      <c r="A1148" s="2" t="s">
        <v>2518</v>
      </c>
      <c r="B1148" s="2" t="s">
        <v>2519</v>
      </c>
      <c r="C1148" s="2">
        <v>0.86</v>
      </c>
      <c r="D1148" s="2">
        <v>17.614599999999999</v>
      </c>
      <c r="E1148" s="2" t="s">
        <v>667</v>
      </c>
      <c r="F1148" s="2" t="e">
        <f>VLOOKUP(B1148,MSCI中国成分股!A:B,1,)</f>
        <v>#N/A</v>
      </c>
    </row>
    <row r="1149" spans="1:6" ht="20.25" hidden="1" customHeight="1" x14ac:dyDescent="0.15">
      <c r="A1149" s="2" t="s">
        <v>2520</v>
      </c>
      <c r="B1149" s="2" t="s">
        <v>2521</v>
      </c>
      <c r="C1149" s="2">
        <v>1.65</v>
      </c>
      <c r="D1149" s="2">
        <v>0.80169999999999997</v>
      </c>
      <c r="E1149" s="2" t="s">
        <v>120</v>
      </c>
      <c r="F1149" s="2" t="e">
        <f>VLOOKUP(B1149,MSCI中国成分股!A:B,1,)</f>
        <v>#N/A</v>
      </c>
    </row>
    <row r="1150" spans="1:6" ht="20.25" hidden="1" customHeight="1" x14ac:dyDescent="0.15">
      <c r="A1150" s="2" t="s">
        <v>2522</v>
      </c>
      <c r="B1150" s="2" t="s">
        <v>2523</v>
      </c>
      <c r="C1150" s="2">
        <v>0.92</v>
      </c>
      <c r="D1150" s="2">
        <v>2.1694</v>
      </c>
      <c r="E1150" s="2" t="s">
        <v>13</v>
      </c>
      <c r="F1150" s="2" t="e">
        <f>VLOOKUP(B1150,MSCI中国成分股!A:B,1,)</f>
        <v>#N/A</v>
      </c>
    </row>
    <row r="1151" spans="1:6" ht="20.25" hidden="1" customHeight="1" x14ac:dyDescent="0.15">
      <c r="A1151" s="2" t="s">
        <v>2524</v>
      </c>
      <c r="B1151" s="2" t="s">
        <v>2525</v>
      </c>
      <c r="C1151" s="2">
        <v>1.97</v>
      </c>
      <c r="D1151" s="2">
        <v>1.4992000000000001</v>
      </c>
      <c r="E1151" s="2" t="s">
        <v>368</v>
      </c>
      <c r="F1151" s="2" t="e">
        <f>VLOOKUP(B1151,MSCI中国成分股!A:B,1,)</f>
        <v>#N/A</v>
      </c>
    </row>
    <row r="1152" spans="1:6" ht="20.25" hidden="1" customHeight="1" x14ac:dyDescent="0.15">
      <c r="A1152" s="2" t="s">
        <v>2526</v>
      </c>
      <c r="B1152" s="2" t="s">
        <v>2527</v>
      </c>
      <c r="C1152" s="2">
        <v>4.01</v>
      </c>
      <c r="D1152" s="2">
        <v>2.7277999999999998</v>
      </c>
      <c r="E1152" s="2" t="s">
        <v>35</v>
      </c>
      <c r="F1152" s="2" t="e">
        <f>VLOOKUP(B1152,MSCI中国成分股!A:B,1,)</f>
        <v>#N/A</v>
      </c>
    </row>
    <row r="1153" spans="1:6" ht="20.25" hidden="1" customHeight="1" x14ac:dyDescent="0.15">
      <c r="A1153" s="2" t="s">
        <v>2528</v>
      </c>
      <c r="B1153" s="2" t="s">
        <v>2529</v>
      </c>
      <c r="C1153" s="2">
        <v>0.15</v>
      </c>
      <c r="D1153" s="2">
        <v>10.667</v>
      </c>
      <c r="E1153" s="2" t="s">
        <v>551</v>
      </c>
      <c r="F1153" s="2" t="e">
        <f>VLOOKUP(B1153,MSCI中国成分股!A:B,1,)</f>
        <v>#N/A</v>
      </c>
    </row>
    <row r="1154" spans="1:6" ht="20.25" hidden="1" customHeight="1" x14ac:dyDescent="0.15">
      <c r="A1154" s="2" t="s">
        <v>2530</v>
      </c>
      <c r="B1154" s="2" t="s">
        <v>2531</v>
      </c>
      <c r="C1154" s="2">
        <v>1.925</v>
      </c>
      <c r="D1154" s="2">
        <v>5.0949999999999998</v>
      </c>
      <c r="E1154" s="2" t="s">
        <v>44</v>
      </c>
      <c r="F1154" s="2" t="e">
        <f>VLOOKUP(B1154,MSCI中国成分股!A:B,1,)</f>
        <v>#N/A</v>
      </c>
    </row>
    <row r="1155" spans="1:6" ht="20.25" hidden="1" customHeight="1" x14ac:dyDescent="0.15">
      <c r="A1155" s="2" t="s">
        <v>2532</v>
      </c>
      <c r="B1155" s="2" t="s">
        <v>2533</v>
      </c>
      <c r="C1155" s="2">
        <v>0.32</v>
      </c>
      <c r="D1155" s="2">
        <v>0.41039999999999999</v>
      </c>
      <c r="E1155" s="2" t="s">
        <v>220</v>
      </c>
      <c r="F1155" s="2" t="e">
        <f>VLOOKUP(B1155,MSCI中国成分股!A:B,1,)</f>
        <v>#N/A</v>
      </c>
    </row>
    <row r="1156" spans="1:6" ht="20.25" hidden="1" customHeight="1" x14ac:dyDescent="0.15">
      <c r="A1156" s="2" t="s">
        <v>2534</v>
      </c>
      <c r="B1156" s="2" t="s">
        <v>2535</v>
      </c>
      <c r="C1156" s="2">
        <v>0.52</v>
      </c>
      <c r="D1156" s="2">
        <v>1.7407999999999999</v>
      </c>
      <c r="E1156" s="2" t="s">
        <v>347</v>
      </c>
      <c r="F1156" s="2" t="e">
        <f>VLOOKUP(B1156,MSCI中国成分股!A:B,1,)</f>
        <v>#N/A</v>
      </c>
    </row>
    <row r="1157" spans="1:6" ht="20.25" hidden="1" customHeight="1" x14ac:dyDescent="0.15">
      <c r="A1157" s="2" t="s">
        <v>2536</v>
      </c>
      <c r="B1157" s="2" t="s">
        <v>2537</v>
      </c>
      <c r="C1157" s="2">
        <v>0.61</v>
      </c>
      <c r="D1157" s="2">
        <v>27.4938</v>
      </c>
      <c r="E1157" s="2" t="s">
        <v>299</v>
      </c>
      <c r="F1157" s="2" t="e">
        <f>VLOOKUP(B1157,MSCI中国成分股!A:B,1,)</f>
        <v>#N/A</v>
      </c>
    </row>
    <row r="1158" spans="1:6" ht="20.25" hidden="1" customHeight="1" x14ac:dyDescent="0.15">
      <c r="A1158" s="2" t="s">
        <v>2538</v>
      </c>
      <c r="B1158" s="2" t="s">
        <v>2539</v>
      </c>
      <c r="C1158" s="2">
        <v>3.36</v>
      </c>
      <c r="D1158" s="2">
        <v>6.2568000000000001</v>
      </c>
      <c r="E1158" s="2" t="s">
        <v>41</v>
      </c>
      <c r="F1158" s="2" t="e">
        <f>VLOOKUP(B1158,MSCI中国成分股!A:B,1,)</f>
        <v>#N/A</v>
      </c>
    </row>
    <row r="1159" spans="1:6" ht="20.25" hidden="1" customHeight="1" x14ac:dyDescent="0.15">
      <c r="A1159" s="2" t="s">
        <v>2540</v>
      </c>
      <c r="B1159" s="2" t="s">
        <v>2541</v>
      </c>
      <c r="C1159" s="2">
        <v>1.67</v>
      </c>
      <c r="D1159" s="2">
        <v>2.3807999999999998</v>
      </c>
      <c r="E1159" s="2" t="s">
        <v>149</v>
      </c>
      <c r="F1159" s="2" t="e">
        <f>VLOOKUP(B1159,MSCI中国成分股!A:B,1,)</f>
        <v>#N/A</v>
      </c>
    </row>
    <row r="1160" spans="1:6" ht="20.25" hidden="1" customHeight="1" x14ac:dyDescent="0.15">
      <c r="A1160" s="2" t="s">
        <v>2542</v>
      </c>
      <c r="B1160" s="2" t="s">
        <v>2543</v>
      </c>
      <c r="C1160" s="2">
        <v>0.875</v>
      </c>
      <c r="D1160" s="2">
        <v>10.6717</v>
      </c>
      <c r="E1160" s="2" t="s">
        <v>371</v>
      </c>
      <c r="F1160" s="2" t="e">
        <f>VLOOKUP(B1160,MSCI中国成分股!A:B,1,)</f>
        <v>#N/A</v>
      </c>
    </row>
    <row r="1161" spans="1:6" ht="20.25" hidden="1" customHeight="1" x14ac:dyDescent="0.15">
      <c r="A1161" s="2" t="s">
        <v>2544</v>
      </c>
      <c r="B1161" s="2" t="s">
        <v>2545</v>
      </c>
      <c r="C1161" s="2">
        <v>0.56000000000000005</v>
      </c>
      <c r="D1161" s="2">
        <v>16.577500000000001</v>
      </c>
      <c r="E1161" s="2" t="s">
        <v>260</v>
      </c>
      <c r="F1161" s="2" t="e">
        <f>VLOOKUP(B1161,MSCI中国成分股!A:B,1,)</f>
        <v>#N/A</v>
      </c>
    </row>
    <row r="1162" spans="1:6" ht="20.25" hidden="1" customHeight="1" x14ac:dyDescent="0.15">
      <c r="A1162" s="2" t="s">
        <v>2546</v>
      </c>
      <c r="B1162" s="2" t="s">
        <v>2547</v>
      </c>
      <c r="C1162" s="2">
        <v>1.59</v>
      </c>
      <c r="D1162" s="2">
        <v>0.89049999999999996</v>
      </c>
      <c r="E1162" s="2" t="s">
        <v>81</v>
      </c>
      <c r="F1162" s="2" t="e">
        <f>VLOOKUP(B1162,MSCI中国成分股!A:B,1,)</f>
        <v>#N/A</v>
      </c>
    </row>
    <row r="1163" spans="1:6" ht="20.25" hidden="1" customHeight="1" x14ac:dyDescent="0.15">
      <c r="A1163" s="2" t="s">
        <v>2548</v>
      </c>
      <c r="B1163" s="2" t="s">
        <v>2549</v>
      </c>
      <c r="C1163" s="2">
        <v>2.5099999999999998</v>
      </c>
      <c r="D1163" s="2">
        <v>2.6959</v>
      </c>
      <c r="E1163" s="2" t="s">
        <v>704</v>
      </c>
      <c r="F1163" s="2" t="e">
        <f>VLOOKUP(B1163,MSCI中国成分股!A:B,1,)</f>
        <v>#N/A</v>
      </c>
    </row>
    <row r="1164" spans="1:6" ht="20.25" hidden="1" customHeight="1" x14ac:dyDescent="0.15">
      <c r="A1164" s="2" t="s">
        <v>2550</v>
      </c>
      <c r="B1164" s="2" t="s">
        <v>2551</v>
      </c>
      <c r="C1164" s="2">
        <v>-1.37</v>
      </c>
      <c r="D1164" s="2">
        <v>33.789499999999997</v>
      </c>
      <c r="E1164" s="2" t="s">
        <v>44</v>
      </c>
      <c r="F1164" s="2" t="e">
        <f>VLOOKUP(B1164,MSCI中国成分股!A:B,1,)</f>
        <v>#N/A</v>
      </c>
    </row>
    <row r="1165" spans="1:6" ht="20.25" hidden="1" customHeight="1" x14ac:dyDescent="0.15">
      <c r="A1165" s="2" t="s">
        <v>2552</v>
      </c>
      <c r="B1165" s="2" t="s">
        <v>2553</v>
      </c>
      <c r="C1165" s="2">
        <v>7.0000000000000007E-2</v>
      </c>
      <c r="D1165" s="2">
        <v>6.0876999999999999</v>
      </c>
      <c r="E1165" s="2" t="s">
        <v>1094</v>
      </c>
      <c r="F1165" s="2" t="e">
        <f>VLOOKUP(B1165,MSCI中国成分股!A:B,1,)</f>
        <v>#N/A</v>
      </c>
    </row>
    <row r="1166" spans="1:6" ht="20.25" hidden="1" customHeight="1" x14ac:dyDescent="0.15">
      <c r="A1166" s="2" t="s">
        <v>2554</v>
      </c>
      <c r="B1166" s="2" t="s">
        <v>2555</v>
      </c>
      <c r="C1166" s="2">
        <v>1.91</v>
      </c>
      <c r="D1166" s="2">
        <v>318.1035</v>
      </c>
      <c r="E1166" s="2" t="s">
        <v>409</v>
      </c>
      <c r="F1166" s="2" t="e">
        <f>VLOOKUP(B1166,MSCI中国成分股!A:B,1,)</f>
        <v>#N/A</v>
      </c>
    </row>
    <row r="1167" spans="1:6" ht="20.25" hidden="1" customHeight="1" x14ac:dyDescent="0.15">
      <c r="A1167" s="2" t="s">
        <v>2556</v>
      </c>
      <c r="B1167" s="2" t="s">
        <v>2557</v>
      </c>
      <c r="C1167" s="2">
        <v>3.64</v>
      </c>
      <c r="D1167" s="2">
        <v>1.1916</v>
      </c>
      <c r="E1167" s="2" t="s">
        <v>501</v>
      </c>
      <c r="F1167" s="2" t="e">
        <f>VLOOKUP(B1167,MSCI中国成分股!A:B,1,)</f>
        <v>#N/A</v>
      </c>
    </row>
    <row r="1168" spans="1:6" ht="20.25" hidden="1" customHeight="1" x14ac:dyDescent="0.15">
      <c r="A1168" s="2" t="s">
        <v>2558</v>
      </c>
      <c r="B1168" s="2" t="s">
        <v>2559</v>
      </c>
      <c r="C1168" s="2">
        <v>1.94</v>
      </c>
      <c r="D1168" s="2">
        <v>2.9784999999999999</v>
      </c>
      <c r="E1168" s="2" t="s">
        <v>1486</v>
      </c>
      <c r="F1168" s="2" t="e">
        <f>VLOOKUP(B1168,MSCI中国成分股!A:B,1,)</f>
        <v>#N/A</v>
      </c>
    </row>
    <row r="1169" spans="1:6" ht="20.25" hidden="1" customHeight="1" x14ac:dyDescent="0.15">
      <c r="A1169" s="2" t="s">
        <v>2560</v>
      </c>
      <c r="B1169" s="2" t="s">
        <v>2561</v>
      </c>
      <c r="C1169" s="2">
        <v>1.1399999999999999</v>
      </c>
      <c r="D1169" s="2">
        <v>0.83120000000000005</v>
      </c>
      <c r="E1169" s="2" t="s">
        <v>1338</v>
      </c>
      <c r="F1169" s="2" t="e">
        <f>VLOOKUP(B1169,MSCI中国成分股!A:B,1,)</f>
        <v>#N/A</v>
      </c>
    </row>
    <row r="1170" spans="1:6" ht="20.25" hidden="1" customHeight="1" x14ac:dyDescent="0.15">
      <c r="A1170" s="2" t="s">
        <v>2562</v>
      </c>
      <c r="B1170" s="2" t="s">
        <v>2563</v>
      </c>
      <c r="C1170" s="2">
        <v>-2.1349999999999998</v>
      </c>
      <c r="D1170" s="2">
        <v>9.3747000000000007</v>
      </c>
      <c r="E1170" s="2" t="s">
        <v>421</v>
      </c>
      <c r="F1170" s="2" t="e">
        <f>VLOOKUP(B1170,MSCI中国成分股!A:B,1,)</f>
        <v>#N/A</v>
      </c>
    </row>
    <row r="1171" spans="1:6" ht="20.25" hidden="1" customHeight="1" x14ac:dyDescent="0.15">
      <c r="A1171" s="2" t="s">
        <v>2564</v>
      </c>
      <c r="B1171" s="2" t="s">
        <v>2565</v>
      </c>
      <c r="C1171" s="2">
        <v>-0.02</v>
      </c>
      <c r="D1171" s="2">
        <v>15.758800000000001</v>
      </c>
      <c r="E1171" s="2" t="s">
        <v>1243</v>
      </c>
      <c r="F1171" s="2" t="e">
        <f>VLOOKUP(B1171,MSCI中国成分股!A:B,1,)</f>
        <v>#N/A</v>
      </c>
    </row>
    <row r="1172" spans="1:6" ht="20.25" hidden="1" customHeight="1" x14ac:dyDescent="0.15">
      <c r="A1172" s="2" t="s">
        <v>2566</v>
      </c>
      <c r="B1172" s="2" t="s">
        <v>2567</v>
      </c>
      <c r="C1172" s="2">
        <v>0.59</v>
      </c>
      <c r="D1172" s="2">
        <v>0.68830000000000002</v>
      </c>
      <c r="E1172" s="2" t="s">
        <v>418</v>
      </c>
      <c r="F1172" s="2" t="e">
        <f>VLOOKUP(B1172,MSCI中国成分股!A:B,1,)</f>
        <v>#N/A</v>
      </c>
    </row>
    <row r="1173" spans="1:6" ht="20.25" hidden="1" customHeight="1" x14ac:dyDescent="0.15">
      <c r="A1173" s="2" t="s">
        <v>2568</v>
      </c>
      <c r="B1173" s="2" t="s">
        <v>2569</v>
      </c>
      <c r="C1173" s="2">
        <v>4.125</v>
      </c>
      <c r="D1173" s="2">
        <v>3.3698000000000001</v>
      </c>
      <c r="E1173" s="2" t="s">
        <v>403</v>
      </c>
      <c r="F1173" s="2" t="e">
        <f>VLOOKUP(B1173,MSCI中国成分股!A:B,1,)</f>
        <v>#N/A</v>
      </c>
    </row>
    <row r="1174" spans="1:6" ht="20.25" hidden="1" customHeight="1" x14ac:dyDescent="0.15">
      <c r="A1174" s="2" t="s">
        <v>2570</v>
      </c>
      <c r="B1174" s="2" t="s">
        <v>2571</v>
      </c>
      <c r="C1174" s="2">
        <v>1.53</v>
      </c>
      <c r="D1174" s="2">
        <v>5.6222000000000003</v>
      </c>
      <c r="E1174" s="2" t="s">
        <v>245</v>
      </c>
      <c r="F1174" s="2" t="e">
        <f>VLOOKUP(B1174,MSCI中国成分股!A:B,1,)</f>
        <v>#N/A</v>
      </c>
    </row>
    <row r="1175" spans="1:6" ht="20.25" hidden="1" customHeight="1" x14ac:dyDescent="0.15">
      <c r="A1175" s="2" t="s">
        <v>2572</v>
      </c>
      <c r="B1175" s="2" t="s">
        <v>2573</v>
      </c>
      <c r="C1175" s="2">
        <v>1.01</v>
      </c>
      <c r="D1175" s="2">
        <v>1.5385</v>
      </c>
      <c r="E1175" s="2" t="s">
        <v>299</v>
      </c>
      <c r="F1175" s="2" t="e">
        <f>VLOOKUP(B1175,MSCI中国成分股!A:B,1,)</f>
        <v>#N/A</v>
      </c>
    </row>
    <row r="1176" spans="1:6" ht="20.25" hidden="1" customHeight="1" x14ac:dyDescent="0.15">
      <c r="A1176" s="2" t="s">
        <v>2574</v>
      </c>
      <c r="B1176" s="2" t="s">
        <v>2575</v>
      </c>
      <c r="C1176" s="2">
        <v>1.69</v>
      </c>
      <c r="D1176" s="2">
        <v>7.5652999999999997</v>
      </c>
      <c r="E1176" s="2" t="s">
        <v>430</v>
      </c>
      <c r="F1176" s="2" t="e">
        <f>VLOOKUP(B1176,MSCI中国成分股!A:B,1,)</f>
        <v>#N/A</v>
      </c>
    </row>
    <row r="1177" spans="1:6" ht="20.25" hidden="1" customHeight="1" x14ac:dyDescent="0.15">
      <c r="A1177" s="2" t="s">
        <v>2576</v>
      </c>
      <c r="B1177" s="2" t="s">
        <v>2577</v>
      </c>
      <c r="C1177" s="2">
        <v>2.39</v>
      </c>
      <c r="D1177" s="2">
        <v>6.0892999999999997</v>
      </c>
      <c r="E1177" s="2" t="s">
        <v>1199</v>
      </c>
      <c r="F1177" s="2" t="e">
        <f>VLOOKUP(B1177,MSCI中国成分股!A:B,1,)</f>
        <v>#N/A</v>
      </c>
    </row>
    <row r="1178" spans="1:6" ht="20.25" hidden="1" customHeight="1" x14ac:dyDescent="0.15">
      <c r="A1178" s="2" t="s">
        <v>2578</v>
      </c>
      <c r="B1178" s="2" t="s">
        <v>2579</v>
      </c>
      <c r="C1178" s="2">
        <v>0.77</v>
      </c>
      <c r="D1178" s="2">
        <v>0.55769999999999997</v>
      </c>
      <c r="E1178" s="2" t="s">
        <v>44</v>
      </c>
      <c r="F1178" s="2" t="e">
        <f>VLOOKUP(B1178,MSCI中国成分股!A:B,1,)</f>
        <v>#N/A</v>
      </c>
    </row>
    <row r="1179" spans="1:6" ht="20.25" hidden="1" customHeight="1" x14ac:dyDescent="0.15">
      <c r="A1179" s="2" t="s">
        <v>2580</v>
      </c>
      <c r="B1179" s="2" t="s">
        <v>2581</v>
      </c>
      <c r="C1179" s="2">
        <v>1.1000000000000001</v>
      </c>
      <c r="D1179" s="2">
        <v>0.32779999999999998</v>
      </c>
      <c r="E1179" s="2" t="s">
        <v>74</v>
      </c>
      <c r="F1179" s="2" t="e">
        <f>VLOOKUP(B1179,MSCI中国成分股!A:B,1,)</f>
        <v>#N/A</v>
      </c>
    </row>
    <row r="1180" spans="1:6" ht="20.25" hidden="1" customHeight="1" x14ac:dyDescent="0.15">
      <c r="A1180" s="2" t="s">
        <v>2582</v>
      </c>
      <c r="B1180" s="2" t="s">
        <v>2583</v>
      </c>
      <c r="C1180" s="2">
        <v>0.86</v>
      </c>
      <c r="D1180" s="2">
        <v>0.1464</v>
      </c>
      <c r="E1180" s="2" t="s">
        <v>134</v>
      </c>
      <c r="F1180" s="2" t="e">
        <f>VLOOKUP(B1180,MSCI中国成分股!A:B,1,)</f>
        <v>#N/A</v>
      </c>
    </row>
    <row r="1181" spans="1:6" ht="20.25" hidden="1" customHeight="1" x14ac:dyDescent="0.15">
      <c r="A1181" s="2" t="s">
        <v>2584</v>
      </c>
      <c r="B1181" s="2" t="s">
        <v>2585</v>
      </c>
      <c r="C1181" s="2">
        <v>0.14000000000000001</v>
      </c>
      <c r="D1181" s="2">
        <v>0.33939999999999998</v>
      </c>
      <c r="E1181" s="2" t="s">
        <v>1066</v>
      </c>
      <c r="F1181" s="2" t="e">
        <f>VLOOKUP(B1181,MSCI中国成分股!A:B,1,)</f>
        <v>#N/A</v>
      </c>
    </row>
    <row r="1182" spans="1:6" ht="20.25" hidden="1" customHeight="1" x14ac:dyDescent="0.15">
      <c r="A1182" s="2" t="s">
        <v>2586</v>
      </c>
      <c r="B1182" s="2" t="s">
        <v>2587</v>
      </c>
      <c r="C1182" s="2">
        <v>-1.67</v>
      </c>
      <c r="D1182" s="2">
        <v>34.043100000000003</v>
      </c>
      <c r="E1182" s="2" t="s">
        <v>220</v>
      </c>
      <c r="F1182" s="2" t="e">
        <f>VLOOKUP(B1182,MSCI中国成分股!A:B,1,)</f>
        <v>#N/A</v>
      </c>
    </row>
    <row r="1183" spans="1:6" ht="20.25" hidden="1" customHeight="1" x14ac:dyDescent="0.15">
      <c r="A1183" s="2" t="s">
        <v>2588</v>
      </c>
      <c r="B1183" s="2" t="s">
        <v>2589</v>
      </c>
      <c r="C1183" s="2">
        <v>1.9</v>
      </c>
      <c r="D1183" s="2">
        <v>1.3779999999999999</v>
      </c>
      <c r="E1183" s="2" t="s">
        <v>1425</v>
      </c>
      <c r="F1183" s="2" t="e">
        <f>VLOOKUP(B1183,MSCI中国成分股!A:B,1,)</f>
        <v>#N/A</v>
      </c>
    </row>
    <row r="1184" spans="1:6" ht="20.25" hidden="1" customHeight="1" x14ac:dyDescent="0.15">
      <c r="A1184" s="2" t="s">
        <v>2590</v>
      </c>
      <c r="B1184" s="2" t="s">
        <v>2591</v>
      </c>
      <c r="C1184" s="2">
        <v>2.2000000000000002</v>
      </c>
      <c r="D1184" s="2">
        <v>3.2566999999999999</v>
      </c>
      <c r="E1184" s="2" t="s">
        <v>1011</v>
      </c>
      <c r="F1184" s="2" t="e">
        <f>VLOOKUP(B1184,MSCI中国成分股!A:B,1,)</f>
        <v>#N/A</v>
      </c>
    </row>
    <row r="1185" spans="1:6" ht="20.25" hidden="1" customHeight="1" x14ac:dyDescent="0.15">
      <c r="A1185" s="2" t="s">
        <v>2592</v>
      </c>
      <c r="B1185" s="2" t="s">
        <v>2593</v>
      </c>
      <c r="C1185" s="2">
        <v>0.5</v>
      </c>
      <c r="D1185" s="2">
        <v>0.4103</v>
      </c>
      <c r="E1185" s="2" t="s">
        <v>1282</v>
      </c>
      <c r="F1185" s="2" t="e">
        <f>VLOOKUP(B1185,MSCI中国成分股!A:B,1,)</f>
        <v>#N/A</v>
      </c>
    </row>
    <row r="1186" spans="1:6" ht="20.25" hidden="1" customHeight="1" x14ac:dyDescent="0.15">
      <c r="A1186" s="2" t="s">
        <v>2594</v>
      </c>
      <c r="B1186" s="2" t="s">
        <v>2595</v>
      </c>
      <c r="C1186" s="2">
        <v>1.79</v>
      </c>
      <c r="D1186" s="2">
        <v>0.1138</v>
      </c>
      <c r="E1186" s="2" t="s">
        <v>359</v>
      </c>
      <c r="F1186" s="2" t="e">
        <f>VLOOKUP(B1186,MSCI中国成分股!A:B,1,)</f>
        <v>#N/A</v>
      </c>
    </row>
    <row r="1187" spans="1:6" ht="20.25" hidden="1" customHeight="1" x14ac:dyDescent="0.15">
      <c r="A1187" s="2" t="s">
        <v>2596</v>
      </c>
      <c r="B1187" s="2" t="s">
        <v>2597</v>
      </c>
      <c r="C1187" s="2">
        <v>1.67</v>
      </c>
      <c r="D1187" s="2">
        <v>2.6472000000000002</v>
      </c>
      <c r="E1187" s="2" t="s">
        <v>744</v>
      </c>
      <c r="F1187" s="2" t="e">
        <f>VLOOKUP(B1187,MSCI中国成分股!A:B,1,)</f>
        <v>#N/A</v>
      </c>
    </row>
    <row r="1188" spans="1:6" ht="20.25" hidden="1" customHeight="1" x14ac:dyDescent="0.15">
      <c r="A1188" s="2" t="s">
        <v>2598</v>
      </c>
      <c r="B1188" s="2" t="s">
        <v>2599</v>
      </c>
      <c r="C1188" s="2">
        <v>0.49</v>
      </c>
      <c r="D1188" s="2">
        <v>4.4900000000000002E-2</v>
      </c>
      <c r="E1188" s="2" t="s">
        <v>542</v>
      </c>
      <c r="F1188" s="2" t="e">
        <f>VLOOKUP(B1188,MSCI中国成分股!A:B,1,)</f>
        <v>#N/A</v>
      </c>
    </row>
    <row r="1189" spans="1:6" ht="20.25" hidden="1" customHeight="1" x14ac:dyDescent="0.15">
      <c r="A1189" s="2" t="s">
        <v>2600</v>
      </c>
      <c r="B1189" s="2" t="s">
        <v>2601</v>
      </c>
      <c r="C1189" s="2">
        <v>0.3</v>
      </c>
      <c r="D1189" s="2">
        <v>3.8117000000000001</v>
      </c>
      <c r="E1189" s="2" t="s">
        <v>916</v>
      </c>
      <c r="F1189" s="2" t="e">
        <f>VLOOKUP(B1189,MSCI中国成分股!A:B,1,)</f>
        <v>#N/A</v>
      </c>
    </row>
    <row r="1190" spans="1:6" ht="20.25" hidden="1" customHeight="1" x14ac:dyDescent="0.15">
      <c r="A1190" s="2" t="s">
        <v>2602</v>
      </c>
      <c r="B1190" s="2" t="s">
        <v>2603</v>
      </c>
      <c r="C1190" s="2">
        <v>2.48</v>
      </c>
      <c r="D1190" s="2">
        <v>4.1132999999999997</v>
      </c>
      <c r="E1190" s="2" t="s">
        <v>140</v>
      </c>
      <c r="F1190" s="2" t="e">
        <f>VLOOKUP(B1190,MSCI中国成分股!A:B,1,)</f>
        <v>#N/A</v>
      </c>
    </row>
    <row r="1191" spans="1:6" ht="20.25" hidden="1" customHeight="1" x14ac:dyDescent="0.15">
      <c r="A1191" s="2" t="s">
        <v>2604</v>
      </c>
      <c r="B1191" s="2" t="s">
        <v>2605</v>
      </c>
      <c r="C1191" s="2">
        <v>0.92</v>
      </c>
      <c r="D1191" s="2">
        <v>1.0347999999999999</v>
      </c>
      <c r="E1191" s="2" t="s">
        <v>207</v>
      </c>
      <c r="F1191" s="2" t="e">
        <f>VLOOKUP(B1191,MSCI中国成分股!A:B,1,)</f>
        <v>#N/A</v>
      </c>
    </row>
    <row r="1192" spans="1:6" ht="20.25" hidden="1" customHeight="1" x14ac:dyDescent="0.15">
      <c r="A1192" s="2" t="s">
        <v>2606</v>
      </c>
      <c r="B1192" s="2" t="s">
        <v>2607</v>
      </c>
      <c r="C1192" s="2">
        <v>3.85</v>
      </c>
      <c r="D1192" s="2">
        <v>2.4184000000000001</v>
      </c>
      <c r="E1192" s="2" t="s">
        <v>204</v>
      </c>
      <c r="F1192" s="2" t="e">
        <f>VLOOKUP(B1192,MSCI中国成分股!A:B,1,)</f>
        <v>#N/A</v>
      </c>
    </row>
    <row r="1193" spans="1:6" ht="20.25" hidden="1" customHeight="1" x14ac:dyDescent="0.15">
      <c r="A1193" s="2" t="s">
        <v>2608</v>
      </c>
      <c r="B1193" s="2" t="s">
        <v>2609</v>
      </c>
      <c r="C1193" s="2">
        <v>2.12</v>
      </c>
      <c r="D1193" s="2">
        <v>0.75290000000000001</v>
      </c>
      <c r="E1193" s="2" t="s">
        <v>418</v>
      </c>
      <c r="F1193" s="2" t="e">
        <f>VLOOKUP(B1193,MSCI中国成分股!A:B,1,)</f>
        <v>#N/A</v>
      </c>
    </row>
    <row r="1194" spans="1:6" ht="20.25" hidden="1" customHeight="1" x14ac:dyDescent="0.15">
      <c r="A1194" s="2" t="s">
        <v>2610</v>
      </c>
      <c r="B1194" s="2" t="s">
        <v>2611</v>
      </c>
      <c r="C1194" s="2">
        <v>5.45</v>
      </c>
      <c r="D1194" s="2">
        <v>0.93079999999999996</v>
      </c>
      <c r="E1194" s="2" t="s">
        <v>1066</v>
      </c>
      <c r="F1194" s="2" t="e">
        <f>VLOOKUP(B1194,MSCI中国成分股!A:B,1,)</f>
        <v>#N/A</v>
      </c>
    </row>
    <row r="1195" spans="1:6" ht="20.25" hidden="1" customHeight="1" x14ac:dyDescent="0.15">
      <c r="A1195" s="2" t="s">
        <v>2612</v>
      </c>
      <c r="B1195" s="2" t="s">
        <v>2613</v>
      </c>
      <c r="C1195" s="2">
        <v>1.48</v>
      </c>
      <c r="D1195" s="2">
        <v>20.872800000000002</v>
      </c>
      <c r="E1195" s="2" t="s">
        <v>1691</v>
      </c>
      <c r="F1195" s="2" t="e">
        <f>VLOOKUP(B1195,MSCI中国成分股!A:B,1,)</f>
        <v>#N/A</v>
      </c>
    </row>
    <row r="1196" spans="1:6" ht="20.25" hidden="1" customHeight="1" x14ac:dyDescent="0.15">
      <c r="A1196" s="2" t="s">
        <v>2614</v>
      </c>
      <c r="B1196" s="2" t="s">
        <v>2615</v>
      </c>
      <c r="C1196" s="2">
        <v>2.17</v>
      </c>
      <c r="D1196" s="2">
        <v>4.202</v>
      </c>
      <c r="E1196" s="2" t="s">
        <v>204</v>
      </c>
      <c r="F1196" s="2" t="e">
        <f>VLOOKUP(B1196,MSCI中国成分股!A:B,1,)</f>
        <v>#N/A</v>
      </c>
    </row>
    <row r="1197" spans="1:6" ht="20.25" hidden="1" customHeight="1" x14ac:dyDescent="0.15">
      <c r="A1197" s="2" t="s">
        <v>2616</v>
      </c>
      <c r="B1197" s="2" t="s">
        <v>2617</v>
      </c>
      <c r="C1197" s="2">
        <v>0.13</v>
      </c>
      <c r="D1197" s="2">
        <v>17.676300000000001</v>
      </c>
      <c r="E1197" s="2" t="s">
        <v>483</v>
      </c>
      <c r="F1197" s="2" t="e">
        <f>VLOOKUP(B1197,MSCI中国成分股!A:B,1,)</f>
        <v>#N/A</v>
      </c>
    </row>
    <row r="1198" spans="1:6" ht="20.25" hidden="1" customHeight="1" x14ac:dyDescent="0.15">
      <c r="A1198" s="2" t="s">
        <v>2618</v>
      </c>
      <c r="B1198" s="2" t="s">
        <v>2619</v>
      </c>
      <c r="C1198" s="2">
        <v>0.3</v>
      </c>
      <c r="D1198" s="2">
        <v>0.13059999999999999</v>
      </c>
      <c r="E1198" s="2" t="s">
        <v>220</v>
      </c>
      <c r="F1198" s="2" t="e">
        <f>VLOOKUP(B1198,MSCI中国成分股!A:B,1,)</f>
        <v>#N/A</v>
      </c>
    </row>
    <row r="1199" spans="1:6" ht="20.25" hidden="1" customHeight="1" x14ac:dyDescent="0.15">
      <c r="A1199" s="2" t="s">
        <v>2620</v>
      </c>
      <c r="B1199" s="2" t="s">
        <v>2621</v>
      </c>
      <c r="C1199" s="2">
        <v>0.08</v>
      </c>
      <c r="D1199" s="2">
        <v>0.996</v>
      </c>
      <c r="E1199" s="2" t="s">
        <v>44</v>
      </c>
      <c r="F1199" s="2" t="e">
        <f>VLOOKUP(B1199,MSCI中国成分股!A:B,1,)</f>
        <v>#N/A</v>
      </c>
    </row>
    <row r="1200" spans="1:6" ht="20.25" hidden="1" customHeight="1" x14ac:dyDescent="0.15">
      <c r="A1200" s="2" t="s">
        <v>2622</v>
      </c>
      <c r="B1200" s="2" t="s">
        <v>2623</v>
      </c>
      <c r="C1200" s="2">
        <v>1.26</v>
      </c>
      <c r="D1200" s="2">
        <v>1.4291</v>
      </c>
      <c r="E1200" s="2" t="s">
        <v>1969</v>
      </c>
      <c r="F1200" s="2" t="e">
        <f>VLOOKUP(B1200,MSCI中国成分股!A:B,1,)</f>
        <v>#N/A</v>
      </c>
    </row>
    <row r="1201" spans="1:6" ht="20.25" hidden="1" customHeight="1" x14ac:dyDescent="0.15">
      <c r="A1201" s="2" t="s">
        <v>2624</v>
      </c>
      <c r="B1201" s="2" t="s">
        <v>2625</v>
      </c>
      <c r="C1201" s="2">
        <v>2.2799999999999998</v>
      </c>
      <c r="D1201" s="2">
        <v>2.9180000000000001</v>
      </c>
      <c r="E1201" s="2" t="s">
        <v>245</v>
      </c>
      <c r="F1201" s="2" t="e">
        <f>VLOOKUP(B1201,MSCI中国成分股!A:B,1,)</f>
        <v>#N/A</v>
      </c>
    </row>
    <row r="1202" spans="1:6" ht="20.25" hidden="1" customHeight="1" x14ac:dyDescent="0.15">
      <c r="A1202" s="2" t="s">
        <v>2626</v>
      </c>
      <c r="B1202" s="2" t="s">
        <v>2627</v>
      </c>
      <c r="C1202" s="2">
        <v>1.56</v>
      </c>
      <c r="D1202" s="2">
        <v>0.20830000000000001</v>
      </c>
      <c r="E1202" s="2" t="s">
        <v>1870</v>
      </c>
      <c r="F1202" s="2" t="e">
        <f>VLOOKUP(B1202,MSCI中国成分股!A:B,1,)</f>
        <v>#N/A</v>
      </c>
    </row>
    <row r="1203" spans="1:6" ht="20.25" hidden="1" customHeight="1" x14ac:dyDescent="0.15">
      <c r="A1203" s="2" t="s">
        <v>2628</v>
      </c>
      <c r="B1203" s="2" t="s">
        <v>2629</v>
      </c>
      <c r="C1203" s="2">
        <v>1.54</v>
      </c>
      <c r="D1203" s="2">
        <v>5.69</v>
      </c>
      <c r="E1203" s="2" t="s">
        <v>21</v>
      </c>
      <c r="F1203" s="2" t="e">
        <f>VLOOKUP(B1203,MSCI中国成分股!A:B,1,)</f>
        <v>#N/A</v>
      </c>
    </row>
    <row r="1204" spans="1:6" ht="20.25" hidden="1" customHeight="1" x14ac:dyDescent="0.15">
      <c r="A1204" s="2" t="s">
        <v>2630</v>
      </c>
      <c r="B1204" s="2" t="s">
        <v>2631</v>
      </c>
      <c r="C1204" s="2">
        <v>0.11</v>
      </c>
      <c r="D1204" s="2">
        <v>0.90780000000000005</v>
      </c>
      <c r="E1204" s="2" t="s">
        <v>1034</v>
      </c>
      <c r="F1204" s="2" t="e">
        <f>VLOOKUP(B1204,MSCI中国成分股!A:B,1,)</f>
        <v>#N/A</v>
      </c>
    </row>
    <row r="1205" spans="1:6" ht="20.25" hidden="1" customHeight="1" x14ac:dyDescent="0.15">
      <c r="A1205" s="2" t="s">
        <v>2632</v>
      </c>
      <c r="B1205" s="2" t="s">
        <v>2633</v>
      </c>
      <c r="C1205" s="2">
        <v>3.45</v>
      </c>
      <c r="D1205" s="2">
        <v>3.1375000000000002</v>
      </c>
      <c r="E1205" s="2" t="s">
        <v>41</v>
      </c>
      <c r="F1205" s="2" t="e">
        <f>VLOOKUP(B1205,MSCI中国成分股!A:B,1,)</f>
        <v>#N/A</v>
      </c>
    </row>
    <row r="1206" spans="1:6" ht="20.25" hidden="1" customHeight="1" x14ac:dyDescent="0.15">
      <c r="A1206" s="2" t="s">
        <v>2634</v>
      </c>
      <c r="B1206" s="2" t="s">
        <v>2635</v>
      </c>
      <c r="C1206" s="2">
        <v>2.62</v>
      </c>
      <c r="D1206" s="2">
        <v>3.1023999999999998</v>
      </c>
      <c r="E1206" s="2" t="s">
        <v>35</v>
      </c>
      <c r="F1206" s="2" t="e">
        <f>VLOOKUP(B1206,MSCI中国成分股!A:B,1,)</f>
        <v>#N/A</v>
      </c>
    </row>
    <row r="1207" spans="1:6" ht="20.25" hidden="1" customHeight="1" x14ac:dyDescent="0.15">
      <c r="A1207" s="2" t="s">
        <v>2636</v>
      </c>
      <c r="B1207" s="2" t="s">
        <v>2637</v>
      </c>
      <c r="C1207" s="2">
        <v>-0.4</v>
      </c>
      <c r="D1207" s="2">
        <v>365.8177</v>
      </c>
      <c r="E1207" s="2" t="s">
        <v>193</v>
      </c>
      <c r="F1207" s="2" t="e">
        <f>VLOOKUP(B1207,MSCI中国成分股!A:B,1,)</f>
        <v>#N/A</v>
      </c>
    </row>
    <row r="1208" spans="1:6" ht="20.25" hidden="1" customHeight="1" x14ac:dyDescent="0.15">
      <c r="A1208" s="2" t="s">
        <v>2638</v>
      </c>
      <c r="B1208" s="2" t="s">
        <v>2639</v>
      </c>
      <c r="C1208" s="2">
        <v>5.05</v>
      </c>
      <c r="D1208" s="2">
        <v>4.7359</v>
      </c>
      <c r="E1208" s="2" t="s">
        <v>529</v>
      </c>
      <c r="F1208" s="2" t="e">
        <f>VLOOKUP(B1208,MSCI中国成分股!A:B,1,)</f>
        <v>#N/A</v>
      </c>
    </row>
    <row r="1209" spans="1:6" ht="20.25" hidden="1" customHeight="1" x14ac:dyDescent="0.15">
      <c r="A1209" s="2" t="s">
        <v>2640</v>
      </c>
      <c r="B1209" s="2" t="s">
        <v>2641</v>
      </c>
      <c r="C1209" s="2">
        <v>4.2699999999999996</v>
      </c>
      <c r="D1209" s="2">
        <v>2.1682000000000001</v>
      </c>
      <c r="E1209" s="2" t="s">
        <v>374</v>
      </c>
      <c r="F1209" s="2" t="e">
        <f>VLOOKUP(B1209,MSCI中国成分股!A:B,1,)</f>
        <v>#N/A</v>
      </c>
    </row>
    <row r="1210" spans="1:6" ht="20.25" hidden="1" customHeight="1" x14ac:dyDescent="0.15">
      <c r="A1210" s="2" t="s">
        <v>2642</v>
      </c>
      <c r="B1210" s="2" t="s">
        <v>2643</v>
      </c>
      <c r="C1210" s="2">
        <v>1.84</v>
      </c>
      <c r="D1210" s="2">
        <v>4.7560000000000002</v>
      </c>
      <c r="E1210" s="2" t="s">
        <v>1691</v>
      </c>
      <c r="F1210" s="2" t="e">
        <f>VLOOKUP(B1210,MSCI中国成分股!A:B,1,)</f>
        <v>#N/A</v>
      </c>
    </row>
    <row r="1211" spans="1:6" ht="20.25" hidden="1" customHeight="1" x14ac:dyDescent="0.15">
      <c r="A1211" s="2" t="s">
        <v>2644</v>
      </c>
      <c r="B1211" s="2" t="s">
        <v>2645</v>
      </c>
      <c r="C1211" s="2">
        <v>1.45</v>
      </c>
      <c r="D1211" s="2">
        <v>4.1673</v>
      </c>
      <c r="E1211" s="2" t="s">
        <v>630</v>
      </c>
      <c r="F1211" s="2" t="e">
        <f>VLOOKUP(B1211,MSCI中国成分股!A:B,1,)</f>
        <v>#N/A</v>
      </c>
    </row>
    <row r="1212" spans="1:6" ht="20.25" hidden="1" customHeight="1" x14ac:dyDescent="0.15">
      <c r="A1212" s="2" t="s">
        <v>2646</v>
      </c>
      <c r="B1212" s="2" t="s">
        <v>2647</v>
      </c>
      <c r="C1212" s="2">
        <v>1.55</v>
      </c>
      <c r="D1212" s="2">
        <v>13.9566</v>
      </c>
      <c r="E1212" s="2" t="s">
        <v>44</v>
      </c>
      <c r="F1212" s="2" t="e">
        <f>VLOOKUP(B1212,MSCI中国成分股!A:B,1,)</f>
        <v>#N/A</v>
      </c>
    </row>
    <row r="1213" spans="1:6" ht="20.25" hidden="1" customHeight="1" x14ac:dyDescent="0.15">
      <c r="A1213" s="2" t="s">
        <v>2648</v>
      </c>
      <c r="B1213" s="2" t="s">
        <v>2649</v>
      </c>
      <c r="C1213" s="2">
        <v>0.4</v>
      </c>
      <c r="D1213" s="2">
        <v>2.2764000000000002</v>
      </c>
      <c r="E1213" s="2" t="s">
        <v>225</v>
      </c>
      <c r="F1213" s="2" t="e">
        <f>VLOOKUP(B1213,MSCI中国成分股!A:B,1,)</f>
        <v>#N/A</v>
      </c>
    </row>
    <row r="1214" spans="1:6" ht="20.25" hidden="1" customHeight="1" x14ac:dyDescent="0.15">
      <c r="A1214" s="2" t="s">
        <v>2650</v>
      </c>
      <c r="B1214" s="2" t="s">
        <v>2651</v>
      </c>
      <c r="C1214" s="2">
        <v>0.21</v>
      </c>
      <c r="D1214" s="2">
        <v>0.58150000000000002</v>
      </c>
      <c r="E1214" s="2" t="s">
        <v>188</v>
      </c>
      <c r="F1214" s="2" t="e">
        <f>VLOOKUP(B1214,MSCI中国成分股!A:B,1,)</f>
        <v>#N/A</v>
      </c>
    </row>
    <row r="1215" spans="1:6" ht="20.25" hidden="1" customHeight="1" x14ac:dyDescent="0.15">
      <c r="A1215" s="2" t="s">
        <v>2652</v>
      </c>
      <c r="B1215" s="2" t="s">
        <v>2653</v>
      </c>
      <c r="C1215" s="2">
        <v>3.7850000000000001</v>
      </c>
      <c r="D1215" s="2">
        <v>5.5137</v>
      </c>
      <c r="E1215" s="2" t="s">
        <v>265</v>
      </c>
      <c r="F1215" s="2" t="e">
        <f>VLOOKUP(B1215,MSCI中国成分股!A:B,1,)</f>
        <v>#N/A</v>
      </c>
    </row>
    <row r="1216" spans="1:6" ht="20.25" hidden="1" customHeight="1" x14ac:dyDescent="0.15">
      <c r="A1216" s="2" t="s">
        <v>2654</v>
      </c>
      <c r="B1216" s="2" t="s">
        <v>2655</v>
      </c>
      <c r="C1216" s="2">
        <v>0.15</v>
      </c>
      <c r="D1216" s="2">
        <v>14.793799999999999</v>
      </c>
      <c r="E1216" s="2" t="s">
        <v>421</v>
      </c>
      <c r="F1216" s="2" t="e">
        <f>VLOOKUP(B1216,MSCI中国成分股!A:B,1,)</f>
        <v>#N/A</v>
      </c>
    </row>
    <row r="1217" spans="1:6" ht="20.25" hidden="1" customHeight="1" x14ac:dyDescent="0.15">
      <c r="A1217" s="2" t="s">
        <v>2656</v>
      </c>
      <c r="B1217" s="2" t="s">
        <v>2657</v>
      </c>
      <c r="C1217" s="2">
        <v>1.82</v>
      </c>
      <c r="D1217" s="2">
        <v>2.2970999999999999</v>
      </c>
      <c r="E1217" s="2" t="s">
        <v>71</v>
      </c>
      <c r="F1217" s="2" t="e">
        <f>VLOOKUP(B1217,MSCI中国成分股!A:B,1,)</f>
        <v>#N/A</v>
      </c>
    </row>
    <row r="1218" spans="1:6" ht="20.25" hidden="1" customHeight="1" x14ac:dyDescent="0.15">
      <c r="A1218" s="2" t="s">
        <v>2658</v>
      </c>
      <c r="B1218" s="2" t="s">
        <v>2659</v>
      </c>
      <c r="C1218" s="2">
        <v>-0.41</v>
      </c>
      <c r="D1218" s="2">
        <v>2.3405</v>
      </c>
      <c r="E1218" s="2" t="s">
        <v>260</v>
      </c>
      <c r="F1218" s="2" t="e">
        <f>VLOOKUP(B1218,MSCI中国成分股!A:B,1,)</f>
        <v>#N/A</v>
      </c>
    </row>
    <row r="1219" spans="1:6" ht="20.25" hidden="1" customHeight="1" x14ac:dyDescent="0.15">
      <c r="A1219" s="2" t="s">
        <v>2660</v>
      </c>
      <c r="B1219" s="2" t="s">
        <v>2661</v>
      </c>
      <c r="C1219" s="2">
        <v>2.02</v>
      </c>
      <c r="D1219" s="2">
        <v>0.73019999999999996</v>
      </c>
      <c r="E1219" s="2" t="s">
        <v>286</v>
      </c>
      <c r="F1219" s="2" t="e">
        <f>VLOOKUP(B1219,MSCI中国成分股!A:B,1,)</f>
        <v>#N/A</v>
      </c>
    </row>
    <row r="1220" spans="1:6" ht="20.25" hidden="1" customHeight="1" x14ac:dyDescent="0.15">
      <c r="A1220" s="2" t="s">
        <v>2662</v>
      </c>
      <c r="B1220" s="2" t="s">
        <v>2663</v>
      </c>
      <c r="C1220" s="2">
        <v>0.83</v>
      </c>
      <c r="D1220" s="2">
        <v>0.17469999999999999</v>
      </c>
      <c r="E1220" s="2" t="s">
        <v>621</v>
      </c>
      <c r="F1220" s="2" t="e">
        <f>VLOOKUP(B1220,MSCI中国成分股!A:B,1,)</f>
        <v>#N/A</v>
      </c>
    </row>
    <row r="1221" spans="1:6" ht="20.25" hidden="1" customHeight="1" x14ac:dyDescent="0.15">
      <c r="A1221" s="2" t="s">
        <v>2664</v>
      </c>
      <c r="B1221" s="2" t="s">
        <v>2665</v>
      </c>
      <c r="C1221" s="2">
        <v>1.8</v>
      </c>
      <c r="D1221" s="2">
        <v>1.2698</v>
      </c>
      <c r="E1221" s="2" t="s">
        <v>2068</v>
      </c>
      <c r="F1221" s="2" t="e">
        <f>VLOOKUP(B1221,MSCI中国成分股!A:B,1,)</f>
        <v>#N/A</v>
      </c>
    </row>
    <row r="1222" spans="1:6" ht="20.25" hidden="1" customHeight="1" x14ac:dyDescent="0.15">
      <c r="A1222" s="2" t="s">
        <v>2666</v>
      </c>
      <c r="B1222" s="2" t="s">
        <v>2667</v>
      </c>
      <c r="C1222" s="2">
        <v>0.91</v>
      </c>
      <c r="D1222" s="2">
        <v>5.5E-2</v>
      </c>
      <c r="E1222" s="2" t="s">
        <v>638</v>
      </c>
      <c r="F1222" s="2" t="e">
        <f>VLOOKUP(B1222,MSCI中国成分股!A:B,1,)</f>
        <v>#N/A</v>
      </c>
    </row>
    <row r="1223" spans="1:6" ht="20.25" hidden="1" customHeight="1" x14ac:dyDescent="0.15">
      <c r="A1223" s="2" t="s">
        <v>2668</v>
      </c>
      <c r="B1223" s="2" t="s">
        <v>2669</v>
      </c>
      <c r="C1223" s="2">
        <v>2.91</v>
      </c>
      <c r="D1223" s="2">
        <v>11.1549</v>
      </c>
      <c r="E1223" s="2" t="s">
        <v>299</v>
      </c>
      <c r="F1223" s="2" t="e">
        <f>VLOOKUP(B1223,MSCI中国成分股!A:B,1,)</f>
        <v>#N/A</v>
      </c>
    </row>
    <row r="1224" spans="1:6" ht="20.25" hidden="1" customHeight="1" x14ac:dyDescent="0.15">
      <c r="A1224" s="2" t="s">
        <v>2670</v>
      </c>
      <c r="B1224" s="2" t="s">
        <v>2671</v>
      </c>
      <c r="C1224" s="2">
        <v>1.1100000000000001</v>
      </c>
      <c r="D1224" s="2">
        <v>4.4455</v>
      </c>
      <c r="E1224" s="2" t="s">
        <v>1139</v>
      </c>
      <c r="F1224" s="2" t="e">
        <f>VLOOKUP(B1224,MSCI中国成分股!A:B,1,)</f>
        <v>#N/A</v>
      </c>
    </row>
    <row r="1225" spans="1:6" ht="20.25" hidden="1" customHeight="1" x14ac:dyDescent="0.15">
      <c r="A1225" s="2" t="s">
        <v>2672</v>
      </c>
      <c r="B1225" s="2" t="s">
        <v>2673</v>
      </c>
      <c r="C1225" s="2">
        <v>0.68</v>
      </c>
      <c r="D1225" s="2">
        <v>1.3022</v>
      </c>
      <c r="E1225" s="2" t="s">
        <v>152</v>
      </c>
      <c r="F1225" s="2" t="e">
        <f>VLOOKUP(B1225,MSCI中国成分股!A:B,1,)</f>
        <v>#N/A</v>
      </c>
    </row>
    <row r="1226" spans="1:6" ht="20.25" hidden="1" customHeight="1" x14ac:dyDescent="0.15">
      <c r="A1226" s="2" t="s">
        <v>2674</v>
      </c>
      <c r="B1226" s="2" t="s">
        <v>2675</v>
      </c>
      <c r="C1226" s="2">
        <v>0.47</v>
      </c>
      <c r="D1226" s="2">
        <v>0.92259999999999998</v>
      </c>
      <c r="E1226" s="2" t="s">
        <v>368</v>
      </c>
      <c r="F1226" s="2" t="e">
        <f>VLOOKUP(B1226,MSCI中国成分股!A:B,1,)</f>
        <v>#N/A</v>
      </c>
    </row>
    <row r="1227" spans="1:6" ht="20.25" hidden="1" customHeight="1" x14ac:dyDescent="0.15">
      <c r="A1227" s="2" t="s">
        <v>2676</v>
      </c>
      <c r="B1227" s="2" t="s">
        <v>2677</v>
      </c>
      <c r="C1227" s="2">
        <v>2.4300000000000002</v>
      </c>
      <c r="D1227" s="2">
        <v>83.127899999999997</v>
      </c>
      <c r="E1227" s="2" t="s">
        <v>2678</v>
      </c>
      <c r="F1227" s="2" t="e">
        <f>VLOOKUP(B1227,MSCI中国成分股!A:B,1,)</f>
        <v>#N/A</v>
      </c>
    </row>
    <row r="1228" spans="1:6" ht="20.25" hidden="1" customHeight="1" x14ac:dyDescent="0.15">
      <c r="A1228" s="2" t="s">
        <v>2679</v>
      </c>
      <c r="B1228" s="2" t="s">
        <v>2680</v>
      </c>
      <c r="C1228" s="2">
        <v>2.94</v>
      </c>
      <c r="D1228" s="2">
        <v>15.468</v>
      </c>
      <c r="E1228" s="2" t="s">
        <v>2681</v>
      </c>
      <c r="F1228" s="2" t="e">
        <f>VLOOKUP(B1228,MSCI中国成分股!A:B,1,)</f>
        <v>#N/A</v>
      </c>
    </row>
    <row r="1229" spans="1:6" ht="20.25" hidden="1" customHeight="1" x14ac:dyDescent="0.15">
      <c r="A1229" s="2" t="s">
        <v>2682</v>
      </c>
      <c r="B1229" s="2" t="s">
        <v>2683</v>
      </c>
      <c r="C1229" s="2">
        <v>1.67</v>
      </c>
      <c r="D1229" s="2">
        <v>0.36420000000000002</v>
      </c>
      <c r="E1229" s="2" t="s">
        <v>1224</v>
      </c>
      <c r="F1229" s="2" t="e">
        <f>VLOOKUP(B1229,MSCI中国成分股!A:B,1,)</f>
        <v>#N/A</v>
      </c>
    </row>
    <row r="1230" spans="1:6" ht="20.25" hidden="1" customHeight="1" x14ac:dyDescent="0.15">
      <c r="A1230" s="2" t="s">
        <v>2684</v>
      </c>
      <c r="B1230" s="2" t="s">
        <v>2685</v>
      </c>
      <c r="C1230" s="2">
        <v>3.23</v>
      </c>
      <c r="D1230" s="2">
        <v>3.956</v>
      </c>
      <c r="E1230" s="2" t="s">
        <v>1593</v>
      </c>
      <c r="F1230" s="2" t="e">
        <f>VLOOKUP(B1230,MSCI中国成分股!A:B,1,)</f>
        <v>#N/A</v>
      </c>
    </row>
    <row r="1231" spans="1:6" ht="20.25" hidden="1" customHeight="1" x14ac:dyDescent="0.15">
      <c r="A1231" s="2" t="s">
        <v>2686</v>
      </c>
      <c r="B1231" s="2" t="s">
        <v>2687</v>
      </c>
      <c r="C1231" s="2">
        <v>0.56999999999999995</v>
      </c>
      <c r="D1231" s="2">
        <v>0.27139999999999997</v>
      </c>
      <c r="E1231" s="2" t="s">
        <v>784</v>
      </c>
      <c r="F1231" s="2" t="e">
        <f>VLOOKUP(B1231,MSCI中国成分股!A:B,1,)</f>
        <v>#N/A</v>
      </c>
    </row>
    <row r="1232" spans="1:6" ht="20.25" hidden="1" customHeight="1" x14ac:dyDescent="0.15">
      <c r="A1232" s="2" t="s">
        <v>2688</v>
      </c>
      <c r="B1232" s="2" t="s">
        <v>2689</v>
      </c>
      <c r="C1232" s="2">
        <v>1.53</v>
      </c>
      <c r="D1232" s="2">
        <v>0.59319999999999995</v>
      </c>
      <c r="E1232" s="2" t="s">
        <v>571</v>
      </c>
      <c r="F1232" s="2" t="e">
        <f>VLOOKUP(B1232,MSCI中国成分股!A:B,1,)</f>
        <v>#N/A</v>
      </c>
    </row>
    <row r="1233" spans="1:6" ht="20.25" hidden="1" customHeight="1" x14ac:dyDescent="0.15">
      <c r="A1233" s="2" t="s">
        <v>2690</v>
      </c>
      <c r="B1233" s="2" t="s">
        <v>2691</v>
      </c>
      <c r="C1233" s="2">
        <v>2.99</v>
      </c>
      <c r="D1233" s="2">
        <v>1.2077</v>
      </c>
      <c r="E1233" s="2" t="s">
        <v>1403</v>
      </c>
      <c r="F1233" s="2" t="e">
        <f>VLOOKUP(B1233,MSCI中国成分股!A:B,1,)</f>
        <v>#N/A</v>
      </c>
    </row>
    <row r="1234" spans="1:6" ht="20.25" hidden="1" customHeight="1" x14ac:dyDescent="0.15">
      <c r="A1234" s="2" t="s">
        <v>2692</v>
      </c>
      <c r="B1234" s="2" t="s">
        <v>2693</v>
      </c>
      <c r="C1234" s="2">
        <v>0.85</v>
      </c>
      <c r="D1234" s="2">
        <v>0.91600000000000004</v>
      </c>
      <c r="E1234" s="2" t="s">
        <v>81</v>
      </c>
      <c r="F1234" s="2" t="e">
        <f>VLOOKUP(B1234,MSCI中国成分股!A:B,1,)</f>
        <v>#N/A</v>
      </c>
    </row>
    <row r="1235" spans="1:6" ht="20.25" hidden="1" customHeight="1" x14ac:dyDescent="0.15">
      <c r="A1235" s="2" t="s">
        <v>2694</v>
      </c>
      <c r="B1235" s="2" t="s">
        <v>2695</v>
      </c>
      <c r="C1235" s="2">
        <v>1.17</v>
      </c>
      <c r="D1235" s="2">
        <v>10.061299999999999</v>
      </c>
      <c r="E1235" s="2" t="s">
        <v>356</v>
      </c>
      <c r="F1235" s="2" t="e">
        <f>VLOOKUP(B1235,MSCI中国成分股!A:B,1,)</f>
        <v>#N/A</v>
      </c>
    </row>
    <row r="1236" spans="1:6" ht="20.25" hidden="1" customHeight="1" x14ac:dyDescent="0.15">
      <c r="A1236" s="2" t="s">
        <v>2696</v>
      </c>
      <c r="B1236" s="2" t="s">
        <v>2697</v>
      </c>
      <c r="C1236" s="2">
        <v>1.56</v>
      </c>
      <c r="D1236" s="2">
        <v>0.25719999999999998</v>
      </c>
      <c r="E1236" s="2" t="s">
        <v>1061</v>
      </c>
      <c r="F1236" s="2" t="e">
        <f>VLOOKUP(B1236,MSCI中国成分股!A:B,1,)</f>
        <v>#N/A</v>
      </c>
    </row>
    <row r="1237" spans="1:6" ht="20.25" hidden="1" customHeight="1" x14ac:dyDescent="0.15">
      <c r="A1237" s="2" t="s">
        <v>2698</v>
      </c>
      <c r="B1237" s="2" t="s">
        <v>2699</v>
      </c>
      <c r="C1237" s="2">
        <v>0.97499999999999998</v>
      </c>
      <c r="D1237" s="2">
        <v>1.532</v>
      </c>
      <c r="E1237" s="2" t="s">
        <v>146</v>
      </c>
      <c r="F1237" s="2" t="e">
        <f>VLOOKUP(B1237,MSCI中国成分股!A:B,1,)</f>
        <v>#N/A</v>
      </c>
    </row>
    <row r="1238" spans="1:6" ht="20.25" hidden="1" customHeight="1" x14ac:dyDescent="0.15">
      <c r="A1238" s="2" t="s">
        <v>2700</v>
      </c>
      <c r="B1238" s="2" t="s">
        <v>2701</v>
      </c>
      <c r="C1238" s="2">
        <v>2.31</v>
      </c>
      <c r="D1238" s="2">
        <v>3.7387000000000001</v>
      </c>
      <c r="E1238" s="2" t="s">
        <v>185</v>
      </c>
      <c r="F1238" s="2" t="e">
        <f>VLOOKUP(B1238,MSCI中国成分股!A:B,1,)</f>
        <v>#N/A</v>
      </c>
    </row>
    <row r="1239" spans="1:6" ht="20.25" hidden="1" customHeight="1" x14ac:dyDescent="0.15">
      <c r="A1239" s="2" t="s">
        <v>2702</v>
      </c>
      <c r="B1239" s="2" t="s">
        <v>2703</v>
      </c>
      <c r="C1239" s="2">
        <v>0.28000000000000003</v>
      </c>
      <c r="D1239" s="2">
        <v>1.5189999999999999</v>
      </c>
      <c r="E1239" s="2" t="s">
        <v>396</v>
      </c>
      <c r="F1239" s="2" t="e">
        <f>VLOOKUP(B1239,MSCI中国成分股!A:B,1,)</f>
        <v>#N/A</v>
      </c>
    </row>
    <row r="1240" spans="1:6" ht="20.25" hidden="1" customHeight="1" x14ac:dyDescent="0.15">
      <c r="A1240" s="2" t="s">
        <v>2704</v>
      </c>
      <c r="B1240" s="2" t="s">
        <v>2705</v>
      </c>
      <c r="C1240" s="2">
        <v>2.25</v>
      </c>
      <c r="D1240" s="2">
        <v>1.0789</v>
      </c>
      <c r="E1240" s="2" t="s">
        <v>201</v>
      </c>
      <c r="F1240" s="2" t="e">
        <f>VLOOKUP(B1240,MSCI中国成分股!A:B,1,)</f>
        <v>#N/A</v>
      </c>
    </row>
    <row r="1241" spans="1:6" ht="20.25" hidden="1" customHeight="1" x14ac:dyDescent="0.15">
      <c r="A1241" s="2" t="s">
        <v>2706</v>
      </c>
      <c r="B1241" s="2" t="s">
        <v>2707</v>
      </c>
      <c r="C1241" s="2">
        <v>2.16</v>
      </c>
      <c r="D1241" s="2">
        <v>0.48870000000000002</v>
      </c>
      <c r="E1241" s="2" t="s">
        <v>1436</v>
      </c>
      <c r="F1241" s="2" t="e">
        <f>VLOOKUP(B1241,MSCI中国成分股!A:B,1,)</f>
        <v>#N/A</v>
      </c>
    </row>
    <row r="1242" spans="1:6" ht="20.25" hidden="1" customHeight="1" x14ac:dyDescent="0.15">
      <c r="A1242" s="2" t="s">
        <v>2708</v>
      </c>
      <c r="B1242" s="2" t="s">
        <v>2709</v>
      </c>
      <c r="C1242" s="2">
        <v>0.73</v>
      </c>
      <c r="D1242" s="2">
        <v>6.7794999999999996</v>
      </c>
      <c r="E1242" s="2" t="s">
        <v>501</v>
      </c>
      <c r="F1242" s="2" t="e">
        <f>VLOOKUP(B1242,MSCI中国成分股!A:B,1,)</f>
        <v>#N/A</v>
      </c>
    </row>
    <row r="1243" spans="1:6" ht="20.25" hidden="1" customHeight="1" x14ac:dyDescent="0.15">
      <c r="A1243" s="2" t="s">
        <v>2710</v>
      </c>
      <c r="B1243" s="2" t="s">
        <v>2711</v>
      </c>
      <c r="C1243" s="2">
        <v>-3.33</v>
      </c>
      <c r="D1243" s="2">
        <v>3999.3053</v>
      </c>
      <c r="E1243" s="2" t="s">
        <v>18</v>
      </c>
      <c r="F1243" s="2" t="e">
        <f>VLOOKUP(B1243,MSCI中国成分股!A:B,1,)</f>
        <v>#N/A</v>
      </c>
    </row>
    <row r="1244" spans="1:6" ht="20.25" hidden="1" customHeight="1" x14ac:dyDescent="0.15">
      <c r="A1244" s="2" t="s">
        <v>2712</v>
      </c>
      <c r="B1244" s="2" t="s">
        <v>2713</v>
      </c>
      <c r="C1244" s="2">
        <v>1.73</v>
      </c>
      <c r="D1244" s="2">
        <v>0.87329999999999997</v>
      </c>
      <c r="E1244" s="2" t="s">
        <v>152</v>
      </c>
      <c r="F1244" s="2" t="e">
        <f>VLOOKUP(B1244,MSCI中国成分股!A:B,1,)</f>
        <v>#N/A</v>
      </c>
    </row>
    <row r="1245" spans="1:6" ht="20.25" hidden="1" customHeight="1" x14ac:dyDescent="0.15">
      <c r="A1245" s="2" t="s">
        <v>2714</v>
      </c>
      <c r="B1245" s="2" t="s">
        <v>2715</v>
      </c>
      <c r="C1245" s="2">
        <v>1.76</v>
      </c>
      <c r="D1245" s="2">
        <v>0.83540000000000003</v>
      </c>
      <c r="E1245" s="2" t="s">
        <v>418</v>
      </c>
      <c r="F1245" s="2" t="e">
        <f>VLOOKUP(B1245,MSCI中国成分股!A:B,1,)</f>
        <v>#N/A</v>
      </c>
    </row>
    <row r="1246" spans="1:6" ht="20.25" hidden="1" customHeight="1" x14ac:dyDescent="0.15">
      <c r="A1246" s="2" t="s">
        <v>2716</v>
      </c>
      <c r="B1246" s="2" t="s">
        <v>2717</v>
      </c>
      <c r="C1246" s="2">
        <v>1.56</v>
      </c>
      <c r="D1246" s="2">
        <v>9.57</v>
      </c>
      <c r="E1246" s="2" t="s">
        <v>529</v>
      </c>
      <c r="F1246" s="2" t="e">
        <f>VLOOKUP(B1246,MSCI中国成分股!A:B,1,)</f>
        <v>#N/A</v>
      </c>
    </row>
    <row r="1247" spans="1:6" ht="20.25" hidden="1" customHeight="1" x14ac:dyDescent="0.15">
      <c r="A1247" s="2" t="s">
        <v>2718</v>
      </c>
      <c r="B1247" s="2" t="s">
        <v>2719</v>
      </c>
      <c r="C1247" s="2">
        <v>1</v>
      </c>
      <c r="D1247" s="2">
        <v>0.21990000000000001</v>
      </c>
      <c r="E1247" s="2" t="s">
        <v>344</v>
      </c>
      <c r="F1247" s="2" t="e">
        <f>VLOOKUP(B1247,MSCI中国成分股!A:B,1,)</f>
        <v>#N/A</v>
      </c>
    </row>
    <row r="1248" spans="1:6" ht="20.25" hidden="1" customHeight="1" x14ac:dyDescent="0.15">
      <c r="A1248" s="2" t="s">
        <v>2720</v>
      </c>
      <c r="B1248" s="2" t="s">
        <v>2721</v>
      </c>
      <c r="C1248" s="2">
        <v>-0.05</v>
      </c>
      <c r="D1248" s="2">
        <v>5.0566000000000004</v>
      </c>
      <c r="E1248" s="2" t="s">
        <v>146</v>
      </c>
      <c r="F1248" s="2" t="e">
        <f>VLOOKUP(B1248,MSCI中国成分股!A:B,1,)</f>
        <v>#N/A</v>
      </c>
    </row>
    <row r="1249" spans="1:6" ht="20.25" hidden="1" customHeight="1" x14ac:dyDescent="0.15">
      <c r="A1249" s="2" t="s">
        <v>2722</v>
      </c>
      <c r="B1249" s="2" t="s">
        <v>2723</v>
      </c>
      <c r="C1249" s="2">
        <v>1.44</v>
      </c>
      <c r="D1249" s="2">
        <v>3.5951</v>
      </c>
      <c r="E1249" s="2" t="s">
        <v>2724</v>
      </c>
      <c r="F1249" s="2" t="e">
        <f>VLOOKUP(B1249,MSCI中国成分股!A:B,1,)</f>
        <v>#N/A</v>
      </c>
    </row>
    <row r="1250" spans="1:6" ht="20.25" hidden="1" customHeight="1" x14ac:dyDescent="0.15">
      <c r="A1250" s="2" t="s">
        <v>2725</v>
      </c>
      <c r="B1250" s="2" t="s">
        <v>2726</v>
      </c>
      <c r="C1250" s="2">
        <v>1.1599999999999999</v>
      </c>
      <c r="D1250" s="2">
        <v>7.8670999999999998</v>
      </c>
      <c r="E1250" s="2" t="s">
        <v>322</v>
      </c>
      <c r="F1250" s="2" t="e">
        <f>VLOOKUP(B1250,MSCI中国成分股!A:B,1,)</f>
        <v>#N/A</v>
      </c>
    </row>
    <row r="1251" spans="1:6" ht="20.25" hidden="1" customHeight="1" x14ac:dyDescent="0.15">
      <c r="A1251" s="2" t="s">
        <v>2727</v>
      </c>
      <c r="B1251" s="2" t="s">
        <v>2728</v>
      </c>
      <c r="C1251" s="2">
        <v>2.41</v>
      </c>
      <c r="D1251" s="2">
        <v>0.55110000000000003</v>
      </c>
      <c r="E1251" s="2" t="s">
        <v>1224</v>
      </c>
      <c r="F1251" s="2" t="e">
        <f>VLOOKUP(B1251,MSCI中国成分股!A:B,1,)</f>
        <v>#N/A</v>
      </c>
    </row>
    <row r="1252" spans="1:6" ht="20.25" hidden="1" customHeight="1" x14ac:dyDescent="0.15">
      <c r="A1252" s="2" t="s">
        <v>2729</v>
      </c>
      <c r="B1252" s="2" t="s">
        <v>2730</v>
      </c>
      <c r="C1252" s="2">
        <v>0.09</v>
      </c>
      <c r="D1252" s="2">
        <v>6.5865999999999998</v>
      </c>
      <c r="E1252" s="2" t="s">
        <v>396</v>
      </c>
      <c r="F1252" s="2" t="e">
        <f>VLOOKUP(B1252,MSCI中国成分股!A:B,1,)</f>
        <v>#N/A</v>
      </c>
    </row>
    <row r="1253" spans="1:6" ht="20.25" hidden="1" customHeight="1" x14ac:dyDescent="0.15">
      <c r="A1253" s="2" t="s">
        <v>2731</v>
      </c>
      <c r="B1253" s="2" t="s">
        <v>2732</v>
      </c>
      <c r="C1253" s="2">
        <v>1.87</v>
      </c>
      <c r="D1253" s="2">
        <v>1.7406999999999999</v>
      </c>
      <c r="E1253" s="2" t="s">
        <v>605</v>
      </c>
      <c r="F1253" s="2" t="e">
        <f>VLOOKUP(B1253,MSCI中国成分股!A:B,1,)</f>
        <v>#N/A</v>
      </c>
    </row>
    <row r="1254" spans="1:6" ht="20.25" hidden="1" customHeight="1" x14ac:dyDescent="0.15">
      <c r="A1254" s="2" t="s">
        <v>2733</v>
      </c>
      <c r="B1254" s="2" t="s">
        <v>2734</v>
      </c>
      <c r="C1254" s="2">
        <v>3.74</v>
      </c>
      <c r="D1254" s="2">
        <v>0.57450000000000001</v>
      </c>
      <c r="E1254" s="2" t="s">
        <v>1158</v>
      </c>
      <c r="F1254" s="2" t="e">
        <f>VLOOKUP(B1254,MSCI中国成分股!A:B,1,)</f>
        <v>#N/A</v>
      </c>
    </row>
    <row r="1255" spans="1:6" ht="20.25" hidden="1" customHeight="1" x14ac:dyDescent="0.15">
      <c r="A1255" s="2" t="s">
        <v>2735</v>
      </c>
      <c r="B1255" s="2" t="s">
        <v>2736</v>
      </c>
      <c r="C1255" s="2">
        <v>-1.23</v>
      </c>
      <c r="D1255" s="2">
        <v>35.731299999999997</v>
      </c>
      <c r="E1255" s="2" t="s">
        <v>299</v>
      </c>
      <c r="F1255" s="2" t="e">
        <f>VLOOKUP(B1255,MSCI中国成分股!A:B,1,)</f>
        <v>#N/A</v>
      </c>
    </row>
    <row r="1256" spans="1:6" ht="20.25" hidden="1" customHeight="1" x14ac:dyDescent="0.15">
      <c r="A1256" s="2" t="s">
        <v>2737</v>
      </c>
      <c r="B1256" s="2" t="s">
        <v>2738</v>
      </c>
      <c r="C1256" s="2">
        <v>5.48</v>
      </c>
      <c r="D1256" s="2">
        <v>6.4368999999999996</v>
      </c>
      <c r="E1256" s="2" t="s">
        <v>931</v>
      </c>
      <c r="F1256" s="2" t="e">
        <f>VLOOKUP(B1256,MSCI中国成分股!A:B,1,)</f>
        <v>#N/A</v>
      </c>
    </row>
    <row r="1257" spans="1:6" ht="20.25" hidden="1" customHeight="1" x14ac:dyDescent="0.15">
      <c r="A1257" s="2" t="s">
        <v>2739</v>
      </c>
      <c r="B1257" s="2" t="s">
        <v>2740</v>
      </c>
      <c r="C1257" s="2">
        <v>0.52</v>
      </c>
      <c r="D1257" s="2">
        <v>1.3605</v>
      </c>
      <c r="E1257" s="2" t="s">
        <v>220</v>
      </c>
      <c r="F1257" s="2" t="e">
        <f>VLOOKUP(B1257,MSCI中国成分股!A:B,1,)</f>
        <v>#N/A</v>
      </c>
    </row>
    <row r="1258" spans="1:6" ht="20.25" hidden="1" customHeight="1" x14ac:dyDescent="0.15">
      <c r="A1258" s="2" t="s">
        <v>2741</v>
      </c>
      <c r="B1258" s="2" t="s">
        <v>2742</v>
      </c>
      <c r="C1258" s="2">
        <v>2.93</v>
      </c>
      <c r="D1258" s="2">
        <v>1.3133999999999999</v>
      </c>
      <c r="E1258" s="2" t="s">
        <v>257</v>
      </c>
      <c r="F1258" s="2" t="e">
        <f>VLOOKUP(B1258,MSCI中国成分股!A:B,1,)</f>
        <v>#N/A</v>
      </c>
    </row>
    <row r="1259" spans="1:6" ht="20.25" hidden="1" customHeight="1" x14ac:dyDescent="0.15">
      <c r="A1259" s="2" t="s">
        <v>2743</v>
      </c>
      <c r="B1259" s="2" t="s">
        <v>2744</v>
      </c>
      <c r="C1259" s="2">
        <v>2.9</v>
      </c>
      <c r="D1259" s="2">
        <v>0.58899999999999997</v>
      </c>
      <c r="E1259" s="2" t="s">
        <v>140</v>
      </c>
      <c r="F1259" s="2" t="e">
        <f>VLOOKUP(B1259,MSCI中国成分股!A:B,1,)</f>
        <v>#N/A</v>
      </c>
    </row>
    <row r="1260" spans="1:6" ht="20.25" hidden="1" customHeight="1" x14ac:dyDescent="0.15">
      <c r="A1260" s="2" t="s">
        <v>2745</v>
      </c>
      <c r="B1260" s="2" t="s">
        <v>2746</v>
      </c>
      <c r="C1260" s="2">
        <v>0.6</v>
      </c>
      <c r="D1260" s="2">
        <v>22.344999999999999</v>
      </c>
      <c r="E1260" s="2" t="s">
        <v>747</v>
      </c>
      <c r="F1260" s="2" t="e">
        <f>VLOOKUP(B1260,MSCI中国成分股!A:B,1,)</f>
        <v>#N/A</v>
      </c>
    </row>
    <row r="1261" spans="1:6" ht="20.25" hidden="1" customHeight="1" x14ac:dyDescent="0.15">
      <c r="A1261" s="2" t="s">
        <v>2747</v>
      </c>
      <c r="B1261" s="2" t="s">
        <v>2748</v>
      </c>
      <c r="C1261" s="2">
        <v>1.69</v>
      </c>
      <c r="D1261" s="2">
        <v>2.3315999999999999</v>
      </c>
      <c r="E1261" s="2" t="s">
        <v>916</v>
      </c>
      <c r="F1261" s="2" t="e">
        <f>VLOOKUP(B1261,MSCI中国成分股!A:B,1,)</f>
        <v>#N/A</v>
      </c>
    </row>
    <row r="1262" spans="1:6" ht="20.25" hidden="1" customHeight="1" x14ac:dyDescent="0.15">
      <c r="A1262" s="2" t="s">
        <v>2749</v>
      </c>
      <c r="B1262" s="2" t="s">
        <v>2750</v>
      </c>
      <c r="C1262" s="2">
        <v>0.28000000000000003</v>
      </c>
      <c r="D1262" s="2">
        <v>5.9809999999999999</v>
      </c>
      <c r="E1262" s="2" t="s">
        <v>511</v>
      </c>
      <c r="F1262" s="2" t="e">
        <f>VLOOKUP(B1262,MSCI中国成分股!A:B,1,)</f>
        <v>#N/A</v>
      </c>
    </row>
    <row r="1263" spans="1:6" ht="20.25" hidden="1" customHeight="1" x14ac:dyDescent="0.15">
      <c r="A1263" s="2" t="s">
        <v>2751</v>
      </c>
      <c r="B1263" s="2" t="s">
        <v>2752</v>
      </c>
      <c r="C1263" s="2">
        <v>2.63</v>
      </c>
      <c r="D1263" s="2">
        <v>1.7804</v>
      </c>
      <c r="E1263" s="2" t="s">
        <v>286</v>
      </c>
      <c r="F1263" s="2" t="e">
        <f>VLOOKUP(B1263,MSCI中国成分股!A:B,1,)</f>
        <v>#N/A</v>
      </c>
    </row>
    <row r="1264" spans="1:6" ht="20.25" hidden="1" customHeight="1" x14ac:dyDescent="0.15">
      <c r="A1264" s="2" t="s">
        <v>2753</v>
      </c>
      <c r="B1264" s="2" t="s">
        <v>2754</v>
      </c>
      <c r="C1264" s="2">
        <v>0.12</v>
      </c>
      <c r="D1264" s="2">
        <v>2.0899999999999998E-2</v>
      </c>
      <c r="E1264" s="2" t="s">
        <v>2038</v>
      </c>
      <c r="F1264" s="2" t="e">
        <f>VLOOKUP(B1264,MSCI中国成分股!A:B,1,)</f>
        <v>#N/A</v>
      </c>
    </row>
    <row r="1265" spans="1:6" ht="20.25" hidden="1" customHeight="1" x14ac:dyDescent="0.15">
      <c r="A1265" s="2" t="s">
        <v>2755</v>
      </c>
      <c r="B1265" s="2" t="s">
        <v>2756</v>
      </c>
      <c r="C1265" s="2">
        <v>1.37</v>
      </c>
      <c r="D1265" s="2">
        <v>0.96550000000000002</v>
      </c>
      <c r="E1265" s="2" t="s">
        <v>371</v>
      </c>
      <c r="F1265" s="2" t="e">
        <f>VLOOKUP(B1265,MSCI中国成分股!A:B,1,)</f>
        <v>#N/A</v>
      </c>
    </row>
    <row r="1266" spans="1:6" ht="20.25" hidden="1" customHeight="1" x14ac:dyDescent="0.15">
      <c r="A1266" s="2" t="s">
        <v>2757</v>
      </c>
      <c r="B1266" s="2" t="s">
        <v>2758</v>
      </c>
      <c r="C1266" s="2">
        <v>1.0900000000000001</v>
      </c>
      <c r="D1266" s="2">
        <v>33.809899999999999</v>
      </c>
      <c r="E1266" s="2" t="s">
        <v>542</v>
      </c>
      <c r="F1266" s="2" t="e">
        <f>VLOOKUP(B1266,MSCI中国成分股!A:B,1,)</f>
        <v>#N/A</v>
      </c>
    </row>
    <row r="1267" spans="1:6" ht="20.25" hidden="1" customHeight="1" x14ac:dyDescent="0.15">
      <c r="A1267" s="2" t="s">
        <v>2759</v>
      </c>
      <c r="B1267" s="2" t="s">
        <v>2760</v>
      </c>
      <c r="C1267" s="2">
        <v>0.61</v>
      </c>
      <c r="D1267" s="2">
        <v>5.2834000000000003</v>
      </c>
      <c r="E1267" s="2" t="s">
        <v>385</v>
      </c>
      <c r="F1267" s="2" t="e">
        <f>VLOOKUP(B1267,MSCI中国成分股!A:B,1,)</f>
        <v>#N/A</v>
      </c>
    </row>
    <row r="1268" spans="1:6" ht="20.25" hidden="1" customHeight="1" x14ac:dyDescent="0.15">
      <c r="A1268" s="2" t="s">
        <v>2761</v>
      </c>
      <c r="B1268" s="2" t="s">
        <v>2762</v>
      </c>
      <c r="C1268" s="2">
        <v>1.44</v>
      </c>
      <c r="D1268" s="2">
        <v>6.1589999999999998</v>
      </c>
      <c r="E1268" s="2" t="s">
        <v>1243</v>
      </c>
      <c r="F1268" s="2" t="e">
        <f>VLOOKUP(B1268,MSCI中国成分股!A:B,1,)</f>
        <v>#N/A</v>
      </c>
    </row>
    <row r="1269" spans="1:6" ht="20.25" hidden="1" customHeight="1" x14ac:dyDescent="0.15">
      <c r="A1269" s="2" t="s">
        <v>2763</v>
      </c>
      <c r="B1269" s="2" t="s">
        <v>2764</v>
      </c>
      <c r="C1269" s="2">
        <v>2.9</v>
      </c>
      <c r="D1269" s="2">
        <v>9.7232000000000003</v>
      </c>
      <c r="E1269" s="2" t="s">
        <v>245</v>
      </c>
      <c r="F1269" s="2" t="e">
        <f>VLOOKUP(B1269,MSCI中国成分股!A:B,1,)</f>
        <v>#N/A</v>
      </c>
    </row>
    <row r="1270" spans="1:6" ht="20.25" hidden="1" customHeight="1" x14ac:dyDescent="0.15">
      <c r="A1270" s="2" t="s">
        <v>2765</v>
      </c>
      <c r="B1270" s="2" t="s">
        <v>2766</v>
      </c>
      <c r="C1270" s="2">
        <v>0.97</v>
      </c>
      <c r="D1270" s="2">
        <v>0.71160000000000001</v>
      </c>
      <c r="E1270" s="2" t="s">
        <v>38</v>
      </c>
      <c r="F1270" s="2" t="e">
        <f>VLOOKUP(B1270,MSCI中国成分股!A:B,1,)</f>
        <v>#N/A</v>
      </c>
    </row>
    <row r="1271" spans="1:6" ht="20.25" hidden="1" customHeight="1" x14ac:dyDescent="0.15">
      <c r="A1271" s="2" t="s">
        <v>2767</v>
      </c>
      <c r="B1271" s="2" t="s">
        <v>2768</v>
      </c>
      <c r="C1271" s="2">
        <v>1.1299999999999999</v>
      </c>
      <c r="D1271" s="2">
        <v>0.41349999999999998</v>
      </c>
      <c r="E1271" s="2" t="s">
        <v>1757</v>
      </c>
      <c r="F1271" s="2" t="e">
        <f>VLOOKUP(B1271,MSCI中国成分股!A:B,1,)</f>
        <v>#N/A</v>
      </c>
    </row>
    <row r="1272" spans="1:6" ht="20.25" hidden="1" customHeight="1" x14ac:dyDescent="0.15">
      <c r="A1272" s="2" t="s">
        <v>2769</v>
      </c>
      <c r="B1272" s="2" t="s">
        <v>2770</v>
      </c>
      <c r="C1272" s="2">
        <v>2.16</v>
      </c>
      <c r="D1272" s="2">
        <v>0.55310000000000004</v>
      </c>
      <c r="E1272" s="2" t="s">
        <v>140</v>
      </c>
      <c r="F1272" s="2" t="e">
        <f>VLOOKUP(B1272,MSCI中国成分股!A:B,1,)</f>
        <v>#N/A</v>
      </c>
    </row>
    <row r="1273" spans="1:6" ht="20.25" hidden="1" customHeight="1" x14ac:dyDescent="0.15">
      <c r="A1273" s="2" t="s">
        <v>2771</v>
      </c>
      <c r="B1273" s="2" t="s">
        <v>2772</v>
      </c>
      <c r="C1273" s="2">
        <v>1.32</v>
      </c>
      <c r="D1273" s="2">
        <v>0.93430000000000002</v>
      </c>
      <c r="E1273" s="2" t="s">
        <v>362</v>
      </c>
      <c r="F1273" s="2" t="e">
        <f>VLOOKUP(B1273,MSCI中国成分股!A:B,1,)</f>
        <v>#N/A</v>
      </c>
    </row>
    <row r="1274" spans="1:6" ht="20.25" hidden="1" customHeight="1" x14ac:dyDescent="0.15">
      <c r="A1274" s="2" t="s">
        <v>2773</v>
      </c>
      <c r="B1274" s="2" t="s">
        <v>2774</v>
      </c>
      <c r="C1274" s="2">
        <v>1.28</v>
      </c>
      <c r="D1274" s="2">
        <v>0.40889999999999999</v>
      </c>
      <c r="E1274" s="2" t="s">
        <v>254</v>
      </c>
      <c r="F1274" s="2" t="e">
        <f>VLOOKUP(B1274,MSCI中国成分股!A:B,1,)</f>
        <v>#N/A</v>
      </c>
    </row>
    <row r="1275" spans="1:6" ht="20.25" hidden="1" customHeight="1" x14ac:dyDescent="0.15">
      <c r="A1275" s="2" t="s">
        <v>2775</v>
      </c>
      <c r="B1275" s="2" t="s">
        <v>2776</v>
      </c>
      <c r="C1275" s="2">
        <v>0.99</v>
      </c>
      <c r="D1275" s="2">
        <v>124.62479999999999</v>
      </c>
      <c r="E1275" s="2" t="s">
        <v>260</v>
      </c>
      <c r="F1275" s="2" t="e">
        <f>VLOOKUP(B1275,MSCI中国成分股!A:B,1,)</f>
        <v>#N/A</v>
      </c>
    </row>
    <row r="1276" spans="1:6" ht="20.25" hidden="1" customHeight="1" x14ac:dyDescent="0.15">
      <c r="A1276" s="2" t="s">
        <v>2777</v>
      </c>
      <c r="B1276" s="2" t="s">
        <v>2778</v>
      </c>
      <c r="C1276" s="2">
        <v>1.17</v>
      </c>
      <c r="D1276" s="2">
        <v>1.7868999999999999</v>
      </c>
      <c r="E1276" s="2" t="s">
        <v>1224</v>
      </c>
      <c r="F1276" s="2" t="e">
        <f>VLOOKUP(B1276,MSCI中国成分股!A:B,1,)</f>
        <v>#N/A</v>
      </c>
    </row>
    <row r="1277" spans="1:6" ht="20.25" hidden="1" customHeight="1" x14ac:dyDescent="0.15">
      <c r="A1277" s="2" t="s">
        <v>2779</v>
      </c>
      <c r="B1277" s="2" t="s">
        <v>2780</v>
      </c>
      <c r="C1277" s="2">
        <v>1.86</v>
      </c>
      <c r="D1277" s="2">
        <v>34.082099999999997</v>
      </c>
      <c r="E1277" s="2" t="s">
        <v>188</v>
      </c>
      <c r="F1277" s="2" t="e">
        <f>VLOOKUP(B1277,MSCI中国成分股!A:B,1,)</f>
        <v>#N/A</v>
      </c>
    </row>
    <row r="1278" spans="1:6" ht="20.25" hidden="1" customHeight="1" x14ac:dyDescent="0.15">
      <c r="A1278" s="2" t="s">
        <v>2781</v>
      </c>
      <c r="B1278" s="2" t="s">
        <v>2782</v>
      </c>
      <c r="C1278" s="2">
        <v>5.29</v>
      </c>
      <c r="D1278" s="2">
        <v>1.9830000000000001</v>
      </c>
      <c r="E1278" s="2" t="s">
        <v>257</v>
      </c>
      <c r="F1278" s="2" t="e">
        <f>VLOOKUP(B1278,MSCI中国成分股!A:B,1,)</f>
        <v>#N/A</v>
      </c>
    </row>
    <row r="1279" spans="1:6" ht="20.25" hidden="1" customHeight="1" x14ac:dyDescent="0.15">
      <c r="A1279" s="2" t="s">
        <v>2783</v>
      </c>
      <c r="B1279" s="2" t="s">
        <v>2784</v>
      </c>
      <c r="C1279" s="2">
        <v>8.14</v>
      </c>
      <c r="D1279" s="2">
        <v>80.272800000000004</v>
      </c>
      <c r="E1279" s="2" t="s">
        <v>374</v>
      </c>
      <c r="F1279" s="2" t="e">
        <f>VLOOKUP(B1279,MSCI中国成分股!A:B,1,)</f>
        <v>#N/A</v>
      </c>
    </row>
    <row r="1280" spans="1:6" ht="20.25" hidden="1" customHeight="1" x14ac:dyDescent="0.15">
      <c r="A1280" s="2" t="s">
        <v>2785</v>
      </c>
      <c r="B1280" s="2" t="s">
        <v>2786</v>
      </c>
      <c r="C1280" s="2">
        <v>2.65</v>
      </c>
      <c r="D1280" s="2">
        <v>1.4886999999999999</v>
      </c>
      <c r="E1280" s="2" t="s">
        <v>747</v>
      </c>
      <c r="F1280" s="2" t="e">
        <f>VLOOKUP(B1280,MSCI中国成分股!A:B,1,)</f>
        <v>#N/A</v>
      </c>
    </row>
    <row r="1281" spans="1:6" ht="20.25" hidden="1" customHeight="1" x14ac:dyDescent="0.15">
      <c r="A1281" s="2" t="s">
        <v>2787</v>
      </c>
      <c r="B1281" s="2" t="s">
        <v>2788</v>
      </c>
      <c r="C1281" s="2">
        <v>1.04</v>
      </c>
      <c r="D1281" s="2">
        <v>30.9238</v>
      </c>
      <c r="E1281" s="2" t="s">
        <v>1608</v>
      </c>
      <c r="F1281" s="2" t="e">
        <f>VLOOKUP(B1281,MSCI中国成分股!A:B,1,)</f>
        <v>#N/A</v>
      </c>
    </row>
    <row r="1282" spans="1:6" ht="20.25" hidden="1" customHeight="1" x14ac:dyDescent="0.15">
      <c r="A1282" s="2" t="s">
        <v>2789</v>
      </c>
      <c r="B1282" s="2" t="s">
        <v>2790</v>
      </c>
      <c r="C1282" s="2">
        <v>0.87</v>
      </c>
      <c r="D1282" s="2">
        <v>0.55420000000000003</v>
      </c>
      <c r="E1282" s="2" t="s">
        <v>1403</v>
      </c>
      <c r="F1282" s="2" t="e">
        <f>VLOOKUP(B1282,MSCI中国成分股!A:B,1,)</f>
        <v>#N/A</v>
      </c>
    </row>
    <row r="1283" spans="1:6" ht="20.25" hidden="1" customHeight="1" x14ac:dyDescent="0.15">
      <c r="A1283" s="2" t="s">
        <v>2791</v>
      </c>
      <c r="B1283" s="2" t="s">
        <v>2792</v>
      </c>
      <c r="C1283" s="2">
        <v>2.78</v>
      </c>
      <c r="D1283" s="2">
        <v>2.4853000000000001</v>
      </c>
      <c r="E1283" s="2" t="s">
        <v>374</v>
      </c>
      <c r="F1283" s="2" t="e">
        <f>VLOOKUP(B1283,MSCI中国成分股!A:B,1,)</f>
        <v>#N/A</v>
      </c>
    </row>
    <row r="1284" spans="1:6" ht="20.25" hidden="1" customHeight="1" x14ac:dyDescent="0.15">
      <c r="A1284" s="2" t="s">
        <v>2793</v>
      </c>
      <c r="B1284" s="2" t="s">
        <v>2794</v>
      </c>
      <c r="C1284" s="2">
        <v>2.9249999999999998</v>
      </c>
      <c r="D1284" s="2">
        <v>2.5352999999999999</v>
      </c>
      <c r="E1284" s="2" t="s">
        <v>630</v>
      </c>
      <c r="F1284" s="2" t="e">
        <f>VLOOKUP(B1284,MSCI中国成分股!A:B,1,)</f>
        <v>#N/A</v>
      </c>
    </row>
    <row r="1285" spans="1:6" ht="20.25" hidden="1" customHeight="1" x14ac:dyDescent="0.15">
      <c r="A1285" s="2" t="s">
        <v>2795</v>
      </c>
      <c r="B1285" s="2" t="s">
        <v>2796</v>
      </c>
      <c r="C1285" s="2">
        <v>0.62</v>
      </c>
      <c r="D1285" s="2">
        <v>6.6276999999999999</v>
      </c>
      <c r="E1285" s="2" t="s">
        <v>299</v>
      </c>
      <c r="F1285" s="2" t="e">
        <f>VLOOKUP(B1285,MSCI中国成分股!A:B,1,)</f>
        <v>#N/A</v>
      </c>
    </row>
    <row r="1286" spans="1:6" ht="20.25" hidden="1" customHeight="1" x14ac:dyDescent="0.15">
      <c r="A1286" s="2" t="s">
        <v>2797</v>
      </c>
      <c r="B1286" s="2" t="s">
        <v>2798</v>
      </c>
      <c r="C1286" s="2">
        <v>0.68</v>
      </c>
      <c r="D1286" s="2">
        <v>0.98980000000000001</v>
      </c>
      <c r="E1286" s="2" t="s">
        <v>699</v>
      </c>
      <c r="F1286" s="2" t="e">
        <f>VLOOKUP(B1286,MSCI中国成分股!A:B,1,)</f>
        <v>#N/A</v>
      </c>
    </row>
    <row r="1287" spans="1:6" ht="20.25" hidden="1" customHeight="1" x14ac:dyDescent="0.15">
      <c r="A1287" s="2" t="s">
        <v>2799</v>
      </c>
      <c r="B1287" s="2" t="s">
        <v>2800</v>
      </c>
      <c r="C1287" s="2">
        <v>0.52</v>
      </c>
      <c r="D1287" s="2">
        <v>0.52549999999999997</v>
      </c>
      <c r="E1287" s="2" t="s">
        <v>368</v>
      </c>
      <c r="F1287" s="2" t="e">
        <f>VLOOKUP(B1287,MSCI中国成分股!A:B,1,)</f>
        <v>#N/A</v>
      </c>
    </row>
    <row r="1288" spans="1:6" ht="20.25" hidden="1" customHeight="1" x14ac:dyDescent="0.15">
      <c r="A1288" s="2" t="s">
        <v>2801</v>
      </c>
      <c r="B1288" s="2" t="s">
        <v>2802</v>
      </c>
      <c r="C1288" s="2">
        <v>2.68</v>
      </c>
      <c r="D1288" s="2">
        <v>4.2135999999999996</v>
      </c>
      <c r="E1288" s="2" t="s">
        <v>265</v>
      </c>
      <c r="F1288" s="2" t="e">
        <f>VLOOKUP(B1288,MSCI中国成分股!A:B,1,)</f>
        <v>#N/A</v>
      </c>
    </row>
    <row r="1289" spans="1:6" ht="20.25" hidden="1" customHeight="1" x14ac:dyDescent="0.15">
      <c r="A1289" s="2" t="s">
        <v>2803</v>
      </c>
      <c r="B1289" s="2" t="s">
        <v>2804</v>
      </c>
      <c r="C1289" s="2">
        <v>2.5</v>
      </c>
      <c r="D1289" s="2">
        <v>1.1957</v>
      </c>
      <c r="E1289" s="2" t="s">
        <v>374</v>
      </c>
      <c r="F1289" s="2" t="e">
        <f>VLOOKUP(B1289,MSCI中国成分股!A:B,1,)</f>
        <v>#N/A</v>
      </c>
    </row>
    <row r="1290" spans="1:6" ht="20.25" hidden="1" customHeight="1" x14ac:dyDescent="0.15">
      <c r="A1290" s="2" t="s">
        <v>2805</v>
      </c>
      <c r="B1290" s="2" t="s">
        <v>2806</v>
      </c>
      <c r="C1290" s="2">
        <v>0.62</v>
      </c>
      <c r="D1290" s="2">
        <v>1.3798999999999999</v>
      </c>
      <c r="E1290" s="2" t="s">
        <v>225</v>
      </c>
      <c r="F1290" s="2" t="e">
        <f>VLOOKUP(B1290,MSCI中国成分股!A:B,1,)</f>
        <v>#N/A</v>
      </c>
    </row>
    <row r="1291" spans="1:6" ht="20.25" hidden="1" customHeight="1" x14ac:dyDescent="0.15">
      <c r="A1291" s="2" t="s">
        <v>2807</v>
      </c>
      <c r="B1291" s="2" t="s">
        <v>2808</v>
      </c>
      <c r="C1291" s="2">
        <v>3.12</v>
      </c>
      <c r="D1291" s="2">
        <v>1.3904000000000001</v>
      </c>
      <c r="E1291" s="2" t="s">
        <v>368</v>
      </c>
      <c r="F1291" s="2" t="e">
        <f>VLOOKUP(B1291,MSCI中国成分股!A:B,1,)</f>
        <v>#N/A</v>
      </c>
    </row>
    <row r="1292" spans="1:6" ht="20.25" hidden="1" customHeight="1" x14ac:dyDescent="0.15">
      <c r="A1292" s="2" t="s">
        <v>2809</v>
      </c>
      <c r="B1292" s="2" t="s">
        <v>2810</v>
      </c>
      <c r="C1292" s="2">
        <v>4.34</v>
      </c>
      <c r="D1292" s="2">
        <v>5.4337999999999997</v>
      </c>
      <c r="E1292" s="2" t="s">
        <v>265</v>
      </c>
      <c r="F1292" s="2" t="e">
        <f>VLOOKUP(B1292,MSCI中国成分股!A:B,1,)</f>
        <v>#N/A</v>
      </c>
    </row>
    <row r="1293" spans="1:6" ht="20.25" hidden="1" customHeight="1" x14ac:dyDescent="0.15">
      <c r="A1293" s="2" t="s">
        <v>2811</v>
      </c>
      <c r="B1293" s="2" t="s">
        <v>2812</v>
      </c>
      <c r="C1293" s="2">
        <v>3.82</v>
      </c>
      <c r="D1293" s="2">
        <v>1.1987000000000001</v>
      </c>
      <c r="E1293" s="2" t="s">
        <v>68</v>
      </c>
      <c r="F1293" s="2" t="e">
        <f>VLOOKUP(B1293,MSCI中国成分股!A:B,1,)</f>
        <v>#N/A</v>
      </c>
    </row>
    <row r="1294" spans="1:6" ht="20.25" hidden="1" customHeight="1" x14ac:dyDescent="0.15">
      <c r="A1294" s="2" t="s">
        <v>2813</v>
      </c>
      <c r="B1294" s="2" t="s">
        <v>2814</v>
      </c>
      <c r="C1294" s="2">
        <v>2.1800000000000002</v>
      </c>
      <c r="D1294" s="2">
        <v>2.9434</v>
      </c>
      <c r="E1294" s="2" t="s">
        <v>185</v>
      </c>
      <c r="F1294" s="2" t="e">
        <f>VLOOKUP(B1294,MSCI中国成分股!A:B,1,)</f>
        <v>#N/A</v>
      </c>
    </row>
    <row r="1295" spans="1:6" ht="20.25" hidden="1" customHeight="1" x14ac:dyDescent="0.15">
      <c r="A1295" s="2" t="s">
        <v>2815</v>
      </c>
      <c r="B1295" s="2" t="s">
        <v>2816</v>
      </c>
      <c r="C1295" s="2">
        <v>1.5349999999999999</v>
      </c>
      <c r="D1295" s="2">
        <v>415.23239999999998</v>
      </c>
      <c r="E1295" s="2" t="s">
        <v>677</v>
      </c>
      <c r="F1295" s="2" t="e">
        <f>VLOOKUP(B1295,MSCI中国成分股!A:B,1,)</f>
        <v>#N/A</v>
      </c>
    </row>
    <row r="1296" spans="1:6" ht="20.25" hidden="1" customHeight="1" x14ac:dyDescent="0.15">
      <c r="A1296" s="2" t="s">
        <v>2817</v>
      </c>
      <c r="B1296" s="2" t="s">
        <v>2818</v>
      </c>
      <c r="C1296" s="2">
        <v>0.64</v>
      </c>
      <c r="D1296" s="2">
        <v>3.8287</v>
      </c>
      <c r="E1296" s="2" t="s">
        <v>368</v>
      </c>
      <c r="F1296" s="2" t="e">
        <f>VLOOKUP(B1296,MSCI中国成分股!A:B,1,)</f>
        <v>#N/A</v>
      </c>
    </row>
    <row r="1297" spans="1:6" ht="20.25" hidden="1" customHeight="1" x14ac:dyDescent="0.15">
      <c r="A1297" s="2" t="s">
        <v>2819</v>
      </c>
      <c r="B1297" s="2" t="s">
        <v>2820</v>
      </c>
      <c r="C1297" s="2">
        <v>0.17</v>
      </c>
      <c r="D1297" s="2">
        <v>0.33229999999999998</v>
      </c>
      <c r="E1297" s="2" t="s">
        <v>664</v>
      </c>
      <c r="F1297" s="2" t="e">
        <f>VLOOKUP(B1297,MSCI中国成分股!A:B,1,)</f>
        <v>#N/A</v>
      </c>
    </row>
    <row r="1298" spans="1:6" ht="20.25" hidden="1" customHeight="1" x14ac:dyDescent="0.15">
      <c r="A1298" s="2" t="s">
        <v>2821</v>
      </c>
      <c r="B1298" s="2" t="s">
        <v>2822</v>
      </c>
      <c r="C1298" s="2">
        <v>0.44</v>
      </c>
      <c r="D1298" s="2">
        <v>37.6083</v>
      </c>
      <c r="E1298" s="2" t="s">
        <v>268</v>
      </c>
      <c r="F1298" s="2" t="e">
        <f>VLOOKUP(B1298,MSCI中国成分股!A:B,1,)</f>
        <v>#N/A</v>
      </c>
    </row>
    <row r="1299" spans="1:6" ht="20.25" hidden="1" customHeight="1" x14ac:dyDescent="0.15">
      <c r="A1299" s="2" t="s">
        <v>2823</v>
      </c>
      <c r="B1299" s="2" t="s">
        <v>2824</v>
      </c>
      <c r="C1299" s="2">
        <v>2.63</v>
      </c>
      <c r="D1299" s="2">
        <v>0.61339999999999995</v>
      </c>
      <c r="E1299" s="2" t="s">
        <v>1608</v>
      </c>
      <c r="F1299" s="2" t="e">
        <f>VLOOKUP(B1299,MSCI中国成分股!A:B,1,)</f>
        <v>#N/A</v>
      </c>
    </row>
    <row r="1300" spans="1:6" ht="20.25" hidden="1" customHeight="1" x14ac:dyDescent="0.15">
      <c r="A1300" s="2" t="s">
        <v>2825</v>
      </c>
      <c r="B1300" s="2" t="s">
        <v>2826</v>
      </c>
      <c r="C1300" s="2">
        <v>0.86</v>
      </c>
      <c r="D1300" s="2">
        <v>89.885099999999994</v>
      </c>
      <c r="E1300" s="2" t="s">
        <v>605</v>
      </c>
      <c r="F1300" s="2" t="e">
        <f>VLOOKUP(B1300,MSCI中国成分股!A:B,1,)</f>
        <v>#N/A</v>
      </c>
    </row>
    <row r="1301" spans="1:6" ht="20.25" hidden="1" customHeight="1" x14ac:dyDescent="0.15">
      <c r="A1301" s="2" t="s">
        <v>2827</v>
      </c>
      <c r="B1301" s="2" t="s">
        <v>2828</v>
      </c>
      <c r="C1301" s="2">
        <v>-0.2</v>
      </c>
      <c r="D1301" s="2">
        <v>6.1165000000000003</v>
      </c>
      <c r="E1301" s="2" t="s">
        <v>198</v>
      </c>
      <c r="F1301" s="2" t="e">
        <f>VLOOKUP(B1301,MSCI中国成分股!A:B,1,)</f>
        <v>#N/A</v>
      </c>
    </row>
    <row r="1302" spans="1:6" ht="20.25" hidden="1" customHeight="1" x14ac:dyDescent="0.15">
      <c r="A1302" s="2" t="s">
        <v>2829</v>
      </c>
      <c r="B1302" s="2" t="s">
        <v>2830</v>
      </c>
      <c r="C1302" s="2">
        <v>1.66</v>
      </c>
      <c r="D1302" s="2">
        <v>1.3169999999999999</v>
      </c>
      <c r="E1302" s="2" t="s">
        <v>605</v>
      </c>
      <c r="F1302" s="2" t="e">
        <f>VLOOKUP(B1302,MSCI中国成分股!A:B,1,)</f>
        <v>#N/A</v>
      </c>
    </row>
    <row r="1303" spans="1:6" ht="20.25" hidden="1" customHeight="1" x14ac:dyDescent="0.15">
      <c r="A1303" s="2" t="s">
        <v>2831</v>
      </c>
      <c r="B1303" s="2" t="s">
        <v>2832</v>
      </c>
      <c r="C1303" s="2">
        <v>2.78</v>
      </c>
      <c r="D1303" s="2">
        <v>0.79700000000000004</v>
      </c>
      <c r="E1303" s="2" t="s">
        <v>89</v>
      </c>
      <c r="F1303" s="2" t="e">
        <f>VLOOKUP(B1303,MSCI中国成分股!A:B,1,)</f>
        <v>#N/A</v>
      </c>
    </row>
    <row r="1304" spans="1:6" ht="20.25" hidden="1" customHeight="1" x14ac:dyDescent="0.15">
      <c r="A1304" s="2" t="s">
        <v>2833</v>
      </c>
      <c r="B1304" s="2" t="s">
        <v>2834</v>
      </c>
      <c r="C1304" s="2">
        <v>1.51</v>
      </c>
      <c r="D1304" s="2">
        <v>2.5325000000000002</v>
      </c>
      <c r="E1304" s="2" t="s">
        <v>204</v>
      </c>
      <c r="F1304" s="2" t="e">
        <f>VLOOKUP(B1304,MSCI中国成分股!A:B,1,)</f>
        <v>#N/A</v>
      </c>
    </row>
    <row r="1305" spans="1:6" ht="20.25" hidden="1" customHeight="1" x14ac:dyDescent="0.15">
      <c r="A1305" s="2" t="s">
        <v>2835</v>
      </c>
      <c r="B1305" s="2" t="s">
        <v>2836</v>
      </c>
      <c r="C1305" s="2">
        <v>1.1100000000000001</v>
      </c>
      <c r="D1305" s="2">
        <v>281.31310000000002</v>
      </c>
      <c r="E1305" s="2" t="s">
        <v>35</v>
      </c>
      <c r="F1305" s="2" t="e">
        <f>VLOOKUP(B1305,MSCI中国成分股!A:B,1,)</f>
        <v>#N/A</v>
      </c>
    </row>
    <row r="1306" spans="1:6" ht="20.25" hidden="1" customHeight="1" x14ac:dyDescent="0.15">
      <c r="A1306" s="2" t="s">
        <v>2837</v>
      </c>
      <c r="B1306" s="2" t="s">
        <v>2838</v>
      </c>
      <c r="C1306" s="2">
        <v>-0.4</v>
      </c>
      <c r="D1306" s="2">
        <v>4.2717999999999998</v>
      </c>
      <c r="E1306" s="2" t="s">
        <v>217</v>
      </c>
      <c r="F1306" s="2" t="e">
        <f>VLOOKUP(B1306,MSCI中国成分股!A:B,1,)</f>
        <v>#N/A</v>
      </c>
    </row>
    <row r="1307" spans="1:6" ht="20.25" hidden="1" customHeight="1" x14ac:dyDescent="0.15">
      <c r="A1307" s="2" t="s">
        <v>2839</v>
      </c>
      <c r="B1307" s="2" t="s">
        <v>2840</v>
      </c>
      <c r="C1307" s="2">
        <v>2.78</v>
      </c>
      <c r="D1307" s="2">
        <v>0.75490000000000002</v>
      </c>
      <c r="E1307" s="2" t="s">
        <v>471</v>
      </c>
      <c r="F1307" s="2" t="e">
        <f>VLOOKUP(B1307,MSCI中国成分股!A:B,1,)</f>
        <v>#N/A</v>
      </c>
    </row>
    <row r="1308" spans="1:6" ht="20.25" hidden="1" customHeight="1" x14ac:dyDescent="0.15">
      <c r="A1308" s="2" t="s">
        <v>2841</v>
      </c>
      <c r="B1308" s="2" t="s">
        <v>2842</v>
      </c>
      <c r="C1308" s="2">
        <v>1.72</v>
      </c>
      <c r="D1308" s="2">
        <v>3.8633000000000002</v>
      </c>
      <c r="E1308" s="2" t="s">
        <v>1186</v>
      </c>
      <c r="F1308" s="2" t="e">
        <f>VLOOKUP(B1308,MSCI中国成分股!A:B,1,)</f>
        <v>#N/A</v>
      </c>
    </row>
    <row r="1309" spans="1:6" ht="20.25" hidden="1" customHeight="1" x14ac:dyDescent="0.15">
      <c r="A1309" s="2" t="s">
        <v>2843</v>
      </c>
      <c r="B1309" s="2" t="s">
        <v>2844</v>
      </c>
      <c r="C1309" s="2">
        <v>1.49</v>
      </c>
      <c r="D1309" s="2">
        <v>0.97440000000000004</v>
      </c>
      <c r="E1309" s="2" t="s">
        <v>784</v>
      </c>
      <c r="F1309" s="2" t="e">
        <f>VLOOKUP(B1309,MSCI中国成分股!A:B,1,)</f>
        <v>#N/A</v>
      </c>
    </row>
    <row r="1310" spans="1:6" ht="20.25" hidden="1" customHeight="1" x14ac:dyDescent="0.15">
      <c r="A1310" s="2" t="s">
        <v>2845</v>
      </c>
      <c r="B1310" s="2" t="s">
        <v>2846</v>
      </c>
      <c r="C1310" s="2">
        <v>1.63</v>
      </c>
      <c r="D1310" s="2">
        <v>2.4588999999999999</v>
      </c>
      <c r="E1310" s="2" t="s">
        <v>403</v>
      </c>
      <c r="F1310" s="2" t="e">
        <f>VLOOKUP(B1310,MSCI中国成分股!A:B,1,)</f>
        <v>#N/A</v>
      </c>
    </row>
    <row r="1311" spans="1:6" ht="20.25" hidden="1" customHeight="1" x14ac:dyDescent="0.15">
      <c r="A1311" s="2" t="s">
        <v>2847</v>
      </c>
      <c r="B1311" s="2" t="s">
        <v>2848</v>
      </c>
      <c r="C1311" s="2">
        <v>0.56999999999999995</v>
      </c>
      <c r="D1311" s="2">
        <v>0.1459</v>
      </c>
      <c r="E1311" s="2" t="s">
        <v>1757</v>
      </c>
      <c r="F1311" s="2" t="e">
        <f>VLOOKUP(B1311,MSCI中国成分股!A:B,1,)</f>
        <v>#N/A</v>
      </c>
    </row>
    <row r="1312" spans="1:6" ht="20.25" hidden="1" customHeight="1" x14ac:dyDescent="0.15">
      <c r="A1312" s="2" t="s">
        <v>2849</v>
      </c>
      <c r="B1312" s="2" t="s">
        <v>2850</v>
      </c>
      <c r="C1312" s="2">
        <v>0.83</v>
      </c>
      <c r="D1312" s="2">
        <v>0.31159999999999999</v>
      </c>
      <c r="E1312" s="2" t="s">
        <v>38</v>
      </c>
      <c r="F1312" s="2" t="e">
        <f>VLOOKUP(B1312,MSCI中国成分股!A:B,1,)</f>
        <v>#N/A</v>
      </c>
    </row>
    <row r="1313" spans="1:6" ht="20.25" hidden="1" customHeight="1" x14ac:dyDescent="0.15">
      <c r="A1313" s="2" t="s">
        <v>2851</v>
      </c>
      <c r="B1313" s="2" t="s">
        <v>2852</v>
      </c>
      <c r="C1313" s="2">
        <v>0.2</v>
      </c>
      <c r="D1313" s="2">
        <v>6.11</v>
      </c>
      <c r="E1313" s="2" t="s">
        <v>2724</v>
      </c>
      <c r="F1313" s="2" t="e">
        <f>VLOOKUP(B1313,MSCI中国成分股!A:B,1,)</f>
        <v>#N/A</v>
      </c>
    </row>
    <row r="1314" spans="1:6" ht="20.25" hidden="1" customHeight="1" x14ac:dyDescent="0.15">
      <c r="A1314" s="2" t="s">
        <v>2853</v>
      </c>
      <c r="B1314" s="2" t="s">
        <v>2854</v>
      </c>
      <c r="C1314" s="2">
        <v>-0.35</v>
      </c>
      <c r="D1314" s="2">
        <v>62.613799999999998</v>
      </c>
      <c r="E1314" s="2" t="s">
        <v>396</v>
      </c>
      <c r="F1314" s="2" t="e">
        <f>VLOOKUP(B1314,MSCI中国成分股!A:B,1,)</f>
        <v>#N/A</v>
      </c>
    </row>
    <row r="1315" spans="1:6" ht="20.25" hidden="1" customHeight="1" x14ac:dyDescent="0.15">
      <c r="A1315" s="2" t="s">
        <v>2855</v>
      </c>
      <c r="B1315" s="2" t="s">
        <v>2856</v>
      </c>
      <c r="C1315" s="2">
        <v>1.34</v>
      </c>
      <c r="D1315" s="2">
        <v>1.6425000000000001</v>
      </c>
      <c r="E1315" s="2" t="s">
        <v>1403</v>
      </c>
      <c r="F1315" s="2" t="e">
        <f>VLOOKUP(B1315,MSCI中国成分股!A:B,1,)</f>
        <v>#N/A</v>
      </c>
    </row>
    <row r="1316" spans="1:6" ht="20.25" hidden="1" customHeight="1" x14ac:dyDescent="0.15">
      <c r="A1316" s="2" t="s">
        <v>2857</v>
      </c>
      <c r="B1316" s="2" t="s">
        <v>2858</v>
      </c>
      <c r="C1316" s="2">
        <v>1.02</v>
      </c>
      <c r="D1316" s="2">
        <v>5.3994</v>
      </c>
      <c r="E1316" s="2" t="s">
        <v>621</v>
      </c>
      <c r="F1316" s="2" t="e">
        <f>VLOOKUP(B1316,MSCI中国成分股!A:B,1,)</f>
        <v>#N/A</v>
      </c>
    </row>
    <row r="1317" spans="1:6" ht="20.25" hidden="1" customHeight="1" x14ac:dyDescent="0.15">
      <c r="A1317" s="2" t="s">
        <v>2859</v>
      </c>
      <c r="B1317" s="2" t="s">
        <v>2860</v>
      </c>
      <c r="C1317" s="2">
        <v>1.18</v>
      </c>
      <c r="D1317" s="2">
        <v>0.92630000000000001</v>
      </c>
      <c r="E1317" s="2" t="s">
        <v>106</v>
      </c>
      <c r="F1317" s="2" t="e">
        <f>VLOOKUP(B1317,MSCI中国成分股!A:B,1,)</f>
        <v>#N/A</v>
      </c>
    </row>
    <row r="1318" spans="1:6" ht="20.25" hidden="1" customHeight="1" x14ac:dyDescent="0.15">
      <c r="A1318" s="2" t="s">
        <v>2861</v>
      </c>
      <c r="B1318" s="2" t="s">
        <v>2862</v>
      </c>
      <c r="C1318" s="2">
        <v>1.71</v>
      </c>
      <c r="D1318" s="2">
        <v>0.27500000000000002</v>
      </c>
      <c r="E1318" s="2" t="s">
        <v>1969</v>
      </c>
      <c r="F1318" s="2" t="e">
        <f>VLOOKUP(B1318,MSCI中国成分股!A:B,1,)</f>
        <v>#N/A</v>
      </c>
    </row>
    <row r="1319" spans="1:6" ht="20.25" hidden="1" customHeight="1" x14ac:dyDescent="0.15">
      <c r="A1319" s="2" t="s">
        <v>2863</v>
      </c>
      <c r="B1319" s="2" t="s">
        <v>2864</v>
      </c>
      <c r="C1319" s="2">
        <v>2.46</v>
      </c>
      <c r="D1319" s="2">
        <v>0.61099999999999999</v>
      </c>
      <c r="E1319" s="2" t="s">
        <v>2865</v>
      </c>
      <c r="F1319" s="2" t="e">
        <f>VLOOKUP(B1319,MSCI中国成分股!A:B,1,)</f>
        <v>#N/A</v>
      </c>
    </row>
    <row r="1320" spans="1:6" ht="20.25" hidden="1" customHeight="1" x14ac:dyDescent="0.15">
      <c r="A1320" s="2" t="s">
        <v>2866</v>
      </c>
      <c r="B1320" s="2" t="s">
        <v>2867</v>
      </c>
      <c r="C1320" s="2">
        <v>1.06</v>
      </c>
      <c r="D1320" s="2">
        <v>0.86629999999999996</v>
      </c>
      <c r="E1320" s="2" t="s">
        <v>1248</v>
      </c>
      <c r="F1320" s="2" t="e">
        <f>VLOOKUP(B1320,MSCI中国成分股!A:B,1,)</f>
        <v>#N/A</v>
      </c>
    </row>
    <row r="1321" spans="1:6" ht="20.25" hidden="1" customHeight="1" x14ac:dyDescent="0.15">
      <c r="A1321" s="2" t="s">
        <v>2868</v>
      </c>
      <c r="B1321" s="2" t="s">
        <v>2869</v>
      </c>
      <c r="C1321" s="2">
        <v>0.2</v>
      </c>
      <c r="D1321" s="2">
        <v>0.26240000000000002</v>
      </c>
      <c r="E1321" s="2" t="s">
        <v>483</v>
      </c>
      <c r="F1321" s="2" t="e">
        <f>VLOOKUP(B1321,MSCI中国成分股!A:B,1,)</f>
        <v>#N/A</v>
      </c>
    </row>
    <row r="1322" spans="1:6" ht="20.25" hidden="1" customHeight="1" x14ac:dyDescent="0.15">
      <c r="A1322" s="2" t="s">
        <v>2870</v>
      </c>
      <c r="B1322" s="2" t="s">
        <v>2871</v>
      </c>
      <c r="C1322" s="2">
        <v>3.3</v>
      </c>
      <c r="D1322" s="2">
        <v>4.6177000000000001</v>
      </c>
      <c r="E1322" s="2" t="s">
        <v>724</v>
      </c>
      <c r="F1322" s="2" t="e">
        <f>VLOOKUP(B1322,MSCI中国成分股!A:B,1,)</f>
        <v>#N/A</v>
      </c>
    </row>
    <row r="1323" spans="1:6" ht="20.25" hidden="1" customHeight="1" x14ac:dyDescent="0.15">
      <c r="A1323" s="2" t="s">
        <v>2872</v>
      </c>
      <c r="B1323" s="2" t="s">
        <v>2873</v>
      </c>
      <c r="C1323" s="2">
        <v>3.83</v>
      </c>
      <c r="D1323" s="2">
        <v>3.5228000000000002</v>
      </c>
      <c r="E1323" s="2" t="s">
        <v>506</v>
      </c>
      <c r="F1323" s="2" t="e">
        <f>VLOOKUP(B1323,MSCI中国成分股!A:B,1,)</f>
        <v>#N/A</v>
      </c>
    </row>
    <row r="1324" spans="1:6" ht="20.25" hidden="1" customHeight="1" x14ac:dyDescent="0.15">
      <c r="A1324" s="2" t="s">
        <v>2874</v>
      </c>
      <c r="B1324" s="2" t="s">
        <v>2875</v>
      </c>
      <c r="C1324" s="2">
        <v>1.06</v>
      </c>
      <c r="D1324" s="2">
        <v>2.2564000000000002</v>
      </c>
      <c r="E1324" s="2" t="s">
        <v>1774</v>
      </c>
      <c r="F1324" s="2" t="e">
        <f>VLOOKUP(B1324,MSCI中国成分股!A:B,1,)</f>
        <v>#N/A</v>
      </c>
    </row>
    <row r="1325" spans="1:6" ht="20.25" hidden="1" customHeight="1" x14ac:dyDescent="0.15">
      <c r="A1325" s="2" t="s">
        <v>2876</v>
      </c>
      <c r="B1325" s="2" t="s">
        <v>2877</v>
      </c>
      <c r="C1325" s="2">
        <v>2.65</v>
      </c>
      <c r="D1325" s="2">
        <v>146.88980000000001</v>
      </c>
      <c r="E1325" s="2" t="s">
        <v>65</v>
      </c>
      <c r="F1325" s="2" t="e">
        <f>VLOOKUP(B1325,MSCI中国成分股!A:B,1,)</f>
        <v>#N/A</v>
      </c>
    </row>
    <row r="1326" spans="1:6" ht="20.25" hidden="1" customHeight="1" x14ac:dyDescent="0.15">
      <c r="A1326" s="2" t="s">
        <v>2878</v>
      </c>
      <c r="B1326" s="2" t="s">
        <v>2879</v>
      </c>
      <c r="C1326" s="2">
        <v>1.67</v>
      </c>
      <c r="D1326" s="2">
        <v>2.8249</v>
      </c>
      <c r="E1326" s="2" t="s">
        <v>916</v>
      </c>
      <c r="F1326" s="2" t="e">
        <f>VLOOKUP(B1326,MSCI中国成分股!A:B,1,)</f>
        <v>#N/A</v>
      </c>
    </row>
    <row r="1327" spans="1:6" ht="20.25" hidden="1" customHeight="1" x14ac:dyDescent="0.15">
      <c r="A1327" s="2" t="s">
        <v>2880</v>
      </c>
      <c r="B1327" s="2" t="s">
        <v>2881</v>
      </c>
      <c r="C1327" s="2">
        <v>1.1200000000000001</v>
      </c>
      <c r="D1327" s="2">
        <v>0.38</v>
      </c>
      <c r="E1327" s="2" t="s">
        <v>699</v>
      </c>
      <c r="F1327" s="2" t="e">
        <f>VLOOKUP(B1327,MSCI中国成分股!A:B,1,)</f>
        <v>#N/A</v>
      </c>
    </row>
    <row r="1328" spans="1:6" ht="20.25" hidden="1" customHeight="1" x14ac:dyDescent="0.15">
      <c r="A1328" s="2" t="s">
        <v>2882</v>
      </c>
      <c r="B1328" s="2" t="s">
        <v>2883</v>
      </c>
      <c r="C1328" s="2">
        <v>2</v>
      </c>
      <c r="D1328" s="2">
        <v>0.82420000000000004</v>
      </c>
      <c r="E1328" s="2" t="s">
        <v>1061</v>
      </c>
      <c r="F1328" s="2" t="e">
        <f>VLOOKUP(B1328,MSCI中国成分股!A:B,1,)</f>
        <v>#N/A</v>
      </c>
    </row>
    <row r="1329" spans="1:6" ht="20.25" hidden="1" customHeight="1" x14ac:dyDescent="0.15">
      <c r="A1329" s="2" t="s">
        <v>2884</v>
      </c>
      <c r="B1329" s="2" t="s">
        <v>2885</v>
      </c>
      <c r="C1329" s="2">
        <v>2.59</v>
      </c>
      <c r="D1329" s="2">
        <v>2.9739</v>
      </c>
      <c r="E1329" s="2" t="s">
        <v>685</v>
      </c>
      <c r="F1329" s="2" t="e">
        <f>VLOOKUP(B1329,MSCI中国成分股!A:B,1,)</f>
        <v>#N/A</v>
      </c>
    </row>
    <row r="1330" spans="1:6" ht="20.25" hidden="1" customHeight="1" x14ac:dyDescent="0.15">
      <c r="A1330" s="2" t="s">
        <v>2886</v>
      </c>
      <c r="B1330" s="2" t="s">
        <v>2887</v>
      </c>
      <c r="C1330" s="2">
        <v>1.34</v>
      </c>
      <c r="D1330" s="2">
        <v>2.0102000000000002</v>
      </c>
      <c r="E1330" s="2" t="s">
        <v>554</v>
      </c>
      <c r="F1330" s="2" t="e">
        <f>VLOOKUP(B1330,MSCI中国成分股!A:B,1,)</f>
        <v>#N/A</v>
      </c>
    </row>
    <row r="1331" spans="1:6" ht="20.25" hidden="1" customHeight="1" x14ac:dyDescent="0.15">
      <c r="A1331" s="2" t="s">
        <v>2888</v>
      </c>
      <c r="B1331" s="2" t="s">
        <v>2889</v>
      </c>
      <c r="C1331" s="2">
        <v>1.1299999999999999</v>
      </c>
      <c r="D1331" s="2">
        <v>0.2495</v>
      </c>
      <c r="E1331" s="2" t="s">
        <v>1102</v>
      </c>
      <c r="F1331" s="2" t="e">
        <f>VLOOKUP(B1331,MSCI中国成分股!A:B,1,)</f>
        <v>#N/A</v>
      </c>
    </row>
    <row r="1332" spans="1:6" ht="20.25" hidden="1" customHeight="1" x14ac:dyDescent="0.15">
      <c r="A1332" s="2" t="s">
        <v>2890</v>
      </c>
      <c r="B1332" s="2" t="s">
        <v>2891</v>
      </c>
      <c r="C1332" s="2">
        <v>2.37</v>
      </c>
      <c r="D1332" s="2">
        <v>5.3710000000000004</v>
      </c>
      <c r="E1332" s="2" t="s">
        <v>727</v>
      </c>
      <c r="F1332" s="2" t="e">
        <f>VLOOKUP(B1332,MSCI中国成分股!A:B,1,)</f>
        <v>#N/A</v>
      </c>
    </row>
    <row r="1333" spans="1:6" ht="20.25" hidden="1" customHeight="1" x14ac:dyDescent="0.15">
      <c r="A1333" s="2" t="s">
        <v>2892</v>
      </c>
      <c r="B1333" s="2" t="s">
        <v>2893</v>
      </c>
      <c r="C1333" s="2">
        <v>0.41</v>
      </c>
      <c r="D1333" s="2">
        <v>1.7317</v>
      </c>
      <c r="E1333" s="2" t="s">
        <v>459</v>
      </c>
      <c r="F1333" s="2" t="e">
        <f>VLOOKUP(B1333,MSCI中国成分股!A:B,1,)</f>
        <v>#N/A</v>
      </c>
    </row>
    <row r="1334" spans="1:6" ht="20.25" hidden="1" customHeight="1" x14ac:dyDescent="0.15">
      <c r="A1334" s="2" t="s">
        <v>2894</v>
      </c>
      <c r="B1334" s="2" t="s">
        <v>2895</v>
      </c>
      <c r="C1334" s="2">
        <v>1.69</v>
      </c>
      <c r="D1334" s="2">
        <v>2.1208999999999998</v>
      </c>
      <c r="E1334" s="2" t="s">
        <v>652</v>
      </c>
      <c r="F1334" s="2" t="e">
        <f>VLOOKUP(B1334,MSCI中国成分股!A:B,1,)</f>
        <v>#N/A</v>
      </c>
    </row>
    <row r="1335" spans="1:6" ht="20.25" hidden="1" customHeight="1" x14ac:dyDescent="0.15">
      <c r="A1335" s="2" t="s">
        <v>2896</v>
      </c>
      <c r="B1335" s="2" t="s">
        <v>2897</v>
      </c>
      <c r="C1335" s="2">
        <v>1.48</v>
      </c>
      <c r="D1335" s="2">
        <v>1.4604999999999999</v>
      </c>
      <c r="E1335" s="2" t="s">
        <v>2898</v>
      </c>
      <c r="F1335" s="2" t="e">
        <f>VLOOKUP(B1335,MSCI中国成分股!A:B,1,)</f>
        <v>#N/A</v>
      </c>
    </row>
    <row r="1336" spans="1:6" ht="20.25" hidden="1" customHeight="1" x14ac:dyDescent="0.15">
      <c r="A1336" s="2" t="s">
        <v>2899</v>
      </c>
      <c r="B1336" s="2" t="s">
        <v>2900</v>
      </c>
      <c r="C1336" s="2">
        <v>-1.73</v>
      </c>
      <c r="D1336" s="2">
        <v>22.697800000000001</v>
      </c>
      <c r="E1336" s="2" t="s">
        <v>231</v>
      </c>
      <c r="F1336" s="2" t="e">
        <f>VLOOKUP(B1336,MSCI中国成分股!A:B,1,)</f>
        <v>#N/A</v>
      </c>
    </row>
    <row r="1337" spans="1:6" ht="20.25" hidden="1" customHeight="1" x14ac:dyDescent="0.15">
      <c r="A1337" s="2" t="s">
        <v>2901</v>
      </c>
      <c r="B1337" s="2" t="s">
        <v>2902</v>
      </c>
      <c r="C1337" s="2">
        <v>-1.01</v>
      </c>
      <c r="D1337" s="2">
        <v>4.2699999999999996</v>
      </c>
      <c r="E1337" s="2" t="s">
        <v>7</v>
      </c>
      <c r="F1337" s="2" t="e">
        <f>VLOOKUP(B1337,MSCI中国成分股!A:B,1,)</f>
        <v>#N/A</v>
      </c>
    </row>
    <row r="1338" spans="1:6" ht="20.25" hidden="1" customHeight="1" x14ac:dyDescent="0.15">
      <c r="A1338" s="2" t="s">
        <v>2903</v>
      </c>
      <c r="B1338" s="2" t="s">
        <v>2904</v>
      </c>
      <c r="C1338" s="2">
        <v>3.18</v>
      </c>
      <c r="D1338" s="2">
        <v>1.9548000000000001</v>
      </c>
      <c r="E1338" s="2" t="s">
        <v>2151</v>
      </c>
      <c r="F1338" s="2" t="e">
        <f>VLOOKUP(B1338,MSCI中国成分股!A:B,1,)</f>
        <v>#N/A</v>
      </c>
    </row>
    <row r="1339" spans="1:6" ht="20.25" hidden="1" customHeight="1" x14ac:dyDescent="0.15">
      <c r="A1339" s="2" t="s">
        <v>2905</v>
      </c>
      <c r="B1339" s="2" t="s">
        <v>2906</v>
      </c>
      <c r="C1339" s="2">
        <v>2.46</v>
      </c>
      <c r="D1339" s="2">
        <v>1.4628000000000001</v>
      </c>
      <c r="E1339" s="2" t="s">
        <v>961</v>
      </c>
      <c r="F1339" s="2" t="e">
        <f>VLOOKUP(B1339,MSCI中国成分股!A:B,1,)</f>
        <v>#N/A</v>
      </c>
    </row>
    <row r="1340" spans="1:6" ht="20.25" hidden="1" customHeight="1" x14ac:dyDescent="0.15">
      <c r="A1340" s="2" t="s">
        <v>2907</v>
      </c>
      <c r="B1340" s="2" t="s">
        <v>2908</v>
      </c>
      <c r="C1340" s="2">
        <v>0.08</v>
      </c>
      <c r="D1340" s="2">
        <v>8.5655000000000001</v>
      </c>
      <c r="E1340" s="2" t="s">
        <v>551</v>
      </c>
      <c r="F1340" s="2" t="e">
        <f>VLOOKUP(B1340,MSCI中国成分股!A:B,1,)</f>
        <v>#N/A</v>
      </c>
    </row>
    <row r="1341" spans="1:6" ht="20.25" hidden="1" customHeight="1" x14ac:dyDescent="0.15">
      <c r="A1341" s="2" t="s">
        <v>2909</v>
      </c>
      <c r="B1341" s="2" t="s">
        <v>2910</v>
      </c>
      <c r="C1341" s="2">
        <v>1.05</v>
      </c>
      <c r="D1341" s="2">
        <v>1.9373</v>
      </c>
      <c r="E1341" s="2" t="s">
        <v>1801</v>
      </c>
      <c r="F1341" s="2" t="e">
        <f>VLOOKUP(B1341,MSCI中国成分股!A:B,1,)</f>
        <v>#N/A</v>
      </c>
    </row>
    <row r="1342" spans="1:6" ht="20.25" hidden="1" customHeight="1" x14ac:dyDescent="0.15">
      <c r="A1342" s="2" t="s">
        <v>2911</v>
      </c>
      <c r="B1342" s="2" t="s">
        <v>2912</v>
      </c>
      <c r="C1342" s="2">
        <v>1.92</v>
      </c>
      <c r="D1342" s="2">
        <v>3.2759</v>
      </c>
      <c r="E1342" s="2" t="s">
        <v>744</v>
      </c>
      <c r="F1342" s="2" t="e">
        <f>VLOOKUP(B1342,MSCI中国成分股!A:B,1,)</f>
        <v>#N/A</v>
      </c>
    </row>
    <row r="1343" spans="1:6" ht="20.25" hidden="1" customHeight="1" x14ac:dyDescent="0.15">
      <c r="A1343" s="2" t="s">
        <v>2913</v>
      </c>
      <c r="B1343" s="2" t="s">
        <v>2914</v>
      </c>
      <c r="C1343" s="2">
        <v>2.38</v>
      </c>
      <c r="D1343" s="2">
        <v>0.36309999999999998</v>
      </c>
      <c r="E1343" s="2" t="s">
        <v>201</v>
      </c>
      <c r="F1343" s="2" t="e">
        <f>VLOOKUP(B1343,MSCI中国成分股!A:B,1,)</f>
        <v>#N/A</v>
      </c>
    </row>
    <row r="1344" spans="1:6" ht="20.25" hidden="1" customHeight="1" x14ac:dyDescent="0.15">
      <c r="A1344" s="2" t="s">
        <v>2915</v>
      </c>
      <c r="B1344" s="2" t="s">
        <v>2916</v>
      </c>
      <c r="C1344" s="2">
        <v>7.0000000000000007E-2</v>
      </c>
      <c r="D1344" s="2">
        <v>0.63690000000000002</v>
      </c>
      <c r="E1344" s="2" t="s">
        <v>2917</v>
      </c>
      <c r="F1344" s="2" t="e">
        <f>VLOOKUP(B1344,MSCI中国成分股!A:B,1,)</f>
        <v>#N/A</v>
      </c>
    </row>
    <row r="1345" spans="1:6" ht="20.25" hidden="1" customHeight="1" x14ac:dyDescent="0.15">
      <c r="A1345" s="2" t="s">
        <v>2918</v>
      </c>
      <c r="B1345" s="2" t="s">
        <v>2919</v>
      </c>
      <c r="C1345" s="2">
        <v>1.43</v>
      </c>
      <c r="D1345" s="2">
        <v>0.47770000000000001</v>
      </c>
      <c r="E1345" s="2" t="s">
        <v>1403</v>
      </c>
      <c r="F1345" s="2" t="e">
        <f>VLOOKUP(B1345,MSCI中国成分股!A:B,1,)</f>
        <v>#N/A</v>
      </c>
    </row>
    <row r="1346" spans="1:6" ht="20.25" hidden="1" customHeight="1" x14ac:dyDescent="0.15">
      <c r="A1346" s="2" t="s">
        <v>2920</v>
      </c>
      <c r="B1346" s="2" t="s">
        <v>2921</v>
      </c>
      <c r="C1346" s="2">
        <v>0.99</v>
      </c>
      <c r="D1346" s="2">
        <v>1.3213999999999999</v>
      </c>
      <c r="E1346" s="2" t="s">
        <v>1224</v>
      </c>
      <c r="F1346" s="2" t="e">
        <f>VLOOKUP(B1346,MSCI中国成分股!A:B,1,)</f>
        <v>#N/A</v>
      </c>
    </row>
    <row r="1347" spans="1:6" ht="20.25" hidden="1" customHeight="1" x14ac:dyDescent="0.15">
      <c r="A1347" s="2" t="s">
        <v>2922</v>
      </c>
      <c r="B1347" s="2" t="s">
        <v>2923</v>
      </c>
      <c r="C1347" s="2">
        <v>0.86</v>
      </c>
      <c r="D1347" s="2">
        <v>1.5253000000000001</v>
      </c>
      <c r="E1347" s="2" t="s">
        <v>589</v>
      </c>
      <c r="F1347" s="2" t="e">
        <f>VLOOKUP(B1347,MSCI中国成分股!A:B,1,)</f>
        <v>#N/A</v>
      </c>
    </row>
    <row r="1348" spans="1:6" ht="20.25" hidden="1" customHeight="1" x14ac:dyDescent="0.15">
      <c r="A1348" s="2" t="s">
        <v>2924</v>
      </c>
      <c r="B1348" s="2" t="s">
        <v>2925</v>
      </c>
      <c r="C1348" s="2">
        <v>1.58</v>
      </c>
      <c r="D1348" s="2">
        <v>1.8823000000000001</v>
      </c>
      <c r="E1348" s="2" t="s">
        <v>7</v>
      </c>
      <c r="F1348" s="2" t="e">
        <f>VLOOKUP(B1348,MSCI中国成分股!A:B,1,)</f>
        <v>#N/A</v>
      </c>
    </row>
    <row r="1349" spans="1:6" ht="20.25" hidden="1" customHeight="1" x14ac:dyDescent="0.15">
      <c r="A1349" s="2" t="s">
        <v>2926</v>
      </c>
      <c r="B1349" s="2" t="s">
        <v>2927</v>
      </c>
      <c r="C1349" s="2">
        <v>-4.16</v>
      </c>
      <c r="D1349" s="2">
        <v>24.395800000000001</v>
      </c>
      <c r="E1349" s="2" t="s">
        <v>371</v>
      </c>
      <c r="F1349" s="2" t="e">
        <f>VLOOKUP(B1349,MSCI中国成分股!A:B,1,)</f>
        <v>#N/A</v>
      </c>
    </row>
    <row r="1350" spans="1:6" ht="20.25" hidden="1" customHeight="1" x14ac:dyDescent="0.15">
      <c r="A1350" s="2" t="s">
        <v>2928</v>
      </c>
      <c r="B1350" s="2" t="s">
        <v>2929</v>
      </c>
      <c r="C1350" s="2">
        <v>1.77</v>
      </c>
      <c r="D1350" s="2">
        <v>2.4512999999999998</v>
      </c>
      <c r="E1350" s="2" t="s">
        <v>2930</v>
      </c>
      <c r="F1350" s="2" t="e">
        <f>VLOOKUP(B1350,MSCI中国成分股!A:B,1,)</f>
        <v>#N/A</v>
      </c>
    </row>
    <row r="1351" spans="1:6" ht="20.25" hidden="1" customHeight="1" x14ac:dyDescent="0.15">
      <c r="A1351" s="2" t="s">
        <v>2931</v>
      </c>
      <c r="B1351" s="2" t="s">
        <v>2932</v>
      </c>
      <c r="C1351" s="2">
        <v>0.52</v>
      </c>
      <c r="D1351" s="2">
        <v>3.3399999999999999E-2</v>
      </c>
      <c r="E1351" s="2" t="s">
        <v>152</v>
      </c>
      <c r="F1351" s="2" t="e">
        <f>VLOOKUP(B1351,MSCI中国成分股!A:B,1,)</f>
        <v>#N/A</v>
      </c>
    </row>
    <row r="1352" spans="1:6" ht="20.25" hidden="1" customHeight="1" x14ac:dyDescent="0.15">
      <c r="A1352" s="2" t="s">
        <v>2933</v>
      </c>
      <c r="B1352" s="2" t="s">
        <v>2934</v>
      </c>
      <c r="C1352" s="2">
        <v>0.08</v>
      </c>
      <c r="D1352" s="2">
        <v>4.9608999999999996</v>
      </c>
      <c r="E1352" s="2" t="s">
        <v>149</v>
      </c>
      <c r="F1352" s="2" t="e">
        <f>VLOOKUP(B1352,MSCI中国成分股!A:B,1,)</f>
        <v>#N/A</v>
      </c>
    </row>
    <row r="1353" spans="1:6" ht="20.25" hidden="1" customHeight="1" x14ac:dyDescent="0.15">
      <c r="A1353" s="2" t="s">
        <v>2935</v>
      </c>
      <c r="B1353" s="2" t="s">
        <v>2936</v>
      </c>
      <c r="C1353" s="2">
        <v>2.36</v>
      </c>
      <c r="D1353" s="2">
        <v>0.86080000000000001</v>
      </c>
      <c r="E1353" s="2" t="s">
        <v>1680</v>
      </c>
      <c r="F1353" s="2" t="e">
        <f>VLOOKUP(B1353,MSCI中国成分股!A:B,1,)</f>
        <v>#N/A</v>
      </c>
    </row>
    <row r="1354" spans="1:6" ht="20.25" hidden="1" customHeight="1" x14ac:dyDescent="0.15">
      <c r="A1354" s="2" t="s">
        <v>2937</v>
      </c>
      <c r="B1354" s="2" t="s">
        <v>2938</v>
      </c>
      <c r="C1354" s="2">
        <v>1.29</v>
      </c>
      <c r="D1354" s="2">
        <v>1.0179</v>
      </c>
      <c r="E1354" s="2" t="s">
        <v>699</v>
      </c>
      <c r="F1354" s="2" t="e">
        <f>VLOOKUP(B1354,MSCI中国成分股!A:B,1,)</f>
        <v>#N/A</v>
      </c>
    </row>
    <row r="1355" spans="1:6" ht="20.25" hidden="1" customHeight="1" x14ac:dyDescent="0.15">
      <c r="A1355" s="2" t="s">
        <v>2939</v>
      </c>
      <c r="B1355" s="2" t="s">
        <v>2940</v>
      </c>
      <c r="C1355" s="2">
        <v>0.91</v>
      </c>
      <c r="D1355" s="2">
        <v>0.41489999999999999</v>
      </c>
      <c r="E1355" s="2" t="s">
        <v>630</v>
      </c>
      <c r="F1355" s="2" t="e">
        <f>VLOOKUP(B1355,MSCI中国成分股!A:B,1,)</f>
        <v>#N/A</v>
      </c>
    </row>
    <row r="1356" spans="1:6" ht="20.25" hidden="1" customHeight="1" x14ac:dyDescent="0.15">
      <c r="A1356" s="2" t="s">
        <v>2941</v>
      </c>
      <c r="B1356" s="2" t="s">
        <v>2942</v>
      </c>
      <c r="C1356" s="2">
        <v>1.48</v>
      </c>
      <c r="D1356" s="2">
        <v>4.6444000000000001</v>
      </c>
      <c r="E1356" s="2" t="s">
        <v>483</v>
      </c>
      <c r="F1356" s="2" t="e">
        <f>VLOOKUP(B1356,MSCI中国成分股!A:B,1,)</f>
        <v>#N/A</v>
      </c>
    </row>
    <row r="1357" spans="1:6" ht="20.25" hidden="1" customHeight="1" x14ac:dyDescent="0.15">
      <c r="A1357" s="2" t="s">
        <v>2943</v>
      </c>
      <c r="B1357" s="2" t="s">
        <v>2944</v>
      </c>
      <c r="C1357" s="2">
        <v>1.56</v>
      </c>
      <c r="D1357" s="2">
        <v>0.65429999999999999</v>
      </c>
      <c r="E1357" s="2" t="s">
        <v>49</v>
      </c>
      <c r="F1357" s="2" t="e">
        <f>VLOOKUP(B1357,MSCI中国成分股!A:B,1,)</f>
        <v>#N/A</v>
      </c>
    </row>
    <row r="1358" spans="1:6" ht="20.25" hidden="1" customHeight="1" x14ac:dyDescent="0.15">
      <c r="A1358" s="2" t="s">
        <v>2945</v>
      </c>
      <c r="B1358" s="2" t="s">
        <v>2946</v>
      </c>
      <c r="C1358" s="2">
        <v>1.1299999999999999</v>
      </c>
      <c r="D1358" s="2">
        <v>4.3400000000000001E-2</v>
      </c>
      <c r="E1358" s="2" t="s">
        <v>1102</v>
      </c>
      <c r="F1358" s="2" t="e">
        <f>VLOOKUP(B1358,MSCI中国成分股!A:B,1,)</f>
        <v>#N/A</v>
      </c>
    </row>
    <row r="1359" spans="1:6" ht="20.25" hidden="1" customHeight="1" x14ac:dyDescent="0.15">
      <c r="A1359" s="2" t="s">
        <v>2947</v>
      </c>
      <c r="B1359" s="2" t="s">
        <v>2948</v>
      </c>
      <c r="C1359" s="2">
        <v>0.78</v>
      </c>
      <c r="D1359" s="2">
        <v>16.402999999999999</v>
      </c>
      <c r="E1359" s="2" t="s">
        <v>633</v>
      </c>
      <c r="F1359" s="2" t="e">
        <f>VLOOKUP(B1359,MSCI中国成分股!A:B,1,)</f>
        <v>#N/A</v>
      </c>
    </row>
    <row r="1360" spans="1:6" ht="20.25" hidden="1" customHeight="1" x14ac:dyDescent="0.15">
      <c r="A1360" s="2" t="s">
        <v>2949</v>
      </c>
      <c r="B1360" s="2" t="s">
        <v>2950</v>
      </c>
      <c r="C1360" s="2">
        <v>0.19</v>
      </c>
      <c r="D1360" s="2">
        <v>1.9951000000000001</v>
      </c>
      <c r="E1360" s="2" t="s">
        <v>260</v>
      </c>
      <c r="F1360" s="2" t="e">
        <f>VLOOKUP(B1360,MSCI中国成分股!A:B,1,)</f>
        <v>#N/A</v>
      </c>
    </row>
    <row r="1361" spans="1:6" ht="20.25" hidden="1" customHeight="1" x14ac:dyDescent="0.15">
      <c r="A1361" s="2" t="s">
        <v>2951</v>
      </c>
      <c r="B1361" s="2" t="s">
        <v>2952</v>
      </c>
      <c r="C1361" s="2">
        <v>3.9</v>
      </c>
      <c r="D1361" s="2">
        <v>3.4916</v>
      </c>
      <c r="E1361" s="2" t="s">
        <v>403</v>
      </c>
      <c r="F1361" s="2" t="e">
        <f>VLOOKUP(B1361,MSCI中国成分股!A:B,1,)</f>
        <v>#N/A</v>
      </c>
    </row>
    <row r="1362" spans="1:6" ht="20.25" hidden="1" customHeight="1" x14ac:dyDescent="0.15">
      <c r="A1362" s="2" t="s">
        <v>2953</v>
      </c>
      <c r="B1362" s="2" t="s">
        <v>2954</v>
      </c>
      <c r="C1362" s="2">
        <v>5.18</v>
      </c>
      <c r="D1362" s="2">
        <v>2.0905</v>
      </c>
      <c r="E1362" s="2" t="s">
        <v>794</v>
      </c>
      <c r="F1362" s="2" t="e">
        <f>VLOOKUP(B1362,MSCI中国成分股!A:B,1,)</f>
        <v>#N/A</v>
      </c>
    </row>
    <row r="1363" spans="1:6" ht="20.25" hidden="1" customHeight="1" x14ac:dyDescent="0.15">
      <c r="A1363" s="2" t="s">
        <v>2955</v>
      </c>
      <c r="B1363" s="2" t="s">
        <v>2956</v>
      </c>
      <c r="C1363" s="2">
        <v>2.97</v>
      </c>
      <c r="D1363" s="2">
        <v>0.99629999999999996</v>
      </c>
      <c r="E1363" s="2" t="s">
        <v>201</v>
      </c>
      <c r="F1363" s="2" t="e">
        <f>VLOOKUP(B1363,MSCI中国成分股!A:B,1,)</f>
        <v>#N/A</v>
      </c>
    </row>
    <row r="1364" spans="1:6" ht="20.25" hidden="1" customHeight="1" x14ac:dyDescent="0.15">
      <c r="A1364" s="2" t="s">
        <v>2957</v>
      </c>
      <c r="B1364" s="2" t="s">
        <v>2958</v>
      </c>
      <c r="C1364" s="2">
        <v>0.61</v>
      </c>
      <c r="D1364" s="2">
        <v>5.9126000000000003</v>
      </c>
      <c r="E1364" s="2" t="s">
        <v>201</v>
      </c>
      <c r="F1364" s="2" t="e">
        <f>VLOOKUP(B1364,MSCI中国成分股!A:B,1,)</f>
        <v>#N/A</v>
      </c>
    </row>
    <row r="1365" spans="1:6" ht="20.25" hidden="1" customHeight="1" x14ac:dyDescent="0.15">
      <c r="A1365" s="2" t="s">
        <v>2959</v>
      </c>
      <c r="B1365" s="2" t="s">
        <v>2960</v>
      </c>
      <c r="C1365" s="2">
        <v>-0.98</v>
      </c>
      <c r="D1365" s="2">
        <v>57.290399999999998</v>
      </c>
      <c r="E1365" s="2" t="s">
        <v>371</v>
      </c>
      <c r="F1365" s="2" t="e">
        <f>VLOOKUP(B1365,MSCI中国成分股!A:B,1,)</f>
        <v>#N/A</v>
      </c>
    </row>
    <row r="1366" spans="1:6" ht="20.25" hidden="1" customHeight="1" x14ac:dyDescent="0.15">
      <c r="A1366" s="2" t="s">
        <v>2961</v>
      </c>
      <c r="B1366" s="2" t="s">
        <v>2962</v>
      </c>
      <c r="C1366" s="2">
        <v>-0.55000000000000004</v>
      </c>
      <c r="D1366" s="2">
        <v>1.5476000000000001</v>
      </c>
      <c r="E1366" s="2" t="s">
        <v>421</v>
      </c>
      <c r="F1366" s="2" t="e">
        <f>VLOOKUP(B1366,MSCI中国成分股!A:B,1,)</f>
        <v>#N/A</v>
      </c>
    </row>
    <row r="1367" spans="1:6" ht="20.25" hidden="1" customHeight="1" x14ac:dyDescent="0.15">
      <c r="A1367" s="2" t="s">
        <v>2963</v>
      </c>
      <c r="B1367" s="2" t="s">
        <v>2964</v>
      </c>
      <c r="C1367" s="2">
        <v>0.12</v>
      </c>
      <c r="D1367" s="2">
        <v>14.124000000000001</v>
      </c>
      <c r="E1367" s="2" t="s">
        <v>65</v>
      </c>
      <c r="F1367" s="2" t="e">
        <f>VLOOKUP(B1367,MSCI中国成分股!A:B,1,)</f>
        <v>#N/A</v>
      </c>
    </row>
    <row r="1368" spans="1:6" ht="20.25" hidden="1" customHeight="1" x14ac:dyDescent="0.15">
      <c r="A1368" s="2" t="s">
        <v>2965</v>
      </c>
      <c r="B1368" s="2" t="s">
        <v>2966</v>
      </c>
      <c r="C1368" s="2">
        <v>1.36</v>
      </c>
      <c r="D1368" s="2">
        <v>16.618500000000001</v>
      </c>
      <c r="E1368" s="2" t="s">
        <v>1691</v>
      </c>
      <c r="F1368" s="2" t="e">
        <f>VLOOKUP(B1368,MSCI中国成分股!A:B,1,)</f>
        <v>#N/A</v>
      </c>
    </row>
    <row r="1369" spans="1:6" ht="20.25" hidden="1" customHeight="1" x14ac:dyDescent="0.15">
      <c r="A1369" s="2" t="s">
        <v>2967</v>
      </c>
      <c r="B1369" s="2" t="s">
        <v>2968</v>
      </c>
      <c r="C1369" s="2">
        <v>1.02</v>
      </c>
      <c r="D1369" s="2">
        <v>1.3222</v>
      </c>
      <c r="E1369" s="2" t="s">
        <v>724</v>
      </c>
      <c r="F1369" s="2" t="e">
        <f>VLOOKUP(B1369,MSCI中国成分股!A:B,1,)</f>
        <v>#N/A</v>
      </c>
    </row>
    <row r="1370" spans="1:6" ht="20.25" hidden="1" customHeight="1" x14ac:dyDescent="0.15">
      <c r="A1370" s="2" t="s">
        <v>2969</v>
      </c>
      <c r="B1370" s="2" t="s">
        <v>2970</v>
      </c>
      <c r="C1370" s="2">
        <v>0.96</v>
      </c>
      <c r="D1370" s="2">
        <v>2.7919</v>
      </c>
      <c r="E1370" s="2" t="s">
        <v>897</v>
      </c>
      <c r="F1370" s="2" t="e">
        <f>VLOOKUP(B1370,MSCI中国成分股!A:B,1,)</f>
        <v>#N/A</v>
      </c>
    </row>
    <row r="1371" spans="1:6" ht="20.25" hidden="1" customHeight="1" x14ac:dyDescent="0.15">
      <c r="A1371" s="2" t="s">
        <v>2971</v>
      </c>
      <c r="B1371" s="2" t="s">
        <v>2972</v>
      </c>
      <c r="C1371" s="2">
        <v>0.87</v>
      </c>
      <c r="D1371" s="2">
        <v>0.104</v>
      </c>
      <c r="E1371" s="2" t="s">
        <v>713</v>
      </c>
      <c r="F1371" s="2" t="e">
        <f>VLOOKUP(B1371,MSCI中国成分股!A:B,1,)</f>
        <v>#N/A</v>
      </c>
    </row>
    <row r="1372" spans="1:6" ht="20.25" hidden="1" customHeight="1" x14ac:dyDescent="0.15">
      <c r="A1372" s="2" t="s">
        <v>2973</v>
      </c>
      <c r="B1372" s="2" t="s">
        <v>2974</v>
      </c>
      <c r="C1372" s="2">
        <v>3.48</v>
      </c>
      <c r="D1372" s="2">
        <v>0.33329999999999999</v>
      </c>
      <c r="E1372" s="2" t="s">
        <v>638</v>
      </c>
      <c r="F1372" s="2" t="e">
        <f>VLOOKUP(B1372,MSCI中国成分股!A:B,1,)</f>
        <v>#N/A</v>
      </c>
    </row>
    <row r="1373" spans="1:6" ht="20.25" hidden="1" customHeight="1" x14ac:dyDescent="0.15">
      <c r="A1373" s="2" t="s">
        <v>2975</v>
      </c>
      <c r="B1373" s="2" t="s">
        <v>2976</v>
      </c>
      <c r="C1373" s="2">
        <v>-3.53</v>
      </c>
      <c r="D1373" s="2">
        <v>6726.2956999999997</v>
      </c>
      <c r="E1373" s="2" t="s">
        <v>501</v>
      </c>
      <c r="F1373" s="2" t="e">
        <f>VLOOKUP(B1373,MSCI中国成分股!A:B,1,)</f>
        <v>#N/A</v>
      </c>
    </row>
    <row r="1374" spans="1:6" ht="20.25" hidden="1" customHeight="1" x14ac:dyDescent="0.15">
      <c r="A1374" s="2" t="s">
        <v>2977</v>
      </c>
      <c r="B1374" s="2" t="s">
        <v>2978</v>
      </c>
      <c r="C1374" s="2">
        <v>0.37</v>
      </c>
      <c r="D1374" s="2">
        <v>37.2087</v>
      </c>
      <c r="E1374" s="2" t="s">
        <v>240</v>
      </c>
      <c r="F1374" s="2" t="e">
        <f>VLOOKUP(B1374,MSCI中国成分股!A:B,1,)</f>
        <v>#N/A</v>
      </c>
    </row>
    <row r="1375" spans="1:6" ht="20.25" hidden="1" customHeight="1" x14ac:dyDescent="0.15">
      <c r="A1375" s="2" t="s">
        <v>2979</v>
      </c>
      <c r="B1375" s="2" t="s">
        <v>2980</v>
      </c>
      <c r="C1375" s="2">
        <v>1.94</v>
      </c>
      <c r="D1375" s="2">
        <v>0.2697</v>
      </c>
      <c r="E1375" s="2" t="s">
        <v>421</v>
      </c>
      <c r="F1375" s="2" t="e">
        <f>VLOOKUP(B1375,MSCI中国成分股!A:B,1,)</f>
        <v>#N/A</v>
      </c>
    </row>
    <row r="1376" spans="1:6" ht="20.25" hidden="1" customHeight="1" x14ac:dyDescent="0.15">
      <c r="A1376" s="2" t="s">
        <v>2981</v>
      </c>
      <c r="B1376" s="2" t="s">
        <v>2982</v>
      </c>
      <c r="C1376" s="2">
        <v>2.78</v>
      </c>
      <c r="D1376" s="2">
        <v>1.1025</v>
      </c>
      <c r="E1376" s="2" t="s">
        <v>89</v>
      </c>
      <c r="F1376" s="2" t="e">
        <f>VLOOKUP(B1376,MSCI中国成分股!A:B,1,)</f>
        <v>#N/A</v>
      </c>
    </row>
    <row r="1377" spans="1:6" ht="20.25" hidden="1" customHeight="1" x14ac:dyDescent="0.15">
      <c r="A1377" s="2" t="s">
        <v>2983</v>
      </c>
      <c r="B1377" s="2" t="s">
        <v>2984</v>
      </c>
      <c r="C1377" s="2">
        <v>2.84</v>
      </c>
      <c r="D1377" s="2">
        <v>2.9323999999999999</v>
      </c>
      <c r="E1377" s="2" t="s">
        <v>391</v>
      </c>
      <c r="F1377" s="2" t="e">
        <f>VLOOKUP(B1377,MSCI中国成分股!A:B,1,)</f>
        <v>#N/A</v>
      </c>
    </row>
    <row r="1378" spans="1:6" ht="20.25" hidden="1" customHeight="1" x14ac:dyDescent="0.15">
      <c r="A1378" s="2" t="s">
        <v>2985</v>
      </c>
      <c r="B1378" s="2" t="s">
        <v>2986</v>
      </c>
      <c r="C1378" s="2">
        <v>1.8</v>
      </c>
      <c r="D1378" s="2">
        <v>2.8273999999999999</v>
      </c>
      <c r="E1378" s="2" t="s">
        <v>359</v>
      </c>
      <c r="F1378" s="2" t="e">
        <f>VLOOKUP(B1378,MSCI中国成分股!A:B,1,)</f>
        <v>#N/A</v>
      </c>
    </row>
    <row r="1379" spans="1:6" ht="20.25" hidden="1" customHeight="1" x14ac:dyDescent="0.15">
      <c r="A1379" s="2" t="s">
        <v>2987</v>
      </c>
      <c r="B1379" s="2" t="s">
        <v>2988</v>
      </c>
      <c r="C1379" s="2">
        <v>1.89</v>
      </c>
      <c r="D1379" s="2">
        <v>20.342300000000002</v>
      </c>
      <c r="E1379" s="2" t="s">
        <v>52</v>
      </c>
      <c r="F1379" s="2" t="e">
        <f>VLOOKUP(B1379,MSCI中国成分股!A:B,1,)</f>
        <v>#N/A</v>
      </c>
    </row>
    <row r="1380" spans="1:6" ht="20.25" hidden="1" customHeight="1" x14ac:dyDescent="0.15">
      <c r="A1380" s="2" t="s">
        <v>2989</v>
      </c>
      <c r="B1380" s="2" t="s">
        <v>2990</v>
      </c>
      <c r="C1380" s="2">
        <v>0.2</v>
      </c>
      <c r="D1380" s="2">
        <v>0.90180000000000005</v>
      </c>
      <c r="E1380" s="2" t="s">
        <v>225</v>
      </c>
      <c r="F1380" s="2" t="e">
        <f>VLOOKUP(B1380,MSCI中国成分股!A:B,1,)</f>
        <v>#N/A</v>
      </c>
    </row>
    <row r="1381" spans="1:6" ht="20.25" hidden="1" customHeight="1" x14ac:dyDescent="0.15">
      <c r="A1381" s="2" t="s">
        <v>2991</v>
      </c>
      <c r="B1381" s="2" t="s">
        <v>2992</v>
      </c>
      <c r="C1381" s="2">
        <v>3.63</v>
      </c>
      <c r="D1381" s="2">
        <v>3.6438999999999999</v>
      </c>
      <c r="E1381" s="2" t="s">
        <v>35</v>
      </c>
      <c r="F1381" s="2" t="e">
        <f>VLOOKUP(B1381,MSCI中国成分股!A:B,1,)</f>
        <v>#N/A</v>
      </c>
    </row>
    <row r="1382" spans="1:6" ht="20.25" hidden="1" customHeight="1" x14ac:dyDescent="0.15">
      <c r="A1382" s="2" t="s">
        <v>2993</v>
      </c>
      <c r="B1382" s="2" t="s">
        <v>2994</v>
      </c>
      <c r="C1382" s="2">
        <v>0.03</v>
      </c>
      <c r="D1382" s="2">
        <v>0.2117</v>
      </c>
      <c r="E1382" s="2" t="s">
        <v>225</v>
      </c>
      <c r="F1382" s="2" t="e">
        <f>VLOOKUP(B1382,MSCI中国成分股!A:B,1,)</f>
        <v>#N/A</v>
      </c>
    </row>
    <row r="1383" spans="1:6" ht="20.25" hidden="1" customHeight="1" x14ac:dyDescent="0.15">
      <c r="A1383" s="2" t="s">
        <v>2995</v>
      </c>
      <c r="B1383" s="2" t="s">
        <v>2996</v>
      </c>
      <c r="C1383" s="2">
        <v>1.45</v>
      </c>
      <c r="D1383" s="2">
        <v>1.2819</v>
      </c>
      <c r="E1383" s="2" t="s">
        <v>667</v>
      </c>
      <c r="F1383" s="2" t="e">
        <f>VLOOKUP(B1383,MSCI中国成分股!A:B,1,)</f>
        <v>#N/A</v>
      </c>
    </row>
    <row r="1384" spans="1:6" ht="20.25" hidden="1" customHeight="1" x14ac:dyDescent="0.15">
      <c r="A1384" s="2" t="s">
        <v>2997</v>
      </c>
      <c r="B1384" s="2" t="s">
        <v>2998</v>
      </c>
      <c r="C1384" s="2">
        <v>-0.46</v>
      </c>
      <c r="D1384" s="2">
        <v>4.3122999999999996</v>
      </c>
      <c r="E1384" s="2" t="s">
        <v>44</v>
      </c>
      <c r="F1384" s="2" t="e">
        <f>VLOOKUP(B1384,MSCI中国成分股!A:B,1,)</f>
        <v>#N/A</v>
      </c>
    </row>
    <row r="1385" spans="1:6" ht="20.25" hidden="1" customHeight="1" x14ac:dyDescent="0.15">
      <c r="A1385" s="2" t="s">
        <v>2999</v>
      </c>
      <c r="B1385" s="2" t="s">
        <v>3000</v>
      </c>
      <c r="C1385" s="2">
        <v>2.085</v>
      </c>
      <c r="D1385" s="2">
        <v>116.3836</v>
      </c>
      <c r="E1385" s="2" t="s">
        <v>371</v>
      </c>
      <c r="F1385" s="2" t="e">
        <f>VLOOKUP(B1385,MSCI中国成分股!A:B,1,)</f>
        <v>#N/A</v>
      </c>
    </row>
    <row r="1386" spans="1:6" ht="20.25" hidden="1" customHeight="1" x14ac:dyDescent="0.15">
      <c r="A1386" s="2" t="s">
        <v>3001</v>
      </c>
      <c r="B1386" s="2" t="s">
        <v>3002</v>
      </c>
      <c r="C1386" s="2">
        <v>2.12</v>
      </c>
      <c r="D1386" s="2">
        <v>9.5289999999999999</v>
      </c>
      <c r="E1386" s="2" t="s">
        <v>41</v>
      </c>
      <c r="F1386" s="2" t="e">
        <f>VLOOKUP(B1386,MSCI中国成分股!A:B,1,)</f>
        <v>#N/A</v>
      </c>
    </row>
    <row r="1387" spans="1:6" ht="20.25" hidden="1" customHeight="1" x14ac:dyDescent="0.15">
      <c r="A1387" s="2" t="s">
        <v>3003</v>
      </c>
      <c r="B1387" s="2" t="s">
        <v>3004</v>
      </c>
      <c r="C1387" s="2">
        <v>3.23</v>
      </c>
      <c r="D1387" s="2">
        <v>0.50949999999999995</v>
      </c>
      <c r="E1387" s="2" t="s">
        <v>3005</v>
      </c>
      <c r="F1387" s="2" t="e">
        <f>VLOOKUP(B1387,MSCI中国成分股!A:B,1,)</f>
        <v>#N/A</v>
      </c>
    </row>
    <row r="1388" spans="1:6" ht="20.25" hidden="1" customHeight="1" x14ac:dyDescent="0.15">
      <c r="A1388" s="2" t="s">
        <v>3006</v>
      </c>
      <c r="B1388" s="2" t="s">
        <v>3007</v>
      </c>
      <c r="C1388" s="2">
        <v>0.63</v>
      </c>
      <c r="D1388" s="2">
        <v>0.43919999999999998</v>
      </c>
      <c r="E1388" s="2" t="s">
        <v>1403</v>
      </c>
      <c r="F1388" s="2" t="e">
        <f>VLOOKUP(B1388,MSCI中国成分股!A:B,1,)</f>
        <v>#N/A</v>
      </c>
    </row>
    <row r="1389" spans="1:6" ht="20.25" hidden="1" customHeight="1" x14ac:dyDescent="0.15">
      <c r="A1389" s="2" t="s">
        <v>3008</v>
      </c>
      <c r="B1389" s="2" t="s">
        <v>3009</v>
      </c>
      <c r="C1389" s="2">
        <v>0.95</v>
      </c>
      <c r="D1389" s="2">
        <v>0.16700000000000001</v>
      </c>
      <c r="E1389" s="2" t="s">
        <v>111</v>
      </c>
      <c r="F1389" s="2" t="e">
        <f>VLOOKUP(B1389,MSCI中国成分股!A:B,1,)</f>
        <v>#N/A</v>
      </c>
    </row>
    <row r="1390" spans="1:6" ht="20.25" hidden="1" customHeight="1" x14ac:dyDescent="0.15">
      <c r="A1390" s="2" t="s">
        <v>3010</v>
      </c>
      <c r="B1390" s="2" t="s">
        <v>3011</v>
      </c>
      <c r="C1390" s="2">
        <v>0.92</v>
      </c>
      <c r="D1390" s="2">
        <v>0.38109999999999999</v>
      </c>
      <c r="E1390" s="2" t="s">
        <v>81</v>
      </c>
      <c r="F1390" s="2" t="e">
        <f>VLOOKUP(B1390,MSCI中国成分股!A:B,1,)</f>
        <v>#N/A</v>
      </c>
    </row>
    <row r="1391" spans="1:6" ht="20.25" hidden="1" customHeight="1" x14ac:dyDescent="0.15">
      <c r="A1391" s="2" t="s">
        <v>3012</v>
      </c>
      <c r="B1391" s="2" t="s">
        <v>3013</v>
      </c>
      <c r="C1391" s="2">
        <v>4.8</v>
      </c>
      <c r="D1391" s="2">
        <v>0.81759999999999999</v>
      </c>
      <c r="E1391" s="2" t="s">
        <v>638</v>
      </c>
      <c r="F1391" s="2" t="e">
        <f>VLOOKUP(B1391,MSCI中国成分股!A:B,1,)</f>
        <v>#N/A</v>
      </c>
    </row>
    <row r="1392" spans="1:6" ht="20.25" hidden="1" customHeight="1" x14ac:dyDescent="0.15">
      <c r="A1392" s="2" t="s">
        <v>3014</v>
      </c>
      <c r="B1392" s="2" t="s">
        <v>3015</v>
      </c>
      <c r="C1392" s="2">
        <v>-1.54</v>
      </c>
      <c r="D1392" s="2">
        <v>7.4794</v>
      </c>
      <c r="E1392" s="2" t="s">
        <v>286</v>
      </c>
      <c r="F1392" s="2" t="e">
        <f>VLOOKUP(B1392,MSCI中国成分股!A:B,1,)</f>
        <v>#N/A</v>
      </c>
    </row>
    <row r="1393" spans="1:6" ht="20.25" hidden="1" customHeight="1" x14ac:dyDescent="0.15">
      <c r="A1393" s="2" t="s">
        <v>3016</v>
      </c>
      <c r="B1393" s="2" t="s">
        <v>3017</v>
      </c>
      <c r="C1393" s="2">
        <v>1.32</v>
      </c>
      <c r="D1393" s="2">
        <v>1.173</v>
      </c>
      <c r="E1393" s="2" t="s">
        <v>149</v>
      </c>
      <c r="F1393" s="2" t="e">
        <f>VLOOKUP(B1393,MSCI中国成分股!A:B,1,)</f>
        <v>#N/A</v>
      </c>
    </row>
    <row r="1394" spans="1:6" ht="20.25" hidden="1" customHeight="1" x14ac:dyDescent="0.15">
      <c r="A1394" s="2" t="s">
        <v>3018</v>
      </c>
      <c r="B1394" s="2" t="s">
        <v>3019</v>
      </c>
      <c r="C1394" s="2">
        <v>3.605</v>
      </c>
      <c r="D1394" s="2">
        <v>1.4215</v>
      </c>
      <c r="E1394" s="2" t="s">
        <v>371</v>
      </c>
      <c r="F1394" s="2" t="e">
        <f>VLOOKUP(B1394,MSCI中国成分股!A:B,1,)</f>
        <v>#N/A</v>
      </c>
    </row>
    <row r="1395" spans="1:6" ht="20.25" hidden="1" customHeight="1" x14ac:dyDescent="0.15">
      <c r="A1395" s="2" t="s">
        <v>3020</v>
      </c>
      <c r="B1395" s="2" t="s">
        <v>3021</v>
      </c>
      <c r="C1395" s="2">
        <v>-0.55000000000000004</v>
      </c>
      <c r="D1395" s="2">
        <v>2.1856</v>
      </c>
      <c r="E1395" s="2" t="s">
        <v>204</v>
      </c>
      <c r="F1395" s="2" t="e">
        <f>VLOOKUP(B1395,MSCI中国成分股!A:B,1,)</f>
        <v>#N/A</v>
      </c>
    </row>
    <row r="1396" spans="1:6" ht="20.25" hidden="1" customHeight="1" x14ac:dyDescent="0.15">
      <c r="A1396" s="2" t="s">
        <v>3022</v>
      </c>
      <c r="B1396" s="2" t="s">
        <v>3023</v>
      </c>
      <c r="C1396" s="2">
        <v>1.34</v>
      </c>
      <c r="D1396" s="2">
        <v>1.61</v>
      </c>
      <c r="E1396" s="2" t="s">
        <v>44</v>
      </c>
      <c r="F1396" s="2" t="e">
        <f>VLOOKUP(B1396,MSCI中国成分股!A:B,1,)</f>
        <v>#N/A</v>
      </c>
    </row>
    <row r="1397" spans="1:6" ht="20.25" hidden="1" customHeight="1" x14ac:dyDescent="0.15">
      <c r="A1397" s="2" t="s">
        <v>3024</v>
      </c>
      <c r="B1397" s="2" t="s">
        <v>3025</v>
      </c>
      <c r="C1397" s="2">
        <v>-0.04</v>
      </c>
      <c r="D1397" s="2">
        <v>0.54159999999999997</v>
      </c>
      <c r="E1397" s="2" t="s">
        <v>1142</v>
      </c>
      <c r="F1397" s="2" t="e">
        <f>VLOOKUP(B1397,MSCI中国成分股!A:B,1,)</f>
        <v>#N/A</v>
      </c>
    </row>
    <row r="1398" spans="1:6" ht="20.25" hidden="1" customHeight="1" x14ac:dyDescent="0.15">
      <c r="A1398" s="2" t="s">
        <v>3026</v>
      </c>
      <c r="B1398" s="2" t="s">
        <v>3027</v>
      </c>
      <c r="C1398" s="2">
        <v>2.72</v>
      </c>
      <c r="D1398" s="2">
        <v>13.272399999999999</v>
      </c>
      <c r="E1398" s="2" t="s">
        <v>44</v>
      </c>
      <c r="F1398" s="2" t="e">
        <f>VLOOKUP(B1398,MSCI中国成分股!A:B,1,)</f>
        <v>#N/A</v>
      </c>
    </row>
    <row r="1399" spans="1:6" ht="20.25" hidden="1" customHeight="1" x14ac:dyDescent="0.15">
      <c r="A1399" s="2" t="s">
        <v>3028</v>
      </c>
      <c r="B1399" s="2" t="s">
        <v>3029</v>
      </c>
      <c r="C1399" s="2">
        <v>2.33</v>
      </c>
      <c r="D1399" s="2">
        <v>12.5913</v>
      </c>
      <c r="E1399" s="2" t="s">
        <v>176</v>
      </c>
      <c r="F1399" s="2" t="e">
        <f>VLOOKUP(B1399,MSCI中国成分股!A:B,1,)</f>
        <v>#N/A</v>
      </c>
    </row>
    <row r="1400" spans="1:6" ht="20.25" hidden="1" customHeight="1" x14ac:dyDescent="0.15">
      <c r="A1400" s="2" t="s">
        <v>3030</v>
      </c>
      <c r="B1400" s="2" t="s">
        <v>3031</v>
      </c>
      <c r="C1400" s="2">
        <v>1.03</v>
      </c>
      <c r="D1400" s="2">
        <v>1.6800999999999999</v>
      </c>
      <c r="E1400" s="2" t="s">
        <v>140</v>
      </c>
      <c r="F1400" s="2" t="e">
        <f>VLOOKUP(B1400,MSCI中国成分股!A:B,1,)</f>
        <v>#N/A</v>
      </c>
    </row>
    <row r="1401" spans="1:6" ht="20.25" hidden="1" customHeight="1" x14ac:dyDescent="0.15">
      <c r="A1401" s="2" t="s">
        <v>3032</v>
      </c>
      <c r="B1401" s="2" t="s">
        <v>3033</v>
      </c>
      <c r="C1401" s="2">
        <v>1.07</v>
      </c>
      <c r="D1401" s="2">
        <v>1.1516999999999999</v>
      </c>
      <c r="E1401" s="2" t="s">
        <v>1420</v>
      </c>
      <c r="F1401" s="2" t="e">
        <f>VLOOKUP(B1401,MSCI中国成分股!A:B,1,)</f>
        <v>#N/A</v>
      </c>
    </row>
    <row r="1402" spans="1:6" ht="20.25" hidden="1" customHeight="1" x14ac:dyDescent="0.15">
      <c r="A1402" s="2" t="s">
        <v>3034</v>
      </c>
      <c r="B1402" s="2" t="s">
        <v>3035</v>
      </c>
      <c r="C1402" s="2">
        <v>-1.1299999999999999</v>
      </c>
      <c r="D1402" s="2">
        <v>68.1875</v>
      </c>
      <c r="E1402" s="2" t="s">
        <v>403</v>
      </c>
      <c r="F1402" s="2" t="e">
        <f>VLOOKUP(B1402,MSCI中国成分股!A:B,1,)</f>
        <v>#N/A</v>
      </c>
    </row>
    <row r="1403" spans="1:6" ht="20.25" hidden="1" customHeight="1" x14ac:dyDescent="0.15">
      <c r="A1403" s="2" t="s">
        <v>3036</v>
      </c>
      <c r="B1403" s="2" t="s">
        <v>3037</v>
      </c>
      <c r="C1403" s="2">
        <v>0.48</v>
      </c>
      <c r="D1403" s="2">
        <v>3.4405999999999999</v>
      </c>
      <c r="E1403" s="2" t="s">
        <v>268</v>
      </c>
      <c r="F1403" s="2" t="e">
        <f>VLOOKUP(B1403,MSCI中国成分股!A:B,1,)</f>
        <v>#N/A</v>
      </c>
    </row>
    <row r="1404" spans="1:6" ht="20.25" hidden="1" customHeight="1" x14ac:dyDescent="0.15">
      <c r="A1404" s="2" t="s">
        <v>3038</v>
      </c>
      <c r="B1404" s="2" t="s">
        <v>3039</v>
      </c>
      <c r="C1404" s="2">
        <v>0.23</v>
      </c>
      <c r="D1404" s="2">
        <v>3.7174</v>
      </c>
      <c r="E1404" s="2" t="s">
        <v>1381</v>
      </c>
      <c r="F1404" s="2" t="e">
        <f>VLOOKUP(B1404,MSCI中国成分股!A:B,1,)</f>
        <v>#N/A</v>
      </c>
    </row>
    <row r="1405" spans="1:6" ht="20.25" hidden="1" customHeight="1" x14ac:dyDescent="0.15">
      <c r="A1405" s="2" t="s">
        <v>3040</v>
      </c>
      <c r="B1405" s="2" t="s">
        <v>3041</v>
      </c>
      <c r="C1405" s="2">
        <v>1.66</v>
      </c>
      <c r="D1405" s="2">
        <v>0.2384</v>
      </c>
      <c r="E1405" s="2" t="s">
        <v>126</v>
      </c>
      <c r="F1405" s="2" t="e">
        <f>VLOOKUP(B1405,MSCI中国成分股!A:B,1,)</f>
        <v>#N/A</v>
      </c>
    </row>
    <row r="1406" spans="1:6" ht="20.25" hidden="1" customHeight="1" x14ac:dyDescent="0.15">
      <c r="A1406" s="2" t="s">
        <v>3042</v>
      </c>
      <c r="B1406" s="2" t="s">
        <v>3043</v>
      </c>
      <c r="C1406" s="2">
        <v>0.7</v>
      </c>
      <c r="D1406" s="2">
        <v>2.2951000000000001</v>
      </c>
      <c r="E1406" s="2" t="s">
        <v>630</v>
      </c>
      <c r="F1406" s="2" t="e">
        <f>VLOOKUP(B1406,MSCI中国成分股!A:B,1,)</f>
        <v>#N/A</v>
      </c>
    </row>
    <row r="1407" spans="1:6" ht="20.25" hidden="1" customHeight="1" x14ac:dyDescent="0.15">
      <c r="A1407" s="2" t="s">
        <v>3044</v>
      </c>
      <c r="B1407" s="2" t="s">
        <v>3045</v>
      </c>
      <c r="C1407" s="2">
        <v>0.32</v>
      </c>
      <c r="D1407" s="2">
        <v>30.405100000000001</v>
      </c>
      <c r="E1407" s="2" t="s">
        <v>185</v>
      </c>
      <c r="F1407" s="2" t="e">
        <f>VLOOKUP(B1407,MSCI中国成分股!A:B,1,)</f>
        <v>#N/A</v>
      </c>
    </row>
    <row r="1408" spans="1:6" ht="20.25" hidden="1" customHeight="1" x14ac:dyDescent="0.15">
      <c r="A1408" s="2" t="s">
        <v>3046</v>
      </c>
      <c r="B1408" s="2" t="s">
        <v>3047</v>
      </c>
      <c r="C1408" s="2">
        <v>1.52</v>
      </c>
      <c r="D1408" s="2">
        <v>1.8223</v>
      </c>
      <c r="E1408" s="2" t="s">
        <v>3048</v>
      </c>
      <c r="F1408" s="2" t="e">
        <f>VLOOKUP(B1408,MSCI中国成分股!A:B,1,)</f>
        <v>#N/A</v>
      </c>
    </row>
    <row r="1409" spans="1:6" ht="20.25" hidden="1" customHeight="1" x14ac:dyDescent="0.15">
      <c r="A1409" s="2" t="s">
        <v>3049</v>
      </c>
      <c r="B1409" s="2" t="s">
        <v>3050</v>
      </c>
      <c r="C1409" s="2">
        <v>-0.1</v>
      </c>
      <c r="D1409" s="2">
        <v>2.6936</v>
      </c>
      <c r="E1409" s="2" t="s">
        <v>1381</v>
      </c>
      <c r="F1409" s="2" t="e">
        <f>VLOOKUP(B1409,MSCI中国成分股!A:B,1,)</f>
        <v>#N/A</v>
      </c>
    </row>
    <row r="1410" spans="1:6" ht="20.25" hidden="1" customHeight="1" x14ac:dyDescent="0.15">
      <c r="A1410" s="2" t="s">
        <v>3051</v>
      </c>
      <c r="B1410" s="2" t="s">
        <v>3052</v>
      </c>
      <c r="C1410" s="2">
        <v>0.31</v>
      </c>
      <c r="D1410" s="2">
        <v>2.8231999999999999</v>
      </c>
      <c r="E1410" s="2" t="s">
        <v>3053</v>
      </c>
      <c r="F1410" s="2" t="e">
        <f>VLOOKUP(B1410,MSCI中国成分股!A:B,1,)</f>
        <v>#N/A</v>
      </c>
    </row>
    <row r="1411" spans="1:6" ht="20.25" hidden="1" customHeight="1" x14ac:dyDescent="0.15">
      <c r="A1411" s="2" t="s">
        <v>3054</v>
      </c>
      <c r="B1411" s="2" t="s">
        <v>3055</v>
      </c>
      <c r="C1411" s="2">
        <v>0.51</v>
      </c>
      <c r="D1411" s="2">
        <v>0.5857</v>
      </c>
      <c r="E1411" s="2" t="s">
        <v>2038</v>
      </c>
      <c r="F1411" s="2" t="e">
        <f>VLOOKUP(B1411,MSCI中国成分股!A:B,1,)</f>
        <v>#N/A</v>
      </c>
    </row>
    <row r="1412" spans="1:6" ht="20.25" hidden="1" customHeight="1" x14ac:dyDescent="0.15">
      <c r="A1412" s="2" t="s">
        <v>3056</v>
      </c>
      <c r="B1412" s="2" t="s">
        <v>3057</v>
      </c>
      <c r="C1412" s="2">
        <v>1.39</v>
      </c>
      <c r="D1412" s="2">
        <v>14.7737</v>
      </c>
      <c r="E1412" s="2" t="s">
        <v>245</v>
      </c>
      <c r="F1412" s="2" t="e">
        <f>VLOOKUP(B1412,MSCI中国成分股!A:B,1,)</f>
        <v>#N/A</v>
      </c>
    </row>
    <row r="1413" spans="1:6" ht="20.25" hidden="1" customHeight="1" x14ac:dyDescent="0.15">
      <c r="A1413" s="2" t="s">
        <v>3058</v>
      </c>
      <c r="B1413" s="2" t="s">
        <v>3059</v>
      </c>
      <c r="C1413" s="2">
        <v>1.51</v>
      </c>
      <c r="D1413" s="2">
        <v>20.355799999999999</v>
      </c>
      <c r="E1413" s="2" t="s">
        <v>1593</v>
      </c>
      <c r="F1413" s="2" t="e">
        <f>VLOOKUP(B1413,MSCI中国成分股!A:B,1,)</f>
        <v>#N/A</v>
      </c>
    </row>
    <row r="1414" spans="1:6" ht="20.25" hidden="1" customHeight="1" x14ac:dyDescent="0.15">
      <c r="A1414" s="2" t="s">
        <v>3060</v>
      </c>
      <c r="B1414" s="2" t="s">
        <v>3061</v>
      </c>
      <c r="C1414" s="2">
        <v>-1.0900000000000001</v>
      </c>
      <c r="D1414" s="2">
        <v>87.936599999999999</v>
      </c>
      <c r="E1414" s="2" t="s">
        <v>365</v>
      </c>
      <c r="F1414" s="2" t="e">
        <f>VLOOKUP(B1414,MSCI中国成分股!A:B,1,)</f>
        <v>#N/A</v>
      </c>
    </row>
    <row r="1415" spans="1:6" ht="20.25" hidden="1" customHeight="1" x14ac:dyDescent="0.15">
      <c r="A1415" s="2" t="s">
        <v>3062</v>
      </c>
      <c r="B1415" s="2" t="s">
        <v>3063</v>
      </c>
      <c r="C1415" s="2">
        <v>0.49</v>
      </c>
      <c r="D1415" s="2">
        <v>0.75839999999999996</v>
      </c>
      <c r="E1415" s="2" t="s">
        <v>207</v>
      </c>
      <c r="F1415" s="2" t="e">
        <f>VLOOKUP(B1415,MSCI中国成分股!A:B,1,)</f>
        <v>#N/A</v>
      </c>
    </row>
    <row r="1416" spans="1:6" ht="20.25" hidden="1" customHeight="1" x14ac:dyDescent="0.15">
      <c r="A1416" s="2" t="s">
        <v>3064</v>
      </c>
      <c r="B1416" s="2" t="s">
        <v>3065</v>
      </c>
      <c r="C1416" s="2">
        <v>0.66</v>
      </c>
      <c r="D1416" s="2">
        <v>0.88070000000000004</v>
      </c>
      <c r="E1416" s="2" t="s">
        <v>664</v>
      </c>
      <c r="F1416" s="2" t="e">
        <f>VLOOKUP(B1416,MSCI中国成分股!A:B,1,)</f>
        <v>#N/A</v>
      </c>
    </row>
    <row r="1417" spans="1:6" ht="20.25" hidden="1" customHeight="1" x14ac:dyDescent="0.15">
      <c r="A1417" s="2" t="s">
        <v>3066</v>
      </c>
      <c r="B1417" s="2" t="s">
        <v>3067</v>
      </c>
      <c r="C1417" s="2">
        <v>0.41</v>
      </c>
      <c r="D1417" s="2">
        <v>0.72570000000000001</v>
      </c>
      <c r="E1417" s="2" t="s">
        <v>24</v>
      </c>
      <c r="F1417" s="2" t="e">
        <f>VLOOKUP(B1417,MSCI中国成分股!A:B,1,)</f>
        <v>#N/A</v>
      </c>
    </row>
    <row r="1418" spans="1:6" ht="20.25" hidden="1" customHeight="1" x14ac:dyDescent="0.15">
      <c r="A1418" s="2" t="s">
        <v>3068</v>
      </c>
      <c r="B1418" s="2" t="s">
        <v>3069</v>
      </c>
      <c r="C1418" s="2">
        <v>-1.18</v>
      </c>
      <c r="D1418" s="2">
        <v>20.189299999999999</v>
      </c>
      <c r="E1418" s="2" t="s">
        <v>1094</v>
      </c>
      <c r="F1418" s="2" t="e">
        <f>VLOOKUP(B1418,MSCI中国成分股!A:B,1,)</f>
        <v>#N/A</v>
      </c>
    </row>
    <row r="1419" spans="1:6" ht="20.25" hidden="1" customHeight="1" x14ac:dyDescent="0.15">
      <c r="A1419" s="2" t="s">
        <v>3070</v>
      </c>
      <c r="B1419" s="2" t="s">
        <v>3071</v>
      </c>
      <c r="C1419" s="2">
        <v>-0.65</v>
      </c>
      <c r="D1419" s="2">
        <v>43.721499999999999</v>
      </c>
      <c r="E1419" s="2" t="s">
        <v>149</v>
      </c>
      <c r="F1419" s="2" t="e">
        <f>VLOOKUP(B1419,MSCI中国成分股!A:B,1,)</f>
        <v>#N/A</v>
      </c>
    </row>
    <row r="1420" spans="1:6" ht="20.25" hidden="1" customHeight="1" x14ac:dyDescent="0.15">
      <c r="A1420" s="2" t="s">
        <v>3072</v>
      </c>
      <c r="B1420" s="2" t="s">
        <v>3073</v>
      </c>
      <c r="C1420" s="2">
        <v>0.86</v>
      </c>
      <c r="D1420" s="2">
        <v>0.1414</v>
      </c>
      <c r="E1420" s="2" t="s">
        <v>699</v>
      </c>
      <c r="F1420" s="2" t="e">
        <f>VLOOKUP(B1420,MSCI中国成分股!A:B,1,)</f>
        <v>#N/A</v>
      </c>
    </row>
    <row r="1421" spans="1:6" ht="20.25" hidden="1" customHeight="1" x14ac:dyDescent="0.15">
      <c r="A1421" s="2" t="s">
        <v>3074</v>
      </c>
      <c r="B1421" s="2" t="s">
        <v>3075</v>
      </c>
      <c r="C1421" s="2">
        <v>1.65</v>
      </c>
      <c r="D1421" s="2">
        <v>3.1890999999999998</v>
      </c>
      <c r="E1421" s="2" t="s">
        <v>385</v>
      </c>
      <c r="F1421" s="2" t="e">
        <f>VLOOKUP(B1421,MSCI中国成分股!A:B,1,)</f>
        <v>#N/A</v>
      </c>
    </row>
    <row r="1422" spans="1:6" ht="20.25" hidden="1" customHeight="1" x14ac:dyDescent="0.15">
      <c r="A1422" s="2" t="s">
        <v>3076</v>
      </c>
      <c r="B1422" s="2" t="s">
        <v>3077</v>
      </c>
      <c r="C1422" s="2">
        <v>1.69</v>
      </c>
      <c r="D1422" s="2">
        <v>1.2704</v>
      </c>
      <c r="E1422" s="2" t="s">
        <v>736</v>
      </c>
      <c r="F1422" s="2" t="e">
        <f>VLOOKUP(B1422,MSCI中国成分股!A:B,1,)</f>
        <v>#N/A</v>
      </c>
    </row>
    <row r="1423" spans="1:6" ht="20.25" hidden="1" customHeight="1" x14ac:dyDescent="0.15">
      <c r="A1423" s="2" t="s">
        <v>3078</v>
      </c>
      <c r="B1423" s="2" t="s">
        <v>3079</v>
      </c>
      <c r="C1423" s="2">
        <v>3.48</v>
      </c>
      <c r="D1423" s="2">
        <v>9.2666000000000004</v>
      </c>
      <c r="E1423" s="2" t="s">
        <v>188</v>
      </c>
      <c r="F1423" s="2" t="e">
        <f>VLOOKUP(B1423,MSCI中国成分股!A:B,1,)</f>
        <v>#N/A</v>
      </c>
    </row>
    <row r="1424" spans="1:6" ht="20.25" hidden="1" customHeight="1" x14ac:dyDescent="0.15">
      <c r="A1424" s="2" t="s">
        <v>3080</v>
      </c>
      <c r="B1424" s="2" t="s">
        <v>3081</v>
      </c>
      <c r="C1424" s="2">
        <v>5.28</v>
      </c>
      <c r="D1424" s="2">
        <v>3.8304</v>
      </c>
      <c r="E1424" s="2" t="s">
        <v>1139</v>
      </c>
      <c r="F1424" s="2" t="e">
        <f>VLOOKUP(B1424,MSCI中国成分股!A:B,1,)</f>
        <v>#N/A</v>
      </c>
    </row>
    <row r="1425" spans="1:6" ht="20.25" hidden="1" customHeight="1" x14ac:dyDescent="0.15">
      <c r="A1425" s="2" t="s">
        <v>3082</v>
      </c>
      <c r="B1425" s="2" t="s">
        <v>3083</v>
      </c>
      <c r="C1425" s="2">
        <v>5.21</v>
      </c>
      <c r="D1425" s="2">
        <v>3.4885000000000002</v>
      </c>
      <c r="E1425" s="2" t="s">
        <v>140</v>
      </c>
      <c r="F1425" s="2" t="e">
        <f>VLOOKUP(B1425,MSCI中国成分股!A:B,1,)</f>
        <v>#N/A</v>
      </c>
    </row>
    <row r="1426" spans="1:6" ht="20.25" hidden="1" customHeight="1" x14ac:dyDescent="0.15">
      <c r="A1426" s="2" t="s">
        <v>3084</v>
      </c>
      <c r="B1426" s="2" t="s">
        <v>3085</v>
      </c>
      <c r="C1426" s="2">
        <v>0.38</v>
      </c>
      <c r="D1426" s="2">
        <v>3.5129999999999999</v>
      </c>
      <c r="E1426" s="2" t="s">
        <v>299</v>
      </c>
      <c r="F1426" s="2" t="e">
        <f>VLOOKUP(B1426,MSCI中国成分股!A:B,1,)</f>
        <v>#N/A</v>
      </c>
    </row>
    <row r="1427" spans="1:6" ht="20.25" hidden="1" customHeight="1" x14ac:dyDescent="0.15">
      <c r="A1427" s="2" t="s">
        <v>3086</v>
      </c>
      <c r="B1427" s="2" t="s">
        <v>3087</v>
      </c>
      <c r="C1427" s="2">
        <v>0.53</v>
      </c>
      <c r="D1427" s="2">
        <v>2.5853999999999999</v>
      </c>
      <c r="E1427" s="2" t="s">
        <v>201</v>
      </c>
      <c r="F1427" s="2" t="e">
        <f>VLOOKUP(B1427,MSCI中国成分股!A:B,1,)</f>
        <v>#N/A</v>
      </c>
    </row>
    <row r="1428" spans="1:6" ht="20.25" hidden="1" customHeight="1" x14ac:dyDescent="0.15">
      <c r="A1428" s="2" t="s">
        <v>3088</v>
      </c>
      <c r="B1428" s="2" t="s">
        <v>3089</v>
      </c>
      <c r="C1428" s="2">
        <v>3.2</v>
      </c>
      <c r="D1428" s="2">
        <v>4.4745999999999997</v>
      </c>
      <c r="E1428" s="2" t="s">
        <v>1275</v>
      </c>
      <c r="F1428" s="2" t="e">
        <f>VLOOKUP(B1428,MSCI中国成分股!A:B,1,)</f>
        <v>#N/A</v>
      </c>
    </row>
    <row r="1429" spans="1:6" ht="20.25" hidden="1" customHeight="1" x14ac:dyDescent="0.15">
      <c r="A1429" s="2" t="s">
        <v>3090</v>
      </c>
      <c r="B1429" s="2" t="s">
        <v>3091</v>
      </c>
      <c r="C1429" s="2">
        <v>2.33</v>
      </c>
      <c r="D1429" s="2">
        <v>1.7126999999999999</v>
      </c>
      <c r="E1429" s="2" t="s">
        <v>68</v>
      </c>
      <c r="F1429" s="2" t="e">
        <f>VLOOKUP(B1429,MSCI中国成分股!A:B,1,)</f>
        <v>#N/A</v>
      </c>
    </row>
    <row r="1430" spans="1:6" ht="20.25" hidden="1" customHeight="1" x14ac:dyDescent="0.15">
      <c r="A1430" s="2" t="s">
        <v>3092</v>
      </c>
      <c r="B1430" s="2" t="s">
        <v>3093</v>
      </c>
      <c r="C1430" s="2">
        <v>0.62</v>
      </c>
      <c r="D1430" s="2">
        <v>4.8963999999999999</v>
      </c>
      <c r="E1430" s="2" t="s">
        <v>146</v>
      </c>
      <c r="F1430" s="2" t="e">
        <f>VLOOKUP(B1430,MSCI中国成分股!A:B,1,)</f>
        <v>#N/A</v>
      </c>
    </row>
    <row r="1431" spans="1:6" ht="20.25" hidden="1" customHeight="1" x14ac:dyDescent="0.15">
      <c r="A1431" s="2" t="s">
        <v>3094</v>
      </c>
      <c r="B1431" s="2" t="s">
        <v>3095</v>
      </c>
      <c r="C1431" s="2">
        <v>1.0900000000000001</v>
      </c>
      <c r="D1431" s="2">
        <v>2.1473</v>
      </c>
      <c r="E1431" s="2" t="s">
        <v>299</v>
      </c>
      <c r="F1431" s="2" t="e">
        <f>VLOOKUP(B1431,MSCI中国成分股!A:B,1,)</f>
        <v>#N/A</v>
      </c>
    </row>
    <row r="1432" spans="1:6" ht="20.25" hidden="1" customHeight="1" x14ac:dyDescent="0.15">
      <c r="A1432" s="2" t="s">
        <v>3096</v>
      </c>
      <c r="B1432" s="2" t="s">
        <v>3097</v>
      </c>
      <c r="C1432" s="2">
        <v>2.0699999999999998</v>
      </c>
      <c r="D1432" s="2">
        <v>1.5313000000000001</v>
      </c>
      <c r="E1432" s="2" t="s">
        <v>149</v>
      </c>
      <c r="F1432" s="2" t="e">
        <f>VLOOKUP(B1432,MSCI中国成分股!A:B,1,)</f>
        <v>#N/A</v>
      </c>
    </row>
    <row r="1433" spans="1:6" ht="20.25" hidden="1" customHeight="1" x14ac:dyDescent="0.15">
      <c r="A1433" s="2" t="s">
        <v>3098</v>
      </c>
      <c r="B1433" s="2" t="s">
        <v>3099</v>
      </c>
      <c r="C1433" s="2">
        <v>0.39</v>
      </c>
      <c r="D1433" s="2">
        <v>1.4907999999999999</v>
      </c>
      <c r="E1433" s="2" t="s">
        <v>388</v>
      </c>
      <c r="F1433" s="2" t="e">
        <f>VLOOKUP(B1433,MSCI中国成分股!A:B,1,)</f>
        <v>#N/A</v>
      </c>
    </row>
    <row r="1434" spans="1:6" ht="20.25" hidden="1" customHeight="1" x14ac:dyDescent="0.15">
      <c r="A1434" s="2" t="s">
        <v>3100</v>
      </c>
      <c r="B1434" s="2" t="s">
        <v>3101</v>
      </c>
      <c r="C1434" s="2">
        <v>2.2400000000000002</v>
      </c>
      <c r="D1434" s="2">
        <v>36.105800000000002</v>
      </c>
      <c r="E1434" s="2" t="s">
        <v>3102</v>
      </c>
      <c r="F1434" s="2" t="e">
        <f>VLOOKUP(B1434,MSCI中国成分股!A:B,1,)</f>
        <v>#N/A</v>
      </c>
    </row>
    <row r="1435" spans="1:6" ht="20.25" hidden="1" customHeight="1" x14ac:dyDescent="0.15">
      <c r="A1435" s="2" t="s">
        <v>3103</v>
      </c>
      <c r="B1435" s="2" t="s">
        <v>3104</v>
      </c>
      <c r="C1435" s="2">
        <v>0.52</v>
      </c>
      <c r="D1435" s="2">
        <v>1.3471</v>
      </c>
      <c r="E1435" s="2" t="s">
        <v>2930</v>
      </c>
      <c r="F1435" s="2" t="e">
        <f>VLOOKUP(B1435,MSCI中国成分股!A:B,1,)</f>
        <v>#N/A</v>
      </c>
    </row>
    <row r="1436" spans="1:6" ht="20.25" hidden="1" customHeight="1" x14ac:dyDescent="0.15">
      <c r="A1436" s="2" t="s">
        <v>3105</v>
      </c>
      <c r="B1436" s="2" t="s">
        <v>3106</v>
      </c>
      <c r="C1436" s="2">
        <v>1.47</v>
      </c>
      <c r="D1436" s="2">
        <v>15.788399999999999</v>
      </c>
      <c r="E1436" s="2" t="s">
        <v>260</v>
      </c>
      <c r="F1436" s="2" t="e">
        <f>VLOOKUP(B1436,MSCI中国成分股!A:B,1,)</f>
        <v>#N/A</v>
      </c>
    </row>
    <row r="1437" spans="1:6" ht="20.25" hidden="1" customHeight="1" x14ac:dyDescent="0.15">
      <c r="A1437" s="2" t="s">
        <v>3107</v>
      </c>
      <c r="B1437" s="2" t="s">
        <v>3108</v>
      </c>
      <c r="C1437" s="2">
        <v>1.0900000000000001</v>
      </c>
      <c r="D1437" s="2">
        <v>5.0903</v>
      </c>
      <c r="E1437" s="2" t="s">
        <v>724</v>
      </c>
      <c r="F1437" s="2" t="e">
        <f>VLOOKUP(B1437,MSCI中国成分股!A:B,1,)</f>
        <v>#N/A</v>
      </c>
    </row>
    <row r="1438" spans="1:6" ht="20.25" hidden="1" customHeight="1" x14ac:dyDescent="0.15">
      <c r="A1438" s="2" t="s">
        <v>3109</v>
      </c>
      <c r="B1438" s="2" t="s">
        <v>3110</v>
      </c>
      <c r="C1438" s="2">
        <v>0.34</v>
      </c>
      <c r="D1438" s="2">
        <v>5.6676000000000002</v>
      </c>
      <c r="E1438" s="2" t="s">
        <v>3111</v>
      </c>
      <c r="F1438" s="2" t="e">
        <f>VLOOKUP(B1438,MSCI中国成分股!A:B,1,)</f>
        <v>#N/A</v>
      </c>
    </row>
    <row r="1439" spans="1:6" ht="20.25" hidden="1" customHeight="1" x14ac:dyDescent="0.15">
      <c r="A1439" s="2" t="s">
        <v>3112</v>
      </c>
      <c r="B1439" s="2" t="s">
        <v>3113</v>
      </c>
      <c r="C1439" s="2">
        <v>1.32</v>
      </c>
      <c r="D1439" s="2">
        <v>17.011500000000002</v>
      </c>
      <c r="E1439" s="2" t="s">
        <v>201</v>
      </c>
      <c r="F1439" s="2" t="e">
        <f>VLOOKUP(B1439,MSCI中国成分股!A:B,1,)</f>
        <v>#N/A</v>
      </c>
    </row>
    <row r="1440" spans="1:6" ht="20.25" hidden="1" customHeight="1" x14ac:dyDescent="0.15">
      <c r="A1440" s="2" t="s">
        <v>3114</v>
      </c>
      <c r="B1440" s="2" t="s">
        <v>3115</v>
      </c>
      <c r="C1440" s="2">
        <v>3.59</v>
      </c>
      <c r="D1440" s="2">
        <v>0.86599999999999999</v>
      </c>
      <c r="E1440" s="2" t="s">
        <v>630</v>
      </c>
      <c r="F1440" s="2" t="e">
        <f>VLOOKUP(B1440,MSCI中国成分股!A:B,1,)</f>
        <v>#N/A</v>
      </c>
    </row>
    <row r="1441" spans="1:6" ht="20.25" hidden="1" customHeight="1" x14ac:dyDescent="0.15">
      <c r="A1441" s="2" t="s">
        <v>3116</v>
      </c>
      <c r="B1441" s="2" t="s">
        <v>3117</v>
      </c>
      <c r="C1441" s="2">
        <v>4.93</v>
      </c>
      <c r="D1441" s="2">
        <v>9.4054000000000002</v>
      </c>
      <c r="E1441" s="2" t="s">
        <v>231</v>
      </c>
      <c r="F1441" s="2" t="e">
        <f>VLOOKUP(B1441,MSCI中国成分股!A:B,1,)</f>
        <v>#N/A</v>
      </c>
    </row>
    <row r="1442" spans="1:6" ht="20.25" hidden="1" customHeight="1" x14ac:dyDescent="0.15">
      <c r="A1442" s="2" t="s">
        <v>3118</v>
      </c>
      <c r="B1442" s="2" t="s">
        <v>3119</v>
      </c>
      <c r="C1442" s="2">
        <v>2.14</v>
      </c>
      <c r="D1442" s="2">
        <v>5.149</v>
      </c>
      <c r="E1442" s="2" t="s">
        <v>44</v>
      </c>
      <c r="F1442" s="2" t="e">
        <f>VLOOKUP(B1442,MSCI中国成分股!A:B,1,)</f>
        <v>#N/A</v>
      </c>
    </row>
    <row r="1443" spans="1:6" ht="20.25" hidden="1" customHeight="1" x14ac:dyDescent="0.15">
      <c r="A1443" s="2" t="s">
        <v>3120</v>
      </c>
      <c r="B1443" s="2" t="s">
        <v>3121</v>
      </c>
      <c r="C1443" s="2">
        <v>-2.64</v>
      </c>
      <c r="D1443" s="2">
        <v>2977.0506</v>
      </c>
      <c r="E1443" s="2" t="s">
        <v>299</v>
      </c>
      <c r="F1443" s="2" t="e">
        <f>VLOOKUP(B1443,MSCI中国成分股!A:B,1,)</f>
        <v>#N/A</v>
      </c>
    </row>
    <row r="1444" spans="1:6" ht="20.25" hidden="1" customHeight="1" x14ac:dyDescent="0.15">
      <c r="A1444" s="2" t="s">
        <v>3122</v>
      </c>
      <c r="B1444" s="2" t="s">
        <v>3123</v>
      </c>
      <c r="C1444" s="2">
        <v>0.5</v>
      </c>
      <c r="D1444" s="2">
        <v>0.28970000000000001</v>
      </c>
      <c r="E1444" s="2" t="s">
        <v>120</v>
      </c>
      <c r="F1444" s="2" t="e">
        <f>VLOOKUP(B1444,MSCI中国成分股!A:B,1,)</f>
        <v>#N/A</v>
      </c>
    </row>
    <row r="1445" spans="1:6" ht="20.25" hidden="1" customHeight="1" x14ac:dyDescent="0.15">
      <c r="A1445" s="2" t="s">
        <v>3124</v>
      </c>
      <c r="B1445" s="2" t="s">
        <v>3125</v>
      </c>
      <c r="C1445" s="2">
        <v>1.04</v>
      </c>
      <c r="D1445" s="2">
        <v>3.1198999999999999</v>
      </c>
      <c r="E1445" s="2" t="s">
        <v>299</v>
      </c>
      <c r="F1445" s="2" t="e">
        <f>VLOOKUP(B1445,MSCI中国成分股!A:B,1,)</f>
        <v>#N/A</v>
      </c>
    </row>
    <row r="1446" spans="1:6" ht="20.25" hidden="1" customHeight="1" x14ac:dyDescent="0.15">
      <c r="A1446" s="2" t="s">
        <v>3126</v>
      </c>
      <c r="B1446" s="2" t="s">
        <v>3127</v>
      </c>
      <c r="C1446" s="2">
        <v>4.6500000000000004</v>
      </c>
      <c r="D1446" s="2">
        <v>2.1861999999999999</v>
      </c>
      <c r="E1446" s="2" t="s">
        <v>630</v>
      </c>
      <c r="F1446" s="2" t="e">
        <f>VLOOKUP(B1446,MSCI中国成分股!A:B,1,)</f>
        <v>#N/A</v>
      </c>
    </row>
    <row r="1447" spans="1:6" ht="20.25" hidden="1" customHeight="1" x14ac:dyDescent="0.15">
      <c r="A1447" s="2" t="s">
        <v>3128</v>
      </c>
      <c r="B1447" s="2" t="s">
        <v>3129</v>
      </c>
      <c r="C1447" s="2">
        <v>1.44</v>
      </c>
      <c r="D1447" s="2">
        <v>0.41339999999999999</v>
      </c>
      <c r="E1447" s="2" t="s">
        <v>3130</v>
      </c>
      <c r="F1447" s="2" t="e">
        <f>VLOOKUP(B1447,MSCI中国成分股!A:B,1,)</f>
        <v>#N/A</v>
      </c>
    </row>
    <row r="1448" spans="1:6" ht="20.25" hidden="1" customHeight="1" x14ac:dyDescent="0.15">
      <c r="A1448" s="2" t="s">
        <v>3131</v>
      </c>
      <c r="B1448" s="2" t="s">
        <v>3132</v>
      </c>
      <c r="C1448" s="2">
        <v>1.25</v>
      </c>
      <c r="D1448" s="2">
        <v>3.2159</v>
      </c>
      <c r="E1448" s="2" t="s">
        <v>214</v>
      </c>
      <c r="F1448" s="2" t="e">
        <f>VLOOKUP(B1448,MSCI中国成分股!A:B,1,)</f>
        <v>#N/A</v>
      </c>
    </row>
    <row r="1449" spans="1:6" ht="20.25" hidden="1" customHeight="1" x14ac:dyDescent="0.15">
      <c r="A1449" s="2" t="s">
        <v>3133</v>
      </c>
      <c r="B1449" s="2" t="s">
        <v>3134</v>
      </c>
      <c r="C1449" s="2">
        <v>0.73</v>
      </c>
      <c r="D1449" s="2">
        <v>1.0759000000000001</v>
      </c>
      <c r="E1449" s="2" t="s">
        <v>44</v>
      </c>
      <c r="F1449" s="2" t="e">
        <f>VLOOKUP(B1449,MSCI中国成分股!A:B,1,)</f>
        <v>#N/A</v>
      </c>
    </row>
    <row r="1450" spans="1:6" ht="20.25" hidden="1" customHeight="1" x14ac:dyDescent="0.15">
      <c r="A1450" s="2" t="s">
        <v>3135</v>
      </c>
      <c r="B1450" s="2" t="s">
        <v>3136</v>
      </c>
      <c r="C1450" s="2">
        <v>0.85</v>
      </c>
      <c r="D1450" s="2">
        <v>1.7891999999999999</v>
      </c>
      <c r="E1450" s="2" t="s">
        <v>1680</v>
      </c>
      <c r="F1450" s="2" t="e">
        <f>VLOOKUP(B1450,MSCI中国成分股!A:B,1,)</f>
        <v>#N/A</v>
      </c>
    </row>
    <row r="1451" spans="1:6" ht="20.25" hidden="1" customHeight="1" x14ac:dyDescent="0.15">
      <c r="A1451" s="2" t="s">
        <v>3137</v>
      </c>
      <c r="B1451" s="2" t="s">
        <v>3138</v>
      </c>
      <c r="C1451" s="2">
        <v>0.44</v>
      </c>
      <c r="D1451" s="2">
        <v>1.7242</v>
      </c>
      <c r="E1451" s="2" t="s">
        <v>664</v>
      </c>
      <c r="F1451" s="2" t="e">
        <f>VLOOKUP(B1451,MSCI中国成分股!A:B,1,)</f>
        <v>#N/A</v>
      </c>
    </row>
    <row r="1452" spans="1:6" ht="20.25" hidden="1" customHeight="1" x14ac:dyDescent="0.15">
      <c r="A1452" s="2" t="s">
        <v>3139</v>
      </c>
      <c r="B1452" s="2" t="s">
        <v>3140</v>
      </c>
      <c r="C1452" s="2">
        <v>0.97</v>
      </c>
      <c r="D1452" s="2">
        <v>1.5592999999999999</v>
      </c>
      <c r="E1452" s="2" t="s">
        <v>3141</v>
      </c>
      <c r="F1452" s="2" t="e">
        <f>VLOOKUP(B1452,MSCI中国成分股!A:B,1,)</f>
        <v>#N/A</v>
      </c>
    </row>
    <row r="1453" spans="1:6" ht="20.25" hidden="1" customHeight="1" x14ac:dyDescent="0.15">
      <c r="A1453" s="2" t="s">
        <v>3142</v>
      </c>
      <c r="B1453" s="2" t="s">
        <v>3143</v>
      </c>
      <c r="C1453" s="2">
        <v>2.0299999999999998</v>
      </c>
      <c r="D1453" s="2">
        <v>0.98170000000000002</v>
      </c>
      <c r="E1453" s="2" t="s">
        <v>931</v>
      </c>
      <c r="F1453" s="2" t="e">
        <f>VLOOKUP(B1453,MSCI中国成分股!A:B,1,)</f>
        <v>#N/A</v>
      </c>
    </row>
    <row r="1454" spans="1:6" ht="20.25" hidden="1" customHeight="1" x14ac:dyDescent="0.15">
      <c r="A1454" s="2" t="s">
        <v>3144</v>
      </c>
      <c r="B1454" s="2" t="s">
        <v>3145</v>
      </c>
      <c r="C1454" s="2">
        <v>1.32</v>
      </c>
      <c r="D1454" s="2">
        <v>24.367899999999999</v>
      </c>
      <c r="E1454" s="2" t="s">
        <v>727</v>
      </c>
      <c r="F1454" s="2" t="e">
        <f>VLOOKUP(B1454,MSCI中国成分股!A:B,1,)</f>
        <v>#N/A</v>
      </c>
    </row>
    <row r="1455" spans="1:6" ht="20.25" hidden="1" customHeight="1" x14ac:dyDescent="0.15">
      <c r="A1455" s="2" t="s">
        <v>3146</v>
      </c>
      <c r="B1455" s="2" t="s">
        <v>3147</v>
      </c>
      <c r="C1455" s="2">
        <v>-7.0000000000000007E-2</v>
      </c>
      <c r="D1455" s="2">
        <v>150.06370000000001</v>
      </c>
      <c r="E1455" s="2" t="s">
        <v>228</v>
      </c>
      <c r="F1455" s="2" t="e">
        <f>VLOOKUP(B1455,MSCI中国成分股!A:B,1,)</f>
        <v>#N/A</v>
      </c>
    </row>
    <row r="1456" spans="1:6" ht="20.25" hidden="1" customHeight="1" x14ac:dyDescent="0.15">
      <c r="A1456" s="2" t="s">
        <v>3148</v>
      </c>
      <c r="B1456" s="2" t="s">
        <v>3149</v>
      </c>
      <c r="C1456" s="2">
        <v>1.83</v>
      </c>
      <c r="D1456" s="2">
        <v>0.43919999999999998</v>
      </c>
      <c r="E1456" s="2" t="s">
        <v>143</v>
      </c>
      <c r="F1456" s="2" t="e">
        <f>VLOOKUP(B1456,MSCI中国成分股!A:B,1,)</f>
        <v>#N/A</v>
      </c>
    </row>
    <row r="1457" spans="1:6" ht="20.25" hidden="1" customHeight="1" x14ac:dyDescent="0.15">
      <c r="A1457" s="2" t="s">
        <v>3150</v>
      </c>
      <c r="B1457" s="2" t="s">
        <v>3151</v>
      </c>
      <c r="C1457" s="2">
        <v>1.1399999999999999</v>
      </c>
      <c r="D1457" s="2">
        <v>12.776400000000001</v>
      </c>
      <c r="E1457" s="2" t="s">
        <v>1528</v>
      </c>
      <c r="F1457" s="2" t="e">
        <f>VLOOKUP(B1457,MSCI中国成分股!A:B,1,)</f>
        <v>#N/A</v>
      </c>
    </row>
    <row r="1458" spans="1:6" ht="20.25" hidden="1" customHeight="1" x14ac:dyDescent="0.15">
      <c r="A1458" s="2" t="s">
        <v>3152</v>
      </c>
      <c r="B1458" s="2" t="s">
        <v>3153</v>
      </c>
      <c r="C1458" s="2">
        <v>2.21</v>
      </c>
      <c r="D1458" s="2">
        <v>2.3622000000000001</v>
      </c>
      <c r="E1458" s="2" t="s">
        <v>787</v>
      </c>
      <c r="F1458" s="2" t="e">
        <f>VLOOKUP(B1458,MSCI中国成分股!A:B,1,)</f>
        <v>#N/A</v>
      </c>
    </row>
    <row r="1459" spans="1:6" ht="20.25" hidden="1" customHeight="1" x14ac:dyDescent="0.15">
      <c r="A1459" s="2" t="s">
        <v>3154</v>
      </c>
      <c r="B1459" s="2" t="s">
        <v>3155</v>
      </c>
      <c r="C1459" s="2">
        <v>1.94</v>
      </c>
      <c r="D1459" s="2">
        <v>10.216900000000001</v>
      </c>
      <c r="E1459" s="2" t="s">
        <v>633</v>
      </c>
      <c r="F1459" s="2" t="e">
        <f>VLOOKUP(B1459,MSCI中国成分股!A:B,1,)</f>
        <v>#N/A</v>
      </c>
    </row>
    <row r="1460" spans="1:6" ht="20.25" hidden="1" customHeight="1" x14ac:dyDescent="0.15">
      <c r="A1460" s="2" t="s">
        <v>3156</v>
      </c>
      <c r="B1460" s="2" t="s">
        <v>3157</v>
      </c>
      <c r="C1460" s="2">
        <v>0.14000000000000001</v>
      </c>
      <c r="D1460" s="2">
        <v>0.50800000000000001</v>
      </c>
      <c r="E1460" s="2" t="s">
        <v>220</v>
      </c>
      <c r="F1460" s="2" t="e">
        <f>VLOOKUP(B1460,MSCI中国成分股!A:B,1,)</f>
        <v>#N/A</v>
      </c>
    </row>
    <row r="1461" spans="1:6" ht="20.25" hidden="1" customHeight="1" x14ac:dyDescent="0.15">
      <c r="A1461" s="2" t="s">
        <v>3158</v>
      </c>
      <c r="B1461" s="2" t="s">
        <v>3159</v>
      </c>
      <c r="C1461" s="2">
        <v>1.18</v>
      </c>
      <c r="D1461" s="2">
        <v>0.22070000000000001</v>
      </c>
      <c r="E1461" s="2" t="s">
        <v>421</v>
      </c>
      <c r="F1461" s="2" t="e">
        <f>VLOOKUP(B1461,MSCI中国成分股!A:B,1,)</f>
        <v>#N/A</v>
      </c>
    </row>
    <row r="1462" spans="1:6" ht="20.25" hidden="1" customHeight="1" x14ac:dyDescent="0.15">
      <c r="A1462" s="2" t="s">
        <v>3160</v>
      </c>
      <c r="B1462" s="2" t="s">
        <v>3161</v>
      </c>
      <c r="C1462" s="2">
        <v>3.48</v>
      </c>
      <c r="D1462" s="2">
        <v>2.8559000000000001</v>
      </c>
      <c r="E1462" s="2" t="s">
        <v>1515</v>
      </c>
      <c r="F1462" s="2" t="e">
        <f>VLOOKUP(B1462,MSCI中国成分股!A:B,1,)</f>
        <v>#N/A</v>
      </c>
    </row>
    <row r="1463" spans="1:6" ht="20.25" hidden="1" customHeight="1" x14ac:dyDescent="0.15">
      <c r="A1463" s="2" t="s">
        <v>3162</v>
      </c>
      <c r="B1463" s="2" t="s">
        <v>3163</v>
      </c>
      <c r="C1463" s="2">
        <v>3.4049999999999998</v>
      </c>
      <c r="D1463" s="2">
        <v>0.76980000000000004</v>
      </c>
      <c r="E1463" s="2" t="s">
        <v>143</v>
      </c>
      <c r="F1463" s="2" t="e">
        <f>VLOOKUP(B1463,MSCI中国成分股!A:B,1,)</f>
        <v>#N/A</v>
      </c>
    </row>
    <row r="1464" spans="1:6" ht="20.25" hidden="1" customHeight="1" x14ac:dyDescent="0.15">
      <c r="A1464" s="2" t="s">
        <v>3164</v>
      </c>
      <c r="B1464" s="2" t="s">
        <v>3165</v>
      </c>
      <c r="C1464" s="2">
        <v>1.63</v>
      </c>
      <c r="D1464" s="2">
        <v>4.2606000000000002</v>
      </c>
      <c r="E1464" s="2" t="s">
        <v>146</v>
      </c>
      <c r="F1464" s="2" t="e">
        <f>VLOOKUP(B1464,MSCI中国成分股!A:B,1,)</f>
        <v>#N/A</v>
      </c>
    </row>
    <row r="1465" spans="1:6" ht="20.25" hidden="1" customHeight="1" x14ac:dyDescent="0.15">
      <c r="A1465" s="2" t="s">
        <v>3166</v>
      </c>
      <c r="B1465" s="2" t="s">
        <v>3167</v>
      </c>
      <c r="C1465" s="2">
        <v>1.99</v>
      </c>
      <c r="D1465" s="2">
        <v>1.2704</v>
      </c>
      <c r="E1465" s="2" t="s">
        <v>667</v>
      </c>
      <c r="F1465" s="2" t="e">
        <f>VLOOKUP(B1465,MSCI中国成分股!A:B,1,)</f>
        <v>#N/A</v>
      </c>
    </row>
    <row r="1466" spans="1:6" ht="20.25" hidden="1" customHeight="1" x14ac:dyDescent="0.15">
      <c r="A1466" s="2" t="s">
        <v>3168</v>
      </c>
      <c r="B1466" s="2" t="s">
        <v>3169</v>
      </c>
      <c r="C1466" s="2">
        <v>1.02</v>
      </c>
      <c r="D1466" s="2">
        <v>0.71250000000000002</v>
      </c>
      <c r="E1466" s="2" t="s">
        <v>322</v>
      </c>
      <c r="F1466" s="2" t="e">
        <f>VLOOKUP(B1466,MSCI中国成分股!A:B,1,)</f>
        <v>#N/A</v>
      </c>
    </row>
    <row r="1467" spans="1:6" ht="20.25" hidden="1" customHeight="1" x14ac:dyDescent="0.15">
      <c r="A1467" s="2" t="s">
        <v>3170</v>
      </c>
      <c r="B1467" s="2" t="s">
        <v>3171</v>
      </c>
      <c r="C1467" s="2">
        <v>1.26</v>
      </c>
      <c r="D1467" s="2">
        <v>9.2129999999999992</v>
      </c>
      <c r="E1467" s="2" t="s">
        <v>359</v>
      </c>
      <c r="F1467" s="2" t="e">
        <f>VLOOKUP(B1467,MSCI中国成分股!A:B,1,)</f>
        <v>#N/A</v>
      </c>
    </row>
    <row r="1468" spans="1:6" ht="20.25" hidden="1" customHeight="1" x14ac:dyDescent="0.15">
      <c r="A1468" s="2" t="s">
        <v>3172</v>
      </c>
      <c r="B1468" s="2" t="s">
        <v>3173</v>
      </c>
      <c r="C1468" s="2">
        <v>2.5099999999999998</v>
      </c>
      <c r="D1468" s="2">
        <v>1.0257000000000001</v>
      </c>
      <c r="E1468" s="2" t="s">
        <v>44</v>
      </c>
      <c r="F1468" s="2" t="e">
        <f>VLOOKUP(B1468,MSCI中国成分股!A:B,1,)</f>
        <v>#N/A</v>
      </c>
    </row>
    <row r="1469" spans="1:6" ht="20.25" hidden="1" customHeight="1" x14ac:dyDescent="0.15">
      <c r="A1469" s="2" t="s">
        <v>3174</v>
      </c>
      <c r="B1469" s="2" t="s">
        <v>3175</v>
      </c>
      <c r="C1469" s="2">
        <v>2.2200000000000002</v>
      </c>
      <c r="D1469" s="2">
        <v>1.9060999999999999</v>
      </c>
      <c r="E1469" s="2" t="s">
        <v>299</v>
      </c>
      <c r="F1469" s="2" t="e">
        <f>VLOOKUP(B1469,MSCI中国成分股!A:B,1,)</f>
        <v>#N/A</v>
      </c>
    </row>
    <row r="1470" spans="1:6" ht="20.25" hidden="1" customHeight="1" x14ac:dyDescent="0.15">
      <c r="A1470" s="2" t="s">
        <v>3176</v>
      </c>
      <c r="B1470" s="2" t="s">
        <v>3177</v>
      </c>
      <c r="C1470" s="2">
        <v>-0.35</v>
      </c>
      <c r="D1470" s="2">
        <v>22.319299999999998</v>
      </c>
      <c r="E1470" s="2" t="s">
        <v>265</v>
      </c>
      <c r="F1470" s="2" t="e">
        <f>VLOOKUP(B1470,MSCI中国成分股!A:B,1,)</f>
        <v>#N/A</v>
      </c>
    </row>
    <row r="1471" spans="1:6" ht="20.25" hidden="1" customHeight="1" x14ac:dyDescent="0.15">
      <c r="A1471" s="2" t="s">
        <v>3178</v>
      </c>
      <c r="B1471" s="2" t="s">
        <v>3179</v>
      </c>
      <c r="C1471" s="2">
        <v>0.28999999999999998</v>
      </c>
      <c r="D1471" s="2">
        <v>35.215600000000002</v>
      </c>
      <c r="E1471" s="2" t="s">
        <v>1873</v>
      </c>
      <c r="F1471" s="2" t="e">
        <f>VLOOKUP(B1471,MSCI中国成分股!A:B,1,)</f>
        <v>#N/A</v>
      </c>
    </row>
    <row r="1472" spans="1:6" ht="20.25" hidden="1" customHeight="1" x14ac:dyDescent="0.15">
      <c r="A1472" s="2" t="s">
        <v>3180</v>
      </c>
      <c r="B1472" s="2" t="s">
        <v>3181</v>
      </c>
      <c r="C1472" s="2">
        <v>2.14</v>
      </c>
      <c r="D1472" s="2">
        <v>0.93940000000000001</v>
      </c>
      <c r="E1472" s="2" t="s">
        <v>1034</v>
      </c>
      <c r="F1472" s="2" t="e">
        <f>VLOOKUP(B1472,MSCI中国成分股!A:B,1,)</f>
        <v>#N/A</v>
      </c>
    </row>
    <row r="1473" spans="1:6" ht="20.25" hidden="1" customHeight="1" x14ac:dyDescent="0.15">
      <c r="A1473" s="2" t="s">
        <v>3182</v>
      </c>
      <c r="B1473" s="2" t="s">
        <v>3183</v>
      </c>
      <c r="C1473" s="2">
        <v>0.95</v>
      </c>
      <c r="D1473" s="2">
        <v>60.136600000000001</v>
      </c>
      <c r="E1473" s="2" t="s">
        <v>111</v>
      </c>
      <c r="F1473" s="2" t="e">
        <f>VLOOKUP(B1473,MSCI中国成分股!A:B,1,)</f>
        <v>#N/A</v>
      </c>
    </row>
    <row r="1474" spans="1:6" ht="20.25" hidden="1" customHeight="1" x14ac:dyDescent="0.15">
      <c r="A1474" s="2" t="s">
        <v>3184</v>
      </c>
      <c r="B1474" s="2" t="s">
        <v>3185</v>
      </c>
      <c r="C1474" s="2">
        <v>0.59</v>
      </c>
      <c r="D1474" s="2">
        <v>11.3027</v>
      </c>
      <c r="E1474" s="2" t="s">
        <v>371</v>
      </c>
      <c r="F1474" s="2" t="e">
        <f>VLOOKUP(B1474,MSCI中国成分股!A:B,1,)</f>
        <v>#N/A</v>
      </c>
    </row>
    <row r="1475" spans="1:6" ht="20.25" hidden="1" customHeight="1" x14ac:dyDescent="0.15">
      <c r="A1475" s="2" t="s">
        <v>3186</v>
      </c>
      <c r="B1475" s="2" t="s">
        <v>3187</v>
      </c>
      <c r="C1475" s="2">
        <v>0.96</v>
      </c>
      <c r="D1475" s="2">
        <v>0.5282</v>
      </c>
      <c r="E1475" s="2" t="s">
        <v>589</v>
      </c>
      <c r="F1475" s="2" t="e">
        <f>VLOOKUP(B1475,MSCI中国成分股!A:B,1,)</f>
        <v>#N/A</v>
      </c>
    </row>
    <row r="1476" spans="1:6" ht="20.25" hidden="1" customHeight="1" x14ac:dyDescent="0.15">
      <c r="A1476" s="2" t="s">
        <v>3188</v>
      </c>
      <c r="B1476" s="2" t="s">
        <v>3189</v>
      </c>
      <c r="C1476" s="2">
        <v>1.0149999999999999</v>
      </c>
      <c r="D1476" s="2">
        <v>5.0694999999999997</v>
      </c>
      <c r="E1476" s="2" t="s">
        <v>3190</v>
      </c>
      <c r="F1476" s="2" t="e">
        <f>VLOOKUP(B1476,MSCI中国成分股!A:B,1,)</f>
        <v>#N/A</v>
      </c>
    </row>
    <row r="1477" spans="1:6" ht="20.25" hidden="1" customHeight="1" x14ac:dyDescent="0.15">
      <c r="A1477" s="2" t="s">
        <v>3191</v>
      </c>
      <c r="B1477" s="2" t="s">
        <v>3192</v>
      </c>
      <c r="C1477" s="2">
        <v>1.44</v>
      </c>
      <c r="D1477" s="2">
        <v>0.3901</v>
      </c>
      <c r="E1477" s="2" t="s">
        <v>265</v>
      </c>
      <c r="F1477" s="2" t="e">
        <f>VLOOKUP(B1477,MSCI中国成分股!A:B,1,)</f>
        <v>#N/A</v>
      </c>
    </row>
    <row r="1478" spans="1:6" ht="20.25" hidden="1" customHeight="1" x14ac:dyDescent="0.15">
      <c r="A1478" s="2" t="s">
        <v>3193</v>
      </c>
      <c r="B1478" s="2" t="s">
        <v>3194</v>
      </c>
      <c r="C1478" s="2">
        <v>2.61</v>
      </c>
      <c r="D1478" s="2">
        <v>3.0194000000000001</v>
      </c>
      <c r="E1478" s="2" t="s">
        <v>171</v>
      </c>
      <c r="F1478" s="2" t="e">
        <f>VLOOKUP(B1478,MSCI中国成分股!A:B,1,)</f>
        <v>#N/A</v>
      </c>
    </row>
    <row r="1479" spans="1:6" ht="20.25" hidden="1" customHeight="1" x14ac:dyDescent="0.15">
      <c r="A1479" s="2" t="s">
        <v>3195</v>
      </c>
      <c r="B1479" s="2" t="s">
        <v>3196</v>
      </c>
      <c r="C1479" s="2">
        <v>1.83</v>
      </c>
      <c r="D1479" s="2">
        <v>1.1121000000000001</v>
      </c>
      <c r="E1479" s="2" t="s">
        <v>2063</v>
      </c>
      <c r="F1479" s="2" t="e">
        <f>VLOOKUP(B1479,MSCI中国成分股!A:B,1,)</f>
        <v>#N/A</v>
      </c>
    </row>
    <row r="1480" spans="1:6" ht="20.25" hidden="1" customHeight="1" x14ac:dyDescent="0.15">
      <c r="A1480" s="2" t="s">
        <v>3197</v>
      </c>
      <c r="B1480" s="2" t="s">
        <v>3198</v>
      </c>
      <c r="C1480" s="2">
        <v>0.96</v>
      </c>
      <c r="D1480" s="2">
        <v>0.18540000000000001</v>
      </c>
      <c r="E1480" s="2" t="s">
        <v>1034</v>
      </c>
      <c r="F1480" s="2" t="e">
        <f>VLOOKUP(B1480,MSCI中国成分股!A:B,1,)</f>
        <v>#N/A</v>
      </c>
    </row>
    <row r="1481" spans="1:6" ht="20.25" hidden="1" customHeight="1" x14ac:dyDescent="0.15">
      <c r="A1481" s="2" t="s">
        <v>3199</v>
      </c>
      <c r="B1481" s="2" t="s">
        <v>3200</v>
      </c>
      <c r="C1481" s="2">
        <v>-3.42</v>
      </c>
      <c r="D1481" s="2">
        <v>3386.4726999999998</v>
      </c>
      <c r="E1481" s="2" t="s">
        <v>1243</v>
      </c>
      <c r="F1481" s="2" t="e">
        <f>VLOOKUP(B1481,MSCI中国成分股!A:B,1,)</f>
        <v>#N/A</v>
      </c>
    </row>
    <row r="1482" spans="1:6" ht="20.25" hidden="1" customHeight="1" x14ac:dyDescent="0.15">
      <c r="A1482" s="2" t="s">
        <v>3201</v>
      </c>
      <c r="B1482" s="2" t="s">
        <v>3202</v>
      </c>
      <c r="C1482" s="2">
        <v>1.76</v>
      </c>
      <c r="D1482" s="2">
        <v>0.64649999999999996</v>
      </c>
      <c r="E1482" s="2" t="s">
        <v>3203</v>
      </c>
      <c r="F1482" s="2" t="e">
        <f>VLOOKUP(B1482,MSCI中国成分股!A:B,1,)</f>
        <v>#N/A</v>
      </c>
    </row>
    <row r="1483" spans="1:6" ht="20.25" hidden="1" customHeight="1" x14ac:dyDescent="0.15">
      <c r="A1483" s="2" t="s">
        <v>3204</v>
      </c>
      <c r="B1483" s="2" t="s">
        <v>3205</v>
      </c>
      <c r="C1483" s="2">
        <v>-1.2</v>
      </c>
      <c r="D1483" s="2">
        <v>15.129099999999999</v>
      </c>
      <c r="E1483" s="2" t="s">
        <v>3053</v>
      </c>
      <c r="F1483" s="2" t="e">
        <f>VLOOKUP(B1483,MSCI中国成分股!A:B,1,)</f>
        <v>#N/A</v>
      </c>
    </row>
    <row r="1484" spans="1:6" ht="20.25" hidden="1" customHeight="1" x14ac:dyDescent="0.15">
      <c r="A1484" s="2" t="s">
        <v>3206</v>
      </c>
      <c r="B1484" s="2" t="s">
        <v>3207</v>
      </c>
      <c r="C1484" s="2">
        <v>1.27</v>
      </c>
      <c r="D1484" s="2">
        <v>1.3521000000000001</v>
      </c>
      <c r="E1484" s="2" t="s">
        <v>214</v>
      </c>
      <c r="F1484" s="2" t="e">
        <f>VLOOKUP(B1484,MSCI中国成分股!A:B,1,)</f>
        <v>#N/A</v>
      </c>
    </row>
    <row r="1485" spans="1:6" ht="20.25" hidden="1" customHeight="1" x14ac:dyDescent="0.15">
      <c r="A1485" s="2" t="s">
        <v>3208</v>
      </c>
      <c r="B1485" s="2" t="s">
        <v>3209</v>
      </c>
      <c r="C1485" s="2">
        <v>0.21</v>
      </c>
      <c r="D1485" s="2">
        <v>5.7778</v>
      </c>
      <c r="E1485" s="2" t="s">
        <v>171</v>
      </c>
      <c r="F1485" s="2" t="e">
        <f>VLOOKUP(B1485,MSCI中国成分股!A:B,1,)</f>
        <v>#N/A</v>
      </c>
    </row>
    <row r="1486" spans="1:6" ht="20.25" hidden="1" customHeight="1" x14ac:dyDescent="0.15">
      <c r="A1486" s="2" t="s">
        <v>3210</v>
      </c>
      <c r="B1486" s="2" t="s">
        <v>3211</v>
      </c>
      <c r="C1486" s="2">
        <v>0.88</v>
      </c>
      <c r="D1486" s="2">
        <v>0.74519999999999997</v>
      </c>
      <c r="E1486" s="2" t="s">
        <v>276</v>
      </c>
      <c r="F1486" s="2" t="e">
        <f>VLOOKUP(B1486,MSCI中国成分股!A:B,1,)</f>
        <v>#N/A</v>
      </c>
    </row>
    <row r="1487" spans="1:6" ht="20.25" hidden="1" customHeight="1" x14ac:dyDescent="0.15">
      <c r="A1487" s="2" t="s">
        <v>3212</v>
      </c>
      <c r="B1487" s="2" t="s">
        <v>3213</v>
      </c>
      <c r="C1487" s="2">
        <v>1.88</v>
      </c>
      <c r="D1487" s="2">
        <v>1.7765</v>
      </c>
      <c r="E1487" s="2" t="s">
        <v>1757</v>
      </c>
      <c r="F1487" s="2" t="e">
        <f>VLOOKUP(B1487,MSCI中国成分股!A:B,1,)</f>
        <v>#N/A</v>
      </c>
    </row>
    <row r="1488" spans="1:6" ht="20.25" hidden="1" customHeight="1" x14ac:dyDescent="0.15">
      <c r="A1488" s="2" t="s">
        <v>3214</v>
      </c>
      <c r="B1488" s="2" t="s">
        <v>3215</v>
      </c>
      <c r="C1488" s="2">
        <v>-1.17</v>
      </c>
      <c r="D1488" s="2">
        <v>12.457100000000001</v>
      </c>
      <c r="E1488" s="2" t="s">
        <v>371</v>
      </c>
      <c r="F1488" s="2" t="e">
        <f>VLOOKUP(B1488,MSCI中国成分股!A:B,1,)</f>
        <v>#N/A</v>
      </c>
    </row>
    <row r="1489" spans="1:6" ht="20.25" hidden="1" customHeight="1" x14ac:dyDescent="0.15">
      <c r="A1489" s="2" t="s">
        <v>3216</v>
      </c>
      <c r="B1489" s="2" t="s">
        <v>3217</v>
      </c>
      <c r="C1489" s="2">
        <v>2</v>
      </c>
      <c r="D1489" s="2">
        <v>2.5049000000000001</v>
      </c>
      <c r="E1489" s="2" t="s">
        <v>667</v>
      </c>
      <c r="F1489" s="2" t="e">
        <f>VLOOKUP(B1489,MSCI中国成分股!A:B,1,)</f>
        <v>#N/A</v>
      </c>
    </row>
    <row r="1490" spans="1:6" ht="20.25" hidden="1" customHeight="1" x14ac:dyDescent="0.15">
      <c r="A1490" s="2" t="s">
        <v>3218</v>
      </c>
      <c r="B1490" s="2" t="s">
        <v>3219</v>
      </c>
      <c r="C1490" s="2">
        <v>1.82</v>
      </c>
      <c r="D1490" s="2">
        <v>2.0928</v>
      </c>
      <c r="E1490" s="2" t="s">
        <v>10</v>
      </c>
      <c r="F1490" s="2" t="e">
        <f>VLOOKUP(B1490,MSCI中国成分股!A:B,1,)</f>
        <v>#N/A</v>
      </c>
    </row>
    <row r="1491" spans="1:6" ht="20.25" hidden="1" customHeight="1" x14ac:dyDescent="0.15">
      <c r="A1491" s="2" t="s">
        <v>3220</v>
      </c>
      <c r="B1491" s="2" t="s">
        <v>3221</v>
      </c>
      <c r="C1491" s="2">
        <v>1.55</v>
      </c>
      <c r="D1491" s="2">
        <v>1.9490000000000001</v>
      </c>
      <c r="E1491" s="2" t="s">
        <v>574</v>
      </c>
      <c r="F1491" s="2" t="e">
        <f>VLOOKUP(B1491,MSCI中国成分股!A:B,1,)</f>
        <v>#N/A</v>
      </c>
    </row>
    <row r="1492" spans="1:6" ht="20.25" hidden="1" customHeight="1" x14ac:dyDescent="0.15">
      <c r="A1492" s="2" t="s">
        <v>3222</v>
      </c>
      <c r="B1492" s="2" t="s">
        <v>3223</v>
      </c>
      <c r="C1492" s="2">
        <v>5.33</v>
      </c>
      <c r="D1492" s="2">
        <v>7.3326000000000002</v>
      </c>
      <c r="E1492" s="2" t="s">
        <v>185</v>
      </c>
      <c r="F1492" s="2" t="e">
        <f>VLOOKUP(B1492,MSCI中国成分股!A:B,1,)</f>
        <v>#N/A</v>
      </c>
    </row>
    <row r="1493" spans="1:6" ht="20.25" hidden="1" customHeight="1" x14ac:dyDescent="0.15">
      <c r="A1493" s="2" t="s">
        <v>3224</v>
      </c>
      <c r="B1493" s="2" t="s">
        <v>3225</v>
      </c>
      <c r="C1493" s="2">
        <v>0.75</v>
      </c>
      <c r="D1493" s="2">
        <v>113.7026</v>
      </c>
      <c r="E1493" s="2" t="s">
        <v>260</v>
      </c>
      <c r="F1493" s="2" t="e">
        <f>VLOOKUP(B1493,MSCI中国成分股!A:B,1,)</f>
        <v>#N/A</v>
      </c>
    </row>
    <row r="1494" spans="1:6" ht="20.25" hidden="1" customHeight="1" x14ac:dyDescent="0.15">
      <c r="A1494" s="2" t="s">
        <v>3226</v>
      </c>
      <c r="B1494" s="2" t="s">
        <v>3227</v>
      </c>
      <c r="C1494" s="2">
        <v>2.8</v>
      </c>
      <c r="D1494" s="2">
        <v>10.5122</v>
      </c>
      <c r="E1494" s="2" t="s">
        <v>1158</v>
      </c>
      <c r="F1494" s="2" t="e">
        <f>VLOOKUP(B1494,MSCI中国成分股!A:B,1,)</f>
        <v>#N/A</v>
      </c>
    </row>
    <row r="1495" spans="1:6" ht="20.25" hidden="1" customHeight="1" x14ac:dyDescent="0.15">
      <c r="A1495" s="2" t="s">
        <v>3228</v>
      </c>
      <c r="B1495" s="2" t="s">
        <v>3229</v>
      </c>
      <c r="C1495" s="2">
        <v>0.77</v>
      </c>
      <c r="D1495" s="2">
        <v>0.87680000000000002</v>
      </c>
      <c r="E1495" s="2" t="s">
        <v>596</v>
      </c>
      <c r="F1495" s="2" t="e">
        <f>VLOOKUP(B1495,MSCI中国成分股!A:B,1,)</f>
        <v>#N/A</v>
      </c>
    </row>
    <row r="1496" spans="1:6" ht="20.25" hidden="1" customHeight="1" x14ac:dyDescent="0.15">
      <c r="A1496" s="2" t="s">
        <v>3230</v>
      </c>
      <c r="B1496" s="2" t="s">
        <v>3231</v>
      </c>
      <c r="C1496" s="2">
        <v>1.1399999999999999</v>
      </c>
      <c r="D1496" s="2">
        <v>1.8053999999999999</v>
      </c>
      <c r="E1496" s="2" t="s">
        <v>220</v>
      </c>
      <c r="F1496" s="2" t="e">
        <f>VLOOKUP(B1496,MSCI中国成分股!A:B,1,)</f>
        <v>#N/A</v>
      </c>
    </row>
    <row r="1497" spans="1:6" ht="20.25" hidden="1" customHeight="1" x14ac:dyDescent="0.15">
      <c r="A1497" s="2" t="s">
        <v>3232</v>
      </c>
      <c r="B1497" s="2" t="s">
        <v>3233</v>
      </c>
      <c r="C1497" s="2">
        <v>0.12</v>
      </c>
      <c r="D1497" s="2">
        <v>1.2961</v>
      </c>
      <c r="E1497" s="2" t="s">
        <v>784</v>
      </c>
      <c r="F1497" s="2" t="e">
        <f>VLOOKUP(B1497,MSCI中国成分股!A:B,1,)</f>
        <v>#N/A</v>
      </c>
    </row>
    <row r="1498" spans="1:6" ht="20.25" hidden="1" customHeight="1" x14ac:dyDescent="0.15">
      <c r="A1498" s="2" t="s">
        <v>3234</v>
      </c>
      <c r="B1498" s="2" t="s">
        <v>3235</v>
      </c>
      <c r="C1498" s="2">
        <v>-0.99</v>
      </c>
      <c r="D1498" s="2">
        <v>49.5137</v>
      </c>
      <c r="E1498" s="2" t="s">
        <v>68</v>
      </c>
      <c r="F1498" s="2" t="e">
        <f>VLOOKUP(B1498,MSCI中国成分股!A:B,1,)</f>
        <v>#N/A</v>
      </c>
    </row>
    <row r="1499" spans="1:6" ht="20.25" hidden="1" customHeight="1" x14ac:dyDescent="0.15">
      <c r="A1499" s="2" t="s">
        <v>3236</v>
      </c>
      <c r="B1499" s="2" t="s">
        <v>3237</v>
      </c>
      <c r="C1499" s="2">
        <v>2.23</v>
      </c>
      <c r="D1499" s="2">
        <v>0.80549999999999999</v>
      </c>
      <c r="E1499" s="2" t="s">
        <v>1774</v>
      </c>
      <c r="F1499" s="2" t="e">
        <f>VLOOKUP(B1499,MSCI中国成分股!A:B,1,)</f>
        <v>#N/A</v>
      </c>
    </row>
    <row r="1500" spans="1:6" ht="20.25" hidden="1" customHeight="1" x14ac:dyDescent="0.15">
      <c r="A1500" s="2" t="s">
        <v>3238</v>
      </c>
      <c r="B1500" s="2" t="s">
        <v>3239</v>
      </c>
      <c r="C1500" s="2">
        <v>0.73</v>
      </c>
      <c r="D1500" s="2">
        <v>6.8817000000000004</v>
      </c>
      <c r="E1500" s="2" t="s">
        <v>551</v>
      </c>
      <c r="F1500" s="2" t="e">
        <f>VLOOKUP(B1500,MSCI中国成分股!A:B,1,)</f>
        <v>#N/A</v>
      </c>
    </row>
    <row r="1501" spans="1:6" ht="20.25" hidden="1" customHeight="1" x14ac:dyDescent="0.15">
      <c r="A1501" s="2" t="s">
        <v>3240</v>
      </c>
      <c r="B1501" s="2" t="s">
        <v>3241</v>
      </c>
      <c r="C1501" s="2">
        <v>2.0299999999999998</v>
      </c>
      <c r="D1501" s="2">
        <v>2.9544000000000001</v>
      </c>
      <c r="E1501" s="2" t="s">
        <v>207</v>
      </c>
      <c r="F1501" s="2" t="e">
        <f>VLOOKUP(B1501,MSCI中国成分股!A:B,1,)</f>
        <v>#N/A</v>
      </c>
    </row>
    <row r="1502" spans="1:6" ht="20.25" hidden="1" customHeight="1" x14ac:dyDescent="0.15">
      <c r="A1502" s="2" t="s">
        <v>3242</v>
      </c>
      <c r="B1502" s="2" t="s">
        <v>3243</v>
      </c>
      <c r="C1502" s="2">
        <v>3.5350000000000001</v>
      </c>
      <c r="D1502" s="2">
        <v>1.1727000000000001</v>
      </c>
      <c r="E1502" s="2" t="s">
        <v>396</v>
      </c>
      <c r="F1502" s="2" t="e">
        <f>VLOOKUP(B1502,MSCI中国成分股!A:B,1,)</f>
        <v>#N/A</v>
      </c>
    </row>
    <row r="1503" spans="1:6" ht="20.25" hidden="1" customHeight="1" x14ac:dyDescent="0.15">
      <c r="A1503" s="2" t="s">
        <v>3244</v>
      </c>
      <c r="B1503" s="2" t="s">
        <v>3245</v>
      </c>
      <c r="C1503" s="2">
        <v>-2.89</v>
      </c>
      <c r="D1503" s="2">
        <v>91.149100000000004</v>
      </c>
      <c r="E1503" s="2" t="s">
        <v>3246</v>
      </c>
      <c r="F1503" s="2" t="e">
        <f>VLOOKUP(B1503,MSCI中国成分股!A:B,1,)</f>
        <v>#N/A</v>
      </c>
    </row>
    <row r="1504" spans="1:6" ht="20.25" hidden="1" customHeight="1" x14ac:dyDescent="0.15">
      <c r="A1504" s="2" t="s">
        <v>3247</v>
      </c>
      <c r="B1504" s="2" t="s">
        <v>3248</v>
      </c>
      <c r="C1504" s="2">
        <v>2.99</v>
      </c>
      <c r="D1504" s="2">
        <v>2.5832999999999999</v>
      </c>
      <c r="E1504" s="2" t="s">
        <v>3249</v>
      </c>
      <c r="F1504" s="2" t="e">
        <f>VLOOKUP(B1504,MSCI中国成分股!A:B,1,)</f>
        <v>#N/A</v>
      </c>
    </row>
    <row r="1505" spans="1:6" ht="20.25" hidden="1" customHeight="1" x14ac:dyDescent="0.15">
      <c r="A1505" s="2" t="s">
        <v>3250</v>
      </c>
      <c r="B1505" s="2" t="s">
        <v>3251</v>
      </c>
      <c r="C1505" s="2">
        <v>0.34</v>
      </c>
      <c r="D1505" s="2">
        <v>3.7229999999999999</v>
      </c>
      <c r="E1505" s="2" t="s">
        <v>3053</v>
      </c>
      <c r="F1505" s="2" t="e">
        <f>VLOOKUP(B1505,MSCI中国成分股!A:B,1,)</f>
        <v>#N/A</v>
      </c>
    </row>
    <row r="1506" spans="1:6" ht="20.25" hidden="1" customHeight="1" x14ac:dyDescent="0.15">
      <c r="A1506" s="2" t="s">
        <v>3252</v>
      </c>
      <c r="B1506" s="2" t="s">
        <v>3253</v>
      </c>
      <c r="C1506" s="2">
        <v>3.36</v>
      </c>
      <c r="D1506" s="2">
        <v>2.1048</v>
      </c>
      <c r="E1506" s="2" t="s">
        <v>787</v>
      </c>
      <c r="F1506" s="2" t="e">
        <f>VLOOKUP(B1506,MSCI中国成分股!A:B,1,)</f>
        <v>#N/A</v>
      </c>
    </row>
    <row r="1507" spans="1:6" ht="20.25" hidden="1" customHeight="1" x14ac:dyDescent="0.15">
      <c r="A1507" s="2" t="s">
        <v>3254</v>
      </c>
      <c r="B1507" s="2" t="s">
        <v>3255</v>
      </c>
      <c r="C1507" s="2">
        <v>1.92</v>
      </c>
      <c r="D1507" s="2">
        <v>1.4567000000000001</v>
      </c>
      <c r="E1507" s="2" t="s">
        <v>207</v>
      </c>
      <c r="F1507" s="2" t="e">
        <f>VLOOKUP(B1507,MSCI中国成分股!A:B,1,)</f>
        <v>#N/A</v>
      </c>
    </row>
    <row r="1508" spans="1:6" ht="20.25" hidden="1" customHeight="1" x14ac:dyDescent="0.15">
      <c r="A1508" s="2" t="s">
        <v>3256</v>
      </c>
      <c r="B1508" s="2" t="s">
        <v>3257</v>
      </c>
      <c r="C1508" s="2">
        <v>1.07</v>
      </c>
      <c r="D1508" s="2">
        <v>6.4707999999999997</v>
      </c>
      <c r="E1508" s="2" t="s">
        <v>220</v>
      </c>
      <c r="F1508" s="2" t="e">
        <f>VLOOKUP(B1508,MSCI中国成分股!A:B,1,)</f>
        <v>#N/A</v>
      </c>
    </row>
    <row r="1509" spans="1:6" ht="20.25" hidden="1" customHeight="1" x14ac:dyDescent="0.15">
      <c r="A1509" s="2" t="s">
        <v>3258</v>
      </c>
      <c r="B1509" s="2" t="s">
        <v>3259</v>
      </c>
      <c r="C1509" s="2">
        <v>2.23</v>
      </c>
      <c r="D1509" s="2">
        <v>0.58509999999999995</v>
      </c>
      <c r="E1509" s="2" t="s">
        <v>667</v>
      </c>
      <c r="F1509" s="2" t="e">
        <f>VLOOKUP(B1509,MSCI中国成分股!A:B,1,)</f>
        <v>#N/A</v>
      </c>
    </row>
    <row r="1510" spans="1:6" ht="20.25" hidden="1" customHeight="1" x14ac:dyDescent="0.15">
      <c r="A1510" s="2" t="s">
        <v>3260</v>
      </c>
      <c r="B1510" s="2" t="s">
        <v>3261</v>
      </c>
      <c r="C1510" s="2">
        <v>1.31</v>
      </c>
      <c r="D1510" s="2">
        <v>0.62470000000000003</v>
      </c>
      <c r="E1510" s="2" t="s">
        <v>1680</v>
      </c>
      <c r="F1510" s="2" t="e">
        <f>VLOOKUP(B1510,MSCI中国成分股!A:B,1,)</f>
        <v>#N/A</v>
      </c>
    </row>
    <row r="1511" spans="1:6" ht="20.25" hidden="1" customHeight="1" x14ac:dyDescent="0.15">
      <c r="A1511" s="2" t="s">
        <v>3262</v>
      </c>
      <c r="B1511" s="2" t="s">
        <v>3263</v>
      </c>
      <c r="C1511" s="2">
        <v>1.86</v>
      </c>
      <c r="D1511" s="2">
        <v>0.31659999999999999</v>
      </c>
      <c r="E1511" s="2" t="s">
        <v>339</v>
      </c>
      <c r="F1511" s="2" t="e">
        <f>VLOOKUP(B1511,MSCI中国成分股!A:B,1,)</f>
        <v>#N/A</v>
      </c>
    </row>
    <row r="1512" spans="1:6" ht="20.25" hidden="1" customHeight="1" x14ac:dyDescent="0.15">
      <c r="A1512" s="2" t="s">
        <v>3264</v>
      </c>
      <c r="B1512" s="2" t="s">
        <v>3265</v>
      </c>
      <c r="C1512" s="2">
        <v>0.31</v>
      </c>
      <c r="D1512" s="2">
        <v>0.28470000000000001</v>
      </c>
      <c r="E1512" s="2" t="s">
        <v>299</v>
      </c>
      <c r="F1512" s="2" t="e">
        <f>VLOOKUP(B1512,MSCI中国成分股!A:B,1,)</f>
        <v>#N/A</v>
      </c>
    </row>
    <row r="1513" spans="1:6" ht="20.25" hidden="1" customHeight="1" x14ac:dyDescent="0.15">
      <c r="A1513" s="2" t="s">
        <v>3266</v>
      </c>
      <c r="B1513" s="2" t="s">
        <v>3267</v>
      </c>
      <c r="C1513" s="2">
        <v>0.78</v>
      </c>
      <c r="D1513" s="2">
        <v>0.68830000000000002</v>
      </c>
      <c r="E1513" s="2" t="s">
        <v>44</v>
      </c>
      <c r="F1513" s="2" t="e">
        <f>VLOOKUP(B1513,MSCI中国成分股!A:B,1,)</f>
        <v>#N/A</v>
      </c>
    </row>
    <row r="1514" spans="1:6" ht="20.25" hidden="1" customHeight="1" x14ac:dyDescent="0.15">
      <c r="A1514" s="2" t="s">
        <v>3268</v>
      </c>
      <c r="B1514" s="2" t="s">
        <v>3269</v>
      </c>
      <c r="C1514" s="2">
        <v>0.67</v>
      </c>
      <c r="D1514" s="2">
        <v>4.4767000000000001</v>
      </c>
      <c r="E1514" s="2" t="s">
        <v>198</v>
      </c>
      <c r="F1514" s="2" t="e">
        <f>VLOOKUP(B1514,MSCI中国成分股!A:B,1,)</f>
        <v>#N/A</v>
      </c>
    </row>
    <row r="1515" spans="1:6" ht="20.25" hidden="1" customHeight="1" x14ac:dyDescent="0.15">
      <c r="A1515" s="2" t="s">
        <v>3270</v>
      </c>
      <c r="B1515" s="2" t="s">
        <v>3271</v>
      </c>
      <c r="C1515" s="2">
        <v>2.95</v>
      </c>
      <c r="D1515" s="2">
        <v>7.1531000000000002</v>
      </c>
      <c r="E1515" s="2" t="s">
        <v>1139</v>
      </c>
      <c r="F1515" s="2" t="e">
        <f>VLOOKUP(B1515,MSCI中国成分股!A:B,1,)</f>
        <v>#N/A</v>
      </c>
    </row>
    <row r="1516" spans="1:6" ht="20.25" hidden="1" customHeight="1" x14ac:dyDescent="0.15">
      <c r="A1516" s="2" t="s">
        <v>3272</v>
      </c>
      <c r="B1516" s="2" t="s">
        <v>3273</v>
      </c>
      <c r="C1516" s="2">
        <v>0.53</v>
      </c>
      <c r="D1516" s="2">
        <v>0.1797</v>
      </c>
      <c r="E1516" s="2" t="s">
        <v>1873</v>
      </c>
      <c r="F1516" s="2" t="e">
        <f>VLOOKUP(B1516,MSCI中国成分股!A:B,1,)</f>
        <v>#N/A</v>
      </c>
    </row>
    <row r="1517" spans="1:6" ht="20.25" hidden="1" customHeight="1" x14ac:dyDescent="0.15">
      <c r="A1517" s="2" t="s">
        <v>3274</v>
      </c>
      <c r="B1517" s="2" t="s">
        <v>3275</v>
      </c>
      <c r="C1517" s="2">
        <v>2.5299999999999998</v>
      </c>
      <c r="D1517" s="2">
        <v>0.87729999999999997</v>
      </c>
      <c r="E1517" s="2" t="s">
        <v>365</v>
      </c>
      <c r="F1517" s="2" t="e">
        <f>VLOOKUP(B1517,MSCI中国成分股!A:B,1,)</f>
        <v>#N/A</v>
      </c>
    </row>
    <row r="1518" spans="1:6" ht="20.25" hidden="1" customHeight="1" x14ac:dyDescent="0.15">
      <c r="A1518" s="2" t="s">
        <v>3276</v>
      </c>
      <c r="B1518" s="2" t="s">
        <v>3277</v>
      </c>
      <c r="C1518" s="2">
        <v>0.77</v>
      </c>
      <c r="D1518" s="2">
        <v>104.51090000000001</v>
      </c>
      <c r="E1518" s="2" t="s">
        <v>143</v>
      </c>
      <c r="F1518" s="2" t="e">
        <f>VLOOKUP(B1518,MSCI中国成分股!A:B,1,)</f>
        <v>#N/A</v>
      </c>
    </row>
    <row r="1519" spans="1:6" ht="20.25" hidden="1" customHeight="1" x14ac:dyDescent="0.15">
      <c r="A1519" s="2" t="s">
        <v>3278</v>
      </c>
      <c r="B1519" s="2" t="s">
        <v>3279</v>
      </c>
      <c r="C1519" s="2">
        <v>-0.61</v>
      </c>
      <c r="D1519" s="2">
        <v>9.6006999999999998</v>
      </c>
      <c r="E1519" s="2" t="s">
        <v>44</v>
      </c>
      <c r="F1519" s="2" t="e">
        <f>VLOOKUP(B1519,MSCI中国成分股!A:B,1,)</f>
        <v>#N/A</v>
      </c>
    </row>
    <row r="1520" spans="1:6" ht="20.25" hidden="1" customHeight="1" x14ac:dyDescent="0.15">
      <c r="A1520" s="2" t="s">
        <v>3280</v>
      </c>
      <c r="B1520" s="2" t="s">
        <v>3281</v>
      </c>
      <c r="C1520" s="2">
        <v>0.92</v>
      </c>
      <c r="D1520" s="2">
        <v>0.33260000000000001</v>
      </c>
      <c r="E1520" s="2" t="s">
        <v>916</v>
      </c>
      <c r="F1520" s="2" t="e">
        <f>VLOOKUP(B1520,MSCI中国成分股!A:B,1,)</f>
        <v>#N/A</v>
      </c>
    </row>
    <row r="1521" spans="1:6" ht="20.25" hidden="1" customHeight="1" x14ac:dyDescent="0.15">
      <c r="A1521" s="2" t="s">
        <v>3282</v>
      </c>
      <c r="B1521" s="2" t="s">
        <v>3283</v>
      </c>
      <c r="C1521" s="2">
        <v>1.36</v>
      </c>
      <c r="D1521" s="2">
        <v>0.32300000000000001</v>
      </c>
      <c r="E1521" s="2" t="s">
        <v>276</v>
      </c>
      <c r="F1521" s="2" t="e">
        <f>VLOOKUP(B1521,MSCI中国成分股!A:B,1,)</f>
        <v>#N/A</v>
      </c>
    </row>
    <row r="1522" spans="1:6" ht="20.25" hidden="1" customHeight="1" x14ac:dyDescent="0.15">
      <c r="A1522" s="2" t="s">
        <v>3284</v>
      </c>
      <c r="B1522" s="2" t="s">
        <v>3285</v>
      </c>
      <c r="C1522" s="2">
        <v>1.0900000000000001</v>
      </c>
      <c r="D1522" s="2">
        <v>0.57509999999999994</v>
      </c>
      <c r="E1522" s="2" t="s">
        <v>152</v>
      </c>
      <c r="F1522" s="2" t="e">
        <f>VLOOKUP(B1522,MSCI中国成分股!A:B,1,)</f>
        <v>#N/A</v>
      </c>
    </row>
    <row r="1523" spans="1:6" ht="20.25" hidden="1" customHeight="1" x14ac:dyDescent="0.15">
      <c r="A1523" s="2" t="s">
        <v>3286</v>
      </c>
      <c r="B1523" s="2" t="s">
        <v>3287</v>
      </c>
      <c r="C1523" s="2">
        <v>7.76</v>
      </c>
      <c r="D1523" s="2">
        <v>350.70600000000002</v>
      </c>
      <c r="E1523" s="2" t="s">
        <v>374</v>
      </c>
      <c r="F1523" s="2" t="e">
        <f>VLOOKUP(B1523,MSCI中国成分股!A:B,1,)</f>
        <v>#N/A</v>
      </c>
    </row>
    <row r="1524" spans="1:6" ht="20.25" hidden="1" customHeight="1" x14ac:dyDescent="0.15">
      <c r="A1524" s="2" t="s">
        <v>3288</v>
      </c>
      <c r="B1524" s="2" t="s">
        <v>3289</v>
      </c>
      <c r="C1524" s="2">
        <v>3.35</v>
      </c>
      <c r="D1524" s="2">
        <v>11.1859</v>
      </c>
      <c r="E1524" s="2" t="s">
        <v>204</v>
      </c>
      <c r="F1524" s="2" t="e">
        <f>VLOOKUP(B1524,MSCI中国成分股!A:B,1,)</f>
        <v>#N/A</v>
      </c>
    </row>
    <row r="1525" spans="1:6" ht="20.25" hidden="1" customHeight="1" x14ac:dyDescent="0.15">
      <c r="A1525" s="2" t="s">
        <v>3290</v>
      </c>
      <c r="B1525" s="2" t="s">
        <v>3291</v>
      </c>
      <c r="C1525" s="2">
        <v>2.4500000000000002</v>
      </c>
      <c r="D1525" s="2">
        <v>2.3165</v>
      </c>
      <c r="E1525" s="2" t="s">
        <v>3048</v>
      </c>
      <c r="F1525" s="2" t="e">
        <f>VLOOKUP(B1525,MSCI中国成分股!A:B,1,)</f>
        <v>#N/A</v>
      </c>
    </row>
    <row r="1526" spans="1:6" ht="20.25" hidden="1" customHeight="1" x14ac:dyDescent="0.15">
      <c r="A1526" s="2" t="s">
        <v>3292</v>
      </c>
      <c r="B1526" s="2" t="s">
        <v>3293</v>
      </c>
      <c r="C1526" s="2">
        <v>3.7250000000000001</v>
      </c>
      <c r="D1526" s="2">
        <v>6.3391999999999999</v>
      </c>
      <c r="E1526" s="2" t="s">
        <v>171</v>
      </c>
      <c r="F1526" s="2" t="e">
        <f>VLOOKUP(B1526,MSCI中国成分股!A:B,1,)</f>
        <v>#N/A</v>
      </c>
    </row>
    <row r="1527" spans="1:6" ht="20.25" hidden="1" customHeight="1" x14ac:dyDescent="0.15">
      <c r="A1527" s="2" t="s">
        <v>3294</v>
      </c>
      <c r="B1527" s="2" t="s">
        <v>3295</v>
      </c>
      <c r="C1527" s="2">
        <v>1.69</v>
      </c>
      <c r="D1527" s="2">
        <v>3.7915000000000001</v>
      </c>
      <c r="E1527" s="2" t="s">
        <v>157</v>
      </c>
      <c r="F1527" s="2" t="e">
        <f>VLOOKUP(B1527,MSCI中国成分股!A:B,1,)</f>
        <v>#N/A</v>
      </c>
    </row>
    <row r="1528" spans="1:6" ht="20.25" hidden="1" customHeight="1" x14ac:dyDescent="0.15">
      <c r="A1528" s="2" t="s">
        <v>3296</v>
      </c>
      <c r="B1528" s="2" t="s">
        <v>3297</v>
      </c>
      <c r="C1528" s="2">
        <v>0.57999999999999996</v>
      </c>
      <c r="D1528" s="2">
        <v>2.2225999999999999</v>
      </c>
      <c r="E1528" s="2" t="s">
        <v>10</v>
      </c>
      <c r="F1528" s="2" t="e">
        <f>VLOOKUP(B1528,MSCI中国成分股!A:B,1,)</f>
        <v>#N/A</v>
      </c>
    </row>
    <row r="1529" spans="1:6" ht="20.25" hidden="1" customHeight="1" x14ac:dyDescent="0.15">
      <c r="A1529" s="2" t="s">
        <v>3298</v>
      </c>
      <c r="B1529" s="2" t="s">
        <v>3299</v>
      </c>
      <c r="C1529" s="2">
        <v>3.85</v>
      </c>
      <c r="D1529" s="2">
        <v>1.6615</v>
      </c>
      <c r="E1529" s="2" t="s">
        <v>374</v>
      </c>
      <c r="F1529" s="2" t="e">
        <f>VLOOKUP(B1529,MSCI中国成分股!A:B,1,)</f>
        <v>#N/A</v>
      </c>
    </row>
    <row r="1530" spans="1:6" ht="20.25" hidden="1" customHeight="1" x14ac:dyDescent="0.15">
      <c r="A1530" s="2" t="s">
        <v>3300</v>
      </c>
      <c r="B1530" s="2" t="s">
        <v>3301</v>
      </c>
      <c r="C1530" s="2">
        <v>1.41</v>
      </c>
      <c r="D1530" s="2">
        <v>7.9958999999999998</v>
      </c>
      <c r="E1530" s="2" t="s">
        <v>1853</v>
      </c>
      <c r="F1530" s="2" t="e">
        <f>VLOOKUP(B1530,MSCI中国成分股!A:B,1,)</f>
        <v>#N/A</v>
      </c>
    </row>
    <row r="1531" spans="1:6" ht="20.25" hidden="1" customHeight="1" x14ac:dyDescent="0.15">
      <c r="A1531" s="2" t="s">
        <v>3302</v>
      </c>
      <c r="B1531" s="2" t="s">
        <v>3303</v>
      </c>
      <c r="C1531" s="2">
        <v>-0.86</v>
      </c>
      <c r="D1531" s="2">
        <v>16.6724</v>
      </c>
      <c r="E1531" s="2" t="s">
        <v>44</v>
      </c>
      <c r="F1531" s="2" t="e">
        <f>VLOOKUP(B1531,MSCI中国成分股!A:B,1,)</f>
        <v>#N/A</v>
      </c>
    </row>
    <row r="1532" spans="1:6" ht="20.25" hidden="1" customHeight="1" x14ac:dyDescent="0.15">
      <c r="A1532" s="2" t="s">
        <v>3304</v>
      </c>
      <c r="B1532" s="2" t="s">
        <v>3305</v>
      </c>
      <c r="C1532" s="2">
        <v>0.6</v>
      </c>
      <c r="D1532" s="2">
        <v>75.319999999999993</v>
      </c>
      <c r="E1532" s="2" t="s">
        <v>299</v>
      </c>
      <c r="F1532" s="2" t="e">
        <f>VLOOKUP(B1532,MSCI中国成分股!A:B,1,)</f>
        <v>#N/A</v>
      </c>
    </row>
    <row r="1533" spans="1:6" ht="20.25" hidden="1" customHeight="1" x14ac:dyDescent="0.15">
      <c r="A1533" s="2" t="s">
        <v>3306</v>
      </c>
      <c r="B1533" s="2" t="s">
        <v>3307</v>
      </c>
      <c r="C1533" s="2">
        <v>2.73</v>
      </c>
      <c r="D1533" s="2">
        <v>14.015700000000001</v>
      </c>
      <c r="E1533" s="2" t="s">
        <v>1145</v>
      </c>
      <c r="F1533" s="2" t="e">
        <f>VLOOKUP(B1533,MSCI中国成分股!A:B,1,)</f>
        <v>#N/A</v>
      </c>
    </row>
    <row r="1534" spans="1:6" ht="20.25" hidden="1" customHeight="1" x14ac:dyDescent="0.15">
      <c r="A1534" s="2" t="s">
        <v>3308</v>
      </c>
      <c r="B1534" s="2" t="s">
        <v>3309</v>
      </c>
      <c r="C1534" s="2">
        <v>0.71</v>
      </c>
      <c r="D1534" s="2">
        <v>0.14560000000000001</v>
      </c>
      <c r="E1534" s="2" t="s">
        <v>140</v>
      </c>
      <c r="F1534" s="2" t="e">
        <f>VLOOKUP(B1534,MSCI中国成分股!A:B,1,)</f>
        <v>#N/A</v>
      </c>
    </row>
    <row r="1535" spans="1:6" ht="20.25" hidden="1" customHeight="1" x14ac:dyDescent="0.15">
      <c r="A1535" s="2" t="s">
        <v>3310</v>
      </c>
      <c r="B1535" s="2" t="s">
        <v>3311</v>
      </c>
      <c r="C1535" s="2">
        <v>2.0299999999999998</v>
      </c>
      <c r="D1535" s="2">
        <v>0.77410000000000001</v>
      </c>
      <c r="E1535" s="2" t="s">
        <v>1199</v>
      </c>
      <c r="F1535" s="2" t="e">
        <f>VLOOKUP(B1535,MSCI中国成分股!A:B,1,)</f>
        <v>#N/A</v>
      </c>
    </row>
    <row r="1536" spans="1:6" ht="20.25" hidden="1" customHeight="1" x14ac:dyDescent="0.15">
      <c r="A1536" s="2" t="s">
        <v>3312</v>
      </c>
      <c r="B1536" s="2" t="s">
        <v>3313</v>
      </c>
      <c r="C1536" s="2">
        <v>4.78</v>
      </c>
      <c r="D1536" s="2">
        <v>1.7363</v>
      </c>
      <c r="E1536" s="2" t="s">
        <v>44</v>
      </c>
      <c r="F1536" s="2" t="e">
        <f>VLOOKUP(B1536,MSCI中国成分股!A:B,1,)</f>
        <v>#N/A</v>
      </c>
    </row>
    <row r="1537" spans="1:6" ht="20.25" hidden="1" customHeight="1" x14ac:dyDescent="0.15">
      <c r="A1537" s="2" t="s">
        <v>3314</v>
      </c>
      <c r="B1537" s="2" t="s">
        <v>3315</v>
      </c>
      <c r="C1537" s="2">
        <v>0.42</v>
      </c>
      <c r="D1537" s="2">
        <v>144.71129999999999</v>
      </c>
      <c r="E1537" s="2" t="s">
        <v>92</v>
      </c>
      <c r="F1537" s="2" t="e">
        <f>VLOOKUP(B1537,MSCI中国成分股!A:B,1,)</f>
        <v>#N/A</v>
      </c>
    </row>
    <row r="1538" spans="1:6" ht="20.25" hidden="1" customHeight="1" x14ac:dyDescent="0.15">
      <c r="A1538" s="2" t="s">
        <v>3316</v>
      </c>
      <c r="B1538" s="2" t="s">
        <v>3317</v>
      </c>
      <c r="C1538" s="2">
        <v>0.4</v>
      </c>
      <c r="D1538" s="2">
        <v>332.79599999999999</v>
      </c>
      <c r="E1538" s="2" t="s">
        <v>511</v>
      </c>
      <c r="F1538" s="2" t="e">
        <f>VLOOKUP(B1538,MSCI中国成分股!A:B,1,)</f>
        <v>#N/A</v>
      </c>
    </row>
    <row r="1539" spans="1:6" ht="20.25" hidden="1" customHeight="1" x14ac:dyDescent="0.15">
      <c r="A1539" s="2" t="s">
        <v>3318</v>
      </c>
      <c r="B1539" s="2" t="s">
        <v>3319</v>
      </c>
      <c r="C1539" s="2">
        <v>1.45</v>
      </c>
      <c r="D1539" s="2">
        <v>0.8206</v>
      </c>
      <c r="E1539" s="2" t="s">
        <v>1224</v>
      </c>
      <c r="F1539" s="2" t="e">
        <f>VLOOKUP(B1539,MSCI中国成分股!A:B,1,)</f>
        <v>#N/A</v>
      </c>
    </row>
    <row r="1540" spans="1:6" ht="20.25" hidden="1" customHeight="1" x14ac:dyDescent="0.15">
      <c r="A1540" s="2" t="s">
        <v>3320</v>
      </c>
      <c r="B1540" s="2" t="s">
        <v>3321</v>
      </c>
      <c r="C1540" s="2">
        <v>3.27</v>
      </c>
      <c r="D1540" s="2">
        <v>1.4019999999999999</v>
      </c>
      <c r="E1540" s="2" t="s">
        <v>52</v>
      </c>
      <c r="F1540" s="2" t="e">
        <f>VLOOKUP(B1540,MSCI中国成分股!A:B,1,)</f>
        <v>#N/A</v>
      </c>
    </row>
    <row r="1541" spans="1:6" ht="20.25" hidden="1" customHeight="1" x14ac:dyDescent="0.15">
      <c r="A1541" s="2" t="s">
        <v>3322</v>
      </c>
      <c r="B1541" s="2" t="s">
        <v>3323</v>
      </c>
      <c r="C1541" s="2">
        <v>1.36</v>
      </c>
      <c r="D1541" s="2">
        <v>19.8245</v>
      </c>
      <c r="E1541" s="2" t="s">
        <v>35</v>
      </c>
      <c r="F1541" s="2" t="e">
        <f>VLOOKUP(B1541,MSCI中国成分股!A:B,1,)</f>
        <v>#N/A</v>
      </c>
    </row>
    <row r="1542" spans="1:6" ht="20.25" hidden="1" customHeight="1" x14ac:dyDescent="0.15">
      <c r="A1542" s="2" t="s">
        <v>3324</v>
      </c>
      <c r="B1542" s="2" t="s">
        <v>3325</v>
      </c>
      <c r="C1542" s="2">
        <v>1.92</v>
      </c>
      <c r="D1542" s="2">
        <v>0.94130000000000003</v>
      </c>
      <c r="E1542" s="2" t="s">
        <v>1420</v>
      </c>
      <c r="F1542" s="2" t="e">
        <f>VLOOKUP(B1542,MSCI中国成分股!A:B,1,)</f>
        <v>#N/A</v>
      </c>
    </row>
    <row r="1543" spans="1:6" ht="20.25" hidden="1" customHeight="1" x14ac:dyDescent="0.15">
      <c r="A1543" s="2" t="s">
        <v>3326</v>
      </c>
      <c r="B1543" s="2" t="s">
        <v>3327</v>
      </c>
      <c r="C1543" s="2">
        <v>1.47</v>
      </c>
      <c r="D1543" s="2">
        <v>6.7000000000000004E-2</v>
      </c>
      <c r="E1543" s="2" t="s">
        <v>699</v>
      </c>
      <c r="F1543" s="2" t="e">
        <f>VLOOKUP(B1543,MSCI中国成分股!A:B,1,)</f>
        <v>#N/A</v>
      </c>
    </row>
    <row r="1544" spans="1:6" ht="20.25" hidden="1" customHeight="1" x14ac:dyDescent="0.15">
      <c r="A1544" s="2" t="s">
        <v>3328</v>
      </c>
      <c r="B1544" s="2" t="s">
        <v>3329</v>
      </c>
      <c r="C1544" s="2">
        <v>-1.01</v>
      </c>
      <c r="D1544" s="2">
        <v>14.8635</v>
      </c>
      <c r="E1544" s="2" t="s">
        <v>185</v>
      </c>
      <c r="F1544" s="2" t="e">
        <f>VLOOKUP(B1544,MSCI中国成分股!A:B,1,)</f>
        <v>#N/A</v>
      </c>
    </row>
    <row r="1545" spans="1:6" ht="20.25" hidden="1" customHeight="1" x14ac:dyDescent="0.15">
      <c r="A1545" s="2" t="s">
        <v>3330</v>
      </c>
      <c r="B1545" s="2" t="s">
        <v>3331</v>
      </c>
      <c r="C1545" s="2">
        <v>2.2400000000000002</v>
      </c>
      <c r="D1545" s="2">
        <v>0.97699999999999998</v>
      </c>
      <c r="E1545" s="2" t="s">
        <v>476</v>
      </c>
      <c r="F1545" s="2" t="e">
        <f>VLOOKUP(B1545,MSCI中国成分股!A:B,1,)</f>
        <v>#N/A</v>
      </c>
    </row>
    <row r="1546" spans="1:6" ht="20.25" hidden="1" customHeight="1" x14ac:dyDescent="0.15">
      <c r="A1546" s="2" t="s">
        <v>3332</v>
      </c>
      <c r="B1546" s="2" t="s">
        <v>3333</v>
      </c>
      <c r="C1546" s="2">
        <v>0.11</v>
      </c>
      <c r="D1546" s="2">
        <v>164.0848</v>
      </c>
      <c r="E1546" s="2" t="s">
        <v>385</v>
      </c>
      <c r="F1546" s="2" t="e">
        <f>VLOOKUP(B1546,MSCI中国成分股!A:B,1,)</f>
        <v>#N/A</v>
      </c>
    </row>
    <row r="1547" spans="1:6" ht="20.25" hidden="1" customHeight="1" x14ac:dyDescent="0.15">
      <c r="A1547" s="2" t="s">
        <v>3334</v>
      </c>
      <c r="B1547" s="2" t="s">
        <v>3335</v>
      </c>
      <c r="C1547" s="2">
        <v>-0.39</v>
      </c>
      <c r="D1547" s="2">
        <v>41.8324</v>
      </c>
      <c r="E1547" s="2" t="s">
        <v>35</v>
      </c>
      <c r="F1547" s="2" t="e">
        <f>VLOOKUP(B1547,MSCI中国成分股!A:B,1,)</f>
        <v>#N/A</v>
      </c>
    </row>
    <row r="1548" spans="1:6" ht="20.25" hidden="1" customHeight="1" x14ac:dyDescent="0.15">
      <c r="A1548" s="2" t="s">
        <v>3336</v>
      </c>
      <c r="B1548" s="2" t="s">
        <v>3337</v>
      </c>
      <c r="C1548" s="2">
        <v>2.62</v>
      </c>
      <c r="D1548" s="2">
        <v>0.37069999999999997</v>
      </c>
      <c r="E1548" s="2" t="s">
        <v>704</v>
      </c>
      <c r="F1548" s="2" t="e">
        <f>VLOOKUP(B1548,MSCI中国成分股!A:B,1,)</f>
        <v>#N/A</v>
      </c>
    </row>
    <row r="1549" spans="1:6" ht="20.25" hidden="1" customHeight="1" x14ac:dyDescent="0.15">
      <c r="A1549" s="2" t="s">
        <v>3338</v>
      </c>
      <c r="B1549" s="2" t="s">
        <v>3339</v>
      </c>
      <c r="C1549" s="2">
        <v>0.31</v>
      </c>
      <c r="D1549" s="2">
        <v>5.0183</v>
      </c>
      <c r="E1549" s="2" t="s">
        <v>605</v>
      </c>
      <c r="F1549" s="2" t="e">
        <f>VLOOKUP(B1549,MSCI中国成分股!A:B,1,)</f>
        <v>#N/A</v>
      </c>
    </row>
    <row r="1550" spans="1:6" ht="20.25" hidden="1" customHeight="1" x14ac:dyDescent="0.15">
      <c r="A1550" s="2" t="s">
        <v>3340</v>
      </c>
      <c r="B1550" s="2" t="s">
        <v>3341</v>
      </c>
      <c r="C1550" s="2">
        <v>2.895</v>
      </c>
      <c r="D1550" s="2">
        <v>11.603199999999999</v>
      </c>
      <c r="E1550" s="2" t="s">
        <v>1853</v>
      </c>
      <c r="F1550" s="2" t="e">
        <f>VLOOKUP(B1550,MSCI中国成分股!A:B,1,)</f>
        <v>#N/A</v>
      </c>
    </row>
    <row r="1551" spans="1:6" ht="20.25" hidden="1" customHeight="1" x14ac:dyDescent="0.15">
      <c r="A1551" s="2" t="s">
        <v>3342</v>
      </c>
      <c r="B1551" s="2" t="s">
        <v>3343</v>
      </c>
      <c r="C1551" s="2">
        <v>1.35</v>
      </c>
      <c r="D1551" s="2">
        <v>9.7299999999999998E-2</v>
      </c>
      <c r="E1551" s="2" t="s">
        <v>143</v>
      </c>
      <c r="F1551" s="2" t="e">
        <f>VLOOKUP(B1551,MSCI中国成分股!A:B,1,)</f>
        <v>#N/A</v>
      </c>
    </row>
    <row r="1552" spans="1:6" ht="20.25" hidden="1" customHeight="1" x14ac:dyDescent="0.15">
      <c r="A1552" s="2" t="s">
        <v>3344</v>
      </c>
      <c r="B1552" s="2" t="s">
        <v>3345</v>
      </c>
      <c r="C1552" s="2">
        <v>1.98</v>
      </c>
      <c r="D1552" s="2">
        <v>3.2503000000000002</v>
      </c>
      <c r="E1552" s="2" t="s">
        <v>149</v>
      </c>
      <c r="F1552" s="2" t="e">
        <f>VLOOKUP(B1552,MSCI中国成分股!A:B,1,)</f>
        <v>#N/A</v>
      </c>
    </row>
    <row r="1553" spans="1:6" ht="20.25" hidden="1" customHeight="1" x14ac:dyDescent="0.15">
      <c r="A1553" s="2" t="s">
        <v>3346</v>
      </c>
      <c r="B1553" s="2" t="s">
        <v>3347</v>
      </c>
      <c r="C1553" s="2">
        <v>0.92</v>
      </c>
      <c r="D1553" s="2">
        <v>1.1006</v>
      </c>
      <c r="E1553" s="2" t="s">
        <v>690</v>
      </c>
      <c r="F1553" s="2" t="e">
        <f>VLOOKUP(B1553,MSCI中国成分股!A:B,1,)</f>
        <v>#N/A</v>
      </c>
    </row>
    <row r="1554" spans="1:6" ht="20.25" hidden="1" customHeight="1" x14ac:dyDescent="0.15">
      <c r="A1554" s="2" t="s">
        <v>3348</v>
      </c>
      <c r="B1554" s="2" t="s">
        <v>3349</v>
      </c>
      <c r="C1554" s="2">
        <v>0.14000000000000001</v>
      </c>
      <c r="D1554" s="2">
        <v>3.9243000000000001</v>
      </c>
      <c r="E1554" s="2" t="s">
        <v>137</v>
      </c>
      <c r="F1554" s="2" t="e">
        <f>VLOOKUP(B1554,MSCI中国成分股!A:B,1,)</f>
        <v>#N/A</v>
      </c>
    </row>
    <row r="1555" spans="1:6" ht="20.25" hidden="1" customHeight="1" x14ac:dyDescent="0.15">
      <c r="A1555" s="2" t="s">
        <v>3350</v>
      </c>
      <c r="B1555" s="2" t="s">
        <v>3351</v>
      </c>
      <c r="C1555" s="2">
        <v>1.29</v>
      </c>
      <c r="D1555" s="2">
        <v>9.7809000000000008</v>
      </c>
      <c r="E1555" s="2" t="s">
        <v>385</v>
      </c>
      <c r="F1555" s="2" t="e">
        <f>VLOOKUP(B1555,MSCI中国成分股!A:B,1,)</f>
        <v>#N/A</v>
      </c>
    </row>
    <row r="1556" spans="1:6" ht="20.25" hidden="1" customHeight="1" x14ac:dyDescent="0.15">
      <c r="A1556" s="2" t="s">
        <v>3352</v>
      </c>
      <c r="B1556" s="2" t="s">
        <v>3353</v>
      </c>
      <c r="C1556" s="2">
        <v>1.27</v>
      </c>
      <c r="D1556" s="2">
        <v>0.46629999999999999</v>
      </c>
      <c r="E1556" s="2" t="s">
        <v>1066</v>
      </c>
      <c r="F1556" s="2" t="e">
        <f>VLOOKUP(B1556,MSCI中国成分股!A:B,1,)</f>
        <v>#N/A</v>
      </c>
    </row>
    <row r="1557" spans="1:6" ht="20.25" hidden="1" customHeight="1" x14ac:dyDescent="0.15">
      <c r="A1557" s="2" t="s">
        <v>3354</v>
      </c>
      <c r="B1557" s="2" t="s">
        <v>3355</v>
      </c>
      <c r="C1557" s="2">
        <v>1.04</v>
      </c>
      <c r="D1557" s="2">
        <v>0.83789999999999998</v>
      </c>
      <c r="E1557" s="2" t="s">
        <v>2374</v>
      </c>
      <c r="F1557" s="2" t="e">
        <f>VLOOKUP(B1557,MSCI中国成分股!A:B,1,)</f>
        <v>#N/A</v>
      </c>
    </row>
    <row r="1558" spans="1:6" ht="20.25" hidden="1" customHeight="1" x14ac:dyDescent="0.15">
      <c r="A1558" s="2" t="s">
        <v>3356</v>
      </c>
      <c r="B1558" s="2" t="s">
        <v>3357</v>
      </c>
      <c r="C1558" s="2">
        <v>3.4</v>
      </c>
      <c r="D1558" s="2">
        <v>5.4313000000000002</v>
      </c>
      <c r="E1558" s="2" t="s">
        <v>359</v>
      </c>
      <c r="F1558" s="2" t="e">
        <f>VLOOKUP(B1558,MSCI中国成分股!A:B,1,)</f>
        <v>#N/A</v>
      </c>
    </row>
    <row r="1559" spans="1:6" ht="20.25" hidden="1" customHeight="1" x14ac:dyDescent="0.15">
      <c r="A1559" s="2" t="s">
        <v>3358</v>
      </c>
      <c r="B1559" s="2" t="s">
        <v>3359</v>
      </c>
      <c r="C1559" s="2">
        <v>0.745</v>
      </c>
      <c r="D1559" s="2">
        <v>14.8507</v>
      </c>
      <c r="E1559" s="2" t="s">
        <v>1878</v>
      </c>
      <c r="F1559" s="2" t="e">
        <f>VLOOKUP(B1559,MSCI中国成分股!A:B,1,)</f>
        <v>#N/A</v>
      </c>
    </row>
    <row r="1560" spans="1:6" ht="20.25" hidden="1" customHeight="1" x14ac:dyDescent="0.15">
      <c r="A1560" s="2" t="s">
        <v>3360</v>
      </c>
      <c r="B1560" s="2" t="s">
        <v>3361</v>
      </c>
      <c r="C1560" s="2">
        <v>4.45</v>
      </c>
      <c r="D1560" s="2">
        <v>3.2873999999999999</v>
      </c>
      <c r="E1560" s="2" t="s">
        <v>506</v>
      </c>
      <c r="F1560" s="2" t="e">
        <f>VLOOKUP(B1560,MSCI中国成分股!A:B,1,)</f>
        <v>#N/A</v>
      </c>
    </row>
    <row r="1561" spans="1:6" ht="20.25" hidden="1" customHeight="1" x14ac:dyDescent="0.15">
      <c r="A1561" s="2" t="s">
        <v>3362</v>
      </c>
      <c r="B1561" s="2" t="s">
        <v>3363</v>
      </c>
      <c r="C1561" s="2">
        <v>0.11</v>
      </c>
      <c r="D1561" s="2">
        <v>1.2878000000000001</v>
      </c>
      <c r="E1561" s="2" t="s">
        <v>2355</v>
      </c>
      <c r="F1561" s="2" t="e">
        <f>VLOOKUP(B1561,MSCI中国成分股!A:B,1,)</f>
        <v>#N/A</v>
      </c>
    </row>
    <row r="1562" spans="1:6" ht="20.25" hidden="1" customHeight="1" x14ac:dyDescent="0.15">
      <c r="A1562" s="2" t="s">
        <v>3364</v>
      </c>
      <c r="B1562" s="2" t="s">
        <v>3365</v>
      </c>
      <c r="C1562" s="2">
        <v>1.1399999999999999</v>
      </c>
      <c r="D1562" s="2">
        <v>0.1537</v>
      </c>
      <c r="E1562" s="2" t="s">
        <v>49</v>
      </c>
      <c r="F1562" s="2" t="e">
        <f>VLOOKUP(B1562,MSCI中国成分股!A:B,1,)</f>
        <v>#N/A</v>
      </c>
    </row>
    <row r="1563" spans="1:6" ht="20.25" hidden="1" customHeight="1" x14ac:dyDescent="0.15">
      <c r="A1563" s="2" t="s">
        <v>3366</v>
      </c>
      <c r="B1563" s="2" t="s">
        <v>3367</v>
      </c>
      <c r="C1563" s="2">
        <v>0.8</v>
      </c>
      <c r="D1563" s="2">
        <v>2.0232999999999999</v>
      </c>
      <c r="E1563" s="2" t="s">
        <v>329</v>
      </c>
      <c r="F1563" s="2" t="e">
        <f>VLOOKUP(B1563,MSCI中国成分股!A:B,1,)</f>
        <v>#N/A</v>
      </c>
    </row>
    <row r="1564" spans="1:6" ht="20.25" hidden="1" customHeight="1" x14ac:dyDescent="0.15">
      <c r="A1564" s="2" t="s">
        <v>3368</v>
      </c>
      <c r="B1564" s="2" t="s">
        <v>3369</v>
      </c>
      <c r="C1564" s="2">
        <v>1.07</v>
      </c>
      <c r="D1564" s="2">
        <v>27.560700000000001</v>
      </c>
      <c r="E1564" s="2" t="s">
        <v>747</v>
      </c>
      <c r="F1564" s="2" t="e">
        <f>VLOOKUP(B1564,MSCI中国成分股!A:B,1,)</f>
        <v>#N/A</v>
      </c>
    </row>
    <row r="1565" spans="1:6" ht="20.25" hidden="1" customHeight="1" x14ac:dyDescent="0.15">
      <c r="A1565" s="2" t="s">
        <v>3370</v>
      </c>
      <c r="B1565" s="2" t="s">
        <v>3371</v>
      </c>
      <c r="C1565" s="2">
        <v>3.57</v>
      </c>
      <c r="D1565" s="2">
        <v>1.4095</v>
      </c>
      <c r="E1565" s="2" t="s">
        <v>171</v>
      </c>
      <c r="F1565" s="2" t="e">
        <f>VLOOKUP(B1565,MSCI中国成分股!A:B,1,)</f>
        <v>#N/A</v>
      </c>
    </row>
    <row r="1566" spans="1:6" ht="20.25" hidden="1" customHeight="1" x14ac:dyDescent="0.15">
      <c r="A1566" s="2" t="s">
        <v>3372</v>
      </c>
      <c r="B1566" s="2" t="s">
        <v>3373</v>
      </c>
      <c r="C1566" s="2">
        <v>1.55</v>
      </c>
      <c r="D1566" s="2">
        <v>97.4131</v>
      </c>
      <c r="E1566" s="2" t="s">
        <v>1870</v>
      </c>
      <c r="F1566" s="2" t="e">
        <f>VLOOKUP(B1566,MSCI中国成分股!A:B,1,)</f>
        <v>#N/A</v>
      </c>
    </row>
    <row r="1567" spans="1:6" ht="20.25" hidden="1" customHeight="1" x14ac:dyDescent="0.15">
      <c r="A1567" s="2" t="s">
        <v>3374</v>
      </c>
      <c r="B1567" s="2" t="s">
        <v>3375</v>
      </c>
      <c r="C1567" s="2">
        <v>2.4049999999999998</v>
      </c>
      <c r="D1567" s="2">
        <v>0.33479999999999999</v>
      </c>
      <c r="E1567" s="2" t="s">
        <v>1403</v>
      </c>
      <c r="F1567" s="2" t="e">
        <f>VLOOKUP(B1567,MSCI中国成分股!A:B,1,)</f>
        <v>#N/A</v>
      </c>
    </row>
    <row r="1568" spans="1:6" ht="20.25" hidden="1" customHeight="1" x14ac:dyDescent="0.15">
      <c r="A1568" s="2" t="s">
        <v>3376</v>
      </c>
      <c r="B1568" s="2" t="s">
        <v>3377</v>
      </c>
      <c r="C1568" s="2">
        <v>0.44</v>
      </c>
      <c r="D1568" s="2">
        <v>26.641999999999999</v>
      </c>
      <c r="E1568" s="2" t="s">
        <v>657</v>
      </c>
      <c r="F1568" s="2" t="e">
        <f>VLOOKUP(B1568,MSCI中国成分股!A:B,1,)</f>
        <v>#N/A</v>
      </c>
    </row>
    <row r="1569" spans="1:6" ht="20.25" hidden="1" customHeight="1" x14ac:dyDescent="0.15">
      <c r="A1569" s="2" t="s">
        <v>3378</v>
      </c>
      <c r="B1569" s="2" t="s">
        <v>3379</v>
      </c>
      <c r="C1569" s="2">
        <v>1.1000000000000001</v>
      </c>
      <c r="D1569" s="2">
        <v>1.0304</v>
      </c>
      <c r="E1569" s="2" t="s">
        <v>268</v>
      </c>
      <c r="F1569" s="2" t="e">
        <f>VLOOKUP(B1569,MSCI中国成分股!A:B,1,)</f>
        <v>#N/A</v>
      </c>
    </row>
    <row r="1570" spans="1:6" ht="20.25" hidden="1" customHeight="1" x14ac:dyDescent="0.15">
      <c r="A1570" s="2" t="s">
        <v>3380</v>
      </c>
      <c r="B1570" s="2" t="s">
        <v>3381</v>
      </c>
      <c r="C1570" s="2">
        <v>-0.52</v>
      </c>
      <c r="D1570" s="2">
        <v>2.8814000000000002</v>
      </c>
      <c r="E1570" s="2" t="s">
        <v>3246</v>
      </c>
      <c r="F1570" s="2" t="e">
        <f>VLOOKUP(B1570,MSCI中国成分股!A:B,1,)</f>
        <v>#N/A</v>
      </c>
    </row>
    <row r="1571" spans="1:6" ht="20.25" hidden="1" customHeight="1" x14ac:dyDescent="0.15">
      <c r="A1571" s="2" t="s">
        <v>3382</v>
      </c>
      <c r="B1571" s="2" t="s">
        <v>3383</v>
      </c>
      <c r="C1571" s="2">
        <v>0.67</v>
      </c>
      <c r="D1571" s="2">
        <v>1.82</v>
      </c>
      <c r="E1571" s="2" t="s">
        <v>149</v>
      </c>
      <c r="F1571" s="2" t="e">
        <f>VLOOKUP(B1571,MSCI中国成分股!A:B,1,)</f>
        <v>#N/A</v>
      </c>
    </row>
    <row r="1572" spans="1:6" ht="20.25" hidden="1" customHeight="1" x14ac:dyDescent="0.15">
      <c r="A1572" s="2" t="s">
        <v>3384</v>
      </c>
      <c r="B1572" s="2" t="s">
        <v>3385</v>
      </c>
      <c r="C1572" s="2">
        <v>2</v>
      </c>
      <c r="D1572" s="2">
        <v>38.4861</v>
      </c>
      <c r="E1572" s="2" t="s">
        <v>71</v>
      </c>
      <c r="F1572" s="2" t="e">
        <f>VLOOKUP(B1572,MSCI中国成分股!A:B,1,)</f>
        <v>#N/A</v>
      </c>
    </row>
    <row r="1573" spans="1:6" ht="20.25" hidden="1" customHeight="1" x14ac:dyDescent="0.15">
      <c r="A1573" s="2" t="s">
        <v>3386</v>
      </c>
      <c r="B1573" s="2" t="s">
        <v>3387</v>
      </c>
      <c r="C1573" s="2">
        <v>1.1100000000000001</v>
      </c>
      <c r="D1573" s="2">
        <v>1.6081000000000001</v>
      </c>
      <c r="E1573" s="2" t="s">
        <v>498</v>
      </c>
      <c r="F1573" s="2" t="e">
        <f>VLOOKUP(B1573,MSCI中国成分股!A:B,1,)</f>
        <v>#N/A</v>
      </c>
    </row>
    <row r="1574" spans="1:6" ht="20.25" hidden="1" customHeight="1" x14ac:dyDescent="0.15">
      <c r="A1574" s="2" t="s">
        <v>3388</v>
      </c>
      <c r="B1574" s="2" t="s">
        <v>3389</v>
      </c>
      <c r="C1574" s="2">
        <v>2.4449999999999998</v>
      </c>
      <c r="D1574" s="2">
        <v>4.5172999999999996</v>
      </c>
      <c r="E1574" s="2" t="s">
        <v>3390</v>
      </c>
      <c r="F1574" s="2" t="e">
        <f>VLOOKUP(B1574,MSCI中国成分股!A:B,1,)</f>
        <v>#N/A</v>
      </c>
    </row>
    <row r="1575" spans="1:6" ht="20.25" hidden="1" customHeight="1" x14ac:dyDescent="0.15">
      <c r="A1575" s="2" t="s">
        <v>3391</v>
      </c>
      <c r="B1575" s="2" t="s">
        <v>3392</v>
      </c>
      <c r="C1575" s="2">
        <v>1.49</v>
      </c>
      <c r="D1575" s="2">
        <v>1.5651999999999999</v>
      </c>
      <c r="E1575" s="2" t="s">
        <v>747</v>
      </c>
      <c r="F1575" s="2" t="e">
        <f>VLOOKUP(B1575,MSCI中国成分股!A:B,1,)</f>
        <v>#N/A</v>
      </c>
    </row>
    <row r="1576" spans="1:6" ht="20.25" hidden="1" customHeight="1" x14ac:dyDescent="0.15">
      <c r="A1576" s="2" t="s">
        <v>3393</v>
      </c>
      <c r="B1576" s="2" t="s">
        <v>3394</v>
      </c>
      <c r="C1576" s="2">
        <v>0.19</v>
      </c>
      <c r="D1576" s="2">
        <v>12.856999999999999</v>
      </c>
      <c r="E1576" s="2" t="s">
        <v>391</v>
      </c>
      <c r="F1576" s="2" t="e">
        <f>VLOOKUP(B1576,MSCI中国成分股!A:B,1,)</f>
        <v>#N/A</v>
      </c>
    </row>
    <row r="1577" spans="1:6" ht="20.25" hidden="1" customHeight="1" x14ac:dyDescent="0.15">
      <c r="A1577" s="2" t="s">
        <v>3395</v>
      </c>
      <c r="B1577" s="2" t="s">
        <v>3396</v>
      </c>
      <c r="C1577" s="2">
        <v>1.1399999999999999</v>
      </c>
      <c r="D1577" s="2">
        <v>2.7395</v>
      </c>
      <c r="E1577" s="2" t="s">
        <v>1801</v>
      </c>
      <c r="F1577" s="2" t="e">
        <f>VLOOKUP(B1577,MSCI中国成分股!A:B,1,)</f>
        <v>#N/A</v>
      </c>
    </row>
    <row r="1578" spans="1:6" ht="20.25" hidden="1" customHeight="1" x14ac:dyDescent="0.15">
      <c r="A1578" s="2" t="s">
        <v>3397</v>
      </c>
      <c r="B1578" s="2" t="s">
        <v>3398</v>
      </c>
      <c r="C1578" s="2">
        <v>-1.79</v>
      </c>
      <c r="D1578" s="2">
        <v>76.374300000000005</v>
      </c>
      <c r="E1578" s="2" t="s">
        <v>1094</v>
      </c>
      <c r="F1578" s="2" t="e">
        <f>VLOOKUP(B1578,MSCI中国成分股!A:B,1,)</f>
        <v>#N/A</v>
      </c>
    </row>
    <row r="1579" spans="1:6" ht="20.25" hidden="1" customHeight="1" x14ac:dyDescent="0.15">
      <c r="A1579" s="2" t="s">
        <v>3399</v>
      </c>
      <c r="B1579" s="2" t="s">
        <v>3400</v>
      </c>
      <c r="C1579" s="2">
        <v>0.24</v>
      </c>
      <c r="D1579" s="2">
        <v>8.4210999999999991</v>
      </c>
      <c r="E1579" s="2" t="s">
        <v>339</v>
      </c>
      <c r="F1579" s="2" t="e">
        <f>VLOOKUP(B1579,MSCI中国成分股!A:B,1,)</f>
        <v>#N/A</v>
      </c>
    </row>
    <row r="1580" spans="1:6" ht="20.25" hidden="1" customHeight="1" x14ac:dyDescent="0.15">
      <c r="A1580" s="2" t="s">
        <v>3401</v>
      </c>
      <c r="B1580" s="2" t="s">
        <v>3402</v>
      </c>
      <c r="C1580" s="2">
        <v>0.46</v>
      </c>
      <c r="D1580" s="2">
        <v>1.3334999999999999</v>
      </c>
      <c r="E1580" s="2" t="s">
        <v>784</v>
      </c>
      <c r="F1580" s="2" t="e">
        <f>VLOOKUP(B1580,MSCI中国成分股!A:B,1,)</f>
        <v>#N/A</v>
      </c>
    </row>
    <row r="1581" spans="1:6" ht="20.25" hidden="1" customHeight="1" x14ac:dyDescent="0.15">
      <c r="A1581" s="2" t="s">
        <v>3403</v>
      </c>
      <c r="B1581" s="2" t="s">
        <v>3404</v>
      </c>
      <c r="C1581" s="2">
        <v>1.35</v>
      </c>
      <c r="D1581" s="2">
        <v>2.2848999999999999</v>
      </c>
      <c r="E1581" s="2" t="s">
        <v>421</v>
      </c>
      <c r="F1581" s="2" t="e">
        <f>VLOOKUP(B1581,MSCI中国成分股!A:B,1,)</f>
        <v>#N/A</v>
      </c>
    </row>
    <row r="1582" spans="1:6" ht="20.25" hidden="1" customHeight="1" x14ac:dyDescent="0.15">
      <c r="A1582" s="2" t="s">
        <v>3405</v>
      </c>
      <c r="B1582" s="2" t="s">
        <v>3406</v>
      </c>
      <c r="C1582" s="2">
        <v>3.65</v>
      </c>
      <c r="D1582" s="2">
        <v>25.1219</v>
      </c>
      <c r="E1582" s="2" t="s">
        <v>1139</v>
      </c>
      <c r="F1582" s="2" t="e">
        <f>VLOOKUP(B1582,MSCI中国成分股!A:B,1,)</f>
        <v>#N/A</v>
      </c>
    </row>
    <row r="1583" spans="1:6" ht="20.25" hidden="1" customHeight="1" x14ac:dyDescent="0.15">
      <c r="A1583" s="2" t="s">
        <v>3407</v>
      </c>
      <c r="B1583" s="2" t="s">
        <v>3408</v>
      </c>
      <c r="C1583" s="2">
        <v>1.91</v>
      </c>
      <c r="D1583" s="2">
        <v>4.6540999999999997</v>
      </c>
      <c r="E1583" s="2" t="s">
        <v>44</v>
      </c>
      <c r="F1583" s="2" t="e">
        <f>VLOOKUP(B1583,MSCI中国成分股!A:B,1,)</f>
        <v>#N/A</v>
      </c>
    </row>
    <row r="1584" spans="1:6" ht="20.25" hidden="1" customHeight="1" x14ac:dyDescent="0.15">
      <c r="A1584" s="2" t="s">
        <v>3409</v>
      </c>
      <c r="B1584" s="2" t="s">
        <v>3410</v>
      </c>
      <c r="C1584" s="2">
        <v>-2.99</v>
      </c>
      <c r="D1584" s="2">
        <v>3684.1595000000002</v>
      </c>
      <c r="E1584" s="2" t="s">
        <v>2678</v>
      </c>
      <c r="F1584" s="2" t="e">
        <f>VLOOKUP(B1584,MSCI中国成分股!A:B,1,)</f>
        <v>#N/A</v>
      </c>
    </row>
    <row r="1585" spans="1:6" ht="20.25" hidden="1" customHeight="1" x14ac:dyDescent="0.15">
      <c r="A1585" s="2" t="s">
        <v>3411</v>
      </c>
      <c r="B1585" s="2" t="s">
        <v>3412</v>
      </c>
      <c r="C1585" s="2">
        <v>0.47</v>
      </c>
      <c r="D1585" s="2">
        <v>28.516300000000001</v>
      </c>
      <c r="E1585" s="2" t="s">
        <v>1801</v>
      </c>
      <c r="F1585" s="2" t="e">
        <f>VLOOKUP(B1585,MSCI中国成分股!A:B,1,)</f>
        <v>#N/A</v>
      </c>
    </row>
    <row r="1586" spans="1:6" ht="20.25" hidden="1" customHeight="1" x14ac:dyDescent="0.15">
      <c r="A1586" s="2" t="s">
        <v>3413</v>
      </c>
      <c r="B1586" s="2" t="s">
        <v>3414</v>
      </c>
      <c r="C1586" s="2">
        <v>3.03</v>
      </c>
      <c r="D1586" s="2">
        <v>1.1878</v>
      </c>
      <c r="E1586" s="2" t="s">
        <v>359</v>
      </c>
      <c r="F1586" s="2" t="e">
        <f>VLOOKUP(B1586,MSCI中国成分股!A:B,1,)</f>
        <v>#N/A</v>
      </c>
    </row>
    <row r="1587" spans="1:6" ht="20.25" hidden="1" customHeight="1" x14ac:dyDescent="0.15">
      <c r="A1587" s="2" t="s">
        <v>3415</v>
      </c>
      <c r="B1587" s="2" t="s">
        <v>3416</v>
      </c>
      <c r="C1587" s="2">
        <v>1.05</v>
      </c>
      <c r="D1587" s="2">
        <v>1.4300999999999999</v>
      </c>
      <c r="E1587" s="2" t="s">
        <v>501</v>
      </c>
      <c r="F1587" s="2" t="e">
        <f>VLOOKUP(B1587,MSCI中国成分股!A:B,1,)</f>
        <v>#N/A</v>
      </c>
    </row>
    <row r="1588" spans="1:6" ht="20.25" hidden="1" customHeight="1" x14ac:dyDescent="0.15">
      <c r="A1588" s="2" t="s">
        <v>3417</v>
      </c>
      <c r="B1588" s="2" t="s">
        <v>3418</v>
      </c>
      <c r="C1588" s="2">
        <v>0.73</v>
      </c>
      <c r="D1588" s="2">
        <v>2.2932999999999999</v>
      </c>
      <c r="E1588" s="2" t="s">
        <v>1158</v>
      </c>
      <c r="F1588" s="2" t="e">
        <f>VLOOKUP(B1588,MSCI中国成分股!A:B,1,)</f>
        <v>#N/A</v>
      </c>
    </row>
    <row r="1589" spans="1:6" ht="20.25" hidden="1" customHeight="1" x14ac:dyDescent="0.15">
      <c r="A1589" s="2" t="s">
        <v>3419</v>
      </c>
      <c r="B1589" s="2" t="s">
        <v>3420</v>
      </c>
      <c r="C1589" s="2">
        <v>-0.27</v>
      </c>
      <c r="D1589" s="2">
        <v>5.8064999999999998</v>
      </c>
      <c r="E1589" s="2" t="s">
        <v>225</v>
      </c>
      <c r="F1589" s="2" t="e">
        <f>VLOOKUP(B1589,MSCI中国成分股!A:B,1,)</f>
        <v>#N/A</v>
      </c>
    </row>
    <row r="1590" spans="1:6" ht="20.25" hidden="1" customHeight="1" x14ac:dyDescent="0.15">
      <c r="A1590" s="2" t="s">
        <v>3421</v>
      </c>
      <c r="B1590" s="2" t="s">
        <v>3422</v>
      </c>
      <c r="C1590" s="2">
        <v>1.76</v>
      </c>
      <c r="D1590" s="2">
        <v>1.6154999999999999</v>
      </c>
      <c r="E1590" s="2" t="s">
        <v>225</v>
      </c>
      <c r="F1590" s="2" t="e">
        <f>VLOOKUP(B1590,MSCI中国成分股!A:B,1,)</f>
        <v>#N/A</v>
      </c>
    </row>
    <row r="1591" spans="1:6" ht="20.25" hidden="1" customHeight="1" x14ac:dyDescent="0.15">
      <c r="A1591" s="2" t="s">
        <v>3423</v>
      </c>
      <c r="B1591" s="2" t="s">
        <v>3424</v>
      </c>
      <c r="C1591" s="2">
        <v>1.81</v>
      </c>
      <c r="D1591" s="2">
        <v>2.8681999999999999</v>
      </c>
      <c r="E1591" s="2" t="s">
        <v>371</v>
      </c>
      <c r="F1591" s="2" t="e">
        <f>VLOOKUP(B1591,MSCI中国成分股!A:B,1,)</f>
        <v>#N/A</v>
      </c>
    </row>
    <row r="1592" spans="1:6" ht="20.25" hidden="1" customHeight="1" x14ac:dyDescent="0.15">
      <c r="A1592" s="2" t="s">
        <v>3425</v>
      </c>
      <c r="B1592" s="2" t="s">
        <v>3426</v>
      </c>
      <c r="C1592" s="2">
        <v>1.59</v>
      </c>
      <c r="D1592" s="2">
        <v>6.5065</v>
      </c>
      <c r="E1592" s="2" t="s">
        <v>344</v>
      </c>
      <c r="F1592" s="2" t="e">
        <f>VLOOKUP(B1592,MSCI中国成分股!A:B,1,)</f>
        <v>#N/A</v>
      </c>
    </row>
    <row r="1593" spans="1:6" ht="20.25" hidden="1" customHeight="1" x14ac:dyDescent="0.15">
      <c r="A1593" s="2" t="s">
        <v>3427</v>
      </c>
      <c r="B1593" s="2" t="s">
        <v>3428</v>
      </c>
      <c r="C1593" s="2">
        <v>3.14</v>
      </c>
      <c r="D1593" s="2">
        <v>4.6772999999999998</v>
      </c>
      <c r="E1593" s="2" t="s">
        <v>1139</v>
      </c>
      <c r="F1593" s="2" t="e">
        <f>VLOOKUP(B1593,MSCI中国成分股!A:B,1,)</f>
        <v>#N/A</v>
      </c>
    </row>
    <row r="1594" spans="1:6" ht="20.25" hidden="1" customHeight="1" x14ac:dyDescent="0.15">
      <c r="A1594" s="2" t="s">
        <v>3429</v>
      </c>
      <c r="B1594" s="2" t="s">
        <v>3430</v>
      </c>
      <c r="C1594" s="2">
        <v>1.1100000000000001</v>
      </c>
      <c r="D1594" s="2">
        <v>5.8471000000000002</v>
      </c>
      <c r="E1594" s="2" t="s">
        <v>68</v>
      </c>
      <c r="F1594" s="2" t="e">
        <f>VLOOKUP(B1594,MSCI中国成分股!A:B,1,)</f>
        <v>#N/A</v>
      </c>
    </row>
    <row r="1595" spans="1:6" ht="20.25" hidden="1" customHeight="1" x14ac:dyDescent="0.15">
      <c r="A1595" s="2" t="s">
        <v>3431</v>
      </c>
      <c r="B1595" s="2" t="s">
        <v>3432</v>
      </c>
      <c r="C1595" s="2">
        <v>1.4450000000000001</v>
      </c>
      <c r="D1595" s="2">
        <v>1.3795999999999999</v>
      </c>
      <c r="E1595" s="2" t="s">
        <v>336</v>
      </c>
      <c r="F1595" s="2" t="e">
        <f>VLOOKUP(B1595,MSCI中国成分股!A:B,1,)</f>
        <v>#N/A</v>
      </c>
    </row>
    <row r="1596" spans="1:6" ht="20.25" hidden="1" customHeight="1" x14ac:dyDescent="0.15">
      <c r="A1596" s="2" t="s">
        <v>3433</v>
      </c>
      <c r="B1596" s="2" t="s">
        <v>3434</v>
      </c>
      <c r="C1596" s="2">
        <v>0.81</v>
      </c>
      <c r="D1596" s="2">
        <v>3.3782999999999999</v>
      </c>
      <c r="E1596" s="2" t="s">
        <v>220</v>
      </c>
      <c r="F1596" s="2" t="e">
        <f>VLOOKUP(B1596,MSCI中国成分股!A:B,1,)</f>
        <v>#N/A</v>
      </c>
    </row>
    <row r="1597" spans="1:6" ht="20.25" hidden="1" customHeight="1" x14ac:dyDescent="0.15">
      <c r="A1597" s="2" t="s">
        <v>3435</v>
      </c>
      <c r="B1597" s="2" t="s">
        <v>3436</v>
      </c>
      <c r="C1597" s="2">
        <v>1.53</v>
      </c>
      <c r="D1597" s="2">
        <v>32.427700000000002</v>
      </c>
      <c r="E1597" s="2" t="s">
        <v>86</v>
      </c>
      <c r="F1597" s="2" t="e">
        <f>VLOOKUP(B1597,MSCI中国成分股!A:B,1,)</f>
        <v>#N/A</v>
      </c>
    </row>
    <row r="1598" spans="1:6" ht="20.25" hidden="1" customHeight="1" x14ac:dyDescent="0.15">
      <c r="A1598" s="2" t="s">
        <v>3437</v>
      </c>
      <c r="B1598" s="2" t="s">
        <v>3438</v>
      </c>
      <c r="C1598" s="2">
        <v>6.02</v>
      </c>
      <c r="D1598" s="2">
        <v>5.1970000000000001</v>
      </c>
      <c r="E1598" s="2" t="s">
        <v>630</v>
      </c>
      <c r="F1598" s="2" t="e">
        <f>VLOOKUP(B1598,MSCI中国成分股!A:B,1,)</f>
        <v>#N/A</v>
      </c>
    </row>
    <row r="1599" spans="1:6" ht="20.25" hidden="1" customHeight="1" x14ac:dyDescent="0.15">
      <c r="A1599" s="2" t="s">
        <v>3439</v>
      </c>
      <c r="B1599" s="2" t="s">
        <v>3440</v>
      </c>
      <c r="C1599" s="2">
        <v>0.19</v>
      </c>
      <c r="D1599" s="2">
        <v>3.3736999999999999</v>
      </c>
      <c r="E1599" s="2" t="s">
        <v>406</v>
      </c>
      <c r="F1599" s="2" t="e">
        <f>VLOOKUP(B1599,MSCI中国成分股!A:B,1,)</f>
        <v>#N/A</v>
      </c>
    </row>
    <row r="1600" spans="1:6" ht="20.25" hidden="1" customHeight="1" x14ac:dyDescent="0.15">
      <c r="A1600" s="2" t="s">
        <v>3441</v>
      </c>
      <c r="B1600" s="2" t="s">
        <v>3442</v>
      </c>
      <c r="C1600" s="2">
        <v>2.04</v>
      </c>
      <c r="D1600" s="2">
        <v>0.26500000000000001</v>
      </c>
      <c r="E1600" s="2" t="s">
        <v>44</v>
      </c>
      <c r="F1600" s="2" t="e">
        <f>VLOOKUP(B1600,MSCI中国成分股!A:B,1,)</f>
        <v>#N/A</v>
      </c>
    </row>
    <row r="1601" spans="1:6" ht="20.25" hidden="1" customHeight="1" x14ac:dyDescent="0.15">
      <c r="A1601" s="2" t="s">
        <v>3443</v>
      </c>
      <c r="B1601" s="2" t="s">
        <v>3444</v>
      </c>
      <c r="C1601" s="2">
        <v>3.27</v>
      </c>
      <c r="D1601" s="2">
        <v>1.4976</v>
      </c>
      <c r="E1601" s="2" t="s">
        <v>3249</v>
      </c>
      <c r="F1601" s="2" t="e">
        <f>VLOOKUP(B1601,MSCI中国成分股!A:B,1,)</f>
        <v>#N/A</v>
      </c>
    </row>
    <row r="1602" spans="1:6" ht="20.25" hidden="1" customHeight="1" x14ac:dyDescent="0.15">
      <c r="A1602" s="2" t="s">
        <v>3445</v>
      </c>
      <c r="B1602" s="2" t="s">
        <v>3446</v>
      </c>
      <c r="C1602" s="2">
        <v>0.44</v>
      </c>
      <c r="D1602" s="2">
        <v>1.7304999999999999</v>
      </c>
      <c r="E1602" s="2" t="s">
        <v>747</v>
      </c>
      <c r="F1602" s="2" t="e">
        <f>VLOOKUP(B1602,MSCI中国成分股!A:B,1,)</f>
        <v>#N/A</v>
      </c>
    </row>
    <row r="1603" spans="1:6" ht="20.25" hidden="1" customHeight="1" x14ac:dyDescent="0.15">
      <c r="A1603" s="2" t="s">
        <v>3447</v>
      </c>
      <c r="B1603" s="2" t="s">
        <v>3448</v>
      </c>
      <c r="C1603" s="2">
        <v>2.08</v>
      </c>
      <c r="D1603" s="2">
        <v>5.0003000000000002</v>
      </c>
      <c r="E1603" s="2" t="s">
        <v>140</v>
      </c>
      <c r="F1603" s="2" t="e">
        <f>VLOOKUP(B1603,MSCI中国成分股!A:B,1,)</f>
        <v>#N/A</v>
      </c>
    </row>
    <row r="1604" spans="1:6" ht="20.25" hidden="1" customHeight="1" x14ac:dyDescent="0.15">
      <c r="A1604" s="2" t="s">
        <v>3449</v>
      </c>
      <c r="B1604" s="2" t="s">
        <v>3450</v>
      </c>
      <c r="C1604" s="2">
        <v>1.56</v>
      </c>
      <c r="D1604" s="2">
        <v>0.91149999999999998</v>
      </c>
      <c r="E1604" s="2" t="s">
        <v>741</v>
      </c>
      <c r="F1604" s="2" t="e">
        <f>VLOOKUP(B1604,MSCI中国成分股!A:B,1,)</f>
        <v>#N/A</v>
      </c>
    </row>
    <row r="1605" spans="1:6" ht="20.25" hidden="1" customHeight="1" x14ac:dyDescent="0.15">
      <c r="A1605" s="2" t="s">
        <v>3451</v>
      </c>
      <c r="B1605" s="2" t="s">
        <v>3452</v>
      </c>
      <c r="C1605" s="2">
        <v>-8.08</v>
      </c>
      <c r="D1605" s="2">
        <v>1576.4833000000001</v>
      </c>
      <c r="E1605" s="2" t="s">
        <v>35</v>
      </c>
      <c r="F1605" s="2" t="e">
        <f>VLOOKUP(B1605,MSCI中国成分股!A:B,1,)</f>
        <v>#N/A</v>
      </c>
    </row>
    <row r="1606" spans="1:6" ht="20.25" hidden="1" customHeight="1" x14ac:dyDescent="0.15">
      <c r="A1606" s="2" t="s">
        <v>3453</v>
      </c>
      <c r="B1606" s="2" t="s">
        <v>3454</v>
      </c>
      <c r="C1606" s="2">
        <v>1.03</v>
      </c>
      <c r="D1606" s="2">
        <v>4.1300000000000003E-2</v>
      </c>
      <c r="E1606" s="2" t="s">
        <v>339</v>
      </c>
      <c r="F1606" s="2" t="e">
        <f>VLOOKUP(B1606,MSCI中国成分股!A:B,1,)</f>
        <v>#N/A</v>
      </c>
    </row>
    <row r="1607" spans="1:6" ht="20.25" hidden="1" customHeight="1" x14ac:dyDescent="0.15">
      <c r="A1607" s="2" t="s">
        <v>3455</v>
      </c>
      <c r="B1607" s="2" t="s">
        <v>3456</v>
      </c>
      <c r="C1607" s="2">
        <v>1.17</v>
      </c>
      <c r="D1607" s="2">
        <v>0.17419999999999999</v>
      </c>
      <c r="E1607" s="2" t="s">
        <v>86</v>
      </c>
      <c r="F1607" s="2" t="e">
        <f>VLOOKUP(B1607,MSCI中国成分股!A:B,1,)</f>
        <v>#N/A</v>
      </c>
    </row>
    <row r="1608" spans="1:6" ht="20.25" hidden="1" customHeight="1" x14ac:dyDescent="0.15">
      <c r="A1608" s="2" t="s">
        <v>3457</v>
      </c>
      <c r="B1608" s="2" t="s">
        <v>3458</v>
      </c>
      <c r="C1608" s="2">
        <v>5.5250000000000004</v>
      </c>
      <c r="D1608" s="2">
        <v>18.888200000000001</v>
      </c>
      <c r="E1608" s="2" t="s">
        <v>727</v>
      </c>
      <c r="F1608" s="2" t="e">
        <f>VLOOKUP(B1608,MSCI中国成分股!A:B,1,)</f>
        <v>#N/A</v>
      </c>
    </row>
    <row r="1609" spans="1:6" ht="20.25" hidden="1" customHeight="1" x14ac:dyDescent="0.15">
      <c r="A1609" s="2" t="s">
        <v>3459</v>
      </c>
      <c r="B1609" s="2" t="s">
        <v>3460</v>
      </c>
      <c r="C1609" s="2">
        <v>0.52</v>
      </c>
      <c r="D1609" s="2">
        <v>9.8276000000000003</v>
      </c>
      <c r="E1609" s="2" t="s">
        <v>21</v>
      </c>
      <c r="F1609" s="2" t="e">
        <f>VLOOKUP(B1609,MSCI中国成分股!A:B,1,)</f>
        <v>#N/A</v>
      </c>
    </row>
    <row r="1610" spans="1:6" ht="20.25" hidden="1" customHeight="1" x14ac:dyDescent="0.15">
      <c r="A1610" s="2" t="s">
        <v>3461</v>
      </c>
      <c r="B1610" s="2" t="s">
        <v>3462</v>
      </c>
      <c r="C1610" s="2">
        <v>0.32</v>
      </c>
      <c r="D1610" s="2">
        <v>4.1814999999999998</v>
      </c>
      <c r="E1610" s="2" t="s">
        <v>1285</v>
      </c>
      <c r="F1610" s="2" t="e">
        <f>VLOOKUP(B1610,MSCI中国成分股!A:B,1,)</f>
        <v>#N/A</v>
      </c>
    </row>
    <row r="1611" spans="1:6" ht="20.25" hidden="1" customHeight="1" x14ac:dyDescent="0.15">
      <c r="A1611" s="2" t="s">
        <v>3463</v>
      </c>
      <c r="B1611" s="2" t="s">
        <v>3464</v>
      </c>
      <c r="C1611" s="2">
        <v>2.23</v>
      </c>
      <c r="D1611" s="2">
        <v>0.8639</v>
      </c>
      <c r="E1611" s="2" t="s">
        <v>3048</v>
      </c>
      <c r="F1611" s="2" t="e">
        <f>VLOOKUP(B1611,MSCI中国成分股!A:B,1,)</f>
        <v>#N/A</v>
      </c>
    </row>
    <row r="1612" spans="1:6" ht="20.25" hidden="1" customHeight="1" x14ac:dyDescent="0.15">
      <c r="A1612" s="2" t="s">
        <v>3465</v>
      </c>
      <c r="B1612" s="2" t="s">
        <v>3466</v>
      </c>
      <c r="C1612" s="2">
        <v>0.72</v>
      </c>
      <c r="D1612" s="2">
        <v>3.0034999999999998</v>
      </c>
      <c r="E1612" s="2" t="s">
        <v>201</v>
      </c>
      <c r="F1612" s="2" t="e">
        <f>VLOOKUP(B1612,MSCI中国成分股!A:B,1,)</f>
        <v>#N/A</v>
      </c>
    </row>
    <row r="1613" spans="1:6" ht="20.25" hidden="1" customHeight="1" x14ac:dyDescent="0.15">
      <c r="A1613" s="2" t="s">
        <v>3467</v>
      </c>
      <c r="B1613" s="2" t="s">
        <v>3468</v>
      </c>
      <c r="C1613" s="2">
        <v>2.2799999999999998</v>
      </c>
      <c r="D1613" s="2">
        <v>2.4868999999999999</v>
      </c>
      <c r="E1613" s="2" t="s">
        <v>1436</v>
      </c>
      <c r="F1613" s="2" t="e">
        <f>VLOOKUP(B1613,MSCI中国成分股!A:B,1,)</f>
        <v>#N/A</v>
      </c>
    </row>
    <row r="1614" spans="1:6" ht="20.25" hidden="1" customHeight="1" x14ac:dyDescent="0.15">
      <c r="A1614" s="2" t="s">
        <v>3469</v>
      </c>
      <c r="B1614" s="2" t="s">
        <v>3470</v>
      </c>
      <c r="C1614" s="2">
        <v>-0.98</v>
      </c>
      <c r="D1614" s="2">
        <v>2.3102</v>
      </c>
      <c r="E1614" s="2" t="s">
        <v>207</v>
      </c>
      <c r="F1614" s="2" t="e">
        <f>VLOOKUP(B1614,MSCI中国成分股!A:B,1,)</f>
        <v>#N/A</v>
      </c>
    </row>
    <row r="1615" spans="1:6" ht="20.25" hidden="1" customHeight="1" x14ac:dyDescent="0.15">
      <c r="A1615" s="2" t="s">
        <v>3471</v>
      </c>
      <c r="B1615" s="2" t="s">
        <v>3472</v>
      </c>
      <c r="C1615" s="2">
        <v>2.395</v>
      </c>
      <c r="D1615" s="2">
        <v>5.7161</v>
      </c>
      <c r="E1615" s="2" t="s">
        <v>176</v>
      </c>
      <c r="F1615" s="2" t="e">
        <f>VLOOKUP(B1615,MSCI中国成分股!A:B,1,)</f>
        <v>#N/A</v>
      </c>
    </row>
    <row r="1616" spans="1:6" ht="20.25" hidden="1" customHeight="1" x14ac:dyDescent="0.15">
      <c r="A1616" s="2" t="s">
        <v>3473</v>
      </c>
      <c r="B1616" s="2" t="s">
        <v>3474</v>
      </c>
      <c r="C1616" s="2">
        <v>2.68</v>
      </c>
      <c r="D1616" s="2">
        <v>86.386700000000005</v>
      </c>
      <c r="E1616" s="2" t="s">
        <v>647</v>
      </c>
      <c r="F1616" s="2" t="e">
        <f>VLOOKUP(B1616,MSCI中国成分股!A:B,1,)</f>
        <v>#N/A</v>
      </c>
    </row>
    <row r="1617" spans="1:6" ht="20.25" hidden="1" customHeight="1" x14ac:dyDescent="0.15">
      <c r="A1617" s="2" t="s">
        <v>3475</v>
      </c>
      <c r="B1617" s="2" t="s">
        <v>3476</v>
      </c>
      <c r="C1617" s="2">
        <v>2.04</v>
      </c>
      <c r="D1617" s="2">
        <v>1.3851</v>
      </c>
      <c r="E1617" s="2" t="s">
        <v>143</v>
      </c>
      <c r="F1617" s="2" t="e">
        <f>VLOOKUP(B1617,MSCI中国成分股!A:B,1,)</f>
        <v>#N/A</v>
      </c>
    </row>
    <row r="1618" spans="1:6" ht="20.25" hidden="1" customHeight="1" x14ac:dyDescent="0.15">
      <c r="A1618" s="2" t="s">
        <v>3477</v>
      </c>
      <c r="B1618" s="2" t="s">
        <v>3478</v>
      </c>
      <c r="C1618" s="2">
        <v>0.92</v>
      </c>
      <c r="D1618" s="2">
        <v>2.5533999999999999</v>
      </c>
      <c r="E1618" s="2" t="s">
        <v>421</v>
      </c>
      <c r="F1618" s="2" t="e">
        <f>VLOOKUP(B1618,MSCI中国成分股!A:B,1,)</f>
        <v>#N/A</v>
      </c>
    </row>
    <row r="1619" spans="1:6" ht="20.25" hidden="1" customHeight="1" x14ac:dyDescent="0.15">
      <c r="A1619" s="2" t="s">
        <v>3479</v>
      </c>
      <c r="B1619" s="2" t="s">
        <v>3480</v>
      </c>
      <c r="C1619" s="2">
        <v>1.1299999999999999</v>
      </c>
      <c r="D1619" s="2">
        <v>1.7090000000000001</v>
      </c>
      <c r="E1619" s="2" t="s">
        <v>747</v>
      </c>
      <c r="F1619" s="2" t="e">
        <f>VLOOKUP(B1619,MSCI中国成分股!A:B,1,)</f>
        <v>#N/A</v>
      </c>
    </row>
    <row r="1620" spans="1:6" ht="20.25" hidden="1" customHeight="1" x14ac:dyDescent="0.15">
      <c r="A1620" s="2" t="s">
        <v>3481</v>
      </c>
      <c r="B1620" s="2" t="s">
        <v>3482</v>
      </c>
      <c r="C1620" s="2">
        <v>0.85499999999999998</v>
      </c>
      <c r="D1620" s="2">
        <v>1.3949</v>
      </c>
      <c r="E1620" s="2" t="s">
        <v>605</v>
      </c>
      <c r="F1620" s="2" t="e">
        <f>VLOOKUP(B1620,MSCI中国成分股!A:B,1,)</f>
        <v>#N/A</v>
      </c>
    </row>
    <row r="1621" spans="1:6" ht="20.25" hidden="1" customHeight="1" x14ac:dyDescent="0.15">
      <c r="A1621" s="2" t="s">
        <v>3483</v>
      </c>
      <c r="B1621" s="2" t="s">
        <v>3484</v>
      </c>
      <c r="C1621" s="2">
        <v>0.11</v>
      </c>
      <c r="D1621" s="2">
        <v>3.3323</v>
      </c>
      <c r="E1621" s="2" t="s">
        <v>529</v>
      </c>
      <c r="F1621" s="2" t="e">
        <f>VLOOKUP(B1621,MSCI中国成分股!A:B,1,)</f>
        <v>#N/A</v>
      </c>
    </row>
    <row r="1622" spans="1:6" ht="20.25" hidden="1" customHeight="1" x14ac:dyDescent="0.15">
      <c r="A1622" s="2" t="s">
        <v>3485</v>
      </c>
      <c r="B1622" s="2" t="s">
        <v>3486</v>
      </c>
      <c r="C1622" s="2">
        <v>0.19</v>
      </c>
      <c r="D1622" s="2">
        <v>1.4896</v>
      </c>
      <c r="E1622" s="2" t="s">
        <v>13</v>
      </c>
      <c r="F1622" s="2" t="e">
        <f>VLOOKUP(B1622,MSCI中国成分股!A:B,1,)</f>
        <v>#N/A</v>
      </c>
    </row>
    <row r="1623" spans="1:6" ht="20.25" hidden="1" customHeight="1" x14ac:dyDescent="0.15">
      <c r="A1623" s="2" t="s">
        <v>3487</v>
      </c>
      <c r="B1623" s="2" t="s">
        <v>3488</v>
      </c>
      <c r="C1623" s="2">
        <v>2.6</v>
      </c>
      <c r="D1623" s="2">
        <v>0.47320000000000001</v>
      </c>
      <c r="E1623" s="2" t="s">
        <v>406</v>
      </c>
      <c r="F1623" s="2" t="e">
        <f>VLOOKUP(B1623,MSCI中国成分股!A:B,1,)</f>
        <v>#N/A</v>
      </c>
    </row>
    <row r="1624" spans="1:6" ht="20.25" hidden="1" customHeight="1" x14ac:dyDescent="0.15">
      <c r="A1624" s="2" t="s">
        <v>3489</v>
      </c>
      <c r="B1624" s="2" t="s">
        <v>3490</v>
      </c>
      <c r="C1624" s="2">
        <v>-0.12</v>
      </c>
      <c r="D1624" s="2">
        <v>2.5301999999999998</v>
      </c>
      <c r="E1624" s="2" t="s">
        <v>501</v>
      </c>
      <c r="F1624" s="2" t="e">
        <f>VLOOKUP(B1624,MSCI中国成分股!A:B,1,)</f>
        <v>#N/A</v>
      </c>
    </row>
    <row r="1625" spans="1:6" ht="20.25" hidden="1" customHeight="1" x14ac:dyDescent="0.15">
      <c r="A1625" s="2" t="s">
        <v>3491</v>
      </c>
      <c r="B1625" s="2" t="s">
        <v>3492</v>
      </c>
      <c r="C1625" s="2">
        <v>1.84</v>
      </c>
      <c r="D1625" s="2">
        <v>8.7345000000000006</v>
      </c>
      <c r="E1625" s="2" t="s">
        <v>310</v>
      </c>
      <c r="F1625" s="2" t="e">
        <f>VLOOKUP(B1625,MSCI中国成分股!A:B,1,)</f>
        <v>#N/A</v>
      </c>
    </row>
    <row r="1626" spans="1:6" ht="20.25" hidden="1" customHeight="1" x14ac:dyDescent="0.15">
      <c r="A1626" s="2" t="s">
        <v>3493</v>
      </c>
      <c r="B1626" s="2" t="s">
        <v>3494</v>
      </c>
      <c r="C1626" s="2">
        <v>5.32</v>
      </c>
      <c r="D1626" s="2">
        <v>13.870900000000001</v>
      </c>
      <c r="E1626" s="2" t="s">
        <v>260</v>
      </c>
      <c r="F1626" s="2" t="e">
        <f>VLOOKUP(B1626,MSCI中国成分股!A:B,1,)</f>
        <v>#N/A</v>
      </c>
    </row>
    <row r="1627" spans="1:6" ht="20.25" hidden="1" customHeight="1" x14ac:dyDescent="0.15">
      <c r="A1627" s="2" t="s">
        <v>3495</v>
      </c>
      <c r="B1627" s="2" t="s">
        <v>3496</v>
      </c>
      <c r="C1627" s="2">
        <v>1.97</v>
      </c>
      <c r="D1627" s="2">
        <v>1.0144</v>
      </c>
      <c r="E1627" s="2" t="s">
        <v>123</v>
      </c>
      <c r="F1627" s="2" t="e">
        <f>VLOOKUP(B1627,MSCI中国成分股!A:B,1,)</f>
        <v>#N/A</v>
      </c>
    </row>
    <row r="1628" spans="1:6" ht="20.25" hidden="1" customHeight="1" x14ac:dyDescent="0.15">
      <c r="A1628" s="2" t="s">
        <v>3497</v>
      </c>
      <c r="B1628" s="2" t="s">
        <v>3498</v>
      </c>
      <c r="C1628" s="2">
        <v>-0.73</v>
      </c>
      <c r="D1628" s="2">
        <v>13.768800000000001</v>
      </c>
      <c r="E1628" s="2" t="s">
        <v>86</v>
      </c>
      <c r="F1628" s="2" t="e">
        <f>VLOOKUP(B1628,MSCI中国成分股!A:B,1,)</f>
        <v>#N/A</v>
      </c>
    </row>
    <row r="1629" spans="1:6" ht="20.25" hidden="1" customHeight="1" x14ac:dyDescent="0.15">
      <c r="A1629" s="2" t="s">
        <v>3499</v>
      </c>
      <c r="B1629" s="2" t="s">
        <v>3500</v>
      </c>
      <c r="C1629" s="2">
        <v>0.45</v>
      </c>
      <c r="D1629" s="2">
        <v>0.58689999999999998</v>
      </c>
      <c r="E1629" s="2" t="s">
        <v>120</v>
      </c>
      <c r="F1629" s="2" t="e">
        <f>VLOOKUP(B1629,MSCI中国成分股!A:B,1,)</f>
        <v>#N/A</v>
      </c>
    </row>
    <row r="1630" spans="1:6" ht="20.25" hidden="1" customHeight="1" x14ac:dyDescent="0.15">
      <c r="A1630" s="2" t="s">
        <v>3501</v>
      </c>
      <c r="B1630" s="2" t="s">
        <v>3502</v>
      </c>
      <c r="C1630" s="2">
        <v>-0.1</v>
      </c>
      <c r="D1630" s="2">
        <v>1.9765999999999999</v>
      </c>
      <c r="E1630" s="2" t="s">
        <v>421</v>
      </c>
      <c r="F1630" s="2" t="e">
        <f>VLOOKUP(B1630,MSCI中国成分股!A:B,1,)</f>
        <v>#N/A</v>
      </c>
    </row>
    <row r="1631" spans="1:6" ht="20.25" hidden="1" customHeight="1" x14ac:dyDescent="0.15">
      <c r="A1631" s="2" t="s">
        <v>3503</v>
      </c>
      <c r="B1631" s="2" t="s">
        <v>3504</v>
      </c>
      <c r="C1631" s="2">
        <v>-0.5</v>
      </c>
      <c r="D1631" s="2">
        <v>20.403199999999998</v>
      </c>
      <c r="E1631" s="2" t="s">
        <v>677</v>
      </c>
      <c r="F1631" s="2" t="e">
        <f>VLOOKUP(B1631,MSCI中国成分股!A:B,1,)</f>
        <v>#N/A</v>
      </c>
    </row>
    <row r="1632" spans="1:6" ht="20.25" hidden="1" customHeight="1" x14ac:dyDescent="0.15">
      <c r="A1632" s="2" t="s">
        <v>3505</v>
      </c>
      <c r="B1632" s="2" t="s">
        <v>3506</v>
      </c>
      <c r="C1632" s="2">
        <v>-1.88</v>
      </c>
      <c r="D1632" s="2">
        <v>27.053599999999999</v>
      </c>
      <c r="E1632" s="2" t="s">
        <v>371</v>
      </c>
      <c r="F1632" s="2" t="e">
        <f>VLOOKUP(B1632,MSCI中国成分股!A:B,1,)</f>
        <v>#N/A</v>
      </c>
    </row>
    <row r="1633" spans="1:6" ht="20.25" hidden="1" customHeight="1" x14ac:dyDescent="0.15">
      <c r="A1633" s="2" t="s">
        <v>3507</v>
      </c>
      <c r="B1633" s="2" t="s">
        <v>3508</v>
      </c>
      <c r="C1633" s="2">
        <v>3.415</v>
      </c>
      <c r="D1633" s="2">
        <v>2.5466000000000002</v>
      </c>
      <c r="E1633" s="2" t="s">
        <v>3048</v>
      </c>
      <c r="F1633" s="2" t="e">
        <f>VLOOKUP(B1633,MSCI中国成分股!A:B,1,)</f>
        <v>#N/A</v>
      </c>
    </row>
    <row r="1634" spans="1:6" ht="20.25" hidden="1" customHeight="1" x14ac:dyDescent="0.15">
      <c r="A1634" s="2" t="s">
        <v>3509</v>
      </c>
      <c r="B1634" s="2" t="s">
        <v>3510</v>
      </c>
      <c r="C1634" s="2">
        <v>-0.09</v>
      </c>
      <c r="D1634" s="2">
        <v>0.47849999999999998</v>
      </c>
      <c r="E1634" s="2" t="s">
        <v>220</v>
      </c>
      <c r="F1634" s="2" t="e">
        <f>VLOOKUP(B1634,MSCI中国成分股!A:B,1,)</f>
        <v>#N/A</v>
      </c>
    </row>
    <row r="1635" spans="1:6" ht="20.25" hidden="1" customHeight="1" x14ac:dyDescent="0.15">
      <c r="A1635" s="2" t="s">
        <v>3511</v>
      </c>
      <c r="B1635" s="2" t="s">
        <v>3512</v>
      </c>
      <c r="C1635" s="2">
        <v>1.7</v>
      </c>
      <c r="D1635" s="2">
        <v>2.5217999999999998</v>
      </c>
      <c r="E1635" s="2" t="s">
        <v>501</v>
      </c>
      <c r="F1635" s="2" t="e">
        <f>VLOOKUP(B1635,MSCI中国成分股!A:B,1,)</f>
        <v>#N/A</v>
      </c>
    </row>
    <row r="1636" spans="1:6" ht="20.25" hidden="1" customHeight="1" x14ac:dyDescent="0.15">
      <c r="A1636" s="2" t="s">
        <v>3513</v>
      </c>
      <c r="B1636" s="2" t="s">
        <v>3514</v>
      </c>
      <c r="C1636" s="2">
        <v>-0.09</v>
      </c>
      <c r="D1636" s="2">
        <v>0.39229999999999998</v>
      </c>
      <c r="E1636" s="2" t="s">
        <v>220</v>
      </c>
      <c r="F1636" s="2" t="e">
        <f>VLOOKUP(B1636,MSCI中国成分股!A:B,1,)</f>
        <v>#N/A</v>
      </c>
    </row>
    <row r="1637" spans="1:6" ht="20.25" hidden="1" customHeight="1" x14ac:dyDescent="0.15">
      <c r="A1637" s="2" t="s">
        <v>3515</v>
      </c>
      <c r="B1637" s="2" t="s">
        <v>3516</v>
      </c>
      <c r="C1637" s="2">
        <v>3.03</v>
      </c>
      <c r="D1637" s="2">
        <v>14.775600000000001</v>
      </c>
      <c r="E1637" s="2" t="s">
        <v>1757</v>
      </c>
      <c r="F1637" s="2" t="e">
        <f>VLOOKUP(B1637,MSCI中国成分股!A:B,1,)</f>
        <v>#N/A</v>
      </c>
    </row>
    <row r="1638" spans="1:6" ht="20.25" hidden="1" customHeight="1" x14ac:dyDescent="0.15">
      <c r="A1638" s="2" t="s">
        <v>3517</v>
      </c>
      <c r="B1638" s="2" t="s">
        <v>3518</v>
      </c>
      <c r="C1638" s="2">
        <v>1.47</v>
      </c>
      <c r="D1638" s="2">
        <v>0.53249999999999997</v>
      </c>
      <c r="E1638" s="2" t="s">
        <v>140</v>
      </c>
      <c r="F1638" s="2" t="e">
        <f>VLOOKUP(B1638,MSCI中国成分股!A:B,1,)</f>
        <v>#N/A</v>
      </c>
    </row>
    <row r="1639" spans="1:6" ht="20.25" hidden="1" customHeight="1" x14ac:dyDescent="0.15">
      <c r="A1639" s="2" t="s">
        <v>3519</v>
      </c>
      <c r="B1639" s="2" t="s">
        <v>3520</v>
      </c>
      <c r="C1639" s="2">
        <v>0.32</v>
      </c>
      <c r="D1639" s="2">
        <v>4.7873000000000001</v>
      </c>
      <c r="E1639" s="2" t="s">
        <v>35</v>
      </c>
      <c r="F1639" s="2" t="e">
        <f>VLOOKUP(B1639,MSCI中国成分股!A:B,1,)</f>
        <v>#N/A</v>
      </c>
    </row>
    <row r="1640" spans="1:6" ht="20.25" hidden="1" customHeight="1" x14ac:dyDescent="0.15">
      <c r="A1640" s="2" t="s">
        <v>3521</v>
      </c>
      <c r="B1640" s="2" t="s">
        <v>3522</v>
      </c>
      <c r="C1640" s="2">
        <v>0.4</v>
      </c>
      <c r="D1640" s="2">
        <v>3.7202999999999999</v>
      </c>
      <c r="E1640" s="2" t="s">
        <v>65</v>
      </c>
      <c r="F1640" s="2" t="e">
        <f>VLOOKUP(B1640,MSCI中国成分股!A:B,1,)</f>
        <v>#N/A</v>
      </c>
    </row>
    <row r="1641" spans="1:6" ht="20.25" hidden="1" customHeight="1" x14ac:dyDescent="0.15">
      <c r="A1641" s="2" t="s">
        <v>3523</v>
      </c>
      <c r="B1641" s="2" t="s">
        <v>3524</v>
      </c>
      <c r="C1641" s="2">
        <v>0.26</v>
      </c>
      <c r="D1641" s="2">
        <v>1.0940000000000001</v>
      </c>
      <c r="E1641" s="2" t="s">
        <v>462</v>
      </c>
      <c r="F1641" s="2" t="e">
        <f>VLOOKUP(B1641,MSCI中国成分股!A:B,1,)</f>
        <v>#N/A</v>
      </c>
    </row>
    <row r="1642" spans="1:6" ht="20.25" hidden="1" customHeight="1" x14ac:dyDescent="0.15">
      <c r="A1642" s="2" t="s">
        <v>3525</v>
      </c>
      <c r="B1642" s="2" t="s">
        <v>3526</v>
      </c>
      <c r="C1642" s="2">
        <v>4.8499999999999996</v>
      </c>
      <c r="D1642" s="2">
        <v>2.2443</v>
      </c>
      <c r="E1642" s="2" t="s">
        <v>630</v>
      </c>
      <c r="F1642" s="2" t="e">
        <f>VLOOKUP(B1642,MSCI中国成分股!A:B,1,)</f>
        <v>#N/A</v>
      </c>
    </row>
    <row r="1643" spans="1:6" ht="20.25" hidden="1" customHeight="1" x14ac:dyDescent="0.15">
      <c r="A1643" s="2" t="s">
        <v>3527</v>
      </c>
      <c r="B1643" s="2" t="s">
        <v>3528</v>
      </c>
      <c r="C1643" s="2">
        <v>2.75</v>
      </c>
      <c r="D1643" s="2">
        <v>8.0356000000000005</v>
      </c>
      <c r="E1643" s="2" t="s">
        <v>690</v>
      </c>
      <c r="F1643" s="2" t="e">
        <f>VLOOKUP(B1643,MSCI中国成分股!A:B,1,)</f>
        <v>#N/A</v>
      </c>
    </row>
    <row r="1644" spans="1:6" ht="20.25" hidden="1" customHeight="1" x14ac:dyDescent="0.15">
      <c r="A1644" s="2" t="s">
        <v>3529</v>
      </c>
      <c r="B1644" s="2" t="s">
        <v>3530</v>
      </c>
      <c r="C1644" s="2">
        <v>-0.88</v>
      </c>
      <c r="D1644" s="2">
        <v>33.010399999999997</v>
      </c>
      <c r="E1644" s="2" t="s">
        <v>1094</v>
      </c>
      <c r="F1644" s="2" t="e">
        <f>VLOOKUP(B1644,MSCI中国成分股!A:B,1,)</f>
        <v>#N/A</v>
      </c>
    </row>
    <row r="1645" spans="1:6" ht="20.25" hidden="1" customHeight="1" x14ac:dyDescent="0.15">
      <c r="A1645" s="2" t="s">
        <v>3531</v>
      </c>
      <c r="B1645" s="2" t="s">
        <v>3532</v>
      </c>
      <c r="C1645" s="2">
        <v>2.87</v>
      </c>
      <c r="D1645" s="2">
        <v>2.6141000000000001</v>
      </c>
      <c r="E1645" s="2" t="s">
        <v>1436</v>
      </c>
      <c r="F1645" s="2" t="e">
        <f>VLOOKUP(B1645,MSCI中国成分股!A:B,1,)</f>
        <v>#N/A</v>
      </c>
    </row>
    <row r="1646" spans="1:6" ht="20.25" hidden="1" customHeight="1" x14ac:dyDescent="0.15">
      <c r="A1646" s="2" t="s">
        <v>3533</v>
      </c>
      <c r="B1646" s="2" t="s">
        <v>3534</v>
      </c>
      <c r="C1646" s="2">
        <v>3.22</v>
      </c>
      <c r="D1646" s="2">
        <v>29.731400000000001</v>
      </c>
      <c r="E1646" s="2" t="s">
        <v>41</v>
      </c>
      <c r="F1646" s="2" t="e">
        <f>VLOOKUP(B1646,MSCI中国成分股!A:B,1,)</f>
        <v>#N/A</v>
      </c>
    </row>
    <row r="1647" spans="1:6" ht="20.25" hidden="1" customHeight="1" x14ac:dyDescent="0.15">
      <c r="A1647" s="2" t="s">
        <v>3535</v>
      </c>
      <c r="B1647" s="2" t="s">
        <v>3536</v>
      </c>
      <c r="C1647" s="2">
        <v>0.82</v>
      </c>
      <c r="D1647" s="2">
        <v>2.0291999999999999</v>
      </c>
      <c r="E1647" s="2" t="s">
        <v>371</v>
      </c>
      <c r="F1647" s="2" t="e">
        <f>VLOOKUP(B1647,MSCI中国成分股!A:B,1,)</f>
        <v>#N/A</v>
      </c>
    </row>
    <row r="1648" spans="1:6" ht="20.25" hidden="1" customHeight="1" x14ac:dyDescent="0.15">
      <c r="A1648" s="2" t="s">
        <v>3537</v>
      </c>
      <c r="B1648" s="2" t="s">
        <v>3538</v>
      </c>
      <c r="C1648" s="2">
        <v>-5.23</v>
      </c>
      <c r="D1648" s="2">
        <v>1518.2122999999999</v>
      </c>
      <c r="E1648" s="2" t="s">
        <v>44</v>
      </c>
      <c r="F1648" s="2" t="e">
        <f>VLOOKUP(B1648,MSCI中国成分股!A:B,1,)</f>
        <v>#N/A</v>
      </c>
    </row>
    <row r="1649" spans="1:6" ht="20.25" hidden="1" customHeight="1" x14ac:dyDescent="0.15">
      <c r="A1649" s="2" t="s">
        <v>3539</v>
      </c>
      <c r="B1649" s="2" t="s">
        <v>3540</v>
      </c>
      <c r="C1649" s="2">
        <v>1.0900000000000001</v>
      </c>
      <c r="D1649" s="2">
        <v>4.1837999999999997</v>
      </c>
      <c r="E1649" s="2" t="s">
        <v>418</v>
      </c>
      <c r="F1649" s="2" t="e">
        <f>VLOOKUP(B1649,MSCI中国成分股!A:B,1,)</f>
        <v>#N/A</v>
      </c>
    </row>
    <row r="1650" spans="1:6" ht="20.25" hidden="1" customHeight="1" x14ac:dyDescent="0.15">
      <c r="A1650" s="2" t="s">
        <v>3541</v>
      </c>
      <c r="B1650" s="2" t="s">
        <v>3542</v>
      </c>
      <c r="C1650" s="2">
        <v>-2</v>
      </c>
      <c r="D1650" s="2">
        <v>43.398899999999998</v>
      </c>
      <c r="E1650" s="2" t="s">
        <v>713</v>
      </c>
      <c r="F1650" s="2" t="e">
        <f>VLOOKUP(B1650,MSCI中国成分股!A:B,1,)</f>
        <v>#N/A</v>
      </c>
    </row>
    <row r="1651" spans="1:6" ht="20.25" hidden="1" customHeight="1" x14ac:dyDescent="0.15">
      <c r="A1651" s="2" t="s">
        <v>3543</v>
      </c>
      <c r="B1651" s="2" t="s">
        <v>3544</v>
      </c>
      <c r="C1651" s="2">
        <v>3.5750000000000002</v>
      </c>
      <c r="D1651" s="2">
        <v>4.4009</v>
      </c>
      <c r="E1651" s="2" t="s">
        <v>35</v>
      </c>
      <c r="F1651" s="2" t="e">
        <f>VLOOKUP(B1651,MSCI中国成分股!A:B,1,)</f>
        <v>#N/A</v>
      </c>
    </row>
    <row r="1652" spans="1:6" ht="20.25" hidden="1" customHeight="1" x14ac:dyDescent="0.15">
      <c r="A1652" s="2" t="s">
        <v>3545</v>
      </c>
      <c r="B1652" s="2" t="s">
        <v>3546</v>
      </c>
      <c r="C1652" s="2">
        <v>0.4</v>
      </c>
      <c r="D1652" s="2">
        <v>3.9830999999999999</v>
      </c>
      <c r="E1652" s="2" t="s">
        <v>652</v>
      </c>
      <c r="F1652" s="2" t="e">
        <f>VLOOKUP(B1652,MSCI中国成分股!A:B,1,)</f>
        <v>#N/A</v>
      </c>
    </row>
    <row r="1653" spans="1:6" ht="20.25" hidden="1" customHeight="1" x14ac:dyDescent="0.15">
      <c r="A1653" s="2" t="s">
        <v>3547</v>
      </c>
      <c r="B1653" s="2" t="s">
        <v>3548</v>
      </c>
      <c r="C1653" s="2">
        <v>2.83</v>
      </c>
      <c r="D1653" s="2">
        <v>2.1718999999999999</v>
      </c>
      <c r="E1653" s="2" t="s">
        <v>336</v>
      </c>
      <c r="F1653" s="2" t="e">
        <f>VLOOKUP(B1653,MSCI中国成分股!A:B,1,)</f>
        <v>#N/A</v>
      </c>
    </row>
    <row r="1654" spans="1:6" ht="20.25" hidden="1" customHeight="1" x14ac:dyDescent="0.15">
      <c r="A1654" s="2" t="s">
        <v>3549</v>
      </c>
      <c r="B1654" s="2" t="s">
        <v>3550</v>
      </c>
      <c r="C1654" s="2">
        <v>2.7850000000000001</v>
      </c>
      <c r="D1654" s="2">
        <v>4.1120000000000001</v>
      </c>
      <c r="E1654" s="2" t="s">
        <v>55</v>
      </c>
      <c r="F1654" s="2" t="e">
        <f>VLOOKUP(B1654,MSCI中国成分股!A:B,1,)</f>
        <v>#N/A</v>
      </c>
    </row>
    <row r="1655" spans="1:6" ht="20.25" hidden="1" customHeight="1" x14ac:dyDescent="0.15">
      <c r="A1655" s="2" t="s">
        <v>3551</v>
      </c>
      <c r="B1655" s="2" t="s">
        <v>3552</v>
      </c>
      <c r="C1655" s="2">
        <v>1.1200000000000001</v>
      </c>
      <c r="D1655" s="2">
        <v>0.3846</v>
      </c>
      <c r="E1655" s="2" t="s">
        <v>1425</v>
      </c>
      <c r="F1655" s="2" t="e">
        <f>VLOOKUP(B1655,MSCI中国成分股!A:B,1,)</f>
        <v>#N/A</v>
      </c>
    </row>
    <row r="1656" spans="1:6" ht="20.25" hidden="1" customHeight="1" x14ac:dyDescent="0.15">
      <c r="A1656" s="2" t="s">
        <v>3553</v>
      </c>
      <c r="B1656" s="2" t="s">
        <v>3554</v>
      </c>
      <c r="C1656" s="2">
        <v>0.54</v>
      </c>
      <c r="D1656" s="2">
        <v>185.07640000000001</v>
      </c>
      <c r="E1656" s="2" t="s">
        <v>3053</v>
      </c>
      <c r="F1656" s="2" t="e">
        <f>VLOOKUP(B1656,MSCI中国成分股!A:B,1,)</f>
        <v>#N/A</v>
      </c>
    </row>
    <row r="1657" spans="1:6" ht="20.25" hidden="1" customHeight="1" x14ac:dyDescent="0.15">
      <c r="A1657" s="2" t="s">
        <v>3555</v>
      </c>
      <c r="B1657" s="2" t="s">
        <v>3556</v>
      </c>
      <c r="C1657" s="2">
        <v>0.52</v>
      </c>
      <c r="D1657" s="2">
        <v>1.3622000000000001</v>
      </c>
      <c r="E1657" s="2" t="s">
        <v>44</v>
      </c>
      <c r="F1657" s="2" t="e">
        <f>VLOOKUP(B1657,MSCI中国成分股!A:B,1,)</f>
        <v>#N/A</v>
      </c>
    </row>
    <row r="1658" spans="1:6" ht="20.25" hidden="1" customHeight="1" x14ac:dyDescent="0.15">
      <c r="A1658" s="2" t="s">
        <v>3557</v>
      </c>
      <c r="B1658" s="2" t="s">
        <v>3558</v>
      </c>
      <c r="C1658" s="2">
        <v>0.63</v>
      </c>
      <c r="D1658" s="2">
        <v>1.0763</v>
      </c>
      <c r="E1658" s="2" t="s">
        <v>704</v>
      </c>
      <c r="F1658" s="2" t="e">
        <f>VLOOKUP(B1658,MSCI中国成分股!A:B,1,)</f>
        <v>#N/A</v>
      </c>
    </row>
    <row r="1659" spans="1:6" ht="20.25" hidden="1" customHeight="1" x14ac:dyDescent="0.15">
      <c r="A1659" s="2" t="s">
        <v>3559</v>
      </c>
      <c r="B1659" s="2" t="s">
        <v>3560</v>
      </c>
      <c r="C1659" s="2">
        <v>-0.28000000000000003</v>
      </c>
      <c r="D1659" s="2">
        <v>5.9977</v>
      </c>
      <c r="E1659" s="2" t="s">
        <v>630</v>
      </c>
      <c r="F1659" s="2" t="e">
        <f>VLOOKUP(B1659,MSCI中国成分股!A:B,1,)</f>
        <v>#N/A</v>
      </c>
    </row>
    <row r="1660" spans="1:6" ht="20.25" hidden="1" customHeight="1" x14ac:dyDescent="0.15">
      <c r="A1660" s="2" t="s">
        <v>3561</v>
      </c>
      <c r="B1660" s="2" t="s">
        <v>3562</v>
      </c>
      <c r="C1660" s="2">
        <v>-0.2</v>
      </c>
      <c r="D1660" s="2">
        <v>0.39810000000000001</v>
      </c>
      <c r="E1660" s="2" t="s">
        <v>769</v>
      </c>
      <c r="F1660" s="2" t="e">
        <f>VLOOKUP(B1660,MSCI中国成分股!A:B,1,)</f>
        <v>#N/A</v>
      </c>
    </row>
    <row r="1661" spans="1:6" ht="20.25" hidden="1" customHeight="1" x14ac:dyDescent="0.15">
      <c r="A1661" s="2" t="s">
        <v>3563</v>
      </c>
      <c r="B1661" s="2" t="s">
        <v>3564</v>
      </c>
      <c r="C1661" s="2">
        <v>0.67</v>
      </c>
      <c r="D1661" s="2">
        <v>2.3784999999999998</v>
      </c>
      <c r="E1661" s="2" t="s">
        <v>81</v>
      </c>
      <c r="F1661" s="2" t="e">
        <f>VLOOKUP(B1661,MSCI中国成分股!A:B,1,)</f>
        <v>#N/A</v>
      </c>
    </row>
    <row r="1662" spans="1:6" ht="20.25" hidden="1" customHeight="1" x14ac:dyDescent="0.15">
      <c r="A1662" s="2" t="s">
        <v>3565</v>
      </c>
      <c r="B1662" s="2" t="s">
        <v>3566</v>
      </c>
      <c r="C1662" s="2">
        <v>-0.16</v>
      </c>
      <c r="D1662" s="2">
        <v>127.81319999999999</v>
      </c>
      <c r="E1662" s="2" t="s">
        <v>1248</v>
      </c>
      <c r="F1662" s="2" t="e">
        <f>VLOOKUP(B1662,MSCI中国成分股!A:B,1,)</f>
        <v>#N/A</v>
      </c>
    </row>
    <row r="1663" spans="1:6" ht="20.25" hidden="1" customHeight="1" x14ac:dyDescent="0.15">
      <c r="A1663" s="2" t="s">
        <v>3567</v>
      </c>
      <c r="B1663" s="2" t="s">
        <v>3568</v>
      </c>
      <c r="C1663" s="2">
        <v>1.24</v>
      </c>
      <c r="D1663" s="2">
        <v>2.2183000000000002</v>
      </c>
      <c r="E1663" s="2" t="s">
        <v>385</v>
      </c>
      <c r="F1663" s="2" t="e">
        <f>VLOOKUP(B1663,MSCI中国成分股!A:B,1,)</f>
        <v>#N/A</v>
      </c>
    </row>
    <row r="1664" spans="1:6" ht="20.25" hidden="1" customHeight="1" x14ac:dyDescent="0.15">
      <c r="A1664" s="2" t="s">
        <v>3569</v>
      </c>
      <c r="B1664" s="2" t="s">
        <v>3570</v>
      </c>
      <c r="C1664" s="2">
        <v>-0.62</v>
      </c>
      <c r="D1664" s="2">
        <v>10.3345</v>
      </c>
      <c r="E1664" s="2" t="s">
        <v>60</v>
      </c>
      <c r="F1664" s="2" t="e">
        <f>VLOOKUP(B1664,MSCI中国成分股!A:B,1,)</f>
        <v>#N/A</v>
      </c>
    </row>
    <row r="1665" spans="1:6" ht="20.25" hidden="1" customHeight="1" x14ac:dyDescent="0.15">
      <c r="A1665" s="2" t="s">
        <v>3571</v>
      </c>
      <c r="B1665" s="2" t="s">
        <v>3572</v>
      </c>
      <c r="C1665" s="2">
        <v>1.86</v>
      </c>
      <c r="D1665" s="2">
        <v>1.3596999999999999</v>
      </c>
      <c r="E1665" s="2" t="s">
        <v>281</v>
      </c>
      <c r="F1665" s="2" t="e">
        <f>VLOOKUP(B1665,MSCI中国成分股!A:B,1,)</f>
        <v>#N/A</v>
      </c>
    </row>
    <row r="1666" spans="1:6" ht="20.25" hidden="1" customHeight="1" x14ac:dyDescent="0.15">
      <c r="A1666" s="2" t="s">
        <v>3573</v>
      </c>
      <c r="B1666" s="2" t="s">
        <v>3574</v>
      </c>
      <c r="C1666" s="2">
        <v>2.95</v>
      </c>
      <c r="D1666" s="2">
        <v>4.7628000000000004</v>
      </c>
      <c r="E1666" s="2" t="s">
        <v>371</v>
      </c>
      <c r="F1666" s="2" t="e">
        <f>VLOOKUP(B1666,MSCI中国成分股!A:B,1,)</f>
        <v>#N/A</v>
      </c>
    </row>
    <row r="1667" spans="1:6" ht="20.25" hidden="1" customHeight="1" x14ac:dyDescent="0.15">
      <c r="A1667" s="2" t="s">
        <v>3575</v>
      </c>
      <c r="B1667" s="2" t="s">
        <v>3576</v>
      </c>
      <c r="C1667" s="2">
        <v>1.31</v>
      </c>
      <c r="D1667" s="2">
        <v>1.2685999999999999</v>
      </c>
      <c r="E1667" s="2" t="s">
        <v>310</v>
      </c>
      <c r="F1667" s="2" t="e">
        <f>VLOOKUP(B1667,MSCI中国成分股!A:B,1,)</f>
        <v>#N/A</v>
      </c>
    </row>
    <row r="1668" spans="1:6" ht="20.25" hidden="1" customHeight="1" x14ac:dyDescent="0.15">
      <c r="A1668" s="2" t="s">
        <v>3577</v>
      </c>
      <c r="B1668" s="2" t="s">
        <v>3578</v>
      </c>
      <c r="C1668" s="2">
        <v>2.63</v>
      </c>
      <c r="D1668" s="2">
        <v>2.3834</v>
      </c>
      <c r="E1668" s="2" t="s">
        <v>1145</v>
      </c>
      <c r="F1668" s="2" t="e">
        <f>VLOOKUP(B1668,MSCI中国成分股!A:B,1,)</f>
        <v>#N/A</v>
      </c>
    </row>
    <row r="1669" spans="1:6" ht="20.25" hidden="1" customHeight="1" x14ac:dyDescent="0.15">
      <c r="A1669" s="2" t="s">
        <v>3579</v>
      </c>
      <c r="B1669" s="2" t="s">
        <v>3580</v>
      </c>
      <c r="C1669" s="2">
        <v>0.64</v>
      </c>
      <c r="D1669" s="2">
        <v>0.54249999999999998</v>
      </c>
      <c r="E1669" s="2" t="s">
        <v>344</v>
      </c>
      <c r="F1669" s="2" t="e">
        <f>VLOOKUP(B1669,MSCI中国成分股!A:B,1,)</f>
        <v>#N/A</v>
      </c>
    </row>
    <row r="1670" spans="1:6" ht="20.25" hidden="1" customHeight="1" x14ac:dyDescent="0.15">
      <c r="A1670" s="2" t="s">
        <v>3581</v>
      </c>
      <c r="B1670" s="2" t="s">
        <v>3582</v>
      </c>
      <c r="C1670" s="2">
        <v>3.2450000000000001</v>
      </c>
      <c r="D1670" s="2">
        <v>2.6598999999999999</v>
      </c>
      <c r="E1670" s="2" t="s">
        <v>140</v>
      </c>
      <c r="F1670" s="2" t="e">
        <f>VLOOKUP(B1670,MSCI中国成分股!A:B,1,)</f>
        <v>#N/A</v>
      </c>
    </row>
    <row r="1671" spans="1:6" ht="20.25" hidden="1" customHeight="1" x14ac:dyDescent="0.15">
      <c r="A1671" s="2" t="s">
        <v>3583</v>
      </c>
      <c r="B1671" s="2" t="s">
        <v>3584</v>
      </c>
      <c r="C1671" s="2">
        <v>1.94</v>
      </c>
      <c r="D1671" s="2">
        <v>1.1952</v>
      </c>
      <c r="E1671" s="2" t="s">
        <v>1757</v>
      </c>
      <c r="F1671" s="2" t="e">
        <f>VLOOKUP(B1671,MSCI中国成分股!A:B,1,)</f>
        <v>#N/A</v>
      </c>
    </row>
    <row r="1672" spans="1:6" ht="20.25" hidden="1" customHeight="1" x14ac:dyDescent="0.15">
      <c r="A1672" s="2" t="s">
        <v>3585</v>
      </c>
      <c r="B1672" s="2" t="s">
        <v>3586</v>
      </c>
      <c r="C1672" s="2">
        <v>3.72</v>
      </c>
      <c r="D1672" s="2">
        <v>0.54149999999999998</v>
      </c>
      <c r="E1672" s="2" t="s">
        <v>664</v>
      </c>
      <c r="F1672" s="2" t="e">
        <f>VLOOKUP(B1672,MSCI中国成分股!A:B,1,)</f>
        <v>#N/A</v>
      </c>
    </row>
    <row r="1673" spans="1:6" ht="20.25" hidden="1" customHeight="1" x14ac:dyDescent="0.15">
      <c r="A1673" s="2" t="s">
        <v>3587</v>
      </c>
      <c r="B1673" s="2" t="s">
        <v>3588</v>
      </c>
      <c r="C1673" s="2">
        <v>2.5150000000000001</v>
      </c>
      <c r="D1673" s="2">
        <v>3.5369999999999999</v>
      </c>
      <c r="E1673" s="2" t="s">
        <v>44</v>
      </c>
      <c r="F1673" s="2" t="e">
        <f>VLOOKUP(B1673,MSCI中国成分股!A:B,1,)</f>
        <v>#N/A</v>
      </c>
    </row>
    <row r="1674" spans="1:6" ht="20.25" hidden="1" customHeight="1" x14ac:dyDescent="0.15">
      <c r="A1674" s="2" t="s">
        <v>3589</v>
      </c>
      <c r="B1674" s="2" t="s">
        <v>3590</v>
      </c>
      <c r="C1674" s="2">
        <v>3.61</v>
      </c>
      <c r="D1674" s="2">
        <v>1.2099</v>
      </c>
      <c r="E1674" s="2" t="s">
        <v>713</v>
      </c>
      <c r="F1674" s="2" t="e">
        <f>VLOOKUP(B1674,MSCI中国成分股!A:B,1,)</f>
        <v>#N/A</v>
      </c>
    </row>
    <row r="1675" spans="1:6" ht="20.25" hidden="1" customHeight="1" x14ac:dyDescent="0.15">
      <c r="A1675" s="2" t="s">
        <v>3591</v>
      </c>
      <c r="B1675" s="2" t="s">
        <v>3592</v>
      </c>
      <c r="C1675" s="2">
        <v>2.98</v>
      </c>
      <c r="D1675" s="2">
        <v>5.1938000000000004</v>
      </c>
      <c r="E1675" s="2" t="s">
        <v>299</v>
      </c>
      <c r="F1675" s="2" t="e">
        <f>VLOOKUP(B1675,MSCI中国成分股!A:B,1,)</f>
        <v>#N/A</v>
      </c>
    </row>
    <row r="1676" spans="1:6" ht="20.25" hidden="1" customHeight="1" x14ac:dyDescent="0.15">
      <c r="A1676" s="2" t="s">
        <v>3593</v>
      </c>
      <c r="B1676" s="2" t="s">
        <v>3594</v>
      </c>
      <c r="C1676" s="2">
        <v>2.81</v>
      </c>
      <c r="D1676" s="2">
        <v>3.2869999999999999</v>
      </c>
      <c r="E1676" s="2" t="s">
        <v>299</v>
      </c>
      <c r="F1676" s="2" t="e">
        <f>VLOOKUP(B1676,MSCI中国成分股!A:B,1,)</f>
        <v>#N/A</v>
      </c>
    </row>
    <row r="1677" spans="1:6" ht="20.25" hidden="1" customHeight="1" x14ac:dyDescent="0.15">
      <c r="A1677" s="2" t="s">
        <v>3595</v>
      </c>
      <c r="B1677" s="2" t="s">
        <v>3596</v>
      </c>
      <c r="C1677" s="2">
        <v>2.36</v>
      </c>
      <c r="D1677" s="2">
        <v>8.2582000000000004</v>
      </c>
      <c r="E1677" s="2" t="s">
        <v>176</v>
      </c>
      <c r="F1677" s="2" t="e">
        <f>VLOOKUP(B1677,MSCI中国成分股!A:B,1,)</f>
        <v>#N/A</v>
      </c>
    </row>
    <row r="1678" spans="1:6" ht="20.25" hidden="1" customHeight="1" x14ac:dyDescent="0.15">
      <c r="A1678" s="2" t="s">
        <v>3597</v>
      </c>
      <c r="B1678" s="2" t="s">
        <v>3598</v>
      </c>
      <c r="C1678" s="2">
        <v>0.34</v>
      </c>
      <c r="D1678" s="2">
        <v>8.1342999999999996</v>
      </c>
      <c r="E1678" s="2" t="s">
        <v>322</v>
      </c>
      <c r="F1678" s="2" t="e">
        <f>VLOOKUP(B1678,MSCI中国成分股!A:B,1,)</f>
        <v>#N/A</v>
      </c>
    </row>
    <row r="1679" spans="1:6" ht="20.25" hidden="1" customHeight="1" x14ac:dyDescent="0.15">
      <c r="A1679" s="2" t="s">
        <v>3599</v>
      </c>
      <c r="B1679" s="2" t="s">
        <v>3600</v>
      </c>
      <c r="C1679" s="2">
        <v>1.56</v>
      </c>
      <c r="D1679" s="2">
        <v>0.87480000000000002</v>
      </c>
      <c r="E1679" s="2" t="s">
        <v>276</v>
      </c>
      <c r="F1679" s="2" t="e">
        <f>VLOOKUP(B1679,MSCI中国成分股!A:B,1,)</f>
        <v>#N/A</v>
      </c>
    </row>
    <row r="1680" spans="1:6" ht="20.25" hidden="1" customHeight="1" x14ac:dyDescent="0.15">
      <c r="A1680" s="2" t="s">
        <v>3601</v>
      </c>
      <c r="B1680" s="2" t="s">
        <v>3602</v>
      </c>
      <c r="C1680" s="2">
        <v>-2.79</v>
      </c>
      <c r="D1680" s="2">
        <v>623.19730000000004</v>
      </c>
      <c r="E1680" s="2" t="s">
        <v>1873</v>
      </c>
      <c r="F1680" s="2" t="e">
        <f>VLOOKUP(B1680,MSCI中国成分股!A:B,1,)</f>
        <v>#N/A</v>
      </c>
    </row>
    <row r="1681" spans="1:6" ht="20.25" hidden="1" customHeight="1" x14ac:dyDescent="0.15">
      <c r="A1681" s="2" t="s">
        <v>3603</v>
      </c>
      <c r="B1681" s="2" t="s">
        <v>3604</v>
      </c>
      <c r="C1681" s="2">
        <v>1.1299999999999999</v>
      </c>
      <c r="D1681" s="2">
        <v>0.85209999999999997</v>
      </c>
      <c r="E1681" s="2" t="s">
        <v>568</v>
      </c>
      <c r="F1681" s="2" t="e">
        <f>VLOOKUP(B1681,MSCI中国成分股!A:B,1,)</f>
        <v>#N/A</v>
      </c>
    </row>
    <row r="1682" spans="1:6" ht="20.25" hidden="1" customHeight="1" x14ac:dyDescent="0.15">
      <c r="A1682" s="2" t="s">
        <v>3605</v>
      </c>
      <c r="B1682" s="2" t="s">
        <v>3606</v>
      </c>
      <c r="C1682" s="2">
        <v>0.32</v>
      </c>
      <c r="D1682" s="2">
        <v>20.191800000000001</v>
      </c>
      <c r="E1682" s="2" t="s">
        <v>371</v>
      </c>
      <c r="F1682" s="2" t="e">
        <f>VLOOKUP(B1682,MSCI中国成分股!A:B,1,)</f>
        <v>#N/A</v>
      </c>
    </row>
    <row r="1683" spans="1:6" ht="20.25" hidden="1" customHeight="1" x14ac:dyDescent="0.15">
      <c r="A1683" s="2" t="s">
        <v>3607</v>
      </c>
      <c r="B1683" s="2" t="s">
        <v>3608</v>
      </c>
      <c r="C1683" s="2">
        <v>1.42</v>
      </c>
      <c r="D1683" s="2">
        <v>2.9729999999999999</v>
      </c>
      <c r="E1683" s="2" t="s">
        <v>371</v>
      </c>
      <c r="F1683" s="2" t="e">
        <f>VLOOKUP(B1683,MSCI中国成分股!A:B,1,)</f>
        <v>#N/A</v>
      </c>
    </row>
    <row r="1684" spans="1:6" ht="20.25" hidden="1" customHeight="1" x14ac:dyDescent="0.15">
      <c r="A1684" s="2" t="s">
        <v>3609</v>
      </c>
      <c r="B1684" s="2" t="s">
        <v>3610</v>
      </c>
      <c r="C1684" s="2">
        <v>2.59</v>
      </c>
      <c r="D1684" s="2">
        <v>0.81330000000000002</v>
      </c>
      <c r="E1684" s="2" t="s">
        <v>2068</v>
      </c>
      <c r="F1684" s="2" t="e">
        <f>VLOOKUP(B1684,MSCI中国成分股!A:B,1,)</f>
        <v>#N/A</v>
      </c>
    </row>
    <row r="1685" spans="1:6" ht="20.25" hidden="1" customHeight="1" x14ac:dyDescent="0.15">
      <c r="A1685" s="2" t="s">
        <v>3611</v>
      </c>
      <c r="B1685" s="2" t="s">
        <v>3612</v>
      </c>
      <c r="C1685" s="2">
        <v>2.7</v>
      </c>
      <c r="D1685" s="2">
        <v>6.2664999999999997</v>
      </c>
      <c r="E1685" s="2" t="s">
        <v>1275</v>
      </c>
      <c r="F1685" s="2" t="e">
        <f>VLOOKUP(B1685,MSCI中国成分股!A:B,1,)</f>
        <v>#N/A</v>
      </c>
    </row>
    <row r="1686" spans="1:6" ht="20.25" hidden="1" customHeight="1" x14ac:dyDescent="0.15">
      <c r="A1686" s="2" t="s">
        <v>3613</v>
      </c>
      <c r="B1686" s="2" t="s">
        <v>3614</v>
      </c>
      <c r="C1686" s="2">
        <v>0.94</v>
      </c>
      <c r="D1686" s="2">
        <v>0.58030000000000004</v>
      </c>
      <c r="E1686" s="2" t="s">
        <v>140</v>
      </c>
      <c r="F1686" s="2" t="e">
        <f>VLOOKUP(B1686,MSCI中国成分股!A:B,1,)</f>
        <v>#N/A</v>
      </c>
    </row>
    <row r="1687" spans="1:6" ht="20.25" hidden="1" customHeight="1" x14ac:dyDescent="0.15">
      <c r="A1687" s="2" t="s">
        <v>3615</v>
      </c>
      <c r="B1687" s="2" t="s">
        <v>3616</v>
      </c>
      <c r="C1687" s="2">
        <v>1.71</v>
      </c>
      <c r="D1687" s="2">
        <v>2.9171</v>
      </c>
      <c r="E1687" s="2" t="s">
        <v>2930</v>
      </c>
      <c r="F1687" s="2" t="e">
        <f>VLOOKUP(B1687,MSCI中国成分股!A:B,1,)</f>
        <v>#N/A</v>
      </c>
    </row>
    <row r="1688" spans="1:6" ht="20.25" hidden="1" customHeight="1" x14ac:dyDescent="0.15">
      <c r="A1688" s="2" t="s">
        <v>3617</v>
      </c>
      <c r="B1688" s="2" t="s">
        <v>3618</v>
      </c>
      <c r="C1688" s="2">
        <v>-0.01</v>
      </c>
      <c r="D1688" s="2">
        <v>1.8788</v>
      </c>
      <c r="E1688" s="2" t="s">
        <v>220</v>
      </c>
      <c r="F1688" s="2" t="e">
        <f>VLOOKUP(B1688,MSCI中国成分股!A:B,1,)</f>
        <v>#N/A</v>
      </c>
    </row>
    <row r="1689" spans="1:6" ht="20.25" hidden="1" customHeight="1" x14ac:dyDescent="0.15">
      <c r="A1689" s="2" t="s">
        <v>3619</v>
      </c>
      <c r="B1689" s="2" t="s">
        <v>3620</v>
      </c>
      <c r="C1689" s="2">
        <v>2.1800000000000002</v>
      </c>
      <c r="D1689" s="2">
        <v>8.2065000000000001</v>
      </c>
      <c r="E1689" s="2" t="s">
        <v>41</v>
      </c>
      <c r="F1689" s="2" t="e">
        <f>VLOOKUP(B1689,MSCI中国成分股!A:B,1,)</f>
        <v>#N/A</v>
      </c>
    </row>
    <row r="1690" spans="1:6" ht="20.25" hidden="1" customHeight="1" x14ac:dyDescent="0.15">
      <c r="A1690" s="2" t="s">
        <v>3621</v>
      </c>
      <c r="B1690" s="2" t="s">
        <v>3622</v>
      </c>
      <c r="C1690" s="2">
        <v>3.29</v>
      </c>
      <c r="D1690" s="2">
        <v>2.4438</v>
      </c>
      <c r="E1690" s="2" t="s">
        <v>2355</v>
      </c>
      <c r="F1690" s="2" t="e">
        <f>VLOOKUP(B1690,MSCI中国成分股!A:B,1,)</f>
        <v>#N/A</v>
      </c>
    </row>
    <row r="1691" spans="1:6" ht="20.25" hidden="1" customHeight="1" x14ac:dyDescent="0.15">
      <c r="A1691" s="2" t="s">
        <v>3623</v>
      </c>
      <c r="B1691" s="2" t="s">
        <v>3624</v>
      </c>
      <c r="C1691" s="2">
        <v>3.86</v>
      </c>
      <c r="D1691" s="2">
        <v>3.6358000000000001</v>
      </c>
      <c r="E1691" s="2" t="s">
        <v>2681</v>
      </c>
      <c r="F1691" s="2" t="e">
        <f>VLOOKUP(B1691,MSCI中国成分股!A:B,1,)</f>
        <v>#N/A</v>
      </c>
    </row>
    <row r="1692" spans="1:6" ht="20.25" hidden="1" customHeight="1" x14ac:dyDescent="0.15">
      <c r="A1692" s="2" t="s">
        <v>3625</v>
      </c>
      <c r="B1692" s="2" t="s">
        <v>3626</v>
      </c>
      <c r="C1692" s="2">
        <v>0.77</v>
      </c>
      <c r="D1692" s="2">
        <v>10.7852</v>
      </c>
      <c r="E1692" s="2" t="s">
        <v>359</v>
      </c>
      <c r="F1692" s="2" t="e">
        <f>VLOOKUP(B1692,MSCI中国成分股!A:B,1,)</f>
        <v>#N/A</v>
      </c>
    </row>
    <row r="1693" spans="1:6" ht="20.25" hidden="1" customHeight="1" x14ac:dyDescent="0.15">
      <c r="A1693" s="2" t="s">
        <v>3627</v>
      </c>
      <c r="B1693" s="2" t="s">
        <v>3628</v>
      </c>
      <c r="C1693" s="2">
        <v>0.8</v>
      </c>
      <c r="D1693" s="2">
        <v>1.5512999999999999</v>
      </c>
      <c r="E1693" s="2" t="s">
        <v>3130</v>
      </c>
      <c r="F1693" s="2" t="e">
        <f>VLOOKUP(B1693,MSCI中国成分股!A:B,1,)</f>
        <v>#N/A</v>
      </c>
    </row>
    <row r="1694" spans="1:6" ht="20.25" hidden="1" customHeight="1" x14ac:dyDescent="0.15">
      <c r="A1694" s="2" t="s">
        <v>3629</v>
      </c>
      <c r="B1694" s="2" t="s">
        <v>3630</v>
      </c>
      <c r="C1694" s="2">
        <v>-0.32</v>
      </c>
      <c r="D1694" s="2">
        <v>11.210800000000001</v>
      </c>
      <c r="E1694" s="2" t="s">
        <v>664</v>
      </c>
      <c r="F1694" s="2" t="e">
        <f>VLOOKUP(B1694,MSCI中国成分股!A:B,1,)</f>
        <v>#N/A</v>
      </c>
    </row>
    <row r="1695" spans="1:6" ht="20.25" hidden="1" customHeight="1" x14ac:dyDescent="0.15">
      <c r="A1695" s="2" t="s">
        <v>3631</v>
      </c>
      <c r="B1695" s="2" t="s">
        <v>3632</v>
      </c>
      <c r="C1695" s="2">
        <v>1.33</v>
      </c>
      <c r="D1695" s="2">
        <v>5.2397999999999998</v>
      </c>
      <c r="E1695" s="2" t="s">
        <v>143</v>
      </c>
      <c r="F1695" s="2" t="e">
        <f>VLOOKUP(B1695,MSCI中国成分股!A:B,1,)</f>
        <v>#N/A</v>
      </c>
    </row>
    <row r="1696" spans="1:6" ht="20.25" hidden="1" customHeight="1" x14ac:dyDescent="0.15">
      <c r="A1696" s="2" t="s">
        <v>3633</v>
      </c>
      <c r="B1696" s="2" t="s">
        <v>3634</v>
      </c>
      <c r="C1696" s="2">
        <v>0.98</v>
      </c>
      <c r="D1696" s="2">
        <v>1.4710000000000001</v>
      </c>
      <c r="E1696" s="2" t="s">
        <v>459</v>
      </c>
      <c r="F1696" s="2" t="e">
        <f>VLOOKUP(B1696,MSCI中国成分股!A:B,1,)</f>
        <v>#N/A</v>
      </c>
    </row>
    <row r="1697" spans="1:6" ht="20.25" hidden="1" customHeight="1" x14ac:dyDescent="0.15">
      <c r="A1697" s="2" t="s">
        <v>3635</v>
      </c>
      <c r="B1697" s="2" t="s">
        <v>3636</v>
      </c>
      <c r="C1697" s="2">
        <v>0.33</v>
      </c>
      <c r="D1697" s="2">
        <v>5.8700000000000002E-2</v>
      </c>
      <c r="E1697" s="2" t="s">
        <v>276</v>
      </c>
      <c r="F1697" s="2" t="e">
        <f>VLOOKUP(B1697,MSCI中国成分股!A:B,1,)</f>
        <v>#N/A</v>
      </c>
    </row>
    <row r="1698" spans="1:6" ht="20.25" hidden="1" customHeight="1" x14ac:dyDescent="0.15">
      <c r="A1698" s="2" t="s">
        <v>3637</v>
      </c>
      <c r="B1698" s="2" t="s">
        <v>3638</v>
      </c>
      <c r="C1698" s="2">
        <v>0.15</v>
      </c>
      <c r="D1698" s="2">
        <v>3.0181</v>
      </c>
      <c r="E1698" s="2" t="s">
        <v>198</v>
      </c>
      <c r="F1698" s="2" t="e">
        <f>VLOOKUP(B1698,MSCI中国成分股!A:B,1,)</f>
        <v>#N/A</v>
      </c>
    </row>
    <row r="1699" spans="1:6" ht="20.25" hidden="1" customHeight="1" x14ac:dyDescent="0.15">
      <c r="A1699" s="2" t="s">
        <v>3639</v>
      </c>
      <c r="B1699" s="2" t="s">
        <v>3640</v>
      </c>
      <c r="C1699" s="2">
        <v>3.58</v>
      </c>
      <c r="D1699" s="2">
        <v>1.9984999999999999</v>
      </c>
      <c r="E1699" s="2" t="s">
        <v>157</v>
      </c>
      <c r="F1699" s="2" t="e">
        <f>VLOOKUP(B1699,MSCI中国成分股!A:B,1,)</f>
        <v>#N/A</v>
      </c>
    </row>
    <row r="1700" spans="1:6" ht="20.25" hidden="1" customHeight="1" x14ac:dyDescent="0.15">
      <c r="A1700" s="2" t="s">
        <v>3641</v>
      </c>
      <c r="B1700" s="2" t="s">
        <v>3642</v>
      </c>
      <c r="C1700" s="2">
        <v>1.4</v>
      </c>
      <c r="D1700" s="2">
        <v>2.0587</v>
      </c>
      <c r="E1700" s="2" t="s">
        <v>220</v>
      </c>
      <c r="F1700" s="2" t="e">
        <f>VLOOKUP(B1700,MSCI中国成分股!A:B,1,)</f>
        <v>#N/A</v>
      </c>
    </row>
    <row r="1701" spans="1:6" ht="20.25" hidden="1" customHeight="1" x14ac:dyDescent="0.15">
      <c r="A1701" s="2" t="s">
        <v>3643</v>
      </c>
      <c r="B1701" s="2" t="s">
        <v>3644</v>
      </c>
      <c r="C1701" s="2">
        <v>1.32</v>
      </c>
      <c r="D1701" s="2">
        <v>14.3536</v>
      </c>
      <c r="E1701" s="2" t="s">
        <v>2678</v>
      </c>
      <c r="F1701" s="2" t="e">
        <f>VLOOKUP(B1701,MSCI中国成分股!A:B,1,)</f>
        <v>#N/A</v>
      </c>
    </row>
    <row r="1702" spans="1:6" ht="20.25" hidden="1" customHeight="1" x14ac:dyDescent="0.15">
      <c r="A1702" s="2" t="s">
        <v>3645</v>
      </c>
      <c r="B1702" s="2" t="s">
        <v>3646</v>
      </c>
      <c r="C1702" s="2">
        <v>1.27</v>
      </c>
      <c r="D1702" s="2">
        <v>2.4384999999999999</v>
      </c>
      <c r="E1702" s="2" t="s">
        <v>1139</v>
      </c>
      <c r="F1702" s="2" t="e">
        <f>VLOOKUP(B1702,MSCI中国成分股!A:B,1,)</f>
        <v>#N/A</v>
      </c>
    </row>
    <row r="1703" spans="1:6" ht="20.25" hidden="1" customHeight="1" x14ac:dyDescent="0.15">
      <c r="A1703" s="2" t="s">
        <v>3647</v>
      </c>
      <c r="B1703" s="2" t="s">
        <v>3648</v>
      </c>
      <c r="C1703" s="2">
        <v>1.1399999999999999</v>
      </c>
      <c r="D1703" s="2">
        <v>3.9466999999999999</v>
      </c>
      <c r="E1703" s="2" t="s">
        <v>3130</v>
      </c>
      <c r="F1703" s="2" t="e">
        <f>VLOOKUP(B1703,MSCI中国成分股!A:B,1,)</f>
        <v>#N/A</v>
      </c>
    </row>
    <row r="1704" spans="1:6" ht="20.25" hidden="1" customHeight="1" x14ac:dyDescent="0.15">
      <c r="A1704" s="2" t="s">
        <v>3649</v>
      </c>
      <c r="B1704" s="2" t="s">
        <v>3650</v>
      </c>
      <c r="C1704" s="2">
        <v>1.61</v>
      </c>
      <c r="D1704" s="2">
        <v>2.3835000000000002</v>
      </c>
      <c r="E1704" s="2" t="s">
        <v>406</v>
      </c>
      <c r="F1704" s="2" t="e">
        <f>VLOOKUP(B1704,MSCI中国成分股!A:B,1,)</f>
        <v>#N/A</v>
      </c>
    </row>
    <row r="1705" spans="1:6" ht="20.25" hidden="1" customHeight="1" x14ac:dyDescent="0.15">
      <c r="A1705" s="2" t="s">
        <v>3651</v>
      </c>
      <c r="B1705" s="2" t="s">
        <v>3652</v>
      </c>
      <c r="C1705" s="2">
        <v>-0.64</v>
      </c>
      <c r="D1705" s="2">
        <v>2.9205999999999999</v>
      </c>
      <c r="E1705" s="2" t="s">
        <v>225</v>
      </c>
      <c r="F1705" s="2" t="e">
        <f>VLOOKUP(B1705,MSCI中国成分股!A:B,1,)</f>
        <v>#N/A</v>
      </c>
    </row>
    <row r="1706" spans="1:6" ht="20.25" hidden="1" customHeight="1" x14ac:dyDescent="0.15">
      <c r="A1706" s="2" t="s">
        <v>3653</v>
      </c>
      <c r="B1706" s="2" t="s">
        <v>3654</v>
      </c>
      <c r="C1706" s="2">
        <v>1.21</v>
      </c>
      <c r="D1706" s="2">
        <v>4.8010999999999999</v>
      </c>
      <c r="E1706" s="2" t="s">
        <v>664</v>
      </c>
      <c r="F1706" s="2" t="e">
        <f>VLOOKUP(B1706,MSCI中国成分股!A:B,1,)</f>
        <v>#N/A</v>
      </c>
    </row>
    <row r="1707" spans="1:6" ht="20.25" hidden="1" customHeight="1" x14ac:dyDescent="0.15">
      <c r="A1707" s="2" t="s">
        <v>3655</v>
      </c>
      <c r="B1707" s="2" t="s">
        <v>3656</v>
      </c>
      <c r="C1707" s="2">
        <v>1.48</v>
      </c>
      <c r="D1707" s="2">
        <v>2.1985000000000001</v>
      </c>
      <c r="E1707" s="2" t="s">
        <v>418</v>
      </c>
      <c r="F1707" s="2" t="e">
        <f>VLOOKUP(B1707,MSCI中国成分股!A:B,1,)</f>
        <v>#N/A</v>
      </c>
    </row>
    <row r="1708" spans="1:6" ht="20.25" hidden="1" customHeight="1" x14ac:dyDescent="0.15">
      <c r="A1708" s="2" t="s">
        <v>3657</v>
      </c>
      <c r="B1708" s="2" t="s">
        <v>3658</v>
      </c>
      <c r="C1708" s="2">
        <v>0.04</v>
      </c>
      <c r="D1708" s="2">
        <v>2.1783999999999999</v>
      </c>
      <c r="E1708" s="2" t="s">
        <v>126</v>
      </c>
      <c r="F1708" s="2" t="e">
        <f>VLOOKUP(B1708,MSCI中国成分股!A:B,1,)</f>
        <v>#N/A</v>
      </c>
    </row>
    <row r="1709" spans="1:6" ht="20.25" hidden="1" customHeight="1" x14ac:dyDescent="0.15">
      <c r="A1709" s="2" t="s">
        <v>3659</v>
      </c>
      <c r="B1709" s="2" t="s">
        <v>3660</v>
      </c>
      <c r="C1709" s="2">
        <v>0.69</v>
      </c>
      <c r="D1709" s="2">
        <v>19.284600000000001</v>
      </c>
      <c r="E1709" s="2" t="s">
        <v>322</v>
      </c>
      <c r="F1709" s="2" t="e">
        <f>VLOOKUP(B1709,MSCI中国成分股!A:B,1,)</f>
        <v>#N/A</v>
      </c>
    </row>
    <row r="1710" spans="1:6" ht="20.25" hidden="1" customHeight="1" x14ac:dyDescent="0.15">
      <c r="A1710" s="2" t="s">
        <v>3661</v>
      </c>
      <c r="B1710" s="2" t="s">
        <v>3662</v>
      </c>
      <c r="C1710" s="2">
        <v>3.5550000000000002</v>
      </c>
      <c r="D1710" s="2">
        <v>1.3064</v>
      </c>
      <c r="E1710" s="2" t="s">
        <v>1486</v>
      </c>
      <c r="F1710" s="2" t="e">
        <f>VLOOKUP(B1710,MSCI中国成分股!A:B,1,)</f>
        <v>#N/A</v>
      </c>
    </row>
    <row r="1711" spans="1:6" ht="20.25" hidden="1" customHeight="1" x14ac:dyDescent="0.15">
      <c r="A1711" s="2" t="s">
        <v>3663</v>
      </c>
      <c r="B1711" s="2" t="s">
        <v>3664</v>
      </c>
      <c r="C1711" s="2">
        <v>1.68</v>
      </c>
      <c r="D1711" s="2">
        <v>10.497199999999999</v>
      </c>
      <c r="E1711" s="2" t="s">
        <v>605</v>
      </c>
      <c r="F1711" s="2" t="e">
        <f>VLOOKUP(B1711,MSCI中国成分股!A:B,1,)</f>
        <v>#N/A</v>
      </c>
    </row>
    <row r="1712" spans="1:6" ht="20.25" hidden="1" customHeight="1" x14ac:dyDescent="0.15">
      <c r="A1712" s="2" t="s">
        <v>3665</v>
      </c>
      <c r="B1712" s="2" t="s">
        <v>3666</v>
      </c>
      <c r="C1712" s="2">
        <v>2.41</v>
      </c>
      <c r="D1712" s="2">
        <v>1.1195999999999999</v>
      </c>
      <c r="E1712" s="2" t="s">
        <v>1403</v>
      </c>
      <c r="F1712" s="2" t="e">
        <f>VLOOKUP(B1712,MSCI中国成分股!A:B,1,)</f>
        <v>#N/A</v>
      </c>
    </row>
    <row r="1713" spans="1:6" ht="20.25" hidden="1" customHeight="1" x14ac:dyDescent="0.15">
      <c r="A1713" s="2" t="s">
        <v>3667</v>
      </c>
      <c r="B1713" s="2" t="s">
        <v>3668</v>
      </c>
      <c r="C1713" s="2">
        <v>3.86</v>
      </c>
      <c r="D1713" s="2">
        <v>0.42909999999999998</v>
      </c>
      <c r="E1713" s="2" t="s">
        <v>1061</v>
      </c>
      <c r="F1713" s="2" t="e">
        <f>VLOOKUP(B1713,MSCI中国成分股!A:B,1,)</f>
        <v>#N/A</v>
      </c>
    </row>
    <row r="1714" spans="1:6" ht="20.25" hidden="1" customHeight="1" x14ac:dyDescent="0.15">
      <c r="A1714" s="2" t="s">
        <v>3669</v>
      </c>
      <c r="B1714" s="2" t="s">
        <v>3670</v>
      </c>
      <c r="C1714" s="2">
        <v>3.68</v>
      </c>
      <c r="D1714" s="2">
        <v>5095.5060999999996</v>
      </c>
      <c r="E1714" s="2" t="s">
        <v>1820</v>
      </c>
      <c r="F1714" s="2" t="e">
        <f>VLOOKUP(B1714,MSCI中国成分股!A:B,1,)</f>
        <v>#N/A</v>
      </c>
    </row>
    <row r="1715" spans="1:6" ht="20.25" hidden="1" customHeight="1" x14ac:dyDescent="0.15">
      <c r="A1715" s="2" t="s">
        <v>3671</v>
      </c>
      <c r="B1715" s="2" t="s">
        <v>3672</v>
      </c>
      <c r="C1715" s="2">
        <v>1.34</v>
      </c>
      <c r="D1715" s="2">
        <v>0.14119999999999999</v>
      </c>
      <c r="E1715" s="2" t="s">
        <v>371</v>
      </c>
      <c r="F1715" s="2" t="e">
        <f>VLOOKUP(B1715,MSCI中国成分股!A:B,1,)</f>
        <v>#N/A</v>
      </c>
    </row>
    <row r="1716" spans="1:6" ht="20.25" hidden="1" customHeight="1" x14ac:dyDescent="0.15">
      <c r="A1716" s="2" t="s">
        <v>3673</v>
      </c>
      <c r="B1716" s="2" t="s">
        <v>3674</v>
      </c>
      <c r="C1716" s="2">
        <v>1.86</v>
      </c>
      <c r="D1716" s="2">
        <v>0.79579999999999995</v>
      </c>
      <c r="E1716" s="2" t="s">
        <v>1224</v>
      </c>
      <c r="F1716" s="2" t="e">
        <f>VLOOKUP(B1716,MSCI中国成分股!A:B,1,)</f>
        <v>#N/A</v>
      </c>
    </row>
    <row r="1717" spans="1:6" ht="20.25" hidden="1" customHeight="1" x14ac:dyDescent="0.15">
      <c r="A1717" s="2" t="s">
        <v>3675</v>
      </c>
      <c r="B1717" s="2" t="s">
        <v>3676</v>
      </c>
      <c r="C1717" s="2">
        <v>0.22</v>
      </c>
      <c r="D1717" s="2">
        <v>0.1726</v>
      </c>
      <c r="E1717" s="2" t="s">
        <v>371</v>
      </c>
      <c r="F1717" s="2" t="e">
        <f>VLOOKUP(B1717,MSCI中国成分股!A:B,1,)</f>
        <v>#N/A</v>
      </c>
    </row>
    <row r="1718" spans="1:6" ht="20.25" hidden="1" customHeight="1" x14ac:dyDescent="0.15">
      <c r="A1718" s="2" t="s">
        <v>3677</v>
      </c>
      <c r="B1718" s="2" t="s">
        <v>3678</v>
      </c>
      <c r="C1718" s="2">
        <v>0.39</v>
      </c>
      <c r="D1718" s="2">
        <v>0.34279999999999999</v>
      </c>
      <c r="E1718" s="2" t="s">
        <v>201</v>
      </c>
      <c r="F1718" s="2" t="e">
        <f>VLOOKUP(B1718,MSCI中国成分股!A:B,1,)</f>
        <v>#N/A</v>
      </c>
    </row>
    <row r="1719" spans="1:6" ht="20.25" hidden="1" customHeight="1" x14ac:dyDescent="0.15">
      <c r="A1719" s="2" t="s">
        <v>3679</v>
      </c>
      <c r="B1719" s="2" t="s">
        <v>3680</v>
      </c>
      <c r="C1719" s="2">
        <v>2</v>
      </c>
      <c r="D1719" s="2">
        <v>11.6111</v>
      </c>
      <c r="E1719" s="2" t="s">
        <v>406</v>
      </c>
      <c r="F1719" s="2" t="e">
        <f>VLOOKUP(B1719,MSCI中国成分股!A:B,1,)</f>
        <v>#N/A</v>
      </c>
    </row>
    <row r="1720" spans="1:6" ht="20.25" hidden="1" customHeight="1" x14ac:dyDescent="0.15">
      <c r="A1720" s="2" t="s">
        <v>3681</v>
      </c>
      <c r="B1720" s="2" t="s">
        <v>3682</v>
      </c>
      <c r="C1720" s="2">
        <v>1.19</v>
      </c>
      <c r="D1720" s="2">
        <v>1.1412</v>
      </c>
      <c r="E1720" s="2" t="s">
        <v>201</v>
      </c>
      <c r="F1720" s="2" t="e">
        <f>VLOOKUP(B1720,MSCI中国成分股!A:B,1,)</f>
        <v>#N/A</v>
      </c>
    </row>
    <row r="1721" spans="1:6" ht="20.25" hidden="1" customHeight="1" x14ac:dyDescent="0.15">
      <c r="A1721" s="2" t="s">
        <v>3683</v>
      </c>
      <c r="B1721" s="2" t="s">
        <v>3684</v>
      </c>
      <c r="C1721" s="2">
        <v>1.79</v>
      </c>
      <c r="D1721" s="2">
        <v>0.31969999999999998</v>
      </c>
      <c r="E1721" s="2" t="s">
        <v>713</v>
      </c>
      <c r="F1721" s="2" t="e">
        <f>VLOOKUP(B1721,MSCI中国成分股!A:B,1,)</f>
        <v>#N/A</v>
      </c>
    </row>
    <row r="1722" spans="1:6" ht="20.25" hidden="1" customHeight="1" x14ac:dyDescent="0.15">
      <c r="A1722" s="2" t="s">
        <v>3685</v>
      </c>
      <c r="B1722" s="2" t="s">
        <v>3686</v>
      </c>
      <c r="C1722" s="2">
        <v>2.3199999999999998</v>
      </c>
      <c r="D1722" s="2">
        <v>0.68110000000000004</v>
      </c>
      <c r="E1722" s="2" t="s">
        <v>1243</v>
      </c>
      <c r="F1722" s="2" t="e">
        <f>VLOOKUP(B1722,MSCI中国成分股!A:B,1,)</f>
        <v>#N/A</v>
      </c>
    </row>
    <row r="1723" spans="1:6" ht="20.25" hidden="1" customHeight="1" x14ac:dyDescent="0.15">
      <c r="A1723" s="2" t="s">
        <v>3687</v>
      </c>
      <c r="B1723" s="2" t="s">
        <v>3688</v>
      </c>
      <c r="C1723" s="2">
        <v>0.93</v>
      </c>
      <c r="D1723" s="2">
        <v>3.8338000000000001</v>
      </c>
      <c r="E1723" s="2" t="s">
        <v>123</v>
      </c>
      <c r="F1723" s="2" t="e">
        <f>VLOOKUP(B1723,MSCI中国成分股!A:B,1,)</f>
        <v>#N/A</v>
      </c>
    </row>
    <row r="1724" spans="1:6" ht="20.25" hidden="1" customHeight="1" x14ac:dyDescent="0.15">
      <c r="A1724" s="2" t="s">
        <v>3689</v>
      </c>
      <c r="B1724" s="2" t="s">
        <v>3690</v>
      </c>
      <c r="C1724" s="2">
        <v>1.2350000000000001</v>
      </c>
      <c r="D1724" s="2">
        <v>1.6092</v>
      </c>
      <c r="E1724" s="2" t="s">
        <v>13</v>
      </c>
      <c r="F1724" s="2" t="e">
        <f>VLOOKUP(B1724,MSCI中国成分股!A:B,1,)</f>
        <v>#N/A</v>
      </c>
    </row>
    <row r="1725" spans="1:6" ht="20.25" hidden="1" customHeight="1" x14ac:dyDescent="0.15">
      <c r="A1725" s="2" t="s">
        <v>3691</v>
      </c>
      <c r="B1725" s="2" t="s">
        <v>3692</v>
      </c>
      <c r="C1725" s="2">
        <v>4.62</v>
      </c>
      <c r="D1725" s="2">
        <v>1.6258999999999999</v>
      </c>
      <c r="E1725" s="2" t="s">
        <v>3693</v>
      </c>
      <c r="F1725" s="2" t="e">
        <f>VLOOKUP(B1725,MSCI中国成分股!A:B,1,)</f>
        <v>#N/A</v>
      </c>
    </row>
    <row r="1726" spans="1:6" ht="20.25" hidden="1" customHeight="1" x14ac:dyDescent="0.15">
      <c r="A1726" s="2" t="s">
        <v>3694</v>
      </c>
      <c r="B1726" s="2" t="s">
        <v>3695</v>
      </c>
      <c r="C1726" s="2">
        <v>0.08</v>
      </c>
      <c r="D1726" s="2">
        <v>27.802700000000002</v>
      </c>
      <c r="E1726" s="2" t="s">
        <v>371</v>
      </c>
      <c r="F1726" s="2" t="e">
        <f>VLOOKUP(B1726,MSCI中国成分股!A:B,1,)</f>
        <v>#N/A</v>
      </c>
    </row>
    <row r="1727" spans="1:6" ht="20.25" hidden="1" customHeight="1" x14ac:dyDescent="0.15">
      <c r="A1727" s="2" t="s">
        <v>3696</v>
      </c>
      <c r="B1727" s="2" t="s">
        <v>3697</v>
      </c>
      <c r="C1727" s="2">
        <v>2.75</v>
      </c>
      <c r="D1727" s="2">
        <v>3.5577999999999999</v>
      </c>
      <c r="E1727" s="2" t="s">
        <v>1757</v>
      </c>
      <c r="F1727" s="2" t="e">
        <f>VLOOKUP(B1727,MSCI中国成分股!A:B,1,)</f>
        <v>#N/A</v>
      </c>
    </row>
    <row r="1728" spans="1:6" ht="20.25" hidden="1" customHeight="1" x14ac:dyDescent="0.15">
      <c r="A1728" s="2" t="s">
        <v>3698</v>
      </c>
      <c r="B1728" s="2" t="s">
        <v>3699</v>
      </c>
      <c r="C1728" s="2">
        <v>1.1499999999999999</v>
      </c>
      <c r="D1728" s="2">
        <v>159.9479</v>
      </c>
      <c r="E1728" s="2" t="s">
        <v>228</v>
      </c>
      <c r="F1728" s="2" t="e">
        <f>VLOOKUP(B1728,MSCI中国成分股!A:B,1,)</f>
        <v>#N/A</v>
      </c>
    </row>
    <row r="1729" spans="1:6" ht="20.25" hidden="1" customHeight="1" x14ac:dyDescent="0.15">
      <c r="A1729" s="2" t="s">
        <v>3700</v>
      </c>
      <c r="B1729" s="2" t="s">
        <v>3701</v>
      </c>
      <c r="C1729" s="2">
        <v>2.0299999999999998</v>
      </c>
      <c r="D1729" s="2">
        <v>1.5334000000000001</v>
      </c>
      <c r="E1729" s="2" t="s">
        <v>1034</v>
      </c>
      <c r="F1729" s="2" t="e">
        <f>VLOOKUP(B1729,MSCI中国成分股!A:B,1,)</f>
        <v>#N/A</v>
      </c>
    </row>
    <row r="1730" spans="1:6" ht="20.25" hidden="1" customHeight="1" x14ac:dyDescent="0.15">
      <c r="A1730" s="2" t="s">
        <v>3702</v>
      </c>
      <c r="B1730" s="2" t="s">
        <v>3703</v>
      </c>
      <c r="C1730" s="2">
        <v>3.67</v>
      </c>
      <c r="D1730" s="2">
        <v>0.80730000000000002</v>
      </c>
      <c r="E1730" s="2" t="s">
        <v>396</v>
      </c>
      <c r="F1730" s="2" t="e">
        <f>VLOOKUP(B1730,MSCI中国成分股!A:B,1,)</f>
        <v>#N/A</v>
      </c>
    </row>
    <row r="1731" spans="1:6" ht="20.25" hidden="1" customHeight="1" x14ac:dyDescent="0.15">
      <c r="A1731" s="2" t="s">
        <v>3704</v>
      </c>
      <c r="B1731" s="2" t="s">
        <v>3705</v>
      </c>
      <c r="C1731" s="2">
        <v>-1.21</v>
      </c>
      <c r="D1731" s="2">
        <v>752.69159999999999</v>
      </c>
      <c r="E1731" s="2" t="s">
        <v>299</v>
      </c>
      <c r="F1731" s="2" t="e">
        <f>VLOOKUP(B1731,MSCI中国成分股!A:B,1,)</f>
        <v>#N/A</v>
      </c>
    </row>
    <row r="1732" spans="1:6" ht="20.25" hidden="1" customHeight="1" x14ac:dyDescent="0.15">
      <c r="A1732" s="2" t="s">
        <v>3706</v>
      </c>
      <c r="B1732" s="2" t="s">
        <v>3707</v>
      </c>
      <c r="C1732" s="2">
        <v>0.05</v>
      </c>
      <c r="D1732" s="2">
        <v>6.8547000000000002</v>
      </c>
      <c r="E1732" s="2" t="s">
        <v>630</v>
      </c>
      <c r="F1732" s="2" t="e">
        <f>VLOOKUP(B1732,MSCI中国成分股!A:B,1,)</f>
        <v>#N/A</v>
      </c>
    </row>
    <row r="1733" spans="1:6" ht="20.25" hidden="1" customHeight="1" x14ac:dyDescent="0.15">
      <c r="A1733" s="2" t="s">
        <v>3708</v>
      </c>
      <c r="B1733" s="2" t="s">
        <v>3709</v>
      </c>
      <c r="C1733" s="2">
        <v>3.04</v>
      </c>
      <c r="D1733" s="2">
        <v>5.5961999999999996</v>
      </c>
      <c r="E1733" s="2" t="s">
        <v>403</v>
      </c>
      <c r="F1733" s="2" t="e">
        <f>VLOOKUP(B1733,MSCI中国成分股!A:B,1,)</f>
        <v>#N/A</v>
      </c>
    </row>
    <row r="1734" spans="1:6" ht="20.25" hidden="1" customHeight="1" x14ac:dyDescent="0.15">
      <c r="A1734" s="2" t="s">
        <v>3710</v>
      </c>
      <c r="B1734" s="2" t="s">
        <v>3711</v>
      </c>
      <c r="C1734" s="2">
        <v>1.44</v>
      </c>
      <c r="D1734" s="2">
        <v>1.0927</v>
      </c>
      <c r="E1734" s="2" t="s">
        <v>638</v>
      </c>
      <c r="F1734" s="2" t="e">
        <f>VLOOKUP(B1734,MSCI中国成分股!A:B,1,)</f>
        <v>#N/A</v>
      </c>
    </row>
    <row r="1735" spans="1:6" ht="20.25" hidden="1" customHeight="1" x14ac:dyDescent="0.15">
      <c r="A1735" s="2" t="s">
        <v>3712</v>
      </c>
      <c r="B1735" s="2" t="s">
        <v>3713</v>
      </c>
      <c r="C1735" s="2">
        <v>2.6749999999999998</v>
      </c>
      <c r="D1735" s="2">
        <v>1.2351000000000001</v>
      </c>
      <c r="E1735" s="2" t="s">
        <v>310</v>
      </c>
      <c r="F1735" s="2" t="e">
        <f>VLOOKUP(B1735,MSCI中国成分股!A:B,1,)</f>
        <v>#N/A</v>
      </c>
    </row>
    <row r="1736" spans="1:6" ht="20.25" hidden="1" customHeight="1" x14ac:dyDescent="0.15">
      <c r="A1736" s="2" t="s">
        <v>3714</v>
      </c>
      <c r="B1736" s="2" t="s">
        <v>3715</v>
      </c>
      <c r="C1736" s="2">
        <v>1.98</v>
      </c>
      <c r="D1736" s="2">
        <v>3.7692999999999999</v>
      </c>
      <c r="E1736" s="2" t="s">
        <v>1878</v>
      </c>
      <c r="F1736" s="2" t="e">
        <f>VLOOKUP(B1736,MSCI中国成分股!A:B,1,)</f>
        <v>#N/A</v>
      </c>
    </row>
    <row r="1737" spans="1:6" ht="20.25" hidden="1" customHeight="1" x14ac:dyDescent="0.15">
      <c r="A1737" s="2" t="s">
        <v>3716</v>
      </c>
      <c r="B1737" s="2" t="s">
        <v>3717</v>
      </c>
      <c r="C1737" s="2">
        <v>0.37</v>
      </c>
      <c r="D1737" s="2">
        <v>20.426400000000001</v>
      </c>
      <c r="E1737" s="2" t="s">
        <v>220</v>
      </c>
      <c r="F1737" s="2" t="e">
        <f>VLOOKUP(B1737,MSCI中国成分股!A:B,1,)</f>
        <v>#N/A</v>
      </c>
    </row>
    <row r="1738" spans="1:6" ht="20.25" hidden="1" customHeight="1" x14ac:dyDescent="0.15">
      <c r="A1738" s="2" t="s">
        <v>3718</v>
      </c>
      <c r="B1738" s="2" t="s">
        <v>3719</v>
      </c>
      <c r="C1738" s="2">
        <v>1.79</v>
      </c>
      <c r="D1738" s="2">
        <v>4.2159000000000004</v>
      </c>
      <c r="E1738" s="2" t="s">
        <v>220</v>
      </c>
      <c r="F1738" s="2" t="e">
        <f>VLOOKUP(B1738,MSCI中国成分股!A:B,1,)</f>
        <v>#N/A</v>
      </c>
    </row>
    <row r="1739" spans="1:6" ht="20.25" hidden="1" customHeight="1" x14ac:dyDescent="0.15">
      <c r="A1739" s="2" t="s">
        <v>3720</v>
      </c>
      <c r="B1739" s="2" t="s">
        <v>3721</v>
      </c>
      <c r="C1739" s="2">
        <v>0.83</v>
      </c>
      <c r="D1739" s="2">
        <v>27.639399999999998</v>
      </c>
      <c r="E1739" s="2" t="s">
        <v>143</v>
      </c>
      <c r="F1739" s="2" t="e">
        <f>VLOOKUP(B1739,MSCI中国成分股!A:B,1,)</f>
        <v>#N/A</v>
      </c>
    </row>
    <row r="1740" spans="1:6" ht="20.25" hidden="1" customHeight="1" x14ac:dyDescent="0.15">
      <c r="A1740" s="2" t="s">
        <v>3722</v>
      </c>
      <c r="B1740" s="2" t="s">
        <v>3723</v>
      </c>
      <c r="C1740" s="2">
        <v>1.64</v>
      </c>
      <c r="D1740" s="2">
        <v>0.3246</v>
      </c>
      <c r="E1740" s="2" t="s">
        <v>396</v>
      </c>
      <c r="F1740" s="2" t="e">
        <f>VLOOKUP(B1740,MSCI中国成分股!A:B,1,)</f>
        <v>#N/A</v>
      </c>
    </row>
    <row r="1741" spans="1:6" ht="20.25" hidden="1" customHeight="1" x14ac:dyDescent="0.15">
      <c r="A1741" s="2" t="s">
        <v>3724</v>
      </c>
      <c r="B1741" s="2" t="s">
        <v>3725</v>
      </c>
      <c r="C1741" s="2">
        <v>1.59</v>
      </c>
      <c r="D1741" s="2">
        <v>5.3291000000000004</v>
      </c>
      <c r="E1741" s="2" t="s">
        <v>265</v>
      </c>
      <c r="F1741" s="2" t="e">
        <f>VLOOKUP(B1741,MSCI中国成分股!A:B,1,)</f>
        <v>#N/A</v>
      </c>
    </row>
    <row r="1742" spans="1:6" ht="20.25" hidden="1" customHeight="1" x14ac:dyDescent="0.15">
      <c r="A1742" s="2" t="s">
        <v>3726</v>
      </c>
      <c r="B1742" s="2" t="s">
        <v>3727</v>
      </c>
      <c r="C1742" s="2">
        <v>2.14</v>
      </c>
      <c r="D1742" s="2">
        <v>1.0205</v>
      </c>
      <c r="E1742" s="2" t="s">
        <v>396</v>
      </c>
      <c r="F1742" s="2" t="e">
        <f>VLOOKUP(B1742,MSCI中国成分股!A:B,1,)</f>
        <v>#N/A</v>
      </c>
    </row>
    <row r="1743" spans="1:6" ht="20.25" hidden="1" customHeight="1" x14ac:dyDescent="0.15">
      <c r="A1743" s="2" t="s">
        <v>3728</v>
      </c>
      <c r="B1743" s="2" t="s">
        <v>3729</v>
      </c>
      <c r="C1743" s="2">
        <v>2.06</v>
      </c>
      <c r="D1743" s="2">
        <v>2.6150000000000002</v>
      </c>
      <c r="E1743" s="2" t="s">
        <v>171</v>
      </c>
      <c r="F1743" s="2" t="e">
        <f>VLOOKUP(B1743,MSCI中国成分股!A:B,1,)</f>
        <v>#N/A</v>
      </c>
    </row>
    <row r="1744" spans="1:6" ht="20.25" hidden="1" customHeight="1" x14ac:dyDescent="0.15">
      <c r="A1744" s="2" t="s">
        <v>3730</v>
      </c>
      <c r="B1744" s="2" t="s">
        <v>3731</v>
      </c>
      <c r="C1744" s="2">
        <v>2.42</v>
      </c>
      <c r="D1744" s="2">
        <v>7.8978999999999999</v>
      </c>
      <c r="E1744" s="2" t="s">
        <v>630</v>
      </c>
      <c r="F1744" s="2" t="e">
        <f>VLOOKUP(B1744,MSCI中国成分股!A:B,1,)</f>
        <v>#N/A</v>
      </c>
    </row>
    <row r="1745" spans="1:6" ht="20.25" hidden="1" customHeight="1" x14ac:dyDescent="0.15">
      <c r="A1745" s="2" t="s">
        <v>3732</v>
      </c>
      <c r="B1745" s="2" t="s">
        <v>3733</v>
      </c>
      <c r="C1745" s="2">
        <v>1.66</v>
      </c>
      <c r="D1745" s="2">
        <v>15.1296</v>
      </c>
      <c r="E1745" s="2" t="s">
        <v>818</v>
      </c>
      <c r="F1745" s="2" t="e">
        <f>VLOOKUP(B1745,MSCI中国成分股!A:B,1,)</f>
        <v>#N/A</v>
      </c>
    </row>
    <row r="1746" spans="1:6" ht="20.25" hidden="1" customHeight="1" x14ac:dyDescent="0.15">
      <c r="A1746" s="2" t="s">
        <v>3734</v>
      </c>
      <c r="B1746" s="2" t="s">
        <v>3735</v>
      </c>
      <c r="C1746" s="2">
        <v>1.8</v>
      </c>
      <c r="D1746" s="2">
        <v>1.6388</v>
      </c>
      <c r="E1746" s="2" t="s">
        <v>371</v>
      </c>
      <c r="F1746" s="2" t="e">
        <f>VLOOKUP(B1746,MSCI中国成分股!A:B,1,)</f>
        <v>#N/A</v>
      </c>
    </row>
    <row r="1747" spans="1:6" ht="20.25" hidden="1" customHeight="1" x14ac:dyDescent="0.15">
      <c r="A1747" s="2" t="s">
        <v>3736</v>
      </c>
      <c r="B1747" s="2" t="s">
        <v>3737</v>
      </c>
      <c r="C1747" s="2">
        <v>-1.4</v>
      </c>
      <c r="D1747" s="2">
        <v>77.281800000000004</v>
      </c>
      <c r="E1747" s="2" t="s">
        <v>18</v>
      </c>
      <c r="F1747" s="2" t="e">
        <f>VLOOKUP(B1747,MSCI中国成分股!A:B,1,)</f>
        <v>#N/A</v>
      </c>
    </row>
    <row r="1748" spans="1:6" ht="20.25" hidden="1" customHeight="1" x14ac:dyDescent="0.15">
      <c r="A1748" s="2" t="s">
        <v>3738</v>
      </c>
      <c r="B1748" s="2" t="s">
        <v>3739</v>
      </c>
      <c r="C1748" s="2">
        <v>0.09</v>
      </c>
      <c r="D1748" s="2">
        <v>1.4128000000000001</v>
      </c>
      <c r="E1748" s="2" t="s">
        <v>2898</v>
      </c>
      <c r="F1748" s="2" t="e">
        <f>VLOOKUP(B1748,MSCI中国成分股!A:B,1,)</f>
        <v>#N/A</v>
      </c>
    </row>
    <row r="1749" spans="1:6" ht="20.25" hidden="1" customHeight="1" x14ac:dyDescent="0.15">
      <c r="A1749" s="2" t="s">
        <v>3740</v>
      </c>
      <c r="B1749" s="2" t="s">
        <v>3741</v>
      </c>
      <c r="C1749" s="2">
        <v>0.71</v>
      </c>
      <c r="D1749" s="2">
        <v>1.5551999999999999</v>
      </c>
      <c r="E1749" s="2" t="s">
        <v>1224</v>
      </c>
      <c r="F1749" s="2" t="e">
        <f>VLOOKUP(B1749,MSCI中国成分股!A:B,1,)</f>
        <v>#N/A</v>
      </c>
    </row>
    <row r="1750" spans="1:6" ht="20.25" hidden="1" customHeight="1" x14ac:dyDescent="0.15">
      <c r="A1750" s="2" t="s">
        <v>3742</v>
      </c>
      <c r="B1750" s="2" t="s">
        <v>3743</v>
      </c>
      <c r="C1750" s="2">
        <v>2.52</v>
      </c>
      <c r="D1750" s="2">
        <v>4.2435999999999998</v>
      </c>
      <c r="E1750" s="2" t="s">
        <v>149</v>
      </c>
      <c r="F1750" s="2" t="e">
        <f>VLOOKUP(B1750,MSCI中国成分股!A:B,1,)</f>
        <v>#N/A</v>
      </c>
    </row>
    <row r="1751" spans="1:6" ht="20.25" hidden="1" customHeight="1" x14ac:dyDescent="0.15">
      <c r="A1751" s="2" t="s">
        <v>3744</v>
      </c>
      <c r="B1751" s="2" t="s">
        <v>3745</v>
      </c>
      <c r="C1751" s="2">
        <v>2.4900000000000002</v>
      </c>
      <c r="D1751" s="2">
        <v>16.954499999999999</v>
      </c>
      <c r="E1751" s="2" t="s">
        <v>1224</v>
      </c>
      <c r="F1751" s="2" t="e">
        <f>VLOOKUP(B1751,MSCI中国成分股!A:B,1,)</f>
        <v>#N/A</v>
      </c>
    </row>
    <row r="1752" spans="1:6" ht="20.25" hidden="1" customHeight="1" x14ac:dyDescent="0.15">
      <c r="A1752" s="2" t="s">
        <v>3746</v>
      </c>
      <c r="B1752" s="2" t="s">
        <v>3747</v>
      </c>
      <c r="C1752" s="2">
        <v>-0.59</v>
      </c>
      <c r="D1752" s="2">
        <v>4.7328999999999999</v>
      </c>
      <c r="E1752" s="2" t="s">
        <v>1608</v>
      </c>
      <c r="F1752" s="2" t="e">
        <f>VLOOKUP(B1752,MSCI中国成分股!A:B,1,)</f>
        <v>#N/A</v>
      </c>
    </row>
    <row r="1753" spans="1:6" ht="20.25" hidden="1" customHeight="1" x14ac:dyDescent="0.15">
      <c r="A1753" s="2" t="s">
        <v>3748</v>
      </c>
      <c r="B1753" s="2" t="s">
        <v>3749</v>
      </c>
      <c r="C1753" s="2">
        <v>1.82</v>
      </c>
      <c r="D1753" s="2">
        <v>3.847</v>
      </c>
      <c r="E1753" s="2" t="s">
        <v>713</v>
      </c>
      <c r="F1753" s="2" t="e">
        <f>VLOOKUP(B1753,MSCI中国成分股!A:B,1,)</f>
        <v>#N/A</v>
      </c>
    </row>
    <row r="1754" spans="1:6" ht="20.25" hidden="1" customHeight="1" x14ac:dyDescent="0.15">
      <c r="A1754" s="2" t="s">
        <v>3750</v>
      </c>
      <c r="B1754" s="2" t="s">
        <v>3751</v>
      </c>
      <c r="C1754" s="2">
        <v>-0.7</v>
      </c>
      <c r="D1754" s="2">
        <v>15.9076</v>
      </c>
      <c r="E1754" s="2" t="s">
        <v>1142</v>
      </c>
      <c r="F1754" s="2" t="e">
        <f>VLOOKUP(B1754,MSCI中国成分股!A:B,1,)</f>
        <v>#N/A</v>
      </c>
    </row>
    <row r="1755" spans="1:6" ht="20.25" hidden="1" customHeight="1" x14ac:dyDescent="0.15">
      <c r="A1755" s="2" t="s">
        <v>3752</v>
      </c>
      <c r="B1755" s="2" t="s">
        <v>3753</v>
      </c>
      <c r="C1755" s="2">
        <v>4.58</v>
      </c>
      <c r="D1755" s="2">
        <v>1.8078000000000001</v>
      </c>
      <c r="E1755" s="2" t="s">
        <v>1338</v>
      </c>
      <c r="F1755" s="2" t="e">
        <f>VLOOKUP(B1755,MSCI中国成分股!A:B,1,)</f>
        <v>#N/A</v>
      </c>
    </row>
    <row r="1756" spans="1:6" ht="20.25" hidden="1" customHeight="1" x14ac:dyDescent="0.15">
      <c r="A1756" s="2" t="s">
        <v>3754</v>
      </c>
      <c r="B1756" s="2" t="s">
        <v>3755</v>
      </c>
      <c r="C1756" s="2">
        <v>0.93</v>
      </c>
      <c r="D1756" s="2">
        <v>0.16439999999999999</v>
      </c>
      <c r="E1756" s="2" t="s">
        <v>2038</v>
      </c>
      <c r="F1756" s="2" t="e">
        <f>VLOOKUP(B1756,MSCI中国成分股!A:B,1,)</f>
        <v>#N/A</v>
      </c>
    </row>
    <row r="1757" spans="1:6" ht="20.25" hidden="1" customHeight="1" x14ac:dyDescent="0.15">
      <c r="A1757" s="2" t="s">
        <v>3756</v>
      </c>
      <c r="B1757" s="2" t="s">
        <v>3757</v>
      </c>
      <c r="C1757" s="2">
        <v>1.33</v>
      </c>
      <c r="D1757" s="2">
        <v>0.78320000000000001</v>
      </c>
      <c r="E1757" s="2" t="s">
        <v>2724</v>
      </c>
      <c r="F1757" s="2" t="e">
        <f>VLOOKUP(B1757,MSCI中国成分股!A:B,1,)</f>
        <v>#N/A</v>
      </c>
    </row>
    <row r="1758" spans="1:6" ht="20.25" hidden="1" customHeight="1" x14ac:dyDescent="0.15">
      <c r="A1758" s="2" t="s">
        <v>3758</v>
      </c>
      <c r="B1758" s="2" t="s">
        <v>3759</v>
      </c>
      <c r="C1758" s="2">
        <v>1.72</v>
      </c>
      <c r="D1758" s="2">
        <v>2.5232999999999999</v>
      </c>
      <c r="E1758" s="2" t="s">
        <v>3760</v>
      </c>
      <c r="F1758" s="2" t="e">
        <f>VLOOKUP(B1758,MSCI中国成分股!A:B,1,)</f>
        <v>#N/A</v>
      </c>
    </row>
    <row r="1759" spans="1:6" ht="20.25" hidden="1" customHeight="1" x14ac:dyDescent="0.15">
      <c r="A1759" s="2" t="s">
        <v>3761</v>
      </c>
      <c r="B1759" s="2" t="s">
        <v>3762</v>
      </c>
      <c r="C1759" s="2">
        <v>0.69</v>
      </c>
      <c r="D1759" s="2">
        <v>5.0366</v>
      </c>
      <c r="E1759" s="2" t="s">
        <v>704</v>
      </c>
      <c r="F1759" s="2" t="e">
        <f>VLOOKUP(B1759,MSCI中国成分股!A:B,1,)</f>
        <v>#N/A</v>
      </c>
    </row>
    <row r="1760" spans="1:6" ht="20.25" hidden="1" customHeight="1" x14ac:dyDescent="0.15">
      <c r="A1760" s="2" t="s">
        <v>3763</v>
      </c>
      <c r="B1760" s="2" t="s">
        <v>3764</v>
      </c>
      <c r="C1760" s="2">
        <v>3.75</v>
      </c>
      <c r="D1760" s="2">
        <v>1.6202000000000001</v>
      </c>
      <c r="E1760" s="2" t="s">
        <v>690</v>
      </c>
      <c r="F1760" s="2" t="e">
        <f>VLOOKUP(B1760,MSCI中国成分股!A:B,1,)</f>
        <v>#N/A</v>
      </c>
    </row>
    <row r="1761" spans="1:6" ht="20.25" hidden="1" customHeight="1" x14ac:dyDescent="0.15">
      <c r="A1761" s="2" t="s">
        <v>3765</v>
      </c>
      <c r="B1761" s="2" t="s">
        <v>3766</v>
      </c>
      <c r="C1761" s="2">
        <v>2.19</v>
      </c>
      <c r="D1761" s="2">
        <v>51.316400000000002</v>
      </c>
      <c r="E1761" s="2" t="s">
        <v>143</v>
      </c>
      <c r="F1761" s="2" t="e">
        <f>VLOOKUP(B1761,MSCI中国成分股!A:B,1,)</f>
        <v>#N/A</v>
      </c>
    </row>
    <row r="1762" spans="1:6" ht="20.25" hidden="1" customHeight="1" x14ac:dyDescent="0.15">
      <c r="A1762" s="2" t="s">
        <v>3767</v>
      </c>
      <c r="B1762" s="2" t="s">
        <v>3768</v>
      </c>
      <c r="C1762" s="2">
        <v>1.73</v>
      </c>
      <c r="D1762" s="2">
        <v>0.87070000000000003</v>
      </c>
      <c r="E1762" s="2" t="s">
        <v>140</v>
      </c>
      <c r="F1762" s="2" t="e">
        <f>VLOOKUP(B1762,MSCI中国成分股!A:B,1,)</f>
        <v>#N/A</v>
      </c>
    </row>
    <row r="1763" spans="1:6" ht="20.25" hidden="1" customHeight="1" x14ac:dyDescent="0.15">
      <c r="A1763" s="2" t="s">
        <v>3769</v>
      </c>
      <c r="B1763" s="2" t="s">
        <v>3770</v>
      </c>
      <c r="C1763" s="2">
        <v>3.55</v>
      </c>
      <c r="D1763" s="2">
        <v>1.4584999999999999</v>
      </c>
      <c r="E1763" s="2" t="s">
        <v>406</v>
      </c>
      <c r="F1763" s="2" t="e">
        <f>VLOOKUP(B1763,MSCI中国成分股!A:B,1,)</f>
        <v>#N/A</v>
      </c>
    </row>
    <row r="1764" spans="1:6" ht="20.25" hidden="1" customHeight="1" x14ac:dyDescent="0.15">
      <c r="A1764" s="2" t="s">
        <v>3771</v>
      </c>
      <c r="B1764" s="2" t="s">
        <v>3772</v>
      </c>
      <c r="C1764" s="2">
        <v>0.28999999999999998</v>
      </c>
      <c r="D1764" s="2">
        <v>6.1775000000000002</v>
      </c>
      <c r="E1764" s="2" t="s">
        <v>471</v>
      </c>
      <c r="F1764" s="2" t="e">
        <f>VLOOKUP(B1764,MSCI中国成分股!A:B,1,)</f>
        <v>#N/A</v>
      </c>
    </row>
    <row r="1765" spans="1:6" ht="20.25" hidden="1" customHeight="1" x14ac:dyDescent="0.15">
      <c r="A1765" s="2" t="s">
        <v>3773</v>
      </c>
      <c r="B1765" s="2" t="s">
        <v>3774</v>
      </c>
      <c r="C1765" s="2">
        <v>-0.94</v>
      </c>
      <c r="D1765" s="2">
        <v>8.4474999999999998</v>
      </c>
      <c r="E1765" s="2" t="s">
        <v>245</v>
      </c>
      <c r="F1765" s="2" t="e">
        <f>VLOOKUP(B1765,MSCI中国成分股!A:B,1,)</f>
        <v>#N/A</v>
      </c>
    </row>
    <row r="1766" spans="1:6" ht="20.25" hidden="1" customHeight="1" x14ac:dyDescent="0.15">
      <c r="A1766" s="2" t="s">
        <v>3775</v>
      </c>
      <c r="B1766" s="2" t="s">
        <v>3776</v>
      </c>
      <c r="C1766" s="2">
        <v>0.91</v>
      </c>
      <c r="D1766" s="2">
        <v>14.5778</v>
      </c>
      <c r="E1766" s="2" t="s">
        <v>299</v>
      </c>
      <c r="F1766" s="2" t="e">
        <f>VLOOKUP(B1766,MSCI中国成分股!A:B,1,)</f>
        <v>#N/A</v>
      </c>
    </row>
    <row r="1767" spans="1:6" ht="20.25" hidden="1" customHeight="1" x14ac:dyDescent="0.15">
      <c r="A1767" s="2" t="s">
        <v>3777</v>
      </c>
      <c r="B1767" s="2" t="s">
        <v>3778</v>
      </c>
      <c r="C1767" s="2">
        <v>1.92</v>
      </c>
      <c r="D1767" s="2">
        <v>4.1384999999999996</v>
      </c>
      <c r="E1767" s="2" t="s">
        <v>157</v>
      </c>
      <c r="F1767" s="2" t="e">
        <f>VLOOKUP(B1767,MSCI中国成分股!A:B,1,)</f>
        <v>#N/A</v>
      </c>
    </row>
    <row r="1768" spans="1:6" ht="20.25" hidden="1" customHeight="1" x14ac:dyDescent="0.15">
      <c r="A1768" s="2" t="s">
        <v>3779</v>
      </c>
      <c r="B1768" s="2" t="s">
        <v>3780</v>
      </c>
      <c r="C1768" s="2">
        <v>1.55</v>
      </c>
      <c r="D1768" s="2">
        <v>1.1628000000000001</v>
      </c>
      <c r="E1768" s="2" t="s">
        <v>265</v>
      </c>
      <c r="F1768" s="2" t="e">
        <f>VLOOKUP(B1768,MSCI中国成分股!A:B,1,)</f>
        <v>#N/A</v>
      </c>
    </row>
    <row r="1769" spans="1:6" ht="20.25" hidden="1" customHeight="1" x14ac:dyDescent="0.15">
      <c r="A1769" s="2" t="s">
        <v>3781</v>
      </c>
      <c r="B1769" s="2" t="s">
        <v>3782</v>
      </c>
      <c r="C1769" s="2">
        <v>0.96</v>
      </c>
      <c r="D1769" s="2">
        <v>36.252099999999999</v>
      </c>
      <c r="E1769" s="2" t="s">
        <v>265</v>
      </c>
      <c r="F1769" s="2" t="e">
        <f>VLOOKUP(B1769,MSCI中国成分股!A:B,1,)</f>
        <v>#N/A</v>
      </c>
    </row>
    <row r="1770" spans="1:6" ht="20.25" hidden="1" customHeight="1" x14ac:dyDescent="0.15">
      <c r="A1770" s="2" t="s">
        <v>3783</v>
      </c>
      <c r="B1770" s="2" t="s">
        <v>3784</v>
      </c>
      <c r="C1770" s="2">
        <v>0.21</v>
      </c>
      <c r="D1770" s="2">
        <v>96.024799999999999</v>
      </c>
      <c r="E1770" s="2" t="s">
        <v>542</v>
      </c>
      <c r="F1770" s="2" t="e">
        <f>VLOOKUP(B1770,MSCI中国成分股!A:B,1,)</f>
        <v>#N/A</v>
      </c>
    </row>
    <row r="1771" spans="1:6" ht="20.25" hidden="1" customHeight="1" x14ac:dyDescent="0.15">
      <c r="A1771" s="2" t="s">
        <v>3785</v>
      </c>
      <c r="B1771" s="2" t="s">
        <v>3786</v>
      </c>
      <c r="C1771" s="2">
        <v>-0.05</v>
      </c>
      <c r="D1771" s="2">
        <v>3.2774000000000001</v>
      </c>
      <c r="E1771" s="2" t="s">
        <v>542</v>
      </c>
      <c r="F1771" s="2" t="e">
        <f>VLOOKUP(B1771,MSCI中国成分股!A:B,1,)</f>
        <v>#N/A</v>
      </c>
    </row>
    <row r="1772" spans="1:6" ht="20.25" hidden="1" customHeight="1" x14ac:dyDescent="0.15">
      <c r="A1772" s="2" t="s">
        <v>3787</v>
      </c>
      <c r="B1772" s="2" t="s">
        <v>3788</v>
      </c>
      <c r="C1772" s="2">
        <v>-0.15</v>
      </c>
      <c r="D1772" s="2">
        <v>6.8691000000000004</v>
      </c>
      <c r="E1772" s="2" t="s">
        <v>371</v>
      </c>
      <c r="F1772" s="2" t="e">
        <f>VLOOKUP(B1772,MSCI中国成分股!A:B,1,)</f>
        <v>#N/A</v>
      </c>
    </row>
    <row r="1773" spans="1:6" ht="20.25" hidden="1" customHeight="1" x14ac:dyDescent="0.15">
      <c r="A1773" s="2" t="s">
        <v>3789</v>
      </c>
      <c r="B1773" s="2" t="s">
        <v>3790</v>
      </c>
      <c r="C1773" s="2">
        <v>0.38</v>
      </c>
      <c r="D1773" s="2">
        <v>2.0108000000000001</v>
      </c>
      <c r="E1773" s="2" t="s">
        <v>268</v>
      </c>
      <c r="F1773" s="2" t="e">
        <f>VLOOKUP(B1773,MSCI中国成分股!A:B,1,)</f>
        <v>#N/A</v>
      </c>
    </row>
    <row r="1774" spans="1:6" ht="20.25" hidden="1" customHeight="1" x14ac:dyDescent="0.15">
      <c r="A1774" s="2" t="s">
        <v>3791</v>
      </c>
      <c r="B1774" s="2" t="s">
        <v>3792</v>
      </c>
      <c r="C1774" s="2">
        <v>0.95</v>
      </c>
      <c r="D1774" s="2">
        <v>7.7618</v>
      </c>
      <c r="E1774" s="2" t="s">
        <v>286</v>
      </c>
      <c r="F1774" s="2" t="e">
        <f>VLOOKUP(B1774,MSCI中国成分股!A:B,1,)</f>
        <v>#N/A</v>
      </c>
    </row>
    <row r="1775" spans="1:6" ht="20.25" hidden="1" customHeight="1" x14ac:dyDescent="0.15">
      <c r="A1775" s="2" t="s">
        <v>3793</v>
      </c>
      <c r="B1775" s="2" t="s">
        <v>3794</v>
      </c>
      <c r="C1775" s="2">
        <v>1.1599999999999999</v>
      </c>
      <c r="D1775" s="2">
        <v>1.6990000000000001</v>
      </c>
      <c r="E1775" s="2" t="s">
        <v>2374</v>
      </c>
      <c r="F1775" s="2" t="e">
        <f>VLOOKUP(B1775,MSCI中国成分股!A:B,1,)</f>
        <v>#N/A</v>
      </c>
    </row>
    <row r="1776" spans="1:6" ht="20.25" hidden="1" customHeight="1" x14ac:dyDescent="0.15">
      <c r="A1776" s="2" t="s">
        <v>3795</v>
      </c>
      <c r="B1776" s="2" t="s">
        <v>3796</v>
      </c>
      <c r="C1776" s="2">
        <v>0.27</v>
      </c>
      <c r="D1776" s="2">
        <v>0.96799999999999997</v>
      </c>
      <c r="E1776" s="2" t="s">
        <v>1403</v>
      </c>
      <c r="F1776" s="2" t="e">
        <f>VLOOKUP(B1776,MSCI中国成分股!A:B,1,)</f>
        <v>#N/A</v>
      </c>
    </row>
    <row r="1777" spans="1:6" ht="20.25" hidden="1" customHeight="1" x14ac:dyDescent="0.15">
      <c r="A1777" s="2" t="s">
        <v>3797</v>
      </c>
      <c r="B1777" s="2" t="s">
        <v>3798</v>
      </c>
      <c r="C1777" s="2">
        <v>1.17</v>
      </c>
      <c r="D1777" s="2">
        <v>1.1571</v>
      </c>
      <c r="E1777" s="2" t="s">
        <v>605</v>
      </c>
      <c r="F1777" s="2" t="e">
        <f>VLOOKUP(B1777,MSCI中国成分股!A:B,1,)</f>
        <v>#N/A</v>
      </c>
    </row>
    <row r="1778" spans="1:6" ht="20.25" hidden="1" customHeight="1" x14ac:dyDescent="0.15">
      <c r="A1778" s="2" t="s">
        <v>3799</v>
      </c>
      <c r="B1778" s="2" t="s">
        <v>3800</v>
      </c>
      <c r="C1778" s="2">
        <v>2.15</v>
      </c>
      <c r="D1778" s="2">
        <v>1.3173999999999999</v>
      </c>
      <c r="E1778" s="2" t="s">
        <v>271</v>
      </c>
      <c r="F1778" s="2" t="e">
        <f>VLOOKUP(B1778,MSCI中国成分股!A:B,1,)</f>
        <v>#N/A</v>
      </c>
    </row>
    <row r="1779" spans="1:6" ht="20.25" hidden="1" customHeight="1" x14ac:dyDescent="0.15">
      <c r="A1779" s="2" t="s">
        <v>3801</v>
      </c>
      <c r="B1779" s="2" t="s">
        <v>3802</v>
      </c>
      <c r="C1779" s="2">
        <v>2.83</v>
      </c>
      <c r="D1779" s="2">
        <v>0.52429999999999999</v>
      </c>
      <c r="E1779" s="2" t="s">
        <v>421</v>
      </c>
      <c r="F1779" s="2" t="e">
        <f>VLOOKUP(B1779,MSCI中国成分股!A:B,1,)</f>
        <v>#N/A</v>
      </c>
    </row>
    <row r="1780" spans="1:6" ht="20.25" hidden="1" customHeight="1" x14ac:dyDescent="0.15">
      <c r="A1780" s="2" t="s">
        <v>3803</v>
      </c>
      <c r="B1780" s="2" t="s">
        <v>3804</v>
      </c>
      <c r="C1780" s="2">
        <v>3.4849999999999999</v>
      </c>
      <c r="D1780" s="2">
        <v>1.0584</v>
      </c>
      <c r="E1780" s="2" t="s">
        <v>1691</v>
      </c>
      <c r="F1780" s="2" t="e">
        <f>VLOOKUP(B1780,MSCI中国成分股!A:B,1,)</f>
        <v>#N/A</v>
      </c>
    </row>
    <row r="1781" spans="1:6" ht="20.25" hidden="1" customHeight="1" x14ac:dyDescent="0.15">
      <c r="A1781" s="2" t="s">
        <v>3805</v>
      </c>
      <c r="B1781" s="2" t="s">
        <v>3806</v>
      </c>
      <c r="C1781" s="2">
        <v>0.11</v>
      </c>
      <c r="D1781" s="2">
        <v>0.72919999999999996</v>
      </c>
      <c r="E1781" s="2" t="s">
        <v>750</v>
      </c>
      <c r="F1781" s="2" t="e">
        <f>VLOOKUP(B1781,MSCI中国成分股!A:B,1,)</f>
        <v>#N/A</v>
      </c>
    </row>
    <row r="1782" spans="1:6" ht="20.25" hidden="1" customHeight="1" x14ac:dyDescent="0.15">
      <c r="A1782" s="2" t="s">
        <v>3807</v>
      </c>
      <c r="B1782" s="2" t="s">
        <v>3808</v>
      </c>
      <c r="C1782" s="2">
        <v>0.65</v>
      </c>
      <c r="D1782" s="2">
        <v>2.3351000000000002</v>
      </c>
      <c r="E1782" s="2" t="s">
        <v>204</v>
      </c>
      <c r="F1782" s="2" t="e">
        <f>VLOOKUP(B1782,MSCI中国成分股!A:B,1,)</f>
        <v>#N/A</v>
      </c>
    </row>
    <row r="1783" spans="1:6" ht="20.25" hidden="1" customHeight="1" x14ac:dyDescent="0.15">
      <c r="A1783" s="2" t="s">
        <v>3809</v>
      </c>
      <c r="B1783" s="2" t="s">
        <v>3810</v>
      </c>
      <c r="C1783" s="2">
        <v>2.84</v>
      </c>
      <c r="D1783" s="2">
        <v>1.6419999999999999</v>
      </c>
      <c r="E1783" s="2" t="s">
        <v>690</v>
      </c>
      <c r="F1783" s="2" t="e">
        <f>VLOOKUP(B1783,MSCI中国成分股!A:B,1,)</f>
        <v>#N/A</v>
      </c>
    </row>
    <row r="1784" spans="1:6" ht="20.25" hidden="1" customHeight="1" x14ac:dyDescent="0.15">
      <c r="A1784" s="2" t="s">
        <v>3811</v>
      </c>
      <c r="B1784" s="2" t="s">
        <v>3812</v>
      </c>
      <c r="C1784" s="2">
        <v>1.21</v>
      </c>
      <c r="D1784" s="2">
        <v>5.0632999999999999</v>
      </c>
      <c r="E1784" s="2" t="s">
        <v>1268</v>
      </c>
      <c r="F1784" s="2" t="e">
        <f>VLOOKUP(B1784,MSCI中国成分股!A:B,1,)</f>
        <v>#N/A</v>
      </c>
    </row>
    <row r="1785" spans="1:6" ht="20.25" hidden="1" customHeight="1" x14ac:dyDescent="0.15">
      <c r="A1785" s="2" t="s">
        <v>3813</v>
      </c>
      <c r="B1785" s="2" t="s">
        <v>3814</v>
      </c>
      <c r="C1785" s="2">
        <v>1.86</v>
      </c>
      <c r="D1785" s="2">
        <v>1.0680000000000001</v>
      </c>
      <c r="E1785" s="2" t="s">
        <v>471</v>
      </c>
      <c r="F1785" s="2" t="e">
        <f>VLOOKUP(B1785,MSCI中国成分股!A:B,1,)</f>
        <v>#N/A</v>
      </c>
    </row>
    <row r="1786" spans="1:6" ht="20.25" hidden="1" customHeight="1" x14ac:dyDescent="0.15">
      <c r="A1786" s="2" t="s">
        <v>3815</v>
      </c>
      <c r="B1786" s="2" t="s">
        <v>3816</v>
      </c>
      <c r="C1786" s="2">
        <v>1.58</v>
      </c>
      <c r="D1786" s="2">
        <v>2.6227</v>
      </c>
      <c r="E1786" s="2" t="s">
        <v>362</v>
      </c>
      <c r="F1786" s="2" t="e">
        <f>VLOOKUP(B1786,MSCI中国成分股!A:B,1,)</f>
        <v>#N/A</v>
      </c>
    </row>
    <row r="1787" spans="1:6" ht="20.25" hidden="1" customHeight="1" x14ac:dyDescent="0.15">
      <c r="A1787" s="2" t="s">
        <v>3817</v>
      </c>
      <c r="B1787" s="2" t="s">
        <v>3818</v>
      </c>
      <c r="C1787" s="2">
        <v>0.04</v>
      </c>
      <c r="D1787" s="2">
        <v>3.5565000000000002</v>
      </c>
      <c r="E1787" s="2" t="s">
        <v>385</v>
      </c>
      <c r="F1787" s="2" t="e">
        <f>VLOOKUP(B1787,MSCI中国成分股!A:B,1,)</f>
        <v>#N/A</v>
      </c>
    </row>
    <row r="1788" spans="1:6" ht="20.25" hidden="1" customHeight="1" x14ac:dyDescent="0.15">
      <c r="A1788" s="2" t="s">
        <v>3819</v>
      </c>
      <c r="B1788" s="2" t="s">
        <v>3820</v>
      </c>
      <c r="C1788" s="2">
        <v>2.31</v>
      </c>
      <c r="D1788" s="2">
        <v>6.0487000000000002</v>
      </c>
      <c r="E1788" s="2" t="s">
        <v>1173</v>
      </c>
      <c r="F1788" s="2" t="e">
        <f>VLOOKUP(B1788,MSCI中国成分股!A:B,1,)</f>
        <v>#N/A</v>
      </c>
    </row>
    <row r="1789" spans="1:6" ht="20.25" hidden="1" customHeight="1" x14ac:dyDescent="0.15">
      <c r="A1789" s="2" t="s">
        <v>3821</v>
      </c>
      <c r="B1789" s="2" t="s">
        <v>3822</v>
      </c>
      <c r="C1789" s="2">
        <v>0.22</v>
      </c>
      <c r="D1789" s="2">
        <v>7.3099999999999998E-2</v>
      </c>
      <c r="E1789" s="2" t="s">
        <v>784</v>
      </c>
      <c r="F1789" s="2" t="e">
        <f>VLOOKUP(B1789,MSCI中国成分股!A:B,1,)</f>
        <v>#N/A</v>
      </c>
    </row>
    <row r="1790" spans="1:6" ht="20.25" hidden="1" customHeight="1" x14ac:dyDescent="0.15">
      <c r="A1790" s="2" t="s">
        <v>3823</v>
      </c>
      <c r="B1790" s="2" t="s">
        <v>3824</v>
      </c>
      <c r="C1790" s="2">
        <v>1.33</v>
      </c>
      <c r="D1790" s="2">
        <v>1.1847000000000001</v>
      </c>
      <c r="E1790" s="2" t="s">
        <v>2463</v>
      </c>
      <c r="F1790" s="2" t="e">
        <f>VLOOKUP(B1790,MSCI中国成分股!A:B,1,)</f>
        <v>#N/A</v>
      </c>
    </row>
    <row r="1791" spans="1:6" ht="20.25" hidden="1" customHeight="1" x14ac:dyDescent="0.15">
      <c r="A1791" s="2" t="s">
        <v>3825</v>
      </c>
      <c r="B1791" s="2" t="s">
        <v>3826</v>
      </c>
      <c r="C1791" s="2">
        <v>-1.24</v>
      </c>
      <c r="D1791" s="2">
        <v>106.0532</v>
      </c>
      <c r="E1791" s="2" t="s">
        <v>638</v>
      </c>
      <c r="F1791" s="2" t="e">
        <f>VLOOKUP(B1791,MSCI中国成分股!A:B,1,)</f>
        <v>#N/A</v>
      </c>
    </row>
    <row r="1792" spans="1:6" ht="20.25" hidden="1" customHeight="1" x14ac:dyDescent="0.15">
      <c r="A1792" s="2" t="s">
        <v>3827</v>
      </c>
      <c r="B1792" s="2" t="s">
        <v>3828</v>
      </c>
      <c r="C1792" s="2">
        <v>2.41</v>
      </c>
      <c r="D1792" s="2">
        <v>5.0453000000000001</v>
      </c>
      <c r="E1792" s="2" t="s">
        <v>1061</v>
      </c>
      <c r="F1792" s="2" t="e">
        <f>VLOOKUP(B1792,MSCI中国成分股!A:B,1,)</f>
        <v>#N/A</v>
      </c>
    </row>
    <row r="1793" spans="1:6" ht="20.25" hidden="1" customHeight="1" x14ac:dyDescent="0.15">
      <c r="A1793" s="2" t="s">
        <v>3829</v>
      </c>
      <c r="B1793" s="2" t="s">
        <v>3830</v>
      </c>
      <c r="C1793" s="2">
        <v>4.1900000000000004</v>
      </c>
      <c r="D1793" s="2">
        <v>3.6753999999999998</v>
      </c>
      <c r="E1793" s="2" t="s">
        <v>1691</v>
      </c>
      <c r="F1793" s="2" t="e">
        <f>VLOOKUP(B1793,MSCI中国成分股!A:B,1,)</f>
        <v>#N/A</v>
      </c>
    </row>
    <row r="1794" spans="1:6" ht="20.25" hidden="1" customHeight="1" x14ac:dyDescent="0.15">
      <c r="A1794" s="2" t="s">
        <v>3831</v>
      </c>
      <c r="B1794" s="2" t="s">
        <v>3832</v>
      </c>
      <c r="C1794" s="2">
        <v>3.06</v>
      </c>
      <c r="D1794" s="2">
        <v>0.94110000000000005</v>
      </c>
      <c r="E1794" s="2" t="s">
        <v>362</v>
      </c>
      <c r="F1794" s="2" t="e">
        <f>VLOOKUP(B1794,MSCI中国成分股!A:B,1,)</f>
        <v>#N/A</v>
      </c>
    </row>
    <row r="1795" spans="1:6" ht="20.25" hidden="1" customHeight="1" x14ac:dyDescent="0.15">
      <c r="A1795" s="2" t="s">
        <v>3833</v>
      </c>
      <c r="B1795" s="2" t="s">
        <v>3834</v>
      </c>
      <c r="C1795" s="2">
        <v>2.2599999999999998</v>
      </c>
      <c r="D1795" s="2">
        <v>0.48099999999999998</v>
      </c>
      <c r="E1795" s="2" t="s">
        <v>143</v>
      </c>
      <c r="F1795" s="2" t="e">
        <f>VLOOKUP(B1795,MSCI中国成分股!A:B,1,)</f>
        <v>#N/A</v>
      </c>
    </row>
    <row r="1796" spans="1:6" ht="20.25" hidden="1" customHeight="1" x14ac:dyDescent="0.15">
      <c r="A1796" s="2" t="s">
        <v>3835</v>
      </c>
      <c r="B1796" s="2" t="s">
        <v>3836</v>
      </c>
      <c r="C1796" s="2">
        <v>0.15</v>
      </c>
      <c r="D1796" s="2">
        <v>12.329599999999999</v>
      </c>
      <c r="E1796" s="2" t="s">
        <v>299</v>
      </c>
      <c r="F1796" s="2" t="e">
        <f>VLOOKUP(B1796,MSCI中国成分股!A:B,1,)</f>
        <v>#N/A</v>
      </c>
    </row>
    <row r="1797" spans="1:6" ht="20.25" hidden="1" customHeight="1" x14ac:dyDescent="0.15">
      <c r="A1797" s="2" t="s">
        <v>3837</v>
      </c>
      <c r="B1797" s="2" t="s">
        <v>3838</v>
      </c>
      <c r="C1797" s="2">
        <v>1.36</v>
      </c>
      <c r="D1797" s="2">
        <v>0.2417</v>
      </c>
      <c r="E1797" s="2" t="s">
        <v>152</v>
      </c>
      <c r="F1797" s="2" t="e">
        <f>VLOOKUP(B1797,MSCI中国成分股!A:B,1,)</f>
        <v>#N/A</v>
      </c>
    </row>
    <row r="1798" spans="1:6" ht="20.25" hidden="1" customHeight="1" x14ac:dyDescent="0.15">
      <c r="A1798" s="2" t="s">
        <v>3839</v>
      </c>
      <c r="B1798" s="2" t="s">
        <v>3840</v>
      </c>
      <c r="C1798" s="2">
        <v>-0.14000000000000001</v>
      </c>
      <c r="D1798" s="2">
        <v>13.2401</v>
      </c>
      <c r="E1798" s="2" t="s">
        <v>157</v>
      </c>
      <c r="F1798" s="2" t="e">
        <f>VLOOKUP(B1798,MSCI中国成分股!A:B,1,)</f>
        <v>#N/A</v>
      </c>
    </row>
    <row r="1799" spans="1:6" ht="20.25" hidden="1" customHeight="1" x14ac:dyDescent="0.15">
      <c r="A1799" s="2" t="s">
        <v>3841</v>
      </c>
      <c r="B1799" s="2" t="s">
        <v>3842</v>
      </c>
      <c r="C1799" s="2">
        <v>-1.47</v>
      </c>
      <c r="D1799" s="2">
        <v>110.9028</v>
      </c>
      <c r="E1799" s="2" t="s">
        <v>2374</v>
      </c>
      <c r="F1799" s="2" t="e">
        <f>VLOOKUP(B1799,MSCI中国成分股!A:B,1,)</f>
        <v>#N/A</v>
      </c>
    </row>
    <row r="1800" spans="1:6" ht="20.25" hidden="1" customHeight="1" x14ac:dyDescent="0.15">
      <c r="A1800" s="2" t="s">
        <v>3843</v>
      </c>
      <c r="B1800" s="2" t="s">
        <v>3844</v>
      </c>
      <c r="C1800" s="2">
        <v>2.5099999999999998</v>
      </c>
      <c r="D1800" s="2">
        <v>2.4186999999999999</v>
      </c>
      <c r="E1800" s="2" t="s">
        <v>137</v>
      </c>
      <c r="F1800" s="2" t="e">
        <f>VLOOKUP(B1800,MSCI中国成分股!A:B,1,)</f>
        <v>#N/A</v>
      </c>
    </row>
    <row r="1801" spans="1:6" ht="20.25" hidden="1" customHeight="1" x14ac:dyDescent="0.15">
      <c r="A1801" s="2" t="s">
        <v>3845</v>
      </c>
      <c r="B1801" s="2" t="s">
        <v>3846</v>
      </c>
      <c r="C1801" s="2">
        <v>3.9449999999999998</v>
      </c>
      <c r="D1801" s="2">
        <v>0.57089999999999996</v>
      </c>
      <c r="E1801" s="2" t="s">
        <v>257</v>
      </c>
      <c r="F1801" s="2" t="e">
        <f>VLOOKUP(B1801,MSCI中国成分股!A:B,1,)</f>
        <v>#N/A</v>
      </c>
    </row>
    <row r="1802" spans="1:6" ht="20.25" hidden="1" customHeight="1" x14ac:dyDescent="0.15">
      <c r="A1802" s="2" t="s">
        <v>3847</v>
      </c>
      <c r="B1802" s="2" t="s">
        <v>3848</v>
      </c>
      <c r="C1802" s="2">
        <v>0.37</v>
      </c>
      <c r="D1802" s="2">
        <v>1.0516000000000001</v>
      </c>
      <c r="E1802" s="2" t="s">
        <v>171</v>
      </c>
      <c r="F1802" s="2" t="e">
        <f>VLOOKUP(B1802,MSCI中国成分股!A:B,1,)</f>
        <v>#N/A</v>
      </c>
    </row>
    <row r="1803" spans="1:6" ht="20.25" hidden="1" customHeight="1" x14ac:dyDescent="0.15">
      <c r="A1803" s="2" t="s">
        <v>3849</v>
      </c>
      <c r="B1803" s="2" t="s">
        <v>3850</v>
      </c>
      <c r="C1803" s="2">
        <v>1.38</v>
      </c>
      <c r="D1803" s="2">
        <v>0.49919999999999998</v>
      </c>
      <c r="E1803" s="2" t="s">
        <v>704</v>
      </c>
      <c r="F1803" s="2" t="e">
        <f>VLOOKUP(B1803,MSCI中国成分股!A:B,1,)</f>
        <v>#N/A</v>
      </c>
    </row>
    <row r="1804" spans="1:6" ht="20.25" hidden="1" customHeight="1" x14ac:dyDescent="0.15">
      <c r="A1804" s="2" t="s">
        <v>3851</v>
      </c>
      <c r="B1804" s="2" t="s">
        <v>3852</v>
      </c>
      <c r="C1804" s="2">
        <v>1.585</v>
      </c>
      <c r="D1804" s="2">
        <v>2.4512999999999998</v>
      </c>
      <c r="E1804" s="2" t="s">
        <v>574</v>
      </c>
      <c r="F1804" s="2" t="e">
        <f>VLOOKUP(B1804,MSCI中国成分股!A:B,1,)</f>
        <v>#N/A</v>
      </c>
    </row>
    <row r="1805" spans="1:6" ht="20.25" hidden="1" customHeight="1" x14ac:dyDescent="0.15">
      <c r="A1805" s="2" t="s">
        <v>3853</v>
      </c>
      <c r="B1805" s="2" t="s">
        <v>3854</v>
      </c>
      <c r="C1805" s="2">
        <v>0.55000000000000004</v>
      </c>
      <c r="D1805" s="2">
        <v>0.31909999999999999</v>
      </c>
      <c r="E1805" s="2" t="s">
        <v>690</v>
      </c>
      <c r="F1805" s="2" t="e">
        <f>VLOOKUP(B1805,MSCI中国成分股!A:B,1,)</f>
        <v>#N/A</v>
      </c>
    </row>
    <row r="1806" spans="1:6" ht="20.25" hidden="1" customHeight="1" x14ac:dyDescent="0.15">
      <c r="A1806" s="2" t="s">
        <v>3855</v>
      </c>
      <c r="B1806" s="2" t="s">
        <v>3856</v>
      </c>
      <c r="C1806" s="2">
        <v>-0.64</v>
      </c>
      <c r="D1806" s="2">
        <v>4.0147000000000004</v>
      </c>
      <c r="E1806" s="2" t="s">
        <v>638</v>
      </c>
      <c r="F1806" s="2" t="e">
        <f>VLOOKUP(B1806,MSCI中国成分股!A:B,1,)</f>
        <v>#N/A</v>
      </c>
    </row>
    <row r="1807" spans="1:6" ht="20.25" hidden="1" customHeight="1" x14ac:dyDescent="0.15">
      <c r="A1807" s="2" t="s">
        <v>3857</v>
      </c>
      <c r="B1807" s="2" t="s">
        <v>3858</v>
      </c>
      <c r="C1807" s="2">
        <v>1.43</v>
      </c>
      <c r="D1807" s="2">
        <v>0.32269999999999999</v>
      </c>
      <c r="E1807" s="2" t="s">
        <v>1061</v>
      </c>
      <c r="F1807" s="2" t="e">
        <f>VLOOKUP(B1807,MSCI中国成分股!A:B,1,)</f>
        <v>#N/A</v>
      </c>
    </row>
    <row r="1808" spans="1:6" ht="20.25" hidden="1" customHeight="1" x14ac:dyDescent="0.15">
      <c r="A1808" s="2" t="s">
        <v>3859</v>
      </c>
      <c r="B1808" s="2" t="s">
        <v>3860</v>
      </c>
      <c r="C1808" s="2">
        <v>0.95</v>
      </c>
      <c r="D1808" s="2">
        <v>0.1883</v>
      </c>
      <c r="E1808" s="2" t="s">
        <v>713</v>
      </c>
      <c r="F1808" s="2" t="e">
        <f>VLOOKUP(B1808,MSCI中国成分股!A:B,1,)</f>
        <v>#N/A</v>
      </c>
    </row>
    <row r="1809" spans="1:6" ht="20.25" hidden="1" customHeight="1" x14ac:dyDescent="0.15">
      <c r="A1809" s="2" t="s">
        <v>3861</v>
      </c>
      <c r="B1809" s="2" t="s">
        <v>3862</v>
      </c>
      <c r="C1809" s="2">
        <v>1.78</v>
      </c>
      <c r="D1809" s="2">
        <v>0.15820000000000001</v>
      </c>
      <c r="E1809" s="2" t="s">
        <v>1102</v>
      </c>
      <c r="F1809" s="2" t="e">
        <f>VLOOKUP(B1809,MSCI中国成分股!A:B,1,)</f>
        <v>#N/A</v>
      </c>
    </row>
    <row r="1810" spans="1:6" ht="20.25" hidden="1" customHeight="1" x14ac:dyDescent="0.15">
      <c r="A1810" s="2" t="s">
        <v>3863</v>
      </c>
      <c r="B1810" s="2" t="s">
        <v>3864</v>
      </c>
      <c r="C1810" s="2">
        <v>1.05</v>
      </c>
      <c r="D1810" s="2">
        <v>12.951599999999999</v>
      </c>
      <c r="E1810" s="2" t="s">
        <v>299</v>
      </c>
      <c r="F1810" s="2" t="e">
        <f>VLOOKUP(B1810,MSCI中国成分股!A:B,1,)</f>
        <v>#N/A</v>
      </c>
    </row>
    <row r="1811" spans="1:6" ht="20.25" hidden="1" customHeight="1" x14ac:dyDescent="0.15">
      <c r="A1811" s="2" t="s">
        <v>3865</v>
      </c>
      <c r="B1811" s="2" t="s">
        <v>3866</v>
      </c>
      <c r="C1811" s="2">
        <v>5.0250000000000004</v>
      </c>
      <c r="D1811" s="2">
        <v>6.6414999999999997</v>
      </c>
      <c r="E1811" s="2" t="s">
        <v>647</v>
      </c>
      <c r="F1811" s="2" t="e">
        <f>VLOOKUP(B1811,MSCI中国成分股!A:B,1,)</f>
        <v>#N/A</v>
      </c>
    </row>
    <row r="1812" spans="1:6" ht="20.25" hidden="1" customHeight="1" x14ac:dyDescent="0.15">
      <c r="A1812" s="2" t="s">
        <v>3867</v>
      </c>
      <c r="B1812" s="2" t="s">
        <v>3868</v>
      </c>
      <c r="C1812" s="2">
        <v>0.46</v>
      </c>
      <c r="D1812" s="2">
        <v>0.4481</v>
      </c>
      <c r="E1812" s="2" t="s">
        <v>724</v>
      </c>
      <c r="F1812" s="2" t="e">
        <f>VLOOKUP(B1812,MSCI中国成分股!A:B,1,)</f>
        <v>#N/A</v>
      </c>
    </row>
    <row r="1813" spans="1:6" ht="20.25" hidden="1" customHeight="1" x14ac:dyDescent="0.15">
      <c r="A1813" s="2" t="s">
        <v>3869</v>
      </c>
      <c r="B1813" s="2" t="s">
        <v>3870</v>
      </c>
      <c r="C1813" s="2">
        <v>1.54</v>
      </c>
      <c r="D1813" s="2">
        <v>5.0327999999999999</v>
      </c>
      <c r="E1813" s="2" t="s">
        <v>171</v>
      </c>
      <c r="F1813" s="2" t="e">
        <f>VLOOKUP(B1813,MSCI中国成分股!A:B,1,)</f>
        <v>#N/A</v>
      </c>
    </row>
    <row r="1814" spans="1:6" ht="20.25" hidden="1" customHeight="1" x14ac:dyDescent="0.15">
      <c r="A1814" s="2" t="s">
        <v>3871</v>
      </c>
      <c r="B1814" s="2" t="s">
        <v>3872</v>
      </c>
      <c r="C1814" s="2">
        <v>2.835</v>
      </c>
      <c r="D1814" s="2">
        <v>3.1280000000000001</v>
      </c>
      <c r="E1814" s="2" t="s">
        <v>149</v>
      </c>
      <c r="F1814" s="2" t="e">
        <f>VLOOKUP(B1814,MSCI中国成分股!A:B,1,)</f>
        <v>#N/A</v>
      </c>
    </row>
    <row r="1815" spans="1:6" ht="20.25" hidden="1" customHeight="1" x14ac:dyDescent="0.15">
      <c r="A1815" s="2" t="s">
        <v>3873</v>
      </c>
      <c r="B1815" s="2" t="s">
        <v>3874</v>
      </c>
      <c r="C1815" s="2">
        <v>0.32</v>
      </c>
      <c r="D1815" s="2">
        <v>0.53410000000000002</v>
      </c>
      <c r="E1815" s="2" t="s">
        <v>736</v>
      </c>
      <c r="F1815" s="2" t="e">
        <f>VLOOKUP(B1815,MSCI中国成分股!A:B,1,)</f>
        <v>#N/A</v>
      </c>
    </row>
    <row r="1816" spans="1:6" ht="20.25" hidden="1" customHeight="1" x14ac:dyDescent="0.15">
      <c r="A1816" s="2" t="s">
        <v>3875</v>
      </c>
      <c r="B1816" s="2" t="s">
        <v>3876</v>
      </c>
      <c r="C1816" s="2">
        <v>0.19</v>
      </c>
      <c r="D1816" s="2">
        <v>69.1173</v>
      </c>
      <c r="E1816" s="2" t="s">
        <v>931</v>
      </c>
      <c r="F1816" s="2" t="e">
        <f>VLOOKUP(B1816,MSCI中国成分股!A:B,1,)</f>
        <v>#N/A</v>
      </c>
    </row>
    <row r="1817" spans="1:6" ht="20.25" hidden="1" customHeight="1" x14ac:dyDescent="0.15">
      <c r="A1817" s="2" t="s">
        <v>3877</v>
      </c>
      <c r="B1817" s="2" t="s">
        <v>3878</v>
      </c>
      <c r="C1817" s="2">
        <v>0.65</v>
      </c>
      <c r="D1817" s="2">
        <v>0.66659999999999997</v>
      </c>
      <c r="E1817" s="2" t="s">
        <v>862</v>
      </c>
      <c r="F1817" s="2" t="e">
        <f>VLOOKUP(B1817,MSCI中国成分股!A:B,1,)</f>
        <v>#N/A</v>
      </c>
    </row>
    <row r="1818" spans="1:6" ht="20.25" hidden="1" customHeight="1" x14ac:dyDescent="0.15">
      <c r="A1818" s="2" t="s">
        <v>3879</v>
      </c>
      <c r="B1818" s="2" t="s">
        <v>3880</v>
      </c>
      <c r="C1818" s="2">
        <v>0.36</v>
      </c>
      <c r="D1818" s="2">
        <v>9.0792999999999999</v>
      </c>
      <c r="E1818" s="2" t="s">
        <v>2678</v>
      </c>
      <c r="F1818" s="2" t="e">
        <f>VLOOKUP(B1818,MSCI中国成分股!A:B,1,)</f>
        <v>#N/A</v>
      </c>
    </row>
    <row r="1819" spans="1:6" ht="20.25" hidden="1" customHeight="1" x14ac:dyDescent="0.15">
      <c r="A1819" s="2" t="s">
        <v>3881</v>
      </c>
      <c r="B1819" s="2" t="s">
        <v>3882</v>
      </c>
      <c r="C1819" s="2">
        <v>1.75</v>
      </c>
      <c r="D1819" s="2">
        <v>3.7025999999999999</v>
      </c>
      <c r="E1819" s="2" t="s">
        <v>1263</v>
      </c>
      <c r="F1819" s="2" t="e">
        <f>VLOOKUP(B1819,MSCI中国成分股!A:B,1,)</f>
        <v>#N/A</v>
      </c>
    </row>
    <row r="1820" spans="1:6" ht="20.25" hidden="1" customHeight="1" x14ac:dyDescent="0.15">
      <c r="A1820" s="2" t="s">
        <v>3883</v>
      </c>
      <c r="B1820" s="2" t="s">
        <v>3884</v>
      </c>
      <c r="C1820" s="2">
        <v>1.93</v>
      </c>
      <c r="D1820" s="2">
        <v>0.87480000000000002</v>
      </c>
      <c r="E1820" s="2" t="s">
        <v>713</v>
      </c>
      <c r="F1820" s="2" t="e">
        <f>VLOOKUP(B1820,MSCI中国成分股!A:B,1,)</f>
        <v>#N/A</v>
      </c>
    </row>
    <row r="1821" spans="1:6" ht="20.25" hidden="1" customHeight="1" x14ac:dyDescent="0.15">
      <c r="A1821" s="2" t="s">
        <v>3885</v>
      </c>
      <c r="B1821" s="2" t="s">
        <v>3886</v>
      </c>
      <c r="C1821" s="2">
        <v>1.74</v>
      </c>
      <c r="D1821" s="2">
        <v>0.41489999999999999</v>
      </c>
      <c r="E1821" s="2" t="s">
        <v>418</v>
      </c>
      <c r="F1821" s="2" t="e">
        <f>VLOOKUP(B1821,MSCI中国成分股!A:B,1,)</f>
        <v>#N/A</v>
      </c>
    </row>
    <row r="1822" spans="1:6" ht="20.25" hidden="1" customHeight="1" x14ac:dyDescent="0.15">
      <c r="A1822" s="2" t="s">
        <v>3887</v>
      </c>
      <c r="B1822" s="2" t="s">
        <v>3888</v>
      </c>
      <c r="C1822" s="2">
        <v>0.75</v>
      </c>
      <c r="D1822" s="2">
        <v>7.1544999999999996</v>
      </c>
      <c r="E1822" s="2" t="s">
        <v>529</v>
      </c>
      <c r="F1822" s="2" t="e">
        <f>VLOOKUP(B1822,MSCI中国成分股!A:B,1,)</f>
        <v>#N/A</v>
      </c>
    </row>
    <row r="1823" spans="1:6" ht="20.25" hidden="1" customHeight="1" x14ac:dyDescent="0.15">
      <c r="A1823" s="2" t="s">
        <v>3889</v>
      </c>
      <c r="B1823" s="2" t="s">
        <v>3890</v>
      </c>
      <c r="C1823" s="2">
        <v>0.38</v>
      </c>
      <c r="D1823" s="2">
        <v>0.46660000000000001</v>
      </c>
      <c r="E1823" s="2" t="s">
        <v>310</v>
      </c>
      <c r="F1823" s="2" t="e">
        <f>VLOOKUP(B1823,MSCI中国成分股!A:B,1,)</f>
        <v>#N/A</v>
      </c>
    </row>
    <row r="1824" spans="1:6" ht="20.25" hidden="1" customHeight="1" x14ac:dyDescent="0.15">
      <c r="A1824" s="2" t="s">
        <v>3891</v>
      </c>
      <c r="B1824" s="2" t="s">
        <v>3892</v>
      </c>
      <c r="C1824" s="2">
        <v>1.5</v>
      </c>
      <c r="D1824" s="2">
        <v>4.6855000000000002</v>
      </c>
      <c r="E1824" s="2" t="s">
        <v>140</v>
      </c>
      <c r="F1824" s="2" t="e">
        <f>VLOOKUP(B1824,MSCI中国成分股!A:B,1,)</f>
        <v>#N/A</v>
      </c>
    </row>
    <row r="1825" spans="1:6" ht="20.25" hidden="1" customHeight="1" x14ac:dyDescent="0.15">
      <c r="A1825" s="2" t="s">
        <v>3893</v>
      </c>
      <c r="B1825" s="2" t="s">
        <v>3894</v>
      </c>
      <c r="C1825" s="2">
        <v>1.73</v>
      </c>
      <c r="D1825" s="2">
        <v>3.0383</v>
      </c>
      <c r="E1825" s="2" t="s">
        <v>2344</v>
      </c>
      <c r="F1825" s="2" t="e">
        <f>VLOOKUP(B1825,MSCI中国成分股!A:B,1,)</f>
        <v>#N/A</v>
      </c>
    </row>
    <row r="1826" spans="1:6" ht="20.25" hidden="1" customHeight="1" x14ac:dyDescent="0.15">
      <c r="A1826" s="2" t="s">
        <v>3895</v>
      </c>
      <c r="B1826" s="2" t="s">
        <v>3896</v>
      </c>
      <c r="C1826" s="2">
        <v>0.33</v>
      </c>
      <c r="D1826" s="2">
        <v>1.1019000000000001</v>
      </c>
      <c r="E1826" s="2" t="s">
        <v>13</v>
      </c>
      <c r="F1826" s="2" t="e">
        <f>VLOOKUP(B1826,MSCI中国成分股!A:B,1,)</f>
        <v>#N/A</v>
      </c>
    </row>
    <row r="1827" spans="1:6" ht="20.25" hidden="1" customHeight="1" x14ac:dyDescent="0.15">
      <c r="A1827" s="2" t="s">
        <v>3897</v>
      </c>
      <c r="B1827" s="2" t="s">
        <v>3898</v>
      </c>
      <c r="C1827" s="2">
        <v>3.51</v>
      </c>
      <c r="D1827" s="2">
        <v>2.2492000000000001</v>
      </c>
      <c r="E1827" s="2" t="s">
        <v>299</v>
      </c>
      <c r="F1827" s="2" t="e">
        <f>VLOOKUP(B1827,MSCI中国成分股!A:B,1,)</f>
        <v>#N/A</v>
      </c>
    </row>
    <row r="1828" spans="1:6" ht="20.25" hidden="1" customHeight="1" x14ac:dyDescent="0.15">
      <c r="A1828" s="2" t="s">
        <v>3899</v>
      </c>
      <c r="B1828" s="2" t="s">
        <v>3900</v>
      </c>
      <c r="C1828" s="2">
        <v>1.72</v>
      </c>
      <c r="D1828" s="2">
        <v>1.1003000000000001</v>
      </c>
      <c r="E1828" s="2" t="s">
        <v>299</v>
      </c>
      <c r="F1828" s="2" t="e">
        <f>VLOOKUP(B1828,MSCI中国成分股!A:B,1,)</f>
        <v>#N/A</v>
      </c>
    </row>
    <row r="1829" spans="1:6" ht="20.25" hidden="1" customHeight="1" x14ac:dyDescent="0.15">
      <c r="A1829" s="2" t="s">
        <v>3901</v>
      </c>
      <c r="B1829" s="2" t="s">
        <v>3902</v>
      </c>
      <c r="C1829" s="2">
        <v>4.8099999999999996</v>
      </c>
      <c r="D1829" s="2">
        <v>6.8720999999999997</v>
      </c>
      <c r="E1829" s="2" t="s">
        <v>1436</v>
      </c>
      <c r="F1829" s="2" t="e">
        <f>VLOOKUP(B1829,MSCI中国成分股!A:B,1,)</f>
        <v>#N/A</v>
      </c>
    </row>
    <row r="1830" spans="1:6" ht="20.25" hidden="1" customHeight="1" x14ac:dyDescent="0.15">
      <c r="A1830" s="2" t="s">
        <v>3903</v>
      </c>
      <c r="B1830" s="2" t="s">
        <v>3904</v>
      </c>
      <c r="C1830" s="2">
        <v>1.29</v>
      </c>
      <c r="D1830" s="2">
        <v>1.0064</v>
      </c>
      <c r="E1830" s="2" t="s">
        <v>371</v>
      </c>
      <c r="F1830" s="2" t="e">
        <f>VLOOKUP(B1830,MSCI中国成分股!A:B,1,)</f>
        <v>#N/A</v>
      </c>
    </row>
    <row r="1831" spans="1:6" ht="20.25" hidden="1" customHeight="1" x14ac:dyDescent="0.15">
      <c r="A1831" s="2" t="s">
        <v>3905</v>
      </c>
      <c r="B1831" s="2" t="s">
        <v>3906</v>
      </c>
      <c r="C1831" s="2">
        <v>1.38</v>
      </c>
      <c r="D1831" s="2">
        <v>3.3411</v>
      </c>
      <c r="E1831" s="2" t="s">
        <v>459</v>
      </c>
      <c r="F1831" s="2" t="e">
        <f>VLOOKUP(B1831,MSCI中国成分股!A:B,1,)</f>
        <v>#N/A</v>
      </c>
    </row>
    <row r="1832" spans="1:6" ht="20.25" hidden="1" customHeight="1" x14ac:dyDescent="0.15">
      <c r="A1832" s="2" t="s">
        <v>3907</v>
      </c>
      <c r="B1832" s="2" t="s">
        <v>3908</v>
      </c>
      <c r="C1832" s="2">
        <v>0.98</v>
      </c>
      <c r="D1832" s="2">
        <v>0.19839999999999999</v>
      </c>
      <c r="E1832" s="2" t="s">
        <v>339</v>
      </c>
      <c r="F1832" s="2" t="e">
        <f>VLOOKUP(B1832,MSCI中国成分股!A:B,1,)</f>
        <v>#N/A</v>
      </c>
    </row>
    <row r="1833" spans="1:6" ht="20.25" hidden="1" customHeight="1" x14ac:dyDescent="0.15">
      <c r="A1833" s="2" t="s">
        <v>3909</v>
      </c>
      <c r="B1833" s="2" t="s">
        <v>3910</v>
      </c>
      <c r="C1833" s="2">
        <v>0.38</v>
      </c>
      <c r="D1833" s="2">
        <v>1.1447000000000001</v>
      </c>
      <c r="E1833" s="2" t="s">
        <v>799</v>
      </c>
      <c r="F1833" s="2" t="e">
        <f>VLOOKUP(B1833,MSCI中国成分股!A:B,1,)</f>
        <v>#N/A</v>
      </c>
    </row>
    <row r="1834" spans="1:6" ht="20.25" hidden="1" customHeight="1" x14ac:dyDescent="0.15">
      <c r="A1834" s="2" t="s">
        <v>3911</v>
      </c>
      <c r="B1834" s="2" t="s">
        <v>3912</v>
      </c>
      <c r="C1834" s="2">
        <v>-1.31</v>
      </c>
      <c r="D1834" s="2">
        <v>3.2745000000000002</v>
      </c>
      <c r="E1834" s="2" t="s">
        <v>799</v>
      </c>
      <c r="F1834" s="2" t="e">
        <f>VLOOKUP(B1834,MSCI中国成分股!A:B,1,)</f>
        <v>#N/A</v>
      </c>
    </row>
    <row r="1835" spans="1:6" ht="20.25" hidden="1" customHeight="1" x14ac:dyDescent="0.15">
      <c r="A1835" s="2" t="s">
        <v>3913</v>
      </c>
      <c r="B1835" s="2" t="s">
        <v>3914</v>
      </c>
      <c r="C1835" s="2">
        <v>-1.32</v>
      </c>
      <c r="D1835" s="2">
        <v>10.070399999999999</v>
      </c>
      <c r="E1835" s="2" t="s">
        <v>1570</v>
      </c>
      <c r="F1835" s="2" t="e">
        <f>VLOOKUP(B1835,MSCI中国成分股!A:B,1,)</f>
        <v>#N/A</v>
      </c>
    </row>
    <row r="1836" spans="1:6" ht="20.25" hidden="1" customHeight="1" x14ac:dyDescent="0.15">
      <c r="A1836" s="2" t="s">
        <v>3915</v>
      </c>
      <c r="B1836" s="2" t="s">
        <v>3916</v>
      </c>
      <c r="C1836" s="2">
        <v>3.91</v>
      </c>
      <c r="D1836" s="2">
        <v>2.5287999999999999</v>
      </c>
      <c r="E1836" s="2" t="s">
        <v>1145</v>
      </c>
      <c r="F1836" s="2" t="e">
        <f>VLOOKUP(B1836,MSCI中国成分股!A:B,1,)</f>
        <v>#N/A</v>
      </c>
    </row>
    <row r="1837" spans="1:6" ht="20.25" hidden="1" customHeight="1" x14ac:dyDescent="0.15">
      <c r="A1837" s="2" t="s">
        <v>3917</v>
      </c>
      <c r="B1837" s="2" t="s">
        <v>3918</v>
      </c>
      <c r="C1837" s="2">
        <v>0.48</v>
      </c>
      <c r="D1837" s="2">
        <v>118.9631</v>
      </c>
      <c r="E1837" s="2" t="s">
        <v>1515</v>
      </c>
      <c r="F1837" s="2" t="e">
        <f>VLOOKUP(B1837,MSCI中国成分股!A:B,1,)</f>
        <v>#N/A</v>
      </c>
    </row>
    <row r="1838" spans="1:6" ht="20.25" hidden="1" customHeight="1" x14ac:dyDescent="0.15">
      <c r="A1838" s="2" t="s">
        <v>3919</v>
      </c>
      <c r="B1838" s="2" t="s">
        <v>3920</v>
      </c>
      <c r="C1838" s="2">
        <v>0.72</v>
      </c>
      <c r="D1838" s="2">
        <v>0.27610000000000001</v>
      </c>
      <c r="E1838" s="2" t="s">
        <v>276</v>
      </c>
      <c r="F1838" s="2" t="e">
        <f>VLOOKUP(B1838,MSCI中国成分股!A:B,1,)</f>
        <v>#N/A</v>
      </c>
    </row>
    <row r="1839" spans="1:6" ht="20.25" hidden="1" customHeight="1" x14ac:dyDescent="0.15">
      <c r="A1839" s="2" t="s">
        <v>3921</v>
      </c>
      <c r="B1839" s="2" t="s">
        <v>3922</v>
      </c>
      <c r="C1839" s="2">
        <v>2.48</v>
      </c>
      <c r="D1839" s="2">
        <v>1.5253000000000001</v>
      </c>
      <c r="E1839" s="2" t="s">
        <v>501</v>
      </c>
      <c r="F1839" s="2" t="e">
        <f>VLOOKUP(B1839,MSCI中国成分股!A:B,1,)</f>
        <v>#N/A</v>
      </c>
    </row>
    <row r="1840" spans="1:6" ht="20.25" hidden="1" customHeight="1" x14ac:dyDescent="0.15">
      <c r="A1840" s="2" t="s">
        <v>3923</v>
      </c>
      <c r="B1840" s="2" t="s">
        <v>3924</v>
      </c>
      <c r="C1840" s="2">
        <v>0.48</v>
      </c>
      <c r="D1840" s="2">
        <v>1.4383999999999999</v>
      </c>
      <c r="E1840" s="2" t="s">
        <v>818</v>
      </c>
      <c r="F1840" s="2" t="e">
        <f>VLOOKUP(B1840,MSCI中国成分股!A:B,1,)</f>
        <v>#N/A</v>
      </c>
    </row>
    <row r="1841" spans="1:6" ht="20.25" hidden="1" customHeight="1" x14ac:dyDescent="0.15">
      <c r="A1841" s="2" t="s">
        <v>3925</v>
      </c>
      <c r="B1841" s="2" t="s">
        <v>3926</v>
      </c>
      <c r="C1841" s="2">
        <v>1.39</v>
      </c>
      <c r="D1841" s="2">
        <v>8.7331000000000003</v>
      </c>
      <c r="E1841" s="2" t="s">
        <v>1593</v>
      </c>
      <c r="F1841" s="2" t="e">
        <f>VLOOKUP(B1841,MSCI中国成分股!A:B,1,)</f>
        <v>#N/A</v>
      </c>
    </row>
    <row r="1842" spans="1:6" ht="20.25" hidden="1" customHeight="1" x14ac:dyDescent="0.15">
      <c r="A1842" s="2" t="s">
        <v>3927</v>
      </c>
      <c r="B1842" s="2" t="s">
        <v>3928</v>
      </c>
      <c r="C1842" s="2">
        <v>1.25</v>
      </c>
      <c r="D1842" s="2">
        <v>0.86099999999999999</v>
      </c>
      <c r="E1842" s="2" t="s">
        <v>396</v>
      </c>
      <c r="F1842" s="2" t="e">
        <f>VLOOKUP(B1842,MSCI中国成分股!A:B,1,)</f>
        <v>#N/A</v>
      </c>
    </row>
    <row r="1843" spans="1:6" ht="20.25" hidden="1" customHeight="1" x14ac:dyDescent="0.15">
      <c r="A1843" s="2" t="s">
        <v>3929</v>
      </c>
      <c r="B1843" s="2" t="s">
        <v>3930</v>
      </c>
      <c r="C1843" s="2">
        <v>1.28</v>
      </c>
      <c r="D1843" s="2">
        <v>0.21099999999999999</v>
      </c>
      <c r="E1843" s="2" t="s">
        <v>1820</v>
      </c>
      <c r="F1843" s="2" t="e">
        <f>VLOOKUP(B1843,MSCI中国成分股!A:B,1,)</f>
        <v>#N/A</v>
      </c>
    </row>
    <row r="1844" spans="1:6" ht="20.25" hidden="1" customHeight="1" x14ac:dyDescent="0.15">
      <c r="A1844" s="2" t="s">
        <v>3931</v>
      </c>
      <c r="B1844" s="2" t="s">
        <v>3932</v>
      </c>
      <c r="C1844" s="2">
        <v>-3.89</v>
      </c>
      <c r="D1844" s="2">
        <v>99.055700000000002</v>
      </c>
      <c r="E1844" s="2" t="s">
        <v>171</v>
      </c>
      <c r="F1844" s="2" t="e">
        <f>VLOOKUP(B1844,MSCI中国成分股!A:B,1,)</f>
        <v>#N/A</v>
      </c>
    </row>
    <row r="1845" spans="1:6" ht="20.25" hidden="1" customHeight="1" x14ac:dyDescent="0.15">
      <c r="A1845" s="2" t="s">
        <v>3933</v>
      </c>
      <c r="B1845" s="2" t="s">
        <v>3934</v>
      </c>
      <c r="C1845" s="2">
        <v>2.415</v>
      </c>
      <c r="D1845" s="2">
        <v>2.9891999999999999</v>
      </c>
      <c r="E1845" s="2" t="s">
        <v>2724</v>
      </c>
      <c r="F1845" s="2" t="e">
        <f>VLOOKUP(B1845,MSCI中国成分股!A:B,1,)</f>
        <v>#N/A</v>
      </c>
    </row>
    <row r="1846" spans="1:6" ht="20.25" hidden="1" customHeight="1" x14ac:dyDescent="0.15">
      <c r="A1846" s="2" t="s">
        <v>3935</v>
      </c>
      <c r="B1846" s="2" t="s">
        <v>3936</v>
      </c>
      <c r="C1846" s="2">
        <v>0.56000000000000005</v>
      </c>
      <c r="D1846" s="2">
        <v>4.2839</v>
      </c>
      <c r="E1846" s="2" t="s">
        <v>690</v>
      </c>
      <c r="F1846" s="2" t="e">
        <f>VLOOKUP(B1846,MSCI中国成分股!A:B,1,)</f>
        <v>#N/A</v>
      </c>
    </row>
    <row r="1847" spans="1:6" ht="20.25" hidden="1" customHeight="1" x14ac:dyDescent="0.15">
      <c r="A1847" s="2" t="s">
        <v>3937</v>
      </c>
      <c r="B1847" s="2" t="s">
        <v>3938</v>
      </c>
      <c r="C1847" s="2">
        <v>-0.99</v>
      </c>
      <c r="D1847" s="2">
        <v>10.542899999999999</v>
      </c>
      <c r="E1847" s="2" t="s">
        <v>542</v>
      </c>
      <c r="F1847" s="2" t="e">
        <f>VLOOKUP(B1847,MSCI中国成分股!A:B,1,)</f>
        <v>#N/A</v>
      </c>
    </row>
    <row r="1848" spans="1:6" ht="20.25" hidden="1" customHeight="1" x14ac:dyDescent="0.15">
      <c r="A1848" s="2" t="s">
        <v>3939</v>
      </c>
      <c r="B1848" s="2" t="s">
        <v>3940</v>
      </c>
      <c r="C1848" s="2">
        <v>0.08</v>
      </c>
      <c r="D1848" s="2">
        <v>0.8629</v>
      </c>
      <c r="E1848" s="2" t="s">
        <v>704</v>
      </c>
      <c r="F1848" s="2" t="e">
        <f>VLOOKUP(B1848,MSCI中国成分股!A:B,1,)</f>
        <v>#N/A</v>
      </c>
    </row>
    <row r="1849" spans="1:6" ht="20.25" hidden="1" customHeight="1" x14ac:dyDescent="0.15">
      <c r="A1849" s="2" t="s">
        <v>3941</v>
      </c>
      <c r="B1849" s="2" t="s">
        <v>3942</v>
      </c>
      <c r="C1849" s="2">
        <v>2.35</v>
      </c>
      <c r="D1849" s="2">
        <v>10.4168</v>
      </c>
      <c r="E1849" s="2" t="s">
        <v>1243</v>
      </c>
      <c r="F1849" s="2" t="e">
        <f>VLOOKUP(B1849,MSCI中国成分股!A:B,1,)</f>
        <v>#N/A</v>
      </c>
    </row>
    <row r="1850" spans="1:6" ht="20.25" hidden="1" customHeight="1" x14ac:dyDescent="0.15">
      <c r="A1850" s="2" t="s">
        <v>3943</v>
      </c>
      <c r="B1850" s="2" t="s">
        <v>3944</v>
      </c>
      <c r="C1850" s="2">
        <v>2.25</v>
      </c>
      <c r="D1850" s="2">
        <v>11.638</v>
      </c>
      <c r="E1850" s="2" t="s">
        <v>86</v>
      </c>
      <c r="F1850" s="2" t="e">
        <f>VLOOKUP(B1850,MSCI中国成分股!A:B,1,)</f>
        <v>#N/A</v>
      </c>
    </row>
    <row r="1851" spans="1:6" ht="20.25" hidden="1" customHeight="1" x14ac:dyDescent="0.15">
      <c r="A1851" s="2" t="s">
        <v>3945</v>
      </c>
      <c r="B1851" s="2" t="s">
        <v>3946</v>
      </c>
      <c r="C1851" s="2">
        <v>1.4</v>
      </c>
      <c r="D1851" s="2">
        <v>1.0024999999999999</v>
      </c>
      <c r="E1851" s="2" t="s">
        <v>1774</v>
      </c>
      <c r="F1851" s="2" t="e">
        <f>VLOOKUP(B1851,MSCI中国成分股!A:B,1,)</f>
        <v>#N/A</v>
      </c>
    </row>
    <row r="1852" spans="1:6" ht="20.25" hidden="1" customHeight="1" x14ac:dyDescent="0.15">
      <c r="A1852" s="2" t="s">
        <v>3947</v>
      </c>
      <c r="B1852" s="2" t="s">
        <v>3948</v>
      </c>
      <c r="C1852" s="2">
        <v>1.8</v>
      </c>
      <c r="D1852" s="2">
        <v>0.58960000000000001</v>
      </c>
      <c r="E1852" s="2" t="s">
        <v>406</v>
      </c>
      <c r="F1852" s="2" t="e">
        <f>VLOOKUP(B1852,MSCI中国成分股!A:B,1,)</f>
        <v>#N/A</v>
      </c>
    </row>
    <row r="1853" spans="1:6" ht="20.25" hidden="1" customHeight="1" x14ac:dyDescent="0.15">
      <c r="A1853" s="2" t="s">
        <v>3949</v>
      </c>
      <c r="B1853" s="2" t="s">
        <v>3950</v>
      </c>
      <c r="C1853" s="2">
        <v>1.0900000000000001</v>
      </c>
      <c r="D1853" s="2">
        <v>0.2266</v>
      </c>
      <c r="E1853" s="2" t="s">
        <v>1224</v>
      </c>
      <c r="F1853" s="2" t="e">
        <f>VLOOKUP(B1853,MSCI中国成分股!A:B,1,)</f>
        <v>#N/A</v>
      </c>
    </row>
    <row r="1854" spans="1:6" ht="20.25" hidden="1" customHeight="1" x14ac:dyDescent="0.15">
      <c r="A1854" s="2" t="s">
        <v>3951</v>
      </c>
      <c r="B1854" s="2" t="s">
        <v>3952</v>
      </c>
      <c r="C1854" s="2">
        <v>0.11</v>
      </c>
      <c r="D1854" s="2">
        <v>1.6155999999999999</v>
      </c>
      <c r="E1854" s="2" t="s">
        <v>787</v>
      </c>
      <c r="F1854" s="2" t="e">
        <f>VLOOKUP(B1854,MSCI中国成分股!A:B,1,)</f>
        <v>#N/A</v>
      </c>
    </row>
    <row r="1855" spans="1:6" ht="20.25" hidden="1" customHeight="1" x14ac:dyDescent="0.15">
      <c r="A1855" s="2" t="s">
        <v>3953</v>
      </c>
      <c r="B1855" s="2" t="s">
        <v>3954</v>
      </c>
      <c r="C1855" s="2">
        <v>2.83</v>
      </c>
      <c r="D1855" s="2">
        <v>18.305299999999999</v>
      </c>
      <c r="E1855" s="2" t="s">
        <v>647</v>
      </c>
      <c r="F1855" s="2" t="e">
        <f>VLOOKUP(B1855,MSCI中国成分股!A:B,1,)</f>
        <v>#N/A</v>
      </c>
    </row>
    <row r="1856" spans="1:6" ht="20.25" hidden="1" customHeight="1" x14ac:dyDescent="0.15">
      <c r="A1856" s="2" t="s">
        <v>3955</v>
      </c>
      <c r="B1856" s="2" t="s">
        <v>3956</v>
      </c>
      <c r="C1856" s="2">
        <v>-0.69</v>
      </c>
      <c r="D1856" s="2">
        <v>20.297899999999998</v>
      </c>
      <c r="E1856" s="2" t="s">
        <v>265</v>
      </c>
      <c r="F1856" s="2" t="e">
        <f>VLOOKUP(B1856,MSCI中国成分股!A:B,1,)</f>
        <v>#N/A</v>
      </c>
    </row>
    <row r="1857" spans="1:6" ht="20.25" hidden="1" customHeight="1" x14ac:dyDescent="0.15">
      <c r="A1857" s="2" t="s">
        <v>3957</v>
      </c>
      <c r="B1857" s="2" t="s">
        <v>3958</v>
      </c>
      <c r="C1857" s="2">
        <v>3.2050000000000001</v>
      </c>
      <c r="D1857" s="2">
        <v>3.4763000000000002</v>
      </c>
      <c r="E1857" s="2" t="s">
        <v>630</v>
      </c>
      <c r="F1857" s="2" t="e">
        <f>VLOOKUP(B1857,MSCI中国成分股!A:B,1,)</f>
        <v>#N/A</v>
      </c>
    </row>
    <row r="1858" spans="1:6" ht="20.25" hidden="1" customHeight="1" x14ac:dyDescent="0.15">
      <c r="A1858" s="2" t="s">
        <v>3959</v>
      </c>
      <c r="B1858" s="2" t="s">
        <v>3960</v>
      </c>
      <c r="C1858" s="2">
        <v>2.23</v>
      </c>
      <c r="D1858" s="2">
        <v>1.5247999999999999</v>
      </c>
      <c r="E1858" s="2" t="s">
        <v>2344</v>
      </c>
      <c r="F1858" s="2" t="e">
        <f>VLOOKUP(B1858,MSCI中国成分股!A:B,1,)</f>
        <v>#N/A</v>
      </c>
    </row>
    <row r="1859" spans="1:6" ht="20.25" hidden="1" customHeight="1" x14ac:dyDescent="0.15">
      <c r="A1859" s="2" t="s">
        <v>3961</v>
      </c>
      <c r="B1859" s="2" t="s">
        <v>3962</v>
      </c>
      <c r="C1859" s="2">
        <v>1.9</v>
      </c>
      <c r="D1859" s="2">
        <v>4.4381000000000004</v>
      </c>
      <c r="E1859" s="2" t="s">
        <v>1061</v>
      </c>
      <c r="F1859" s="2" t="e">
        <f>VLOOKUP(B1859,MSCI中国成分股!A:B,1,)</f>
        <v>#N/A</v>
      </c>
    </row>
    <row r="1860" spans="1:6" ht="20.25" hidden="1" customHeight="1" x14ac:dyDescent="0.15">
      <c r="A1860" s="2" t="s">
        <v>3963</v>
      </c>
      <c r="B1860" s="2" t="s">
        <v>3964</v>
      </c>
      <c r="C1860" s="2">
        <v>0.18</v>
      </c>
      <c r="D1860" s="2">
        <v>7.8407999999999998</v>
      </c>
      <c r="E1860" s="2" t="s">
        <v>245</v>
      </c>
      <c r="F1860" s="2" t="e">
        <f>VLOOKUP(B1860,MSCI中国成分股!A:B,1,)</f>
        <v>#N/A</v>
      </c>
    </row>
    <row r="1861" spans="1:6" ht="20.25" hidden="1" customHeight="1" x14ac:dyDescent="0.15">
      <c r="A1861" s="2" t="s">
        <v>3965</v>
      </c>
      <c r="B1861" s="2" t="s">
        <v>3966</v>
      </c>
      <c r="C1861" s="2">
        <v>2.2200000000000002</v>
      </c>
      <c r="D1861" s="2">
        <v>2.7793999999999999</v>
      </c>
      <c r="E1861" s="2" t="s">
        <v>664</v>
      </c>
      <c r="F1861" s="2" t="e">
        <f>VLOOKUP(B1861,MSCI中国成分股!A:B,1,)</f>
        <v>#N/A</v>
      </c>
    </row>
    <row r="1862" spans="1:6" ht="20.25" hidden="1" customHeight="1" x14ac:dyDescent="0.15">
      <c r="A1862" s="2" t="s">
        <v>3967</v>
      </c>
      <c r="B1862" s="2" t="s">
        <v>3968</v>
      </c>
      <c r="C1862" s="2">
        <v>0.71</v>
      </c>
      <c r="D1862" s="2">
        <v>46.7761</v>
      </c>
      <c r="E1862" s="2" t="s">
        <v>542</v>
      </c>
      <c r="F1862" s="2" t="e">
        <f>VLOOKUP(B1862,MSCI中国成分股!A:B,1,)</f>
        <v>#N/A</v>
      </c>
    </row>
    <row r="1863" spans="1:6" ht="20.25" hidden="1" customHeight="1" x14ac:dyDescent="0.15">
      <c r="A1863" s="2" t="s">
        <v>3969</v>
      </c>
      <c r="B1863" s="2" t="s">
        <v>3970</v>
      </c>
      <c r="C1863" s="2">
        <v>0.74</v>
      </c>
      <c r="D1863" s="2">
        <v>0.35759999999999997</v>
      </c>
      <c r="E1863" s="2" t="s">
        <v>3971</v>
      </c>
      <c r="F1863" s="2" t="e">
        <f>VLOOKUP(B1863,MSCI中国成分股!A:B,1,)</f>
        <v>#N/A</v>
      </c>
    </row>
    <row r="1864" spans="1:6" ht="20.25" hidden="1" customHeight="1" x14ac:dyDescent="0.15">
      <c r="A1864" s="2" t="s">
        <v>3972</v>
      </c>
      <c r="B1864" s="2" t="s">
        <v>3973</v>
      </c>
      <c r="C1864" s="2">
        <v>1.1200000000000001</v>
      </c>
      <c r="D1864" s="2">
        <v>0.98460000000000003</v>
      </c>
      <c r="E1864" s="2" t="s">
        <v>501</v>
      </c>
      <c r="F1864" s="2" t="e">
        <f>VLOOKUP(B1864,MSCI中国成分股!A:B,1,)</f>
        <v>#N/A</v>
      </c>
    </row>
    <row r="1865" spans="1:6" ht="20.25" hidden="1" customHeight="1" x14ac:dyDescent="0.15">
      <c r="A1865" s="2" t="s">
        <v>3974</v>
      </c>
      <c r="B1865" s="2" t="s">
        <v>3975</v>
      </c>
      <c r="C1865" s="2">
        <v>1.68</v>
      </c>
      <c r="D1865" s="2">
        <v>0.1978</v>
      </c>
      <c r="E1865" s="2" t="s">
        <v>418</v>
      </c>
      <c r="F1865" s="2" t="e">
        <f>VLOOKUP(B1865,MSCI中国成分股!A:B,1,)</f>
        <v>#N/A</v>
      </c>
    </row>
    <row r="1866" spans="1:6" ht="20.25" hidden="1" customHeight="1" x14ac:dyDescent="0.15">
      <c r="A1866" s="2" t="s">
        <v>3976</v>
      </c>
      <c r="B1866" s="2" t="s">
        <v>3977</v>
      </c>
      <c r="C1866" s="2">
        <v>1.3049999999999999</v>
      </c>
      <c r="D1866" s="2">
        <v>1.3524</v>
      </c>
      <c r="E1866" s="2" t="s">
        <v>574</v>
      </c>
      <c r="F1866" s="2" t="e">
        <f>VLOOKUP(B1866,MSCI中国成分股!A:B,1,)</f>
        <v>#N/A</v>
      </c>
    </row>
    <row r="1867" spans="1:6" ht="20.25" hidden="1" customHeight="1" x14ac:dyDescent="0.15">
      <c r="A1867" s="2" t="s">
        <v>3978</v>
      </c>
      <c r="B1867" s="2" t="s">
        <v>3979</v>
      </c>
      <c r="C1867" s="2">
        <v>1.0900000000000001</v>
      </c>
      <c r="D1867" s="2">
        <v>0.52459999999999996</v>
      </c>
      <c r="E1867" s="2" t="s">
        <v>664</v>
      </c>
      <c r="F1867" s="2" t="e">
        <f>VLOOKUP(B1867,MSCI中国成分股!A:B,1,)</f>
        <v>#N/A</v>
      </c>
    </row>
    <row r="1868" spans="1:6" ht="20.25" hidden="1" customHeight="1" x14ac:dyDescent="0.15">
      <c r="A1868" s="2" t="s">
        <v>3980</v>
      </c>
      <c r="B1868" s="2" t="s">
        <v>3981</v>
      </c>
      <c r="C1868" s="2">
        <v>0.21</v>
      </c>
      <c r="D1868" s="2">
        <v>3.8513999999999999</v>
      </c>
      <c r="E1868" s="2" t="s">
        <v>38</v>
      </c>
      <c r="F1868" s="2" t="e">
        <f>VLOOKUP(B1868,MSCI中国成分股!A:B,1,)</f>
        <v>#N/A</v>
      </c>
    </row>
    <row r="1869" spans="1:6" ht="20.25" hidden="1" customHeight="1" x14ac:dyDescent="0.15">
      <c r="A1869" s="2" t="s">
        <v>3982</v>
      </c>
      <c r="B1869" s="2" t="s">
        <v>3983</v>
      </c>
      <c r="C1869" s="2">
        <v>1.59</v>
      </c>
      <c r="D1869" s="2">
        <v>0.42220000000000002</v>
      </c>
      <c r="E1869" s="2" t="s">
        <v>201</v>
      </c>
      <c r="F1869" s="2" t="e">
        <f>VLOOKUP(B1869,MSCI中国成分股!A:B,1,)</f>
        <v>#N/A</v>
      </c>
    </row>
    <row r="1870" spans="1:6" ht="20.25" hidden="1" customHeight="1" x14ac:dyDescent="0.15">
      <c r="A1870" s="2" t="s">
        <v>3984</v>
      </c>
      <c r="B1870" s="2" t="s">
        <v>3985</v>
      </c>
      <c r="C1870" s="2">
        <v>-1.01</v>
      </c>
      <c r="D1870" s="2">
        <v>159.40289999999999</v>
      </c>
      <c r="E1870" s="2" t="s">
        <v>68</v>
      </c>
      <c r="F1870" s="2" t="e">
        <f>VLOOKUP(B1870,MSCI中国成分股!A:B,1,)</f>
        <v>#N/A</v>
      </c>
    </row>
    <row r="1871" spans="1:6" ht="20.25" hidden="1" customHeight="1" x14ac:dyDescent="0.15">
      <c r="A1871" s="2" t="s">
        <v>3986</v>
      </c>
      <c r="B1871" s="2" t="s">
        <v>3987</v>
      </c>
      <c r="C1871" s="2">
        <v>2.56</v>
      </c>
      <c r="D1871" s="2">
        <v>1.7467999999999999</v>
      </c>
      <c r="E1871" s="2" t="s">
        <v>647</v>
      </c>
      <c r="F1871" s="2" t="e">
        <f>VLOOKUP(B1871,MSCI中国成分股!A:B,1,)</f>
        <v>#N/A</v>
      </c>
    </row>
    <row r="1872" spans="1:6" ht="20.25" hidden="1" customHeight="1" x14ac:dyDescent="0.15">
      <c r="A1872" s="2" t="s">
        <v>3988</v>
      </c>
      <c r="B1872" s="2" t="s">
        <v>3989</v>
      </c>
      <c r="C1872" s="2">
        <v>1.4</v>
      </c>
      <c r="D1872" s="2">
        <v>0.74639999999999995</v>
      </c>
      <c r="E1872" s="2" t="s">
        <v>1390</v>
      </c>
      <c r="F1872" s="2" t="e">
        <f>VLOOKUP(B1872,MSCI中国成分股!A:B,1,)</f>
        <v>#N/A</v>
      </c>
    </row>
    <row r="1873" spans="1:6" ht="20.25" hidden="1" customHeight="1" x14ac:dyDescent="0.15">
      <c r="A1873" s="2" t="s">
        <v>3990</v>
      </c>
      <c r="B1873" s="2" t="s">
        <v>3991</v>
      </c>
      <c r="C1873" s="2">
        <v>3.69</v>
      </c>
      <c r="D1873" s="2">
        <v>104.0569</v>
      </c>
      <c r="E1873" s="2" t="s">
        <v>374</v>
      </c>
      <c r="F1873" s="2" t="e">
        <f>VLOOKUP(B1873,MSCI中国成分股!A:B,1,)</f>
        <v>#N/A</v>
      </c>
    </row>
    <row r="1874" spans="1:6" ht="20.25" hidden="1" customHeight="1" x14ac:dyDescent="0.15">
      <c r="A1874" s="2" t="s">
        <v>3992</v>
      </c>
      <c r="B1874" s="2" t="s">
        <v>3993</v>
      </c>
      <c r="C1874" s="2">
        <v>0.57999999999999996</v>
      </c>
      <c r="D1874" s="2">
        <v>0.62680000000000002</v>
      </c>
      <c r="E1874" s="2" t="s">
        <v>1436</v>
      </c>
      <c r="F1874" s="2" t="e">
        <f>VLOOKUP(B1874,MSCI中国成分股!A:B,1,)</f>
        <v>#N/A</v>
      </c>
    </row>
    <row r="1875" spans="1:6" ht="20.25" hidden="1" customHeight="1" x14ac:dyDescent="0.15">
      <c r="A1875" s="2" t="s">
        <v>3994</v>
      </c>
      <c r="B1875" s="2" t="s">
        <v>3995</v>
      </c>
      <c r="C1875" s="2">
        <v>0.18</v>
      </c>
      <c r="D1875" s="2">
        <v>16.03</v>
      </c>
      <c r="E1875" s="2" t="s">
        <v>359</v>
      </c>
      <c r="F1875" s="2" t="e">
        <f>VLOOKUP(B1875,MSCI中国成分股!A:B,1,)</f>
        <v>#N/A</v>
      </c>
    </row>
    <row r="1876" spans="1:6" ht="20.25" hidden="1" customHeight="1" x14ac:dyDescent="0.15">
      <c r="A1876" s="2" t="s">
        <v>3996</v>
      </c>
      <c r="B1876" s="2" t="s">
        <v>3997</v>
      </c>
      <c r="C1876" s="2">
        <v>0.5</v>
      </c>
      <c r="D1876" s="2">
        <v>5.7430000000000003</v>
      </c>
      <c r="E1876" s="2" t="s">
        <v>1224</v>
      </c>
      <c r="F1876" s="2" t="e">
        <f>VLOOKUP(B1876,MSCI中国成分股!A:B,1,)</f>
        <v>#N/A</v>
      </c>
    </row>
    <row r="1877" spans="1:6" ht="20.25" hidden="1" customHeight="1" x14ac:dyDescent="0.15">
      <c r="A1877" s="2" t="s">
        <v>3998</v>
      </c>
      <c r="B1877" s="2" t="s">
        <v>3999</v>
      </c>
      <c r="C1877" s="2">
        <v>1.27</v>
      </c>
      <c r="D1877" s="2">
        <v>2.5884</v>
      </c>
      <c r="E1877" s="2" t="s">
        <v>228</v>
      </c>
      <c r="F1877" s="2" t="e">
        <f>VLOOKUP(B1877,MSCI中国成分股!A:B,1,)</f>
        <v>#N/A</v>
      </c>
    </row>
    <row r="1878" spans="1:6" ht="20.25" hidden="1" customHeight="1" x14ac:dyDescent="0.15">
      <c r="A1878" s="2" t="s">
        <v>4000</v>
      </c>
      <c r="B1878" s="2" t="s">
        <v>4001</v>
      </c>
      <c r="C1878" s="2">
        <v>0.13</v>
      </c>
      <c r="D1878" s="2">
        <v>6.8141999999999996</v>
      </c>
      <c r="E1878" s="2" t="s">
        <v>1091</v>
      </c>
      <c r="F1878" s="2" t="e">
        <f>VLOOKUP(B1878,MSCI中国成分股!A:B,1,)</f>
        <v>#N/A</v>
      </c>
    </row>
    <row r="1879" spans="1:6" ht="20.25" hidden="1" customHeight="1" x14ac:dyDescent="0.15">
      <c r="A1879" s="2" t="s">
        <v>4002</v>
      </c>
      <c r="B1879" s="2" t="s">
        <v>4003</v>
      </c>
      <c r="C1879" s="2">
        <v>2.0049999999999999</v>
      </c>
      <c r="D1879" s="2">
        <v>2.6204000000000001</v>
      </c>
      <c r="E1879" s="2" t="s">
        <v>385</v>
      </c>
      <c r="F1879" s="2" t="e">
        <f>VLOOKUP(B1879,MSCI中国成分股!A:B,1,)</f>
        <v>#N/A</v>
      </c>
    </row>
    <row r="1880" spans="1:6" ht="20.25" hidden="1" customHeight="1" x14ac:dyDescent="0.15">
      <c r="A1880" s="2" t="s">
        <v>4004</v>
      </c>
      <c r="B1880" s="2" t="s">
        <v>4005</v>
      </c>
      <c r="C1880" s="2">
        <v>0.45</v>
      </c>
      <c r="D1880" s="2">
        <v>1.2871999999999999</v>
      </c>
      <c r="E1880" s="2" t="s">
        <v>225</v>
      </c>
      <c r="F1880" s="2" t="e">
        <f>VLOOKUP(B1880,MSCI中国成分股!A:B,1,)</f>
        <v>#N/A</v>
      </c>
    </row>
    <row r="1881" spans="1:6" ht="20.25" hidden="1" customHeight="1" x14ac:dyDescent="0.15">
      <c r="A1881" s="2" t="s">
        <v>4006</v>
      </c>
      <c r="B1881" s="2" t="s">
        <v>4007</v>
      </c>
      <c r="C1881" s="2">
        <v>-0.27</v>
      </c>
      <c r="D1881" s="2">
        <v>7.3788</v>
      </c>
      <c r="E1881" s="2" t="s">
        <v>299</v>
      </c>
      <c r="F1881" s="2" t="e">
        <f>VLOOKUP(B1881,MSCI中国成分股!A:B,1,)</f>
        <v>#N/A</v>
      </c>
    </row>
    <row r="1882" spans="1:6" ht="20.25" hidden="1" customHeight="1" x14ac:dyDescent="0.15">
      <c r="A1882" s="2" t="s">
        <v>4008</v>
      </c>
      <c r="B1882" s="2" t="s">
        <v>4009</v>
      </c>
      <c r="C1882" s="2">
        <v>0.63</v>
      </c>
      <c r="D1882" s="2">
        <v>0.75380000000000003</v>
      </c>
      <c r="E1882" s="2" t="s">
        <v>3141</v>
      </c>
      <c r="F1882" s="2" t="e">
        <f>VLOOKUP(B1882,MSCI中国成分股!A:B,1,)</f>
        <v>#N/A</v>
      </c>
    </row>
    <row r="1883" spans="1:6" ht="20.25" hidden="1" customHeight="1" x14ac:dyDescent="0.15">
      <c r="A1883" s="2" t="s">
        <v>4010</v>
      </c>
      <c r="B1883" s="2" t="s">
        <v>4011</v>
      </c>
      <c r="C1883" s="2">
        <v>1.78</v>
      </c>
      <c r="D1883" s="2">
        <v>2.903</v>
      </c>
      <c r="E1883" s="2" t="s">
        <v>1224</v>
      </c>
      <c r="F1883" s="2" t="e">
        <f>VLOOKUP(B1883,MSCI中国成分股!A:B,1,)</f>
        <v>#N/A</v>
      </c>
    </row>
    <row r="1884" spans="1:6" ht="20.25" hidden="1" customHeight="1" x14ac:dyDescent="0.15">
      <c r="A1884" s="2" t="s">
        <v>4012</v>
      </c>
      <c r="B1884" s="2" t="s">
        <v>4013</v>
      </c>
      <c r="C1884" s="2">
        <v>2.15</v>
      </c>
      <c r="D1884" s="2">
        <v>2.3605</v>
      </c>
      <c r="E1884" s="2" t="s">
        <v>741</v>
      </c>
      <c r="F1884" s="2" t="e">
        <f>VLOOKUP(B1884,MSCI中国成分股!A:B,1,)</f>
        <v>#N/A</v>
      </c>
    </row>
    <row r="1885" spans="1:6" ht="20.25" hidden="1" customHeight="1" x14ac:dyDescent="0.15">
      <c r="A1885" s="2" t="s">
        <v>4014</v>
      </c>
      <c r="B1885" s="2" t="s">
        <v>4015</v>
      </c>
      <c r="C1885" s="2">
        <v>1.19</v>
      </c>
      <c r="D1885" s="2">
        <v>26.0365</v>
      </c>
      <c r="E1885" s="2" t="s">
        <v>542</v>
      </c>
      <c r="F1885" s="2" t="e">
        <f>VLOOKUP(B1885,MSCI中国成分股!A:B,1,)</f>
        <v>#N/A</v>
      </c>
    </row>
    <row r="1886" spans="1:6" ht="20.25" hidden="1" customHeight="1" x14ac:dyDescent="0.15">
      <c r="A1886" s="2" t="s">
        <v>4016</v>
      </c>
      <c r="B1886" s="2" t="s">
        <v>4017</v>
      </c>
      <c r="C1886" s="2">
        <v>0.4</v>
      </c>
      <c r="D1886" s="2">
        <v>24.104900000000001</v>
      </c>
      <c r="E1886" s="2" t="s">
        <v>265</v>
      </c>
      <c r="F1886" s="2" t="e">
        <f>VLOOKUP(B1886,MSCI中国成分股!A:B,1,)</f>
        <v>#N/A</v>
      </c>
    </row>
    <row r="1887" spans="1:6" ht="20.25" hidden="1" customHeight="1" x14ac:dyDescent="0.15">
      <c r="A1887" s="2" t="s">
        <v>4018</v>
      </c>
      <c r="B1887" s="2" t="s">
        <v>4019</v>
      </c>
      <c r="C1887" s="2">
        <v>1.94</v>
      </c>
      <c r="D1887" s="2">
        <v>0.39689999999999998</v>
      </c>
      <c r="E1887" s="2" t="s">
        <v>571</v>
      </c>
      <c r="F1887" s="2" t="e">
        <f>VLOOKUP(B1887,MSCI中国成分股!A:B,1,)</f>
        <v>#N/A</v>
      </c>
    </row>
    <row r="1888" spans="1:6" ht="20.25" hidden="1" customHeight="1" x14ac:dyDescent="0.15">
      <c r="A1888" s="2" t="s">
        <v>4020</v>
      </c>
      <c r="B1888" s="2" t="s">
        <v>4021</v>
      </c>
      <c r="C1888" s="2">
        <v>-0.23</v>
      </c>
      <c r="D1888" s="2">
        <v>36.273800000000001</v>
      </c>
      <c r="E1888" s="2" t="s">
        <v>265</v>
      </c>
      <c r="F1888" s="2" t="e">
        <f>VLOOKUP(B1888,MSCI中国成分股!A:B,1,)</f>
        <v>#N/A</v>
      </c>
    </row>
    <row r="1889" spans="1:6" ht="20.25" hidden="1" customHeight="1" x14ac:dyDescent="0.15">
      <c r="A1889" s="2" t="s">
        <v>4022</v>
      </c>
      <c r="B1889" s="2" t="s">
        <v>4023</v>
      </c>
      <c r="C1889" s="2">
        <v>0.25</v>
      </c>
      <c r="D1889" s="2">
        <v>2.7400000000000001E-2</v>
      </c>
      <c r="E1889" s="2" t="s">
        <v>220</v>
      </c>
      <c r="F1889" s="2" t="e">
        <f>VLOOKUP(B1889,MSCI中国成分股!A:B,1,)</f>
        <v>#N/A</v>
      </c>
    </row>
    <row r="1890" spans="1:6" ht="20.25" hidden="1" customHeight="1" x14ac:dyDescent="0.15">
      <c r="A1890" s="2" t="s">
        <v>4024</v>
      </c>
      <c r="B1890" s="2" t="s">
        <v>4025</v>
      </c>
      <c r="C1890" s="2">
        <v>1.24</v>
      </c>
      <c r="D1890" s="2">
        <v>5.8964999999999996</v>
      </c>
      <c r="E1890" s="2" t="s">
        <v>1459</v>
      </c>
      <c r="F1890" s="2" t="e">
        <f>VLOOKUP(B1890,MSCI中国成分股!A:B,1,)</f>
        <v>#N/A</v>
      </c>
    </row>
    <row r="1891" spans="1:6" ht="20.25" hidden="1" customHeight="1" x14ac:dyDescent="0.15">
      <c r="A1891" s="2" t="s">
        <v>4026</v>
      </c>
      <c r="B1891" s="2" t="s">
        <v>4027</v>
      </c>
      <c r="C1891" s="2">
        <v>7.57</v>
      </c>
      <c r="D1891" s="2">
        <v>76.8703</v>
      </c>
      <c r="E1891" s="2" t="s">
        <v>374</v>
      </c>
      <c r="F1891" s="2" t="e">
        <f>VLOOKUP(B1891,MSCI中国成分股!A:B,1,)</f>
        <v>#N/A</v>
      </c>
    </row>
    <row r="1892" spans="1:6" ht="20.25" hidden="1" customHeight="1" x14ac:dyDescent="0.15">
      <c r="A1892" s="2" t="s">
        <v>4028</v>
      </c>
      <c r="B1892" s="2" t="s">
        <v>4029</v>
      </c>
      <c r="C1892" s="2">
        <v>1.6</v>
      </c>
      <c r="D1892" s="2">
        <v>2.6562000000000001</v>
      </c>
      <c r="E1892" s="2" t="s">
        <v>1853</v>
      </c>
      <c r="F1892" s="2" t="e">
        <f>VLOOKUP(B1892,MSCI中国成分股!A:B,1,)</f>
        <v>#N/A</v>
      </c>
    </row>
    <row r="1893" spans="1:6" ht="20.25" hidden="1" customHeight="1" x14ac:dyDescent="0.15">
      <c r="A1893" s="2" t="s">
        <v>4030</v>
      </c>
      <c r="B1893" s="2" t="s">
        <v>4031</v>
      </c>
      <c r="C1893" s="2">
        <v>1.44</v>
      </c>
      <c r="D1893" s="2">
        <v>0.72870000000000001</v>
      </c>
      <c r="E1893" s="2" t="s">
        <v>260</v>
      </c>
      <c r="F1893" s="2" t="e">
        <f>VLOOKUP(B1893,MSCI中国成分股!A:B,1,)</f>
        <v>#N/A</v>
      </c>
    </row>
    <row r="1894" spans="1:6" ht="20.25" hidden="1" customHeight="1" x14ac:dyDescent="0.15">
      <c r="A1894" s="2" t="s">
        <v>4032</v>
      </c>
      <c r="B1894" s="2" t="s">
        <v>4033</v>
      </c>
      <c r="C1894" s="2">
        <v>1.18</v>
      </c>
      <c r="D1894" s="2">
        <v>5.8521000000000001</v>
      </c>
      <c r="E1894" s="2" t="s">
        <v>371</v>
      </c>
      <c r="F1894" s="2" t="e">
        <f>VLOOKUP(B1894,MSCI中国成分股!A:B,1,)</f>
        <v>#N/A</v>
      </c>
    </row>
    <row r="1895" spans="1:6" ht="20.25" hidden="1" customHeight="1" x14ac:dyDescent="0.15">
      <c r="A1895" s="2" t="s">
        <v>4034</v>
      </c>
      <c r="B1895" s="2" t="s">
        <v>4035</v>
      </c>
      <c r="C1895" s="2">
        <v>0.13</v>
      </c>
      <c r="D1895" s="2">
        <v>58.964500000000001</v>
      </c>
      <c r="E1895" s="2" t="s">
        <v>111</v>
      </c>
      <c r="F1895" s="2" t="e">
        <f>VLOOKUP(B1895,MSCI中国成分股!A:B,1,)</f>
        <v>#N/A</v>
      </c>
    </row>
    <row r="1896" spans="1:6" ht="20.25" hidden="1" customHeight="1" x14ac:dyDescent="0.15">
      <c r="A1896" s="2" t="s">
        <v>4036</v>
      </c>
      <c r="B1896" s="2" t="s">
        <v>4037</v>
      </c>
      <c r="C1896" s="2">
        <v>3.8450000000000002</v>
      </c>
      <c r="D1896" s="2">
        <v>14.079499999999999</v>
      </c>
      <c r="E1896" s="2" t="s">
        <v>1275</v>
      </c>
      <c r="F1896" s="2" t="e">
        <f>VLOOKUP(B1896,MSCI中国成分股!A:B,1,)</f>
        <v>#N/A</v>
      </c>
    </row>
    <row r="1897" spans="1:6" ht="20.25" hidden="1" customHeight="1" x14ac:dyDescent="0.15">
      <c r="A1897" s="2" t="s">
        <v>4038</v>
      </c>
      <c r="B1897" s="2" t="s">
        <v>4039</v>
      </c>
      <c r="C1897" s="2">
        <v>-0.42</v>
      </c>
      <c r="D1897" s="2">
        <v>27.3157</v>
      </c>
      <c r="E1897" s="2" t="s">
        <v>647</v>
      </c>
      <c r="F1897" s="2" t="e">
        <f>VLOOKUP(B1897,MSCI中国成分股!A:B,1,)</f>
        <v>#N/A</v>
      </c>
    </row>
    <row r="1898" spans="1:6" ht="20.25" hidden="1" customHeight="1" x14ac:dyDescent="0.15">
      <c r="A1898" s="2" t="s">
        <v>4040</v>
      </c>
      <c r="B1898" s="2" t="s">
        <v>4041</v>
      </c>
      <c r="C1898" s="2">
        <v>2.2000000000000002</v>
      </c>
      <c r="D1898" s="2">
        <v>12.3673</v>
      </c>
      <c r="E1898" s="2" t="s">
        <v>157</v>
      </c>
      <c r="F1898" s="2" t="e">
        <f>VLOOKUP(B1898,MSCI中国成分股!A:B,1,)</f>
        <v>#N/A</v>
      </c>
    </row>
    <row r="1899" spans="1:6" ht="20.25" hidden="1" customHeight="1" x14ac:dyDescent="0.15">
      <c r="A1899" s="2" t="s">
        <v>4042</v>
      </c>
      <c r="B1899" s="2" t="s">
        <v>4043</v>
      </c>
      <c r="C1899" s="2">
        <v>0.69</v>
      </c>
      <c r="D1899" s="2">
        <v>3.7553000000000001</v>
      </c>
      <c r="E1899" s="2" t="s">
        <v>143</v>
      </c>
      <c r="F1899" s="2" t="e">
        <f>VLOOKUP(B1899,MSCI中国成分股!A:B,1,)</f>
        <v>#N/A</v>
      </c>
    </row>
    <row r="1900" spans="1:6" ht="20.25" hidden="1" customHeight="1" x14ac:dyDescent="0.15">
      <c r="A1900" s="2" t="s">
        <v>4044</v>
      </c>
      <c r="B1900" s="2" t="s">
        <v>4045</v>
      </c>
      <c r="C1900" s="2">
        <v>1.54</v>
      </c>
      <c r="D1900" s="2">
        <v>2.5059</v>
      </c>
      <c r="E1900" s="2" t="s">
        <v>207</v>
      </c>
      <c r="F1900" s="2" t="e">
        <f>VLOOKUP(B1900,MSCI中国成分股!A:B,1,)</f>
        <v>#N/A</v>
      </c>
    </row>
    <row r="1901" spans="1:6" ht="20.25" hidden="1" customHeight="1" x14ac:dyDescent="0.15">
      <c r="A1901" s="2" t="s">
        <v>4046</v>
      </c>
      <c r="B1901" s="2" t="s">
        <v>4047</v>
      </c>
      <c r="C1901" s="2">
        <v>3.19</v>
      </c>
      <c r="D1901" s="2">
        <v>1.8552</v>
      </c>
      <c r="E1901" s="2" t="s">
        <v>356</v>
      </c>
      <c r="F1901" s="2" t="e">
        <f>VLOOKUP(B1901,MSCI中国成分股!A:B,1,)</f>
        <v>#N/A</v>
      </c>
    </row>
    <row r="1902" spans="1:6" ht="20.25" hidden="1" customHeight="1" x14ac:dyDescent="0.15">
      <c r="A1902" s="2" t="s">
        <v>4048</v>
      </c>
      <c r="B1902" s="2" t="s">
        <v>4049</v>
      </c>
      <c r="C1902" s="2">
        <v>1.45</v>
      </c>
      <c r="D1902" s="2">
        <v>6.7382999999999997</v>
      </c>
      <c r="E1902" s="2" t="s">
        <v>44</v>
      </c>
      <c r="F1902" s="2" t="e">
        <f>VLOOKUP(B1902,MSCI中国成分股!A:B,1,)</f>
        <v>#N/A</v>
      </c>
    </row>
    <row r="1903" spans="1:6" ht="20.25" hidden="1" customHeight="1" x14ac:dyDescent="0.15">
      <c r="A1903" s="2" t="s">
        <v>4050</v>
      </c>
      <c r="B1903" s="2" t="s">
        <v>4051</v>
      </c>
      <c r="C1903" s="2">
        <v>2.08</v>
      </c>
      <c r="D1903" s="2">
        <v>0.91249999999999998</v>
      </c>
      <c r="E1903" s="2" t="s">
        <v>1243</v>
      </c>
      <c r="F1903" s="2" t="e">
        <f>VLOOKUP(B1903,MSCI中国成分股!A:B,1,)</f>
        <v>#N/A</v>
      </c>
    </row>
    <row r="1904" spans="1:6" ht="20.25" hidden="1" customHeight="1" x14ac:dyDescent="0.15">
      <c r="A1904" s="2" t="s">
        <v>4052</v>
      </c>
      <c r="B1904" s="2" t="s">
        <v>4053</v>
      </c>
      <c r="C1904" s="2">
        <v>4.88</v>
      </c>
      <c r="D1904" s="2">
        <v>10.0749</v>
      </c>
      <c r="E1904" s="2" t="s">
        <v>299</v>
      </c>
      <c r="F1904" s="2" t="e">
        <f>VLOOKUP(B1904,MSCI中国成分股!A:B,1,)</f>
        <v>#N/A</v>
      </c>
    </row>
    <row r="1905" spans="1:6" ht="20.25" hidden="1" customHeight="1" x14ac:dyDescent="0.15">
      <c r="A1905" s="2" t="s">
        <v>4054</v>
      </c>
      <c r="B1905" s="2" t="s">
        <v>4055</v>
      </c>
      <c r="C1905" s="2">
        <v>1.42</v>
      </c>
      <c r="D1905" s="2">
        <v>0.98960000000000004</v>
      </c>
      <c r="E1905" s="2" t="s">
        <v>677</v>
      </c>
      <c r="F1905" s="2" t="e">
        <f>VLOOKUP(B1905,MSCI中国成分股!A:B,1,)</f>
        <v>#N/A</v>
      </c>
    </row>
    <row r="1906" spans="1:6" ht="20.25" hidden="1" customHeight="1" x14ac:dyDescent="0.15">
      <c r="A1906" s="2" t="s">
        <v>4056</v>
      </c>
      <c r="B1906" s="2" t="s">
        <v>4057</v>
      </c>
      <c r="C1906" s="2">
        <v>0.73</v>
      </c>
      <c r="D1906" s="2">
        <v>2.7496999999999998</v>
      </c>
      <c r="E1906" s="2" t="s">
        <v>3053</v>
      </c>
      <c r="F1906" s="2" t="e">
        <f>VLOOKUP(B1906,MSCI中国成分股!A:B,1,)</f>
        <v>#N/A</v>
      </c>
    </row>
    <row r="1907" spans="1:6" ht="20.25" hidden="1" customHeight="1" x14ac:dyDescent="0.15">
      <c r="A1907" s="2" t="s">
        <v>4058</v>
      </c>
      <c r="B1907" s="2" t="s">
        <v>4059</v>
      </c>
      <c r="C1907" s="2">
        <v>0.06</v>
      </c>
      <c r="D1907" s="2">
        <v>1.1188</v>
      </c>
      <c r="E1907" s="2" t="s">
        <v>1102</v>
      </c>
      <c r="F1907" s="2" t="e">
        <f>VLOOKUP(B1907,MSCI中国成分股!A:B,1,)</f>
        <v>#N/A</v>
      </c>
    </row>
    <row r="1908" spans="1:6" ht="20.25" hidden="1" customHeight="1" x14ac:dyDescent="0.15">
      <c r="A1908" s="2" t="s">
        <v>4060</v>
      </c>
      <c r="B1908" s="2" t="s">
        <v>4061</v>
      </c>
      <c r="C1908" s="2">
        <v>0.9</v>
      </c>
      <c r="D1908" s="2">
        <v>0.48820000000000002</v>
      </c>
      <c r="E1908" s="2" t="s">
        <v>1420</v>
      </c>
      <c r="F1908" s="2" t="e">
        <f>VLOOKUP(B1908,MSCI中国成分股!A:B,1,)</f>
        <v>#N/A</v>
      </c>
    </row>
    <row r="1909" spans="1:6" ht="20.25" hidden="1" customHeight="1" x14ac:dyDescent="0.15">
      <c r="A1909" s="2" t="s">
        <v>4062</v>
      </c>
      <c r="B1909" s="2" t="s">
        <v>4063</v>
      </c>
      <c r="C1909" s="2">
        <v>0.34</v>
      </c>
      <c r="D1909" s="2">
        <v>10.8766</v>
      </c>
      <c r="E1909" s="2" t="s">
        <v>149</v>
      </c>
      <c r="F1909" s="2" t="e">
        <f>VLOOKUP(B1909,MSCI中国成分股!A:B,1,)</f>
        <v>#N/A</v>
      </c>
    </row>
    <row r="1910" spans="1:6" ht="20.25" hidden="1" customHeight="1" x14ac:dyDescent="0.15">
      <c r="A1910" s="2" t="s">
        <v>4064</v>
      </c>
      <c r="B1910" s="2" t="s">
        <v>4065</v>
      </c>
      <c r="C1910" s="2">
        <v>4.22</v>
      </c>
      <c r="D1910" s="2">
        <v>1.1848000000000001</v>
      </c>
      <c r="E1910" s="2" t="s">
        <v>157</v>
      </c>
      <c r="F1910" s="2" t="e">
        <f>VLOOKUP(B1910,MSCI中国成分股!A:B,1,)</f>
        <v>#N/A</v>
      </c>
    </row>
    <row r="1911" spans="1:6" ht="20.25" hidden="1" customHeight="1" x14ac:dyDescent="0.15">
      <c r="A1911" s="2" t="s">
        <v>4066</v>
      </c>
      <c r="B1911" s="2" t="s">
        <v>4067</v>
      </c>
      <c r="C1911" s="2">
        <v>0.96</v>
      </c>
      <c r="D1911" s="2">
        <v>2.2214999999999998</v>
      </c>
      <c r="E1911" s="2" t="s">
        <v>171</v>
      </c>
      <c r="F1911" s="2" t="e">
        <f>VLOOKUP(B1911,MSCI中国成分股!A:B,1,)</f>
        <v>#N/A</v>
      </c>
    </row>
    <row r="1912" spans="1:6" ht="20.25" hidden="1" customHeight="1" x14ac:dyDescent="0.15">
      <c r="A1912" s="2" t="s">
        <v>4068</v>
      </c>
      <c r="B1912" s="2" t="s">
        <v>4069</v>
      </c>
      <c r="C1912" s="2">
        <v>-0.19</v>
      </c>
      <c r="D1912" s="2">
        <v>2.0796999999999999</v>
      </c>
      <c r="E1912" s="2" t="s">
        <v>35</v>
      </c>
      <c r="F1912" s="2" t="e">
        <f>VLOOKUP(B1912,MSCI中国成分股!A:B,1,)</f>
        <v>#N/A</v>
      </c>
    </row>
    <row r="1913" spans="1:6" ht="20.25" hidden="1" customHeight="1" x14ac:dyDescent="0.15">
      <c r="A1913" s="2" t="s">
        <v>4070</v>
      </c>
      <c r="B1913" s="2" t="s">
        <v>4071</v>
      </c>
      <c r="C1913" s="2">
        <v>-0.04</v>
      </c>
      <c r="D1913" s="2">
        <v>66.784300000000002</v>
      </c>
      <c r="E1913" s="2" t="s">
        <v>391</v>
      </c>
      <c r="F1913" s="2" t="e">
        <f>VLOOKUP(B1913,MSCI中国成分股!A:B,1,)</f>
        <v>#N/A</v>
      </c>
    </row>
    <row r="1914" spans="1:6" ht="20.25" hidden="1" customHeight="1" x14ac:dyDescent="0.15">
      <c r="A1914" s="2" t="s">
        <v>4072</v>
      </c>
      <c r="B1914" s="2" t="s">
        <v>4073</v>
      </c>
      <c r="C1914" s="2">
        <v>1.28</v>
      </c>
      <c r="D1914" s="2">
        <v>4.5042</v>
      </c>
      <c r="E1914" s="2" t="s">
        <v>201</v>
      </c>
      <c r="F1914" s="2" t="e">
        <f>VLOOKUP(B1914,MSCI中国成分股!A:B,1,)</f>
        <v>#N/A</v>
      </c>
    </row>
    <row r="1915" spans="1:6" ht="20.25" hidden="1" customHeight="1" x14ac:dyDescent="0.15">
      <c r="A1915" s="2" t="s">
        <v>4074</v>
      </c>
      <c r="B1915" s="2" t="s">
        <v>4075</v>
      </c>
      <c r="C1915" s="2">
        <v>1.03</v>
      </c>
      <c r="D1915" s="2">
        <v>0.67820000000000003</v>
      </c>
      <c r="E1915" s="2" t="s">
        <v>664</v>
      </c>
      <c r="F1915" s="2" t="e">
        <f>VLOOKUP(B1915,MSCI中国成分股!A:B,1,)</f>
        <v>#N/A</v>
      </c>
    </row>
    <row r="1916" spans="1:6" ht="20.25" hidden="1" customHeight="1" x14ac:dyDescent="0.15">
      <c r="A1916" s="2" t="s">
        <v>4076</v>
      </c>
      <c r="B1916" s="2" t="s">
        <v>4077</v>
      </c>
      <c r="C1916" s="2">
        <v>1.97</v>
      </c>
      <c r="D1916" s="2">
        <v>2.8734999999999999</v>
      </c>
      <c r="E1916" s="2" t="s">
        <v>633</v>
      </c>
      <c r="F1916" s="2" t="e">
        <f>VLOOKUP(B1916,MSCI中国成分股!A:B,1,)</f>
        <v>#N/A</v>
      </c>
    </row>
    <row r="1917" spans="1:6" ht="20.25" hidden="1" customHeight="1" x14ac:dyDescent="0.15">
      <c r="A1917" s="2" t="s">
        <v>4078</v>
      </c>
      <c r="B1917" s="2" t="s">
        <v>4079</v>
      </c>
      <c r="C1917" s="2">
        <v>0.18</v>
      </c>
      <c r="D1917" s="2">
        <v>6.5299999999999997E-2</v>
      </c>
      <c r="E1917" s="2" t="s">
        <v>344</v>
      </c>
      <c r="F1917" s="2" t="e">
        <f>VLOOKUP(B1917,MSCI中国成分股!A:B,1,)</f>
        <v>#N/A</v>
      </c>
    </row>
    <row r="1918" spans="1:6" ht="20.25" hidden="1" customHeight="1" x14ac:dyDescent="0.15">
      <c r="A1918" s="2" t="s">
        <v>4080</v>
      </c>
      <c r="B1918" s="2" t="s">
        <v>4081</v>
      </c>
      <c r="C1918" s="2">
        <v>0.68</v>
      </c>
      <c r="D1918" s="2">
        <v>2.0053000000000001</v>
      </c>
      <c r="E1918" s="2" t="s">
        <v>664</v>
      </c>
      <c r="F1918" s="2" t="e">
        <f>VLOOKUP(B1918,MSCI中国成分股!A:B,1,)</f>
        <v>#N/A</v>
      </c>
    </row>
    <row r="1919" spans="1:6" ht="20.25" hidden="1" customHeight="1" x14ac:dyDescent="0.15">
      <c r="A1919" s="2" t="s">
        <v>4082</v>
      </c>
      <c r="B1919" s="2" t="s">
        <v>4083</v>
      </c>
      <c r="C1919" s="2">
        <v>3.17</v>
      </c>
      <c r="D1919" s="2">
        <v>2.4470999999999998</v>
      </c>
      <c r="E1919" s="2" t="s">
        <v>699</v>
      </c>
      <c r="F1919" s="2" t="e">
        <f>VLOOKUP(B1919,MSCI中国成分股!A:B,1,)</f>
        <v>#N/A</v>
      </c>
    </row>
    <row r="1920" spans="1:6" ht="20.25" hidden="1" customHeight="1" x14ac:dyDescent="0.15">
      <c r="A1920" s="2" t="s">
        <v>4084</v>
      </c>
      <c r="B1920" s="2" t="s">
        <v>4085</v>
      </c>
      <c r="C1920" s="2">
        <v>-0.88</v>
      </c>
      <c r="D1920" s="2">
        <v>22.861899999999999</v>
      </c>
      <c r="E1920" s="2" t="s">
        <v>201</v>
      </c>
      <c r="F1920" s="2" t="e">
        <f>VLOOKUP(B1920,MSCI中国成分股!A:B,1,)</f>
        <v>#N/A</v>
      </c>
    </row>
    <row r="1921" spans="1:6" ht="20.25" hidden="1" customHeight="1" x14ac:dyDescent="0.15">
      <c r="A1921" s="2" t="s">
        <v>4086</v>
      </c>
      <c r="B1921" s="2" t="s">
        <v>4087</v>
      </c>
      <c r="C1921" s="2">
        <v>2.29</v>
      </c>
      <c r="D1921" s="2">
        <v>4.3018000000000001</v>
      </c>
      <c r="E1921" s="2" t="s">
        <v>245</v>
      </c>
      <c r="F1921" s="2" t="e">
        <f>VLOOKUP(B1921,MSCI中国成分股!A:B,1,)</f>
        <v>#N/A</v>
      </c>
    </row>
    <row r="1922" spans="1:6" ht="20.25" hidden="1" customHeight="1" x14ac:dyDescent="0.15">
      <c r="A1922" s="2" t="s">
        <v>4088</v>
      </c>
      <c r="B1922" s="2" t="s">
        <v>4089</v>
      </c>
      <c r="C1922" s="2">
        <v>1.415</v>
      </c>
      <c r="D1922" s="2">
        <v>3.5718000000000001</v>
      </c>
      <c r="E1922" s="2" t="s">
        <v>286</v>
      </c>
      <c r="F1922" s="2" t="e">
        <f>VLOOKUP(B1922,MSCI中国成分股!A:B,1,)</f>
        <v>#N/A</v>
      </c>
    </row>
    <row r="1923" spans="1:6" ht="20.25" hidden="1" customHeight="1" x14ac:dyDescent="0.15">
      <c r="A1923" s="2" t="s">
        <v>4090</v>
      </c>
      <c r="B1923" s="2" t="s">
        <v>4091</v>
      </c>
      <c r="C1923" s="2">
        <v>2.91</v>
      </c>
      <c r="D1923" s="2">
        <v>1.1831</v>
      </c>
      <c r="E1923" s="2" t="s">
        <v>41</v>
      </c>
      <c r="F1923" s="2" t="e">
        <f>VLOOKUP(B1923,MSCI中国成分股!A:B,1,)</f>
        <v>#N/A</v>
      </c>
    </row>
    <row r="1924" spans="1:6" ht="20.25" hidden="1" customHeight="1" x14ac:dyDescent="0.15">
      <c r="A1924" s="2" t="s">
        <v>4092</v>
      </c>
      <c r="B1924" s="2" t="s">
        <v>4093</v>
      </c>
      <c r="C1924" s="2">
        <v>0.84</v>
      </c>
      <c r="D1924" s="2">
        <v>14.755100000000001</v>
      </c>
      <c r="E1924" s="2" t="s">
        <v>931</v>
      </c>
      <c r="F1924" s="2" t="e">
        <f>VLOOKUP(B1924,MSCI中国成分股!A:B,1,)</f>
        <v>#N/A</v>
      </c>
    </row>
    <row r="1925" spans="1:6" ht="20.25" hidden="1" customHeight="1" x14ac:dyDescent="0.15">
      <c r="A1925" s="2" t="s">
        <v>4094</v>
      </c>
      <c r="B1925" s="2" t="s">
        <v>4095</v>
      </c>
      <c r="C1925" s="2">
        <v>0.23</v>
      </c>
      <c r="D1925" s="2">
        <v>8.8217999999999996</v>
      </c>
      <c r="E1925" s="2" t="s">
        <v>265</v>
      </c>
      <c r="F1925" s="2" t="e">
        <f>VLOOKUP(B1925,MSCI中国成分股!A:B,1,)</f>
        <v>#N/A</v>
      </c>
    </row>
    <row r="1926" spans="1:6" ht="20.25" hidden="1" customHeight="1" x14ac:dyDescent="0.15">
      <c r="A1926" s="2" t="s">
        <v>4096</v>
      </c>
      <c r="B1926" s="2" t="s">
        <v>4097</v>
      </c>
      <c r="C1926" s="2">
        <v>0.15</v>
      </c>
      <c r="D1926" s="2">
        <v>0.39069999999999999</v>
      </c>
      <c r="E1926" s="2" t="s">
        <v>220</v>
      </c>
      <c r="F1926" s="2" t="e">
        <f>VLOOKUP(B1926,MSCI中国成分股!A:B,1,)</f>
        <v>#N/A</v>
      </c>
    </row>
    <row r="1927" spans="1:6" ht="20.25" hidden="1" customHeight="1" x14ac:dyDescent="0.15">
      <c r="A1927" s="2" t="s">
        <v>4098</v>
      </c>
      <c r="B1927" s="2" t="s">
        <v>4099</v>
      </c>
      <c r="C1927" s="2">
        <v>2.29</v>
      </c>
      <c r="D1927" s="2">
        <v>7.7694000000000001</v>
      </c>
      <c r="E1927" s="2" t="s">
        <v>747</v>
      </c>
      <c r="F1927" s="2" t="e">
        <f>VLOOKUP(B1927,MSCI中国成分股!A:B,1,)</f>
        <v>#N/A</v>
      </c>
    </row>
    <row r="1928" spans="1:6" ht="20.25" hidden="1" customHeight="1" x14ac:dyDescent="0.15">
      <c r="A1928" s="2" t="s">
        <v>4100</v>
      </c>
      <c r="B1928" s="2" t="s">
        <v>4101</v>
      </c>
      <c r="C1928" s="2">
        <v>1.44</v>
      </c>
      <c r="D1928" s="2">
        <v>3.8990999999999998</v>
      </c>
      <c r="E1928" s="2" t="s">
        <v>574</v>
      </c>
      <c r="F1928" s="2" t="e">
        <f>VLOOKUP(B1928,MSCI中国成分股!A:B,1,)</f>
        <v>#N/A</v>
      </c>
    </row>
    <row r="1929" spans="1:6" ht="20.25" hidden="1" customHeight="1" x14ac:dyDescent="0.15">
      <c r="A1929" s="2" t="s">
        <v>4102</v>
      </c>
      <c r="B1929" s="2" t="s">
        <v>4103</v>
      </c>
      <c r="C1929" s="2">
        <v>0.71</v>
      </c>
      <c r="D1929" s="2">
        <v>0.67510000000000003</v>
      </c>
      <c r="E1929" s="2" t="s">
        <v>1061</v>
      </c>
      <c r="F1929" s="2" t="e">
        <f>VLOOKUP(B1929,MSCI中国成分股!A:B,1,)</f>
        <v>#N/A</v>
      </c>
    </row>
    <row r="1930" spans="1:6" ht="20.25" hidden="1" customHeight="1" x14ac:dyDescent="0.15">
      <c r="A1930" s="2" t="s">
        <v>4104</v>
      </c>
      <c r="B1930" s="2" t="s">
        <v>4105</v>
      </c>
      <c r="C1930" s="2">
        <v>3.62</v>
      </c>
      <c r="D1930" s="2">
        <v>6.2927</v>
      </c>
      <c r="E1930" s="2" t="s">
        <v>406</v>
      </c>
      <c r="F1930" s="2" t="e">
        <f>VLOOKUP(B1930,MSCI中国成分股!A:B,1,)</f>
        <v>#N/A</v>
      </c>
    </row>
    <row r="1931" spans="1:6" ht="20.25" hidden="1" customHeight="1" x14ac:dyDescent="0.15">
      <c r="A1931" s="2" t="s">
        <v>4106</v>
      </c>
      <c r="B1931" s="2" t="s">
        <v>4107</v>
      </c>
      <c r="C1931" s="2">
        <v>-1.03</v>
      </c>
      <c r="D1931" s="2">
        <v>1361.6706999999999</v>
      </c>
      <c r="E1931" s="2" t="s">
        <v>459</v>
      </c>
      <c r="F1931" s="2" t="e">
        <f>VLOOKUP(B1931,MSCI中国成分股!A:B,1,)</f>
        <v>#N/A</v>
      </c>
    </row>
    <row r="1932" spans="1:6" ht="20.25" hidden="1" customHeight="1" x14ac:dyDescent="0.15">
      <c r="A1932" s="2" t="s">
        <v>4108</v>
      </c>
      <c r="B1932" s="2" t="s">
        <v>4109</v>
      </c>
      <c r="C1932" s="2">
        <v>0.35</v>
      </c>
      <c r="D1932" s="2">
        <v>7.1475999999999997</v>
      </c>
      <c r="E1932" s="2" t="s">
        <v>647</v>
      </c>
      <c r="F1932" s="2" t="e">
        <f>VLOOKUP(B1932,MSCI中国成分股!A:B,1,)</f>
        <v>#N/A</v>
      </c>
    </row>
    <row r="1933" spans="1:6" ht="20.25" hidden="1" customHeight="1" x14ac:dyDescent="0.15">
      <c r="A1933" s="2" t="s">
        <v>4110</v>
      </c>
      <c r="B1933" s="2" t="s">
        <v>4111</v>
      </c>
      <c r="C1933" s="2">
        <v>-0.46</v>
      </c>
      <c r="D1933" s="2">
        <v>18.8689</v>
      </c>
      <c r="E1933" s="2" t="s">
        <v>35</v>
      </c>
      <c r="F1933" s="2" t="e">
        <f>VLOOKUP(B1933,MSCI中国成分股!A:B,1,)</f>
        <v>#N/A</v>
      </c>
    </row>
    <row r="1934" spans="1:6" ht="20.25" hidden="1" customHeight="1" x14ac:dyDescent="0.15">
      <c r="A1934" s="2" t="s">
        <v>4112</v>
      </c>
      <c r="B1934" s="2" t="s">
        <v>4113</v>
      </c>
      <c r="C1934" s="2">
        <v>1.55</v>
      </c>
      <c r="D1934" s="2">
        <v>12.8032</v>
      </c>
      <c r="E1934" s="2" t="s">
        <v>418</v>
      </c>
      <c r="F1934" s="2" t="e">
        <f>VLOOKUP(B1934,MSCI中国成分股!A:B,1,)</f>
        <v>#N/A</v>
      </c>
    </row>
    <row r="1935" spans="1:6" ht="20.25" hidden="1" customHeight="1" x14ac:dyDescent="0.15">
      <c r="A1935" s="2" t="s">
        <v>4114</v>
      </c>
      <c r="B1935" s="2" t="s">
        <v>4115</v>
      </c>
      <c r="C1935" s="2">
        <v>-0.67</v>
      </c>
      <c r="D1935" s="2">
        <v>2.8950999999999998</v>
      </c>
      <c r="E1935" s="2" t="s">
        <v>299</v>
      </c>
      <c r="F1935" s="2" t="e">
        <f>VLOOKUP(B1935,MSCI中国成分股!A:B,1,)</f>
        <v>#N/A</v>
      </c>
    </row>
    <row r="1936" spans="1:6" ht="20.25" hidden="1" customHeight="1" x14ac:dyDescent="0.15">
      <c r="A1936" s="2" t="s">
        <v>4116</v>
      </c>
      <c r="B1936" s="2" t="s">
        <v>4117</v>
      </c>
      <c r="C1936" s="2">
        <v>0.97</v>
      </c>
      <c r="D1936" s="2">
        <v>10.0265</v>
      </c>
      <c r="E1936" s="2" t="s">
        <v>1570</v>
      </c>
      <c r="F1936" s="2" t="e">
        <f>VLOOKUP(B1936,MSCI中国成分股!A:B,1,)</f>
        <v>#N/A</v>
      </c>
    </row>
    <row r="1937" spans="1:6" ht="20.25" hidden="1" customHeight="1" x14ac:dyDescent="0.15">
      <c r="A1937" s="2" t="s">
        <v>4118</v>
      </c>
      <c r="B1937" s="2" t="s">
        <v>4119</v>
      </c>
      <c r="C1937" s="2">
        <v>1.01</v>
      </c>
      <c r="D1937" s="2">
        <v>2.9557000000000002</v>
      </c>
      <c r="E1937" s="2" t="s">
        <v>1248</v>
      </c>
      <c r="F1937" s="2" t="e">
        <f>VLOOKUP(B1937,MSCI中国成分股!A:B,1,)</f>
        <v>#N/A</v>
      </c>
    </row>
    <row r="1938" spans="1:6" ht="20.25" hidden="1" customHeight="1" x14ac:dyDescent="0.15">
      <c r="A1938" s="2" t="s">
        <v>4120</v>
      </c>
      <c r="B1938" s="2" t="s">
        <v>4121</v>
      </c>
      <c r="C1938" s="2">
        <v>-0.39</v>
      </c>
      <c r="D1938" s="2">
        <v>0.9667</v>
      </c>
      <c r="E1938" s="2" t="s">
        <v>4122</v>
      </c>
      <c r="F1938" s="2" t="e">
        <f>VLOOKUP(B1938,MSCI中国成分股!A:B,1,)</f>
        <v>#N/A</v>
      </c>
    </row>
    <row r="1939" spans="1:6" ht="20.25" hidden="1" customHeight="1" x14ac:dyDescent="0.15">
      <c r="A1939" s="2" t="s">
        <v>4123</v>
      </c>
      <c r="B1939" s="2" t="s">
        <v>4124</v>
      </c>
      <c r="C1939" s="2">
        <v>-0.84</v>
      </c>
      <c r="D1939" s="2">
        <v>6.8814000000000002</v>
      </c>
      <c r="E1939" s="2" t="s">
        <v>140</v>
      </c>
      <c r="F1939" s="2" t="e">
        <f>VLOOKUP(B1939,MSCI中国成分股!A:B,1,)</f>
        <v>#N/A</v>
      </c>
    </row>
    <row r="1940" spans="1:6" ht="20.25" hidden="1" customHeight="1" x14ac:dyDescent="0.15">
      <c r="A1940" s="2" t="s">
        <v>4125</v>
      </c>
      <c r="B1940" s="2" t="s">
        <v>4126</v>
      </c>
      <c r="C1940" s="2">
        <v>2.0499999999999998</v>
      </c>
      <c r="D1940" s="2">
        <v>0.52980000000000005</v>
      </c>
      <c r="E1940" s="2" t="s">
        <v>4127</v>
      </c>
      <c r="F1940" s="2" t="e">
        <f>VLOOKUP(B1940,MSCI中国成分股!A:B,1,)</f>
        <v>#N/A</v>
      </c>
    </row>
    <row r="1941" spans="1:6" ht="20.25" hidden="1" customHeight="1" x14ac:dyDescent="0.15">
      <c r="A1941" s="2" t="s">
        <v>4128</v>
      </c>
      <c r="B1941" s="2" t="s">
        <v>4129</v>
      </c>
      <c r="C1941" s="2">
        <v>1.67</v>
      </c>
      <c r="D1941" s="2">
        <v>1.0968</v>
      </c>
      <c r="E1941" s="2" t="s">
        <v>276</v>
      </c>
      <c r="F1941" s="2" t="e">
        <f>VLOOKUP(B1941,MSCI中国成分股!A:B,1,)</f>
        <v>#N/A</v>
      </c>
    </row>
    <row r="1942" spans="1:6" ht="20.25" hidden="1" customHeight="1" x14ac:dyDescent="0.15">
      <c r="A1942" s="2" t="s">
        <v>4130</v>
      </c>
      <c r="B1942" s="2" t="s">
        <v>4131</v>
      </c>
      <c r="C1942" s="2">
        <v>1.76</v>
      </c>
      <c r="D1942" s="2">
        <v>5.8133999999999997</v>
      </c>
      <c r="E1942" s="2" t="s">
        <v>204</v>
      </c>
      <c r="F1942" s="2" t="e">
        <f>VLOOKUP(B1942,MSCI中国成分股!A:B,1,)</f>
        <v>#N/A</v>
      </c>
    </row>
    <row r="1943" spans="1:6" ht="20.25" hidden="1" customHeight="1" x14ac:dyDescent="0.15">
      <c r="A1943" s="2" t="s">
        <v>4132</v>
      </c>
      <c r="B1943" s="2" t="s">
        <v>4133</v>
      </c>
      <c r="C1943" s="2">
        <v>1.86</v>
      </c>
      <c r="D1943" s="2">
        <v>4.6805000000000003</v>
      </c>
      <c r="E1943" s="2" t="s">
        <v>3130</v>
      </c>
      <c r="F1943" s="2" t="e">
        <f>VLOOKUP(B1943,MSCI中国成分股!A:B,1,)</f>
        <v>#N/A</v>
      </c>
    </row>
    <row r="1944" spans="1:6" ht="20.25" hidden="1" customHeight="1" x14ac:dyDescent="0.15">
      <c r="A1944" s="2" t="s">
        <v>4134</v>
      </c>
      <c r="B1944" s="2" t="s">
        <v>4135</v>
      </c>
      <c r="C1944" s="2">
        <v>1.23</v>
      </c>
      <c r="D1944" s="2">
        <v>1.7144999999999999</v>
      </c>
      <c r="E1944" s="2" t="s">
        <v>1282</v>
      </c>
      <c r="F1944" s="2" t="e">
        <f>VLOOKUP(B1944,MSCI中国成分股!A:B,1,)</f>
        <v>#N/A</v>
      </c>
    </row>
    <row r="1945" spans="1:6" ht="20.25" hidden="1" customHeight="1" x14ac:dyDescent="0.15">
      <c r="A1945" s="2" t="s">
        <v>4136</v>
      </c>
      <c r="B1945" s="2" t="s">
        <v>4137</v>
      </c>
      <c r="C1945" s="2">
        <v>2.74</v>
      </c>
      <c r="D1945" s="2">
        <v>8.4224999999999994</v>
      </c>
      <c r="E1945" s="2" t="s">
        <v>621</v>
      </c>
      <c r="F1945" s="2" t="e">
        <f>VLOOKUP(B1945,MSCI中国成分股!A:B,1,)</f>
        <v>#N/A</v>
      </c>
    </row>
    <row r="1946" spans="1:6" ht="20.25" hidden="1" customHeight="1" x14ac:dyDescent="0.15">
      <c r="A1946" s="2" t="s">
        <v>4138</v>
      </c>
      <c r="B1946" s="2" t="s">
        <v>4139</v>
      </c>
      <c r="C1946" s="2">
        <v>1</v>
      </c>
      <c r="D1946" s="2">
        <v>6.8199999999999997E-2</v>
      </c>
      <c r="E1946" s="2" t="s">
        <v>89</v>
      </c>
      <c r="F1946" s="2" t="e">
        <f>VLOOKUP(B1946,MSCI中国成分股!A:B,1,)</f>
        <v>#N/A</v>
      </c>
    </row>
    <row r="1947" spans="1:6" ht="20.25" hidden="1" customHeight="1" x14ac:dyDescent="0.15">
      <c r="A1947" s="2" t="s">
        <v>4140</v>
      </c>
      <c r="B1947" s="2" t="s">
        <v>4141</v>
      </c>
      <c r="C1947" s="2">
        <v>-0.81</v>
      </c>
      <c r="D1947" s="2">
        <v>50.234000000000002</v>
      </c>
      <c r="E1947" s="2" t="s">
        <v>371</v>
      </c>
      <c r="F1947" s="2" t="e">
        <f>VLOOKUP(B1947,MSCI中国成分股!A:B,1,)</f>
        <v>#N/A</v>
      </c>
    </row>
    <row r="1948" spans="1:6" ht="20.25" hidden="1" customHeight="1" x14ac:dyDescent="0.15">
      <c r="A1948" s="2" t="s">
        <v>4142</v>
      </c>
      <c r="B1948" s="2" t="s">
        <v>4143</v>
      </c>
      <c r="C1948" s="2">
        <v>2.9950000000000001</v>
      </c>
      <c r="D1948" s="2">
        <v>4.5792999999999999</v>
      </c>
      <c r="E1948" s="2" t="s">
        <v>630</v>
      </c>
      <c r="F1948" s="2" t="e">
        <f>VLOOKUP(B1948,MSCI中国成分股!A:B,1,)</f>
        <v>#N/A</v>
      </c>
    </row>
    <row r="1949" spans="1:6" ht="20.25" hidden="1" customHeight="1" x14ac:dyDescent="0.15">
      <c r="A1949" s="2" t="s">
        <v>4144</v>
      </c>
      <c r="B1949" s="2" t="s">
        <v>4145</v>
      </c>
      <c r="C1949" s="2">
        <v>1.1399999999999999</v>
      </c>
      <c r="D1949" s="2">
        <v>2.2927</v>
      </c>
      <c r="E1949" s="2" t="s">
        <v>299</v>
      </c>
      <c r="F1949" s="2" t="e">
        <f>VLOOKUP(B1949,MSCI中国成分股!A:B,1,)</f>
        <v>#N/A</v>
      </c>
    </row>
    <row r="1950" spans="1:6" ht="20.25" hidden="1" customHeight="1" x14ac:dyDescent="0.15">
      <c r="A1950" s="2" t="s">
        <v>4146</v>
      </c>
      <c r="B1950" s="2" t="s">
        <v>4147</v>
      </c>
      <c r="C1950" s="2">
        <v>1.93</v>
      </c>
      <c r="D1950" s="2">
        <v>1.9858</v>
      </c>
      <c r="E1950" s="2" t="s">
        <v>1608</v>
      </c>
      <c r="F1950" s="2" t="e">
        <f>VLOOKUP(B1950,MSCI中国成分股!A:B,1,)</f>
        <v>#N/A</v>
      </c>
    </row>
    <row r="1951" spans="1:6" ht="20.25" hidden="1" customHeight="1" x14ac:dyDescent="0.15">
      <c r="A1951" s="2" t="s">
        <v>4148</v>
      </c>
      <c r="B1951" s="2" t="s">
        <v>4149</v>
      </c>
      <c r="C1951" s="2">
        <v>0.65</v>
      </c>
      <c r="D1951" s="2">
        <v>0.87770000000000004</v>
      </c>
      <c r="E1951" s="2" t="s">
        <v>704</v>
      </c>
      <c r="F1951" s="2" t="e">
        <f>VLOOKUP(B1951,MSCI中国成分股!A:B,1,)</f>
        <v>#N/A</v>
      </c>
    </row>
    <row r="1952" spans="1:6" ht="20.25" hidden="1" customHeight="1" x14ac:dyDescent="0.15">
      <c r="A1952" s="2" t="s">
        <v>4150</v>
      </c>
      <c r="B1952" s="2" t="s">
        <v>4151</v>
      </c>
      <c r="C1952" s="2">
        <v>3.24</v>
      </c>
      <c r="D1952" s="2">
        <v>2.2265999999999999</v>
      </c>
      <c r="E1952" s="2" t="s">
        <v>1878</v>
      </c>
      <c r="F1952" s="2" t="e">
        <f>VLOOKUP(B1952,MSCI中国成分股!A:B,1,)</f>
        <v>#N/A</v>
      </c>
    </row>
    <row r="1953" spans="1:6" ht="20.25" hidden="1" customHeight="1" x14ac:dyDescent="0.15">
      <c r="A1953" s="2" t="s">
        <v>4152</v>
      </c>
      <c r="B1953" s="2" t="s">
        <v>4153</v>
      </c>
      <c r="C1953" s="2">
        <v>0.19</v>
      </c>
      <c r="D1953" s="2">
        <v>1.8834</v>
      </c>
      <c r="E1953" s="2" t="s">
        <v>667</v>
      </c>
      <c r="F1953" s="2" t="e">
        <f>VLOOKUP(B1953,MSCI中国成分股!A:B,1,)</f>
        <v>#N/A</v>
      </c>
    </row>
    <row r="1954" spans="1:6" ht="20.25" hidden="1" customHeight="1" x14ac:dyDescent="0.15">
      <c r="A1954" s="2" t="s">
        <v>4154</v>
      </c>
      <c r="B1954" s="2" t="s">
        <v>4155</v>
      </c>
      <c r="C1954" s="2">
        <v>2.0449999999999999</v>
      </c>
      <c r="D1954" s="2">
        <v>1.7793000000000001</v>
      </c>
      <c r="E1954" s="2" t="s">
        <v>120</v>
      </c>
      <c r="F1954" s="2" t="e">
        <f>VLOOKUP(B1954,MSCI中国成分股!A:B,1,)</f>
        <v>#N/A</v>
      </c>
    </row>
    <row r="1955" spans="1:6" ht="20.25" hidden="1" customHeight="1" x14ac:dyDescent="0.15">
      <c r="A1955" s="2" t="s">
        <v>4156</v>
      </c>
      <c r="B1955" s="2" t="s">
        <v>4157</v>
      </c>
      <c r="C1955" s="2">
        <v>-0.44</v>
      </c>
      <c r="D1955" s="2">
        <v>3.835</v>
      </c>
      <c r="E1955" s="2" t="s">
        <v>60</v>
      </c>
      <c r="F1955" s="2" t="e">
        <f>VLOOKUP(B1955,MSCI中国成分股!A:B,1,)</f>
        <v>#N/A</v>
      </c>
    </row>
    <row r="1956" spans="1:6" ht="20.25" hidden="1" customHeight="1" x14ac:dyDescent="0.15">
      <c r="A1956" s="2" t="s">
        <v>4158</v>
      </c>
      <c r="B1956" s="2" t="s">
        <v>4159</v>
      </c>
      <c r="C1956" s="2">
        <v>-0.67</v>
      </c>
      <c r="D1956" s="2">
        <v>103.0685</v>
      </c>
      <c r="E1956" s="2" t="s">
        <v>265</v>
      </c>
      <c r="F1956" s="2" t="e">
        <f>VLOOKUP(B1956,MSCI中国成分股!A:B,1,)</f>
        <v>#N/A</v>
      </c>
    </row>
    <row r="1957" spans="1:6" ht="20.25" hidden="1" customHeight="1" x14ac:dyDescent="0.15">
      <c r="A1957" s="2" t="s">
        <v>4160</v>
      </c>
      <c r="B1957" s="2" t="s">
        <v>4161</v>
      </c>
      <c r="C1957" s="2">
        <v>1.06</v>
      </c>
      <c r="D1957" s="2">
        <v>2.7995000000000001</v>
      </c>
      <c r="E1957" s="2" t="s">
        <v>1173</v>
      </c>
      <c r="F1957" s="2" t="e">
        <f>VLOOKUP(B1957,MSCI中国成分股!A:B,1,)</f>
        <v>#N/A</v>
      </c>
    </row>
    <row r="1958" spans="1:6" ht="20.25" hidden="1" customHeight="1" x14ac:dyDescent="0.15">
      <c r="A1958" s="2" t="s">
        <v>4162</v>
      </c>
      <c r="B1958" s="2" t="s">
        <v>4163</v>
      </c>
      <c r="C1958" s="2">
        <v>0.24</v>
      </c>
      <c r="D1958" s="2">
        <v>26.371200000000002</v>
      </c>
      <c r="E1958" s="2" t="s">
        <v>657</v>
      </c>
      <c r="F1958" s="2" t="e">
        <f>VLOOKUP(B1958,MSCI中国成分股!A:B,1,)</f>
        <v>#N/A</v>
      </c>
    </row>
    <row r="1959" spans="1:6" ht="20.25" hidden="1" customHeight="1" x14ac:dyDescent="0.15">
      <c r="A1959" s="2" t="s">
        <v>4164</v>
      </c>
      <c r="B1959" s="2" t="s">
        <v>4165</v>
      </c>
      <c r="C1959" s="2">
        <v>1.1399999999999999</v>
      </c>
      <c r="D1959" s="2">
        <v>2.0125000000000002</v>
      </c>
      <c r="E1959" s="2" t="s">
        <v>4127</v>
      </c>
      <c r="F1959" s="2" t="e">
        <f>VLOOKUP(B1959,MSCI中国成分股!A:B,1,)</f>
        <v>#N/A</v>
      </c>
    </row>
    <row r="1960" spans="1:6" ht="20.25" hidden="1" customHeight="1" x14ac:dyDescent="0.15">
      <c r="A1960" s="2" t="s">
        <v>4166</v>
      </c>
      <c r="B1960" s="2" t="s">
        <v>4167</v>
      </c>
      <c r="C1960" s="2">
        <v>-1.68</v>
      </c>
      <c r="D1960" s="2">
        <v>19.502099999999999</v>
      </c>
      <c r="E1960" s="2" t="s">
        <v>245</v>
      </c>
      <c r="F1960" s="2" t="e">
        <f>VLOOKUP(B1960,MSCI中国成分股!A:B,1,)</f>
        <v>#N/A</v>
      </c>
    </row>
    <row r="1961" spans="1:6" ht="20.25" hidden="1" customHeight="1" x14ac:dyDescent="0.15">
      <c r="A1961" s="2" t="s">
        <v>4168</v>
      </c>
      <c r="B1961" s="2" t="s">
        <v>4169</v>
      </c>
      <c r="C1961" s="2">
        <v>2.66</v>
      </c>
      <c r="D1961" s="2">
        <v>1.1713</v>
      </c>
      <c r="E1961" s="2" t="s">
        <v>741</v>
      </c>
      <c r="F1961" s="2" t="e">
        <f>VLOOKUP(B1961,MSCI中国成分股!A:B,1,)</f>
        <v>#N/A</v>
      </c>
    </row>
    <row r="1962" spans="1:6" ht="20.25" hidden="1" customHeight="1" x14ac:dyDescent="0.15">
      <c r="A1962" s="2" t="s">
        <v>4170</v>
      </c>
      <c r="B1962" s="2" t="s">
        <v>4171</v>
      </c>
      <c r="C1962" s="2">
        <v>-0.57999999999999996</v>
      </c>
      <c r="D1962" s="2">
        <v>31.372800000000002</v>
      </c>
      <c r="E1962" s="2" t="s">
        <v>1425</v>
      </c>
      <c r="F1962" s="2" t="e">
        <f>VLOOKUP(B1962,MSCI中国成分股!A:B,1,)</f>
        <v>#N/A</v>
      </c>
    </row>
    <row r="1963" spans="1:6" ht="20.25" hidden="1" customHeight="1" x14ac:dyDescent="0.15">
      <c r="A1963" s="2" t="s">
        <v>4172</v>
      </c>
      <c r="B1963" s="2" t="s">
        <v>4173</v>
      </c>
      <c r="C1963" s="2">
        <v>1.71</v>
      </c>
      <c r="D1963" s="2">
        <v>1.8783000000000001</v>
      </c>
      <c r="E1963" s="2" t="s">
        <v>391</v>
      </c>
      <c r="F1963" s="2" t="e">
        <f>VLOOKUP(B1963,MSCI中国成分股!A:B,1,)</f>
        <v>#N/A</v>
      </c>
    </row>
    <row r="1964" spans="1:6" ht="20.25" hidden="1" customHeight="1" x14ac:dyDescent="0.15">
      <c r="A1964" s="2" t="s">
        <v>4174</v>
      </c>
      <c r="B1964" s="2" t="s">
        <v>4175</v>
      </c>
      <c r="C1964" s="2">
        <v>-1.33</v>
      </c>
      <c r="D1964" s="2">
        <v>32.928800000000003</v>
      </c>
      <c r="E1964" s="2" t="s">
        <v>245</v>
      </c>
      <c r="F1964" s="2" t="e">
        <f>VLOOKUP(B1964,MSCI中国成分股!A:B,1,)</f>
        <v>#N/A</v>
      </c>
    </row>
    <row r="1965" spans="1:6" ht="20.25" hidden="1" customHeight="1" x14ac:dyDescent="0.15">
      <c r="A1965" s="2" t="s">
        <v>4176</v>
      </c>
      <c r="B1965" s="2" t="s">
        <v>4177</v>
      </c>
      <c r="C1965" s="2">
        <v>1.84</v>
      </c>
      <c r="D1965" s="2">
        <v>1.1073999999999999</v>
      </c>
      <c r="E1965" s="2" t="s">
        <v>123</v>
      </c>
      <c r="F1965" s="2" t="e">
        <f>VLOOKUP(B1965,MSCI中国成分股!A:B,1,)</f>
        <v>#N/A</v>
      </c>
    </row>
    <row r="1966" spans="1:6" ht="20.25" hidden="1" customHeight="1" x14ac:dyDescent="0.15">
      <c r="A1966" s="2" t="s">
        <v>4178</v>
      </c>
      <c r="B1966" s="2" t="s">
        <v>4179</v>
      </c>
      <c r="C1966" s="2">
        <v>0.37</v>
      </c>
      <c r="D1966" s="2">
        <v>1.6781999999999999</v>
      </c>
      <c r="E1966" s="2" t="s">
        <v>286</v>
      </c>
      <c r="F1966" s="2" t="e">
        <f>VLOOKUP(B1966,MSCI中国成分股!A:B,1,)</f>
        <v>#N/A</v>
      </c>
    </row>
    <row r="1967" spans="1:6" ht="20.25" hidden="1" customHeight="1" x14ac:dyDescent="0.15">
      <c r="A1967" s="2" t="s">
        <v>4180</v>
      </c>
      <c r="B1967" s="2" t="s">
        <v>4181</v>
      </c>
      <c r="C1967" s="2">
        <v>-1.33</v>
      </c>
      <c r="D1967" s="2">
        <v>6.3651999999999997</v>
      </c>
      <c r="E1967" s="2" t="s">
        <v>406</v>
      </c>
      <c r="F1967" s="2" t="e">
        <f>VLOOKUP(B1967,MSCI中国成分股!A:B,1,)</f>
        <v>#N/A</v>
      </c>
    </row>
    <row r="1968" spans="1:6" ht="20.25" hidden="1" customHeight="1" x14ac:dyDescent="0.15">
      <c r="A1968" s="2" t="s">
        <v>4182</v>
      </c>
      <c r="B1968" s="2" t="s">
        <v>4183</v>
      </c>
      <c r="C1968" s="2">
        <v>-3.07</v>
      </c>
      <c r="D1968" s="2">
        <v>1.8129</v>
      </c>
      <c r="E1968" s="2" t="s">
        <v>299</v>
      </c>
      <c r="F1968" s="2" t="e">
        <f>VLOOKUP(B1968,MSCI中国成分股!A:B,1,)</f>
        <v>#N/A</v>
      </c>
    </row>
    <row r="1969" spans="1:6" ht="20.25" hidden="1" customHeight="1" x14ac:dyDescent="0.15">
      <c r="A1969" s="2" t="s">
        <v>4184</v>
      </c>
      <c r="B1969" s="2" t="s">
        <v>4185</v>
      </c>
      <c r="C1969" s="2">
        <v>2.34</v>
      </c>
      <c r="D1969" s="2">
        <v>0.22059999999999999</v>
      </c>
      <c r="E1969" s="2" t="s">
        <v>385</v>
      </c>
      <c r="F1969" s="2" t="e">
        <f>VLOOKUP(B1969,MSCI中国成分股!A:B,1,)</f>
        <v>#N/A</v>
      </c>
    </row>
    <row r="1970" spans="1:6" ht="20.25" hidden="1" customHeight="1" x14ac:dyDescent="0.15">
      <c r="A1970" s="2" t="s">
        <v>4186</v>
      </c>
      <c r="B1970" s="2" t="s">
        <v>4187</v>
      </c>
      <c r="C1970" s="2">
        <v>1.54</v>
      </c>
      <c r="D1970" s="2">
        <v>1.5077</v>
      </c>
      <c r="E1970" s="2" t="s">
        <v>1145</v>
      </c>
      <c r="F1970" s="2" t="e">
        <f>VLOOKUP(B1970,MSCI中国成分股!A:B,1,)</f>
        <v>#N/A</v>
      </c>
    </row>
    <row r="1971" spans="1:6" ht="20.25" hidden="1" customHeight="1" x14ac:dyDescent="0.15">
      <c r="A1971" s="2" t="s">
        <v>4188</v>
      </c>
      <c r="B1971" s="2" t="s">
        <v>4189</v>
      </c>
      <c r="C1971" s="2">
        <v>0.25</v>
      </c>
      <c r="D1971" s="2">
        <v>0.33789999999999998</v>
      </c>
      <c r="E1971" s="2" t="s">
        <v>1969</v>
      </c>
      <c r="F1971" s="2" t="e">
        <f>VLOOKUP(B1971,MSCI中国成分股!A:B,1,)</f>
        <v>#N/A</v>
      </c>
    </row>
    <row r="1972" spans="1:6" ht="20.25" hidden="1" customHeight="1" x14ac:dyDescent="0.15">
      <c r="A1972" s="2" t="s">
        <v>4190</v>
      </c>
      <c r="B1972" s="2" t="s">
        <v>4191</v>
      </c>
      <c r="C1972" s="2">
        <v>3.1150000000000002</v>
      </c>
      <c r="D1972" s="2">
        <v>20.741599999999998</v>
      </c>
      <c r="E1972" s="2" t="s">
        <v>35</v>
      </c>
      <c r="F1972" s="2" t="e">
        <f>VLOOKUP(B1972,MSCI中国成分股!A:B,1,)</f>
        <v>#N/A</v>
      </c>
    </row>
    <row r="1973" spans="1:6" ht="20.25" hidden="1" customHeight="1" x14ac:dyDescent="0.15">
      <c r="A1973" s="2" t="s">
        <v>4192</v>
      </c>
      <c r="B1973" s="2" t="s">
        <v>4193</v>
      </c>
      <c r="C1973" s="2">
        <v>3.61</v>
      </c>
      <c r="D1973" s="2">
        <v>0.31340000000000001</v>
      </c>
      <c r="E1973" s="2" t="s">
        <v>1338</v>
      </c>
      <c r="F1973" s="2" t="e">
        <f>VLOOKUP(B1973,MSCI中国成分股!A:B,1,)</f>
        <v>#N/A</v>
      </c>
    </row>
    <row r="1974" spans="1:6" ht="20.25" hidden="1" customHeight="1" x14ac:dyDescent="0.15">
      <c r="A1974" s="2" t="s">
        <v>4194</v>
      </c>
      <c r="B1974" s="2" t="s">
        <v>4195</v>
      </c>
      <c r="C1974" s="2">
        <v>1.53</v>
      </c>
      <c r="D1974" s="2">
        <v>2.8953000000000002</v>
      </c>
      <c r="E1974" s="2" t="s">
        <v>257</v>
      </c>
      <c r="F1974" s="2" t="e">
        <f>VLOOKUP(B1974,MSCI中国成分股!A:B,1,)</f>
        <v>#N/A</v>
      </c>
    </row>
    <row r="1975" spans="1:6" ht="20.25" hidden="1" customHeight="1" x14ac:dyDescent="0.15">
      <c r="A1975" s="2" t="s">
        <v>4196</v>
      </c>
      <c r="B1975" s="2" t="s">
        <v>4197</v>
      </c>
      <c r="C1975" s="2">
        <v>-2.44</v>
      </c>
      <c r="D1975" s="2">
        <v>28.651199999999999</v>
      </c>
      <c r="E1975" s="2" t="s">
        <v>462</v>
      </c>
      <c r="F1975" s="2" t="e">
        <f>VLOOKUP(B1975,MSCI中国成分股!A:B,1,)</f>
        <v>#N/A</v>
      </c>
    </row>
    <row r="1976" spans="1:6" ht="20.25" hidden="1" customHeight="1" x14ac:dyDescent="0.15">
      <c r="A1976" s="2" t="s">
        <v>4198</v>
      </c>
      <c r="B1976" s="2" t="s">
        <v>4199</v>
      </c>
      <c r="C1976" s="2">
        <v>0.43</v>
      </c>
      <c r="D1976" s="2">
        <v>2.2946</v>
      </c>
      <c r="E1976" s="2" t="s">
        <v>1139</v>
      </c>
      <c r="F1976" s="2" t="e">
        <f>VLOOKUP(B1976,MSCI中国成分股!A:B,1,)</f>
        <v>#N/A</v>
      </c>
    </row>
    <row r="1977" spans="1:6" ht="20.25" hidden="1" customHeight="1" x14ac:dyDescent="0.15">
      <c r="A1977" s="2" t="s">
        <v>4200</v>
      </c>
      <c r="B1977" s="2" t="s">
        <v>4201</v>
      </c>
      <c r="C1977" s="2">
        <v>1.78</v>
      </c>
      <c r="D1977" s="2">
        <v>0.70989999999999998</v>
      </c>
      <c r="E1977" s="2" t="s">
        <v>368</v>
      </c>
      <c r="F1977" s="2" t="e">
        <f>VLOOKUP(B1977,MSCI中国成分股!A:B,1,)</f>
        <v>#N/A</v>
      </c>
    </row>
    <row r="1978" spans="1:6" ht="20.25" hidden="1" customHeight="1" x14ac:dyDescent="0.15">
      <c r="A1978" s="2" t="s">
        <v>4202</v>
      </c>
      <c r="B1978" s="2" t="s">
        <v>4203</v>
      </c>
      <c r="C1978" s="2">
        <v>1.01</v>
      </c>
      <c r="D1978" s="2">
        <v>16.0349</v>
      </c>
      <c r="E1978" s="2" t="s">
        <v>44</v>
      </c>
      <c r="F1978" s="2" t="e">
        <f>VLOOKUP(B1978,MSCI中国成分股!A:B,1,)</f>
        <v>#N/A</v>
      </c>
    </row>
    <row r="1979" spans="1:6" ht="20.25" hidden="1" customHeight="1" x14ac:dyDescent="0.15">
      <c r="A1979" s="2" t="s">
        <v>4204</v>
      </c>
      <c r="B1979" s="2" t="s">
        <v>4205</v>
      </c>
      <c r="C1979" s="2">
        <v>0.82</v>
      </c>
      <c r="D1979" s="2">
        <v>6.2141000000000002</v>
      </c>
      <c r="E1979" s="2" t="s">
        <v>286</v>
      </c>
      <c r="F1979" s="2" t="e">
        <f>VLOOKUP(B1979,MSCI中国成分股!A:B,1,)</f>
        <v>#N/A</v>
      </c>
    </row>
    <row r="1980" spans="1:6" ht="20.25" hidden="1" customHeight="1" x14ac:dyDescent="0.15">
      <c r="A1980" s="2" t="s">
        <v>4206</v>
      </c>
      <c r="B1980" s="2" t="s">
        <v>4207</v>
      </c>
      <c r="C1980" s="2">
        <v>0.86</v>
      </c>
      <c r="D1980" s="2">
        <v>0.91210000000000002</v>
      </c>
      <c r="E1980" s="2" t="s">
        <v>299</v>
      </c>
      <c r="F1980" s="2" t="e">
        <f>VLOOKUP(B1980,MSCI中国成分股!A:B,1,)</f>
        <v>#N/A</v>
      </c>
    </row>
    <row r="1981" spans="1:6" ht="20.25" hidden="1" customHeight="1" x14ac:dyDescent="0.15">
      <c r="A1981" s="2" t="s">
        <v>4208</v>
      </c>
      <c r="B1981" s="2" t="s">
        <v>4209</v>
      </c>
      <c r="C1981" s="2">
        <v>-0.36</v>
      </c>
      <c r="D1981" s="2">
        <v>182.20750000000001</v>
      </c>
      <c r="E1981" s="2" t="s">
        <v>260</v>
      </c>
      <c r="F1981" s="2" t="e">
        <f>VLOOKUP(B1981,MSCI中国成分股!A:B,1,)</f>
        <v>#N/A</v>
      </c>
    </row>
    <row r="1982" spans="1:6" ht="20.25" hidden="1" customHeight="1" x14ac:dyDescent="0.15">
      <c r="A1982" s="2" t="s">
        <v>4210</v>
      </c>
      <c r="B1982" s="2" t="s">
        <v>4211</v>
      </c>
      <c r="C1982" s="2">
        <v>0.66</v>
      </c>
      <c r="D1982" s="2">
        <v>0.87560000000000004</v>
      </c>
      <c r="E1982" s="2" t="s">
        <v>483</v>
      </c>
      <c r="F1982" s="2" t="e">
        <f>VLOOKUP(B1982,MSCI中国成分股!A:B,1,)</f>
        <v>#N/A</v>
      </c>
    </row>
    <row r="1983" spans="1:6" ht="20.25" hidden="1" customHeight="1" x14ac:dyDescent="0.15">
      <c r="A1983" s="2" t="s">
        <v>4212</v>
      </c>
      <c r="B1983" s="2" t="s">
        <v>4213</v>
      </c>
      <c r="C1983" s="2">
        <v>2.98</v>
      </c>
      <c r="D1983" s="2">
        <v>0.5383</v>
      </c>
      <c r="E1983" s="2" t="s">
        <v>1680</v>
      </c>
      <c r="F1983" s="2" t="e">
        <f>VLOOKUP(B1983,MSCI中国成分股!A:B,1,)</f>
        <v>#N/A</v>
      </c>
    </row>
    <row r="1984" spans="1:6" ht="20.25" hidden="1" customHeight="1" x14ac:dyDescent="0.15">
      <c r="A1984" s="2" t="s">
        <v>4214</v>
      </c>
      <c r="B1984" s="2" t="s">
        <v>4215</v>
      </c>
      <c r="C1984" s="2">
        <v>2.82</v>
      </c>
      <c r="D1984" s="2">
        <v>2.9287000000000001</v>
      </c>
      <c r="E1984" s="2" t="s">
        <v>2151</v>
      </c>
      <c r="F1984" s="2" t="e">
        <f>VLOOKUP(B1984,MSCI中国成分股!A:B,1,)</f>
        <v>#N/A</v>
      </c>
    </row>
    <row r="1985" spans="1:6" ht="20.25" hidden="1" customHeight="1" x14ac:dyDescent="0.15">
      <c r="A1985" s="2" t="s">
        <v>4216</v>
      </c>
      <c r="B1985" s="2" t="s">
        <v>4217</v>
      </c>
      <c r="C1985" s="2">
        <v>3.62</v>
      </c>
      <c r="D1985" s="2">
        <v>5.8220999999999998</v>
      </c>
      <c r="E1985" s="2" t="s">
        <v>727</v>
      </c>
      <c r="F1985" s="2" t="e">
        <f>VLOOKUP(B1985,MSCI中国成分股!A:B,1,)</f>
        <v>#N/A</v>
      </c>
    </row>
    <row r="1986" spans="1:6" ht="20.25" hidden="1" customHeight="1" x14ac:dyDescent="0.15">
      <c r="A1986" s="2" t="s">
        <v>4218</v>
      </c>
      <c r="B1986" s="2" t="s">
        <v>4219</v>
      </c>
      <c r="C1986" s="2">
        <v>1.83</v>
      </c>
      <c r="D1986" s="2">
        <v>2.569</v>
      </c>
      <c r="E1986" s="2" t="s">
        <v>220</v>
      </c>
      <c r="F1986" s="2" t="e">
        <f>VLOOKUP(B1986,MSCI中国成分股!A:B,1,)</f>
        <v>#N/A</v>
      </c>
    </row>
    <row r="1987" spans="1:6" ht="20.25" hidden="1" customHeight="1" x14ac:dyDescent="0.15">
      <c r="A1987" s="2" t="s">
        <v>4220</v>
      </c>
      <c r="B1987" s="2" t="s">
        <v>4221</v>
      </c>
      <c r="C1987" s="2">
        <v>1.93</v>
      </c>
      <c r="D1987" s="2">
        <v>13.092700000000001</v>
      </c>
      <c r="E1987" s="2" t="s">
        <v>1691</v>
      </c>
      <c r="F1987" s="2" t="e">
        <f>VLOOKUP(B1987,MSCI中国成分股!A:B,1,)</f>
        <v>#N/A</v>
      </c>
    </row>
    <row r="1988" spans="1:6" ht="20.25" hidden="1" customHeight="1" x14ac:dyDescent="0.15">
      <c r="A1988" s="2" t="s">
        <v>4222</v>
      </c>
      <c r="B1988" s="2" t="s">
        <v>4223</v>
      </c>
      <c r="C1988" s="2">
        <v>1.88</v>
      </c>
      <c r="D1988" s="2">
        <v>15.1892</v>
      </c>
      <c r="E1988" s="2" t="s">
        <v>1390</v>
      </c>
      <c r="F1988" s="2" t="e">
        <f>VLOOKUP(B1988,MSCI中国成分股!A:B,1,)</f>
        <v>#N/A</v>
      </c>
    </row>
    <row r="1989" spans="1:6" ht="20.25" hidden="1" customHeight="1" x14ac:dyDescent="0.15">
      <c r="A1989" s="2" t="s">
        <v>4224</v>
      </c>
      <c r="B1989" s="2" t="s">
        <v>4225</v>
      </c>
      <c r="C1989" s="2">
        <v>1.1200000000000001</v>
      </c>
      <c r="D1989" s="2">
        <v>0.91959999999999997</v>
      </c>
      <c r="E1989" s="2" t="s">
        <v>1061</v>
      </c>
      <c r="F1989" s="2" t="e">
        <f>VLOOKUP(B1989,MSCI中国成分股!A:B,1,)</f>
        <v>#N/A</v>
      </c>
    </row>
    <row r="1990" spans="1:6" ht="20.25" hidden="1" customHeight="1" x14ac:dyDescent="0.15">
      <c r="A1990" s="2" t="s">
        <v>4226</v>
      </c>
      <c r="B1990" s="2" t="s">
        <v>4227</v>
      </c>
      <c r="C1990" s="2">
        <v>1.19</v>
      </c>
      <c r="D1990" s="2">
        <v>0.313</v>
      </c>
      <c r="E1990" s="2" t="s">
        <v>89</v>
      </c>
      <c r="F1990" s="2" t="e">
        <f>VLOOKUP(B1990,MSCI中国成分股!A:B,1,)</f>
        <v>#N/A</v>
      </c>
    </row>
    <row r="1991" spans="1:6" ht="20.25" hidden="1" customHeight="1" x14ac:dyDescent="0.15">
      <c r="A1991" s="2" t="s">
        <v>4228</v>
      </c>
      <c r="B1991" s="2" t="s">
        <v>4229</v>
      </c>
      <c r="C1991" s="2">
        <v>0.31</v>
      </c>
      <c r="D1991" s="2">
        <v>10.777699999999999</v>
      </c>
      <c r="E1991" s="2" t="s">
        <v>371</v>
      </c>
      <c r="F1991" s="2" t="e">
        <f>VLOOKUP(B1991,MSCI中国成分股!A:B,1,)</f>
        <v>#N/A</v>
      </c>
    </row>
    <row r="1992" spans="1:6" ht="20.25" hidden="1" customHeight="1" x14ac:dyDescent="0.15">
      <c r="A1992" s="2" t="s">
        <v>4230</v>
      </c>
      <c r="B1992" s="2" t="s">
        <v>4231</v>
      </c>
      <c r="C1992" s="2">
        <v>2.99</v>
      </c>
      <c r="D1992" s="2">
        <v>4.9166999999999996</v>
      </c>
      <c r="E1992" s="2" t="s">
        <v>1338</v>
      </c>
      <c r="F1992" s="2" t="e">
        <f>VLOOKUP(B1992,MSCI中国成分股!A:B,1,)</f>
        <v>#N/A</v>
      </c>
    </row>
    <row r="1993" spans="1:6" ht="20.25" hidden="1" customHeight="1" x14ac:dyDescent="0.15">
      <c r="A1993" s="2" t="s">
        <v>4232</v>
      </c>
      <c r="B1993" s="2" t="s">
        <v>4233</v>
      </c>
      <c r="C1993" s="2">
        <v>2.8</v>
      </c>
      <c r="D1993" s="2">
        <v>18.136399999999998</v>
      </c>
      <c r="E1993" s="2" t="s">
        <v>1186</v>
      </c>
      <c r="F1993" s="2" t="e">
        <f>VLOOKUP(B1993,MSCI中国成分股!A:B,1,)</f>
        <v>#N/A</v>
      </c>
    </row>
    <row r="1994" spans="1:6" ht="20.25" hidden="1" customHeight="1" x14ac:dyDescent="0.15">
      <c r="A1994" s="2" t="s">
        <v>4234</v>
      </c>
      <c r="B1994" s="2" t="s">
        <v>4235</v>
      </c>
      <c r="C1994" s="2">
        <v>0.15</v>
      </c>
      <c r="D1994" s="2">
        <v>9.343</v>
      </c>
      <c r="E1994" s="2" t="s">
        <v>265</v>
      </c>
      <c r="F1994" s="2" t="e">
        <f>VLOOKUP(B1994,MSCI中国成分股!A:B,1,)</f>
        <v>#N/A</v>
      </c>
    </row>
    <row r="1995" spans="1:6" ht="20.25" hidden="1" customHeight="1" x14ac:dyDescent="0.15">
      <c r="A1995" s="2" t="s">
        <v>4236</v>
      </c>
      <c r="B1995" s="2" t="s">
        <v>4237</v>
      </c>
      <c r="C1995" s="2">
        <v>-0.73</v>
      </c>
      <c r="D1995" s="2">
        <v>26.605399999999999</v>
      </c>
      <c r="E1995" s="2" t="s">
        <v>982</v>
      </c>
      <c r="F1995" s="2" t="e">
        <f>VLOOKUP(B1995,MSCI中国成分股!A:B,1,)</f>
        <v>#N/A</v>
      </c>
    </row>
    <row r="1996" spans="1:6" ht="20.25" hidden="1" customHeight="1" x14ac:dyDescent="0.15">
      <c r="A1996" s="2" t="s">
        <v>4238</v>
      </c>
      <c r="B1996" s="2" t="s">
        <v>4239</v>
      </c>
      <c r="C1996" s="2">
        <v>1.335</v>
      </c>
      <c r="D1996" s="2">
        <v>2.0217999999999998</v>
      </c>
      <c r="E1996" s="2" t="s">
        <v>961</v>
      </c>
      <c r="F1996" s="2" t="e">
        <f>VLOOKUP(B1996,MSCI中国成分股!A:B,1,)</f>
        <v>#N/A</v>
      </c>
    </row>
    <row r="1997" spans="1:6" ht="20.25" hidden="1" customHeight="1" x14ac:dyDescent="0.15">
      <c r="A1997" s="2" t="s">
        <v>4240</v>
      </c>
      <c r="B1997" s="2" t="s">
        <v>4241</v>
      </c>
      <c r="C1997" s="2">
        <v>1.1000000000000001</v>
      </c>
      <c r="D1997" s="2">
        <v>96.463899999999995</v>
      </c>
      <c r="E1997" s="2" t="s">
        <v>638</v>
      </c>
      <c r="F1997" s="2" t="e">
        <f>VLOOKUP(B1997,MSCI中国成分股!A:B,1,)</f>
        <v>#N/A</v>
      </c>
    </row>
    <row r="1998" spans="1:6" ht="20.25" hidden="1" customHeight="1" x14ac:dyDescent="0.15">
      <c r="A1998" s="2" t="s">
        <v>4242</v>
      </c>
      <c r="B1998" s="2" t="s">
        <v>4243</v>
      </c>
      <c r="C1998" s="2">
        <v>1.1100000000000001</v>
      </c>
      <c r="D1998" s="2">
        <v>0.27239999999999998</v>
      </c>
      <c r="E1998" s="2" t="s">
        <v>605</v>
      </c>
      <c r="F1998" s="2" t="e">
        <f>VLOOKUP(B1998,MSCI中国成分股!A:B,1,)</f>
        <v>#N/A</v>
      </c>
    </row>
    <row r="1999" spans="1:6" ht="20.25" hidden="1" customHeight="1" x14ac:dyDescent="0.15">
      <c r="A1999" s="2" t="s">
        <v>4244</v>
      </c>
      <c r="B1999" s="2" t="s">
        <v>4245</v>
      </c>
      <c r="C1999" s="2">
        <v>2.0350000000000001</v>
      </c>
      <c r="D1999" s="2">
        <v>1.5861000000000001</v>
      </c>
      <c r="E1999" s="2" t="s">
        <v>4246</v>
      </c>
      <c r="F1999" s="2" t="e">
        <f>VLOOKUP(B1999,MSCI中国成分股!A:B,1,)</f>
        <v>#N/A</v>
      </c>
    </row>
    <row r="2000" spans="1:6" ht="20.25" hidden="1" customHeight="1" x14ac:dyDescent="0.15">
      <c r="A2000" s="2" t="s">
        <v>4247</v>
      </c>
      <c r="B2000" s="2" t="s">
        <v>4248</v>
      </c>
      <c r="C2000" s="2">
        <v>0.11</v>
      </c>
      <c r="D2000" s="2">
        <v>3.4798</v>
      </c>
      <c r="E2000" s="2" t="s">
        <v>630</v>
      </c>
      <c r="F2000" s="2" t="e">
        <f>VLOOKUP(B2000,MSCI中国成分股!A:B,1,)</f>
        <v>#N/A</v>
      </c>
    </row>
    <row r="2001" spans="1:6" ht="20.25" hidden="1" customHeight="1" x14ac:dyDescent="0.15">
      <c r="A2001" s="2" t="s">
        <v>4249</v>
      </c>
      <c r="B2001" s="2" t="s">
        <v>4250</v>
      </c>
      <c r="C2001" s="2">
        <v>1.23</v>
      </c>
      <c r="D2001" s="2">
        <v>0.66639999999999999</v>
      </c>
      <c r="E2001" s="2" t="s">
        <v>605</v>
      </c>
      <c r="F2001" s="2" t="e">
        <f>VLOOKUP(B2001,MSCI中国成分股!A:B,1,)</f>
        <v>#N/A</v>
      </c>
    </row>
    <row r="2002" spans="1:6" ht="20.25" hidden="1" customHeight="1" x14ac:dyDescent="0.15">
      <c r="A2002" s="2" t="s">
        <v>4251</v>
      </c>
      <c r="B2002" s="2" t="s">
        <v>4252</v>
      </c>
      <c r="C2002" s="2">
        <v>0.11</v>
      </c>
      <c r="D2002" s="2">
        <v>0.32679999999999998</v>
      </c>
      <c r="E2002" s="2" t="s">
        <v>704</v>
      </c>
      <c r="F2002" s="2" t="e">
        <f>VLOOKUP(B2002,MSCI中国成分股!A:B,1,)</f>
        <v>#N/A</v>
      </c>
    </row>
    <row r="2003" spans="1:6" ht="20.25" hidden="1" customHeight="1" x14ac:dyDescent="0.15">
      <c r="A2003" s="2" t="s">
        <v>4253</v>
      </c>
      <c r="B2003" s="2" t="s">
        <v>4254</v>
      </c>
      <c r="C2003" s="2">
        <v>0.23</v>
      </c>
      <c r="D2003" s="2">
        <v>5.8281999999999998</v>
      </c>
      <c r="E2003" s="2" t="s">
        <v>359</v>
      </c>
      <c r="F2003" s="2" t="e">
        <f>VLOOKUP(B2003,MSCI中国成分股!A:B,1,)</f>
        <v>#N/A</v>
      </c>
    </row>
    <row r="2004" spans="1:6" ht="20.25" hidden="1" customHeight="1" x14ac:dyDescent="0.15">
      <c r="A2004" s="2" t="s">
        <v>4255</v>
      </c>
      <c r="B2004" s="2" t="s">
        <v>4256</v>
      </c>
      <c r="C2004" s="2">
        <v>0.67</v>
      </c>
      <c r="D2004" s="2">
        <v>7.431</v>
      </c>
      <c r="E2004" s="2" t="s">
        <v>2678</v>
      </c>
      <c r="F2004" s="2" t="e">
        <f>VLOOKUP(B2004,MSCI中国成分股!A:B,1,)</f>
        <v>#N/A</v>
      </c>
    </row>
    <row r="2005" spans="1:6" ht="20.25" hidden="1" customHeight="1" x14ac:dyDescent="0.15">
      <c r="A2005" s="2" t="s">
        <v>4257</v>
      </c>
      <c r="B2005" s="2" t="s">
        <v>4258</v>
      </c>
      <c r="C2005" s="2">
        <v>4.37</v>
      </c>
      <c r="D2005" s="2">
        <v>5.3127000000000004</v>
      </c>
      <c r="E2005" s="2" t="s">
        <v>1436</v>
      </c>
      <c r="F2005" s="2" t="e">
        <f>VLOOKUP(B2005,MSCI中国成分股!A:B,1,)</f>
        <v>#N/A</v>
      </c>
    </row>
    <row r="2006" spans="1:6" ht="20.25" hidden="1" customHeight="1" x14ac:dyDescent="0.15">
      <c r="A2006" s="2" t="s">
        <v>4259</v>
      </c>
      <c r="B2006" s="2" t="s">
        <v>4260</v>
      </c>
      <c r="C2006" s="2">
        <v>1.18</v>
      </c>
      <c r="D2006" s="2">
        <v>1.8474999999999999</v>
      </c>
      <c r="E2006" s="2" t="s">
        <v>4261</v>
      </c>
      <c r="F2006" s="2" t="e">
        <f>VLOOKUP(B2006,MSCI中国成分股!A:B,1,)</f>
        <v>#N/A</v>
      </c>
    </row>
    <row r="2007" spans="1:6" ht="20.25" hidden="1" customHeight="1" x14ac:dyDescent="0.15">
      <c r="A2007" s="2" t="s">
        <v>4262</v>
      </c>
      <c r="B2007" s="2" t="s">
        <v>4263</v>
      </c>
      <c r="C2007" s="2">
        <v>1.68</v>
      </c>
      <c r="D2007" s="2">
        <v>39.740400000000001</v>
      </c>
      <c r="E2007" s="2" t="s">
        <v>299</v>
      </c>
      <c r="F2007" s="2" t="e">
        <f>VLOOKUP(B2007,MSCI中国成分股!A:B,1,)</f>
        <v>#N/A</v>
      </c>
    </row>
    <row r="2008" spans="1:6" ht="20.25" hidden="1" customHeight="1" x14ac:dyDescent="0.15">
      <c r="A2008" s="2" t="s">
        <v>4264</v>
      </c>
      <c r="B2008" s="2" t="s">
        <v>4265</v>
      </c>
      <c r="C2008" s="2">
        <v>1.41</v>
      </c>
      <c r="D2008" s="2">
        <v>0.62490000000000001</v>
      </c>
      <c r="E2008" s="2" t="s">
        <v>123</v>
      </c>
      <c r="F2008" s="2" t="e">
        <f>VLOOKUP(B2008,MSCI中国成分股!A:B,1,)</f>
        <v>#N/A</v>
      </c>
    </row>
    <row r="2009" spans="1:6" ht="20.25" hidden="1" customHeight="1" x14ac:dyDescent="0.15">
      <c r="A2009" s="2" t="s">
        <v>4266</v>
      </c>
      <c r="B2009" s="2" t="s">
        <v>4267</v>
      </c>
      <c r="C2009" s="2">
        <v>0.5</v>
      </c>
      <c r="D2009" s="2">
        <v>297.26220000000001</v>
      </c>
      <c r="E2009" s="2" t="s">
        <v>157</v>
      </c>
      <c r="F2009" s="2" t="e">
        <f>VLOOKUP(B2009,MSCI中国成分股!A:B,1,)</f>
        <v>#N/A</v>
      </c>
    </row>
    <row r="2010" spans="1:6" ht="20.25" hidden="1" customHeight="1" x14ac:dyDescent="0.15">
      <c r="A2010" s="2" t="s">
        <v>4268</v>
      </c>
      <c r="B2010" s="2" t="s">
        <v>4269</v>
      </c>
      <c r="C2010" s="2">
        <v>0.68</v>
      </c>
      <c r="D2010" s="2">
        <v>0.63680000000000003</v>
      </c>
      <c r="E2010" s="2" t="s">
        <v>44</v>
      </c>
      <c r="F2010" s="2" t="e">
        <f>VLOOKUP(B2010,MSCI中国成分股!A:B,1,)</f>
        <v>#N/A</v>
      </c>
    </row>
    <row r="2011" spans="1:6" ht="20.25" hidden="1" customHeight="1" x14ac:dyDescent="0.15">
      <c r="A2011" s="2" t="s">
        <v>4270</v>
      </c>
      <c r="B2011" s="2" t="s">
        <v>4271</v>
      </c>
      <c r="C2011" s="2">
        <v>0.2</v>
      </c>
      <c r="D2011" s="2">
        <v>0.50819999999999999</v>
      </c>
      <c r="E2011" s="2" t="s">
        <v>220</v>
      </c>
      <c r="F2011" s="2" t="e">
        <f>VLOOKUP(B2011,MSCI中国成分股!A:B,1,)</f>
        <v>#N/A</v>
      </c>
    </row>
    <row r="2012" spans="1:6" ht="20.25" hidden="1" customHeight="1" x14ac:dyDescent="0.15">
      <c r="A2012" s="2" t="s">
        <v>4272</v>
      </c>
      <c r="B2012" s="2" t="s">
        <v>4273</v>
      </c>
      <c r="C2012" s="2">
        <v>0.5</v>
      </c>
      <c r="D2012" s="2">
        <v>2.8176999999999999</v>
      </c>
      <c r="E2012" s="2" t="s">
        <v>220</v>
      </c>
      <c r="F2012" s="2" t="e">
        <f>VLOOKUP(B2012,MSCI中国成分股!A:B,1,)</f>
        <v>#N/A</v>
      </c>
    </row>
    <row r="2013" spans="1:6" ht="20.25" hidden="1" customHeight="1" x14ac:dyDescent="0.15">
      <c r="A2013" s="2" t="s">
        <v>4274</v>
      </c>
      <c r="B2013" s="2" t="s">
        <v>4275</v>
      </c>
      <c r="C2013" s="2">
        <v>1.73</v>
      </c>
      <c r="D2013" s="2">
        <v>1.4952000000000001</v>
      </c>
      <c r="E2013" s="2" t="s">
        <v>704</v>
      </c>
      <c r="F2013" s="2" t="e">
        <f>VLOOKUP(B2013,MSCI中国成分股!A:B,1,)</f>
        <v>#N/A</v>
      </c>
    </row>
    <row r="2014" spans="1:6" ht="20.25" hidden="1" customHeight="1" x14ac:dyDescent="0.15">
      <c r="A2014" s="2" t="s">
        <v>4276</v>
      </c>
      <c r="B2014" s="2" t="s">
        <v>4277</v>
      </c>
      <c r="C2014" s="2">
        <v>0.42</v>
      </c>
      <c r="D2014" s="2">
        <v>7.3322000000000003</v>
      </c>
      <c r="E2014" s="2" t="s">
        <v>667</v>
      </c>
      <c r="F2014" s="2" t="e">
        <f>VLOOKUP(B2014,MSCI中国成分股!A:B,1,)</f>
        <v>#N/A</v>
      </c>
    </row>
    <row r="2015" spans="1:6" ht="20.25" hidden="1" customHeight="1" x14ac:dyDescent="0.15">
      <c r="A2015" s="2" t="s">
        <v>4278</v>
      </c>
      <c r="B2015" s="2" t="s">
        <v>4279</v>
      </c>
      <c r="C2015" s="2">
        <v>-1.37</v>
      </c>
      <c r="D2015" s="2">
        <v>20.642700000000001</v>
      </c>
      <c r="E2015" s="2" t="s">
        <v>3053</v>
      </c>
      <c r="F2015" s="2" t="e">
        <f>VLOOKUP(B2015,MSCI中国成分股!A:B,1,)</f>
        <v>#N/A</v>
      </c>
    </row>
    <row r="2016" spans="1:6" ht="20.25" hidden="1" customHeight="1" x14ac:dyDescent="0.15">
      <c r="A2016" s="2" t="s">
        <v>4280</v>
      </c>
      <c r="B2016" s="2" t="s">
        <v>4281</v>
      </c>
      <c r="C2016" s="2">
        <v>1.54</v>
      </c>
      <c r="D2016" s="2">
        <v>0.4415</v>
      </c>
      <c r="E2016" s="2" t="s">
        <v>818</v>
      </c>
      <c r="F2016" s="2" t="e">
        <f>VLOOKUP(B2016,MSCI中国成分股!A:B,1,)</f>
        <v>#N/A</v>
      </c>
    </row>
    <row r="2017" spans="1:6" ht="20.25" hidden="1" customHeight="1" x14ac:dyDescent="0.15">
      <c r="A2017" s="2" t="s">
        <v>4282</v>
      </c>
      <c r="B2017" s="2" t="s">
        <v>4283</v>
      </c>
      <c r="C2017" s="2">
        <v>1.06</v>
      </c>
      <c r="D2017" s="2">
        <v>9.1876999999999995</v>
      </c>
      <c r="E2017" s="2" t="s">
        <v>1515</v>
      </c>
      <c r="F2017" s="2" t="e">
        <f>VLOOKUP(B2017,MSCI中国成分股!A:B,1,)</f>
        <v>#N/A</v>
      </c>
    </row>
    <row r="2018" spans="1:6" ht="20.25" hidden="1" customHeight="1" x14ac:dyDescent="0.15">
      <c r="A2018" s="2" t="s">
        <v>4284</v>
      </c>
      <c r="B2018" s="2" t="s">
        <v>4285</v>
      </c>
      <c r="C2018" s="2">
        <v>0.56000000000000005</v>
      </c>
      <c r="D2018" s="2">
        <v>8.3079000000000001</v>
      </c>
      <c r="E2018" s="2" t="s">
        <v>799</v>
      </c>
      <c r="F2018" s="2" t="e">
        <f>VLOOKUP(B2018,MSCI中国成分股!A:B,1,)</f>
        <v>#N/A</v>
      </c>
    </row>
    <row r="2019" spans="1:6" ht="20.25" hidden="1" customHeight="1" x14ac:dyDescent="0.15">
      <c r="A2019" s="2" t="s">
        <v>4286</v>
      </c>
      <c r="B2019" s="2" t="s">
        <v>4287</v>
      </c>
      <c r="C2019" s="2">
        <v>2.355</v>
      </c>
      <c r="D2019" s="2">
        <v>5.6128</v>
      </c>
      <c r="E2019" s="2" t="s">
        <v>2063</v>
      </c>
      <c r="F2019" s="2" t="e">
        <f>VLOOKUP(B2019,MSCI中国成分股!A:B,1,)</f>
        <v>#N/A</v>
      </c>
    </row>
    <row r="2020" spans="1:6" ht="20.25" hidden="1" customHeight="1" x14ac:dyDescent="0.15">
      <c r="A2020" s="2" t="s">
        <v>4288</v>
      </c>
      <c r="B2020" s="2" t="s">
        <v>4289</v>
      </c>
      <c r="C2020" s="2">
        <v>1.9650000000000001</v>
      </c>
      <c r="D2020" s="2">
        <v>0.90349999999999997</v>
      </c>
      <c r="E2020" s="2" t="s">
        <v>140</v>
      </c>
      <c r="F2020" s="2" t="e">
        <f>VLOOKUP(B2020,MSCI中国成分股!A:B,1,)</f>
        <v>#N/A</v>
      </c>
    </row>
    <row r="2021" spans="1:6" ht="20.25" hidden="1" customHeight="1" x14ac:dyDescent="0.15">
      <c r="A2021" s="2" t="s">
        <v>4290</v>
      </c>
      <c r="B2021" s="2" t="s">
        <v>4291</v>
      </c>
      <c r="C2021" s="2">
        <v>1.2</v>
      </c>
      <c r="D2021" s="2">
        <v>9.7773000000000003</v>
      </c>
      <c r="E2021" s="2" t="s">
        <v>638</v>
      </c>
      <c r="F2021" s="2" t="e">
        <f>VLOOKUP(B2021,MSCI中国成分股!A:B,1,)</f>
        <v>#N/A</v>
      </c>
    </row>
    <row r="2022" spans="1:6" ht="20.25" hidden="1" customHeight="1" x14ac:dyDescent="0.15">
      <c r="A2022" s="2" t="s">
        <v>4292</v>
      </c>
      <c r="B2022" s="2" t="s">
        <v>4293</v>
      </c>
      <c r="C2022" s="2">
        <v>0.25</v>
      </c>
      <c r="D2022" s="2">
        <v>150.92939999999999</v>
      </c>
      <c r="E2022" s="2" t="s">
        <v>44</v>
      </c>
      <c r="F2022" s="2" t="e">
        <f>VLOOKUP(B2022,MSCI中国成分股!A:B,1,)</f>
        <v>#N/A</v>
      </c>
    </row>
    <row r="2023" spans="1:6" ht="20.25" hidden="1" customHeight="1" x14ac:dyDescent="0.15">
      <c r="A2023" s="2" t="s">
        <v>4294</v>
      </c>
      <c r="B2023" s="2" t="s">
        <v>4295</v>
      </c>
      <c r="C2023" s="2">
        <v>1.05</v>
      </c>
      <c r="D2023" s="2">
        <v>0.53080000000000005</v>
      </c>
      <c r="E2023" s="2" t="s">
        <v>310</v>
      </c>
      <c r="F2023" s="2" t="e">
        <f>VLOOKUP(B2023,MSCI中国成分股!A:B,1,)</f>
        <v>#N/A</v>
      </c>
    </row>
    <row r="2024" spans="1:6" ht="20.25" hidden="1" customHeight="1" x14ac:dyDescent="0.15">
      <c r="A2024" s="2" t="s">
        <v>4296</v>
      </c>
      <c r="B2024" s="2" t="s">
        <v>4297</v>
      </c>
      <c r="C2024" s="2">
        <v>0.42</v>
      </c>
      <c r="D2024" s="2">
        <v>15.076000000000001</v>
      </c>
      <c r="E2024" s="2" t="s">
        <v>787</v>
      </c>
      <c r="F2024" s="2" t="e">
        <f>VLOOKUP(B2024,MSCI中国成分股!A:B,1,)</f>
        <v>#N/A</v>
      </c>
    </row>
    <row r="2025" spans="1:6" ht="20.25" hidden="1" customHeight="1" x14ac:dyDescent="0.15">
      <c r="A2025" s="2" t="s">
        <v>4298</v>
      </c>
      <c r="B2025" s="2" t="s">
        <v>4299</v>
      </c>
      <c r="C2025" s="2">
        <v>1.02</v>
      </c>
      <c r="D2025" s="2">
        <v>0.85619999999999996</v>
      </c>
      <c r="E2025" s="2" t="s">
        <v>52</v>
      </c>
      <c r="F2025" s="2" t="e">
        <f>VLOOKUP(B2025,MSCI中国成分股!A:B,1,)</f>
        <v>#N/A</v>
      </c>
    </row>
    <row r="2026" spans="1:6" ht="20.25" hidden="1" customHeight="1" x14ac:dyDescent="0.15">
      <c r="A2026" s="2" t="s">
        <v>4300</v>
      </c>
      <c r="B2026" s="2" t="s">
        <v>4301</v>
      </c>
      <c r="C2026" s="2">
        <v>6.09</v>
      </c>
      <c r="D2026" s="2">
        <v>12.1995</v>
      </c>
      <c r="E2026" s="2" t="s">
        <v>1275</v>
      </c>
      <c r="F2026" s="2" t="e">
        <f>VLOOKUP(B2026,MSCI中国成分股!A:B,1,)</f>
        <v>#N/A</v>
      </c>
    </row>
    <row r="2027" spans="1:6" ht="20.25" hidden="1" customHeight="1" x14ac:dyDescent="0.15">
      <c r="A2027" s="2" t="s">
        <v>4302</v>
      </c>
      <c r="B2027" s="2" t="s">
        <v>4303</v>
      </c>
      <c r="C2027" s="2">
        <v>1</v>
      </c>
      <c r="D2027" s="2">
        <v>3.1013999999999999</v>
      </c>
      <c r="E2027" s="2" t="s">
        <v>1243</v>
      </c>
      <c r="F2027" s="2" t="e">
        <f>VLOOKUP(B2027,MSCI中国成分股!A:B,1,)</f>
        <v>#N/A</v>
      </c>
    </row>
    <row r="2028" spans="1:6" ht="20.25" hidden="1" customHeight="1" x14ac:dyDescent="0.15">
      <c r="A2028" s="2" t="s">
        <v>4304</v>
      </c>
      <c r="B2028" s="2" t="s">
        <v>4305</v>
      </c>
      <c r="C2028" s="2">
        <v>2.41</v>
      </c>
      <c r="D2028" s="2">
        <v>0.26840000000000003</v>
      </c>
      <c r="E2028" s="2" t="s">
        <v>418</v>
      </c>
      <c r="F2028" s="2" t="e">
        <f>VLOOKUP(B2028,MSCI中国成分股!A:B,1,)</f>
        <v>#N/A</v>
      </c>
    </row>
    <row r="2029" spans="1:6" ht="20.25" hidden="1" customHeight="1" x14ac:dyDescent="0.15">
      <c r="A2029" s="2" t="s">
        <v>4306</v>
      </c>
      <c r="B2029" s="2" t="s">
        <v>4307</v>
      </c>
      <c r="C2029" s="2">
        <v>1.43</v>
      </c>
      <c r="D2029" s="2">
        <v>3.2841</v>
      </c>
      <c r="E2029" s="2" t="s">
        <v>784</v>
      </c>
      <c r="F2029" s="2" t="e">
        <f>VLOOKUP(B2029,MSCI中国成分股!A:B,1,)</f>
        <v>#N/A</v>
      </c>
    </row>
    <row r="2030" spans="1:6" ht="20.25" hidden="1" customHeight="1" x14ac:dyDescent="0.15">
      <c r="A2030" s="2" t="s">
        <v>4308</v>
      </c>
      <c r="B2030" s="2" t="s">
        <v>4309</v>
      </c>
      <c r="C2030" s="2">
        <v>0.59</v>
      </c>
      <c r="D2030" s="2">
        <v>0.6784</v>
      </c>
      <c r="E2030" s="2" t="s">
        <v>44</v>
      </c>
      <c r="F2030" s="2" t="e">
        <f>VLOOKUP(B2030,MSCI中国成分股!A:B,1,)</f>
        <v>#N/A</v>
      </c>
    </row>
    <row r="2031" spans="1:6" ht="20.25" hidden="1" customHeight="1" x14ac:dyDescent="0.15">
      <c r="A2031" s="2" t="s">
        <v>4310</v>
      </c>
      <c r="B2031" s="2" t="s">
        <v>4311</v>
      </c>
      <c r="C2031" s="2">
        <v>0.68</v>
      </c>
      <c r="D2031" s="2">
        <v>0.43469999999999998</v>
      </c>
      <c r="E2031" s="2" t="s">
        <v>421</v>
      </c>
      <c r="F2031" s="2" t="e">
        <f>VLOOKUP(B2031,MSCI中国成分股!A:B,1,)</f>
        <v>#N/A</v>
      </c>
    </row>
    <row r="2032" spans="1:6" ht="20.25" hidden="1" customHeight="1" x14ac:dyDescent="0.15">
      <c r="A2032" s="2" t="s">
        <v>4312</v>
      </c>
      <c r="B2032" s="2" t="s">
        <v>4313</v>
      </c>
      <c r="C2032" s="2">
        <v>0.85499999999999998</v>
      </c>
      <c r="D2032" s="2">
        <v>2.5859000000000001</v>
      </c>
      <c r="E2032" s="2" t="s">
        <v>1243</v>
      </c>
      <c r="F2032" s="2" t="e">
        <f>VLOOKUP(B2032,MSCI中国成分股!A:B,1,)</f>
        <v>#N/A</v>
      </c>
    </row>
    <row r="2033" spans="1:6" ht="20.25" hidden="1" customHeight="1" x14ac:dyDescent="0.15">
      <c r="A2033" s="2" t="s">
        <v>4314</v>
      </c>
      <c r="B2033" s="2" t="s">
        <v>4315</v>
      </c>
      <c r="C2033" s="2">
        <v>0.81</v>
      </c>
      <c r="D2033" s="2">
        <v>3.9887000000000001</v>
      </c>
      <c r="E2033" s="2" t="s">
        <v>3048</v>
      </c>
      <c r="F2033" s="2" t="e">
        <f>VLOOKUP(B2033,MSCI中国成分股!A:B,1,)</f>
        <v>#N/A</v>
      </c>
    </row>
    <row r="2034" spans="1:6" ht="20.25" hidden="1" customHeight="1" x14ac:dyDescent="0.15">
      <c r="A2034" s="2" t="s">
        <v>4316</v>
      </c>
      <c r="B2034" s="2" t="s">
        <v>4317</v>
      </c>
      <c r="C2034" s="2">
        <v>2.38</v>
      </c>
      <c r="D2034" s="2">
        <v>9.1653000000000002</v>
      </c>
      <c r="E2034" s="2" t="s">
        <v>220</v>
      </c>
      <c r="F2034" s="2" t="e">
        <f>VLOOKUP(B2034,MSCI中国成分股!A:B,1,)</f>
        <v>#N/A</v>
      </c>
    </row>
    <row r="2035" spans="1:6" ht="20.25" hidden="1" customHeight="1" x14ac:dyDescent="0.15">
      <c r="A2035" s="2" t="s">
        <v>4318</v>
      </c>
      <c r="B2035" s="2" t="s">
        <v>4319</v>
      </c>
      <c r="C2035" s="2">
        <v>0.64</v>
      </c>
      <c r="D2035" s="2">
        <v>44.677700000000002</v>
      </c>
      <c r="E2035" s="2" t="s">
        <v>1712</v>
      </c>
      <c r="F2035" s="2" t="e">
        <f>VLOOKUP(B2035,MSCI中国成分股!A:B,1,)</f>
        <v>#N/A</v>
      </c>
    </row>
    <row r="2036" spans="1:6" ht="20.25" hidden="1" customHeight="1" x14ac:dyDescent="0.15">
      <c r="A2036" s="2" t="s">
        <v>4320</v>
      </c>
      <c r="B2036" s="2" t="s">
        <v>4321</v>
      </c>
      <c r="C2036" s="2">
        <v>0.87</v>
      </c>
      <c r="D2036" s="2">
        <v>10.124499999999999</v>
      </c>
      <c r="E2036" s="2" t="s">
        <v>1757</v>
      </c>
      <c r="F2036" s="2" t="e">
        <f>VLOOKUP(B2036,MSCI中国成分股!A:B,1,)</f>
        <v>#N/A</v>
      </c>
    </row>
    <row r="2037" spans="1:6" ht="20.25" hidden="1" customHeight="1" x14ac:dyDescent="0.15">
      <c r="A2037" s="2" t="s">
        <v>4322</v>
      </c>
      <c r="B2037" s="2" t="s">
        <v>4323</v>
      </c>
      <c r="C2037" s="2">
        <v>1.71</v>
      </c>
      <c r="D2037" s="2">
        <v>2.8662999999999998</v>
      </c>
      <c r="E2037" s="2" t="s">
        <v>744</v>
      </c>
      <c r="F2037" s="2" t="e">
        <f>VLOOKUP(B2037,MSCI中国成分股!A:B,1,)</f>
        <v>#N/A</v>
      </c>
    </row>
    <row r="2038" spans="1:6" ht="20.25" hidden="1" customHeight="1" x14ac:dyDescent="0.15">
      <c r="A2038" s="2" t="s">
        <v>4324</v>
      </c>
      <c r="B2038" s="2" t="s">
        <v>4325</v>
      </c>
      <c r="C2038" s="2">
        <v>0.41</v>
      </c>
      <c r="D2038" s="2">
        <v>4.7751000000000001</v>
      </c>
      <c r="E2038" s="2" t="s">
        <v>149</v>
      </c>
      <c r="F2038" s="2" t="e">
        <f>VLOOKUP(B2038,MSCI中国成分股!A:B,1,)</f>
        <v>#N/A</v>
      </c>
    </row>
    <row r="2039" spans="1:6" ht="20.25" hidden="1" customHeight="1" x14ac:dyDescent="0.15">
      <c r="A2039" s="2" t="s">
        <v>4326</v>
      </c>
      <c r="B2039" s="2" t="s">
        <v>4327</v>
      </c>
      <c r="C2039" s="2">
        <v>0.67</v>
      </c>
      <c r="D2039" s="2">
        <v>17.396999999999998</v>
      </c>
      <c r="E2039" s="2" t="s">
        <v>371</v>
      </c>
      <c r="F2039" s="2" t="e">
        <f>VLOOKUP(B2039,MSCI中国成分股!A:B,1,)</f>
        <v>#N/A</v>
      </c>
    </row>
    <row r="2040" spans="1:6" ht="20.25" hidden="1" customHeight="1" x14ac:dyDescent="0.15">
      <c r="A2040" s="2" t="s">
        <v>4328</v>
      </c>
      <c r="B2040" s="2" t="s">
        <v>4329</v>
      </c>
      <c r="C2040" s="2">
        <v>1.53</v>
      </c>
      <c r="D2040" s="2">
        <v>1.2642</v>
      </c>
      <c r="E2040" s="2" t="s">
        <v>52</v>
      </c>
      <c r="F2040" s="2" t="e">
        <f>VLOOKUP(B2040,MSCI中国成分股!A:B,1,)</f>
        <v>#N/A</v>
      </c>
    </row>
    <row r="2041" spans="1:6" ht="20.25" hidden="1" customHeight="1" x14ac:dyDescent="0.15">
      <c r="A2041" s="2" t="s">
        <v>4330</v>
      </c>
      <c r="B2041" s="2" t="s">
        <v>4331</v>
      </c>
      <c r="C2041" s="2">
        <v>1.73</v>
      </c>
      <c r="D2041" s="2">
        <v>0.3609</v>
      </c>
      <c r="E2041" s="2" t="s">
        <v>201</v>
      </c>
      <c r="F2041" s="2" t="e">
        <f>VLOOKUP(B2041,MSCI中国成分股!A:B,1,)</f>
        <v>#N/A</v>
      </c>
    </row>
    <row r="2042" spans="1:6" ht="20.25" hidden="1" customHeight="1" x14ac:dyDescent="0.15">
      <c r="A2042" s="2" t="s">
        <v>4332</v>
      </c>
      <c r="B2042" s="2" t="s">
        <v>4333</v>
      </c>
      <c r="C2042" s="2">
        <v>1.0900000000000001</v>
      </c>
      <c r="D2042" s="2">
        <v>0.8679</v>
      </c>
      <c r="E2042" s="2" t="s">
        <v>630</v>
      </c>
      <c r="F2042" s="2" t="e">
        <f>VLOOKUP(B2042,MSCI中国成分股!A:B,1,)</f>
        <v>#N/A</v>
      </c>
    </row>
    <row r="2043" spans="1:6" ht="20.25" hidden="1" customHeight="1" x14ac:dyDescent="0.15">
      <c r="A2043" s="2" t="s">
        <v>4334</v>
      </c>
      <c r="B2043" s="2" t="s">
        <v>4335</v>
      </c>
      <c r="C2043" s="2">
        <v>0.74</v>
      </c>
      <c r="D2043" s="2">
        <v>21.057400000000001</v>
      </c>
      <c r="E2043" s="2" t="s">
        <v>982</v>
      </c>
      <c r="F2043" s="2" t="e">
        <f>VLOOKUP(B2043,MSCI中国成分股!A:B,1,)</f>
        <v>#N/A</v>
      </c>
    </row>
    <row r="2044" spans="1:6" ht="20.25" hidden="1" customHeight="1" x14ac:dyDescent="0.15">
      <c r="A2044" s="2" t="s">
        <v>4336</v>
      </c>
      <c r="B2044" s="2" t="s">
        <v>4337</v>
      </c>
      <c r="C2044" s="2">
        <v>4.3949999999999996</v>
      </c>
      <c r="D2044" s="2">
        <v>4.4335000000000004</v>
      </c>
      <c r="E2044" s="2" t="s">
        <v>657</v>
      </c>
      <c r="F2044" s="2" t="e">
        <f>VLOOKUP(B2044,MSCI中国成分股!A:B,1,)</f>
        <v>#N/A</v>
      </c>
    </row>
    <row r="2045" spans="1:6" ht="20.25" hidden="1" customHeight="1" x14ac:dyDescent="0.15">
      <c r="A2045" s="2" t="s">
        <v>4338</v>
      </c>
      <c r="B2045" s="2" t="s">
        <v>4339</v>
      </c>
      <c r="C2045" s="2">
        <v>1.28</v>
      </c>
      <c r="D2045" s="2">
        <v>0.1588</v>
      </c>
      <c r="E2045" s="2" t="s">
        <v>391</v>
      </c>
      <c r="F2045" s="2" t="e">
        <f>VLOOKUP(B2045,MSCI中国成分股!A:B,1,)</f>
        <v>#N/A</v>
      </c>
    </row>
    <row r="2046" spans="1:6" ht="20.25" hidden="1" customHeight="1" x14ac:dyDescent="0.15">
      <c r="A2046" s="2" t="s">
        <v>4340</v>
      </c>
      <c r="B2046" s="2" t="s">
        <v>4341</v>
      </c>
      <c r="C2046" s="2">
        <v>0.03</v>
      </c>
      <c r="D2046" s="2">
        <v>10.9602</v>
      </c>
      <c r="E2046" s="2" t="s">
        <v>265</v>
      </c>
      <c r="F2046" s="2" t="e">
        <f>VLOOKUP(B2046,MSCI中国成分股!A:B,1,)</f>
        <v>#N/A</v>
      </c>
    </row>
    <row r="2047" spans="1:6" ht="20.25" hidden="1" customHeight="1" x14ac:dyDescent="0.15">
      <c r="A2047" s="2" t="s">
        <v>4342</v>
      </c>
      <c r="B2047" s="2" t="s">
        <v>4343</v>
      </c>
      <c r="C2047" s="2">
        <v>1.54</v>
      </c>
      <c r="D2047" s="2">
        <v>4.0008999999999997</v>
      </c>
      <c r="E2047" s="2" t="s">
        <v>201</v>
      </c>
      <c r="F2047" s="2" t="e">
        <f>VLOOKUP(B2047,MSCI中国成分股!A:B,1,)</f>
        <v>#N/A</v>
      </c>
    </row>
    <row r="2048" spans="1:6" ht="20.25" hidden="1" customHeight="1" x14ac:dyDescent="0.15">
      <c r="A2048" s="2" t="s">
        <v>4344</v>
      </c>
      <c r="B2048" s="2" t="s">
        <v>4345</v>
      </c>
      <c r="C2048" s="2">
        <v>0.09</v>
      </c>
      <c r="D2048" s="2">
        <v>12.3598</v>
      </c>
      <c r="E2048" s="2" t="s">
        <v>1034</v>
      </c>
      <c r="F2048" s="2" t="e">
        <f>VLOOKUP(B2048,MSCI中国成分股!A:B,1,)</f>
        <v>#N/A</v>
      </c>
    </row>
    <row r="2049" spans="1:6" ht="20.25" hidden="1" customHeight="1" x14ac:dyDescent="0.15">
      <c r="A2049" s="2" t="s">
        <v>4346</v>
      </c>
      <c r="B2049" s="2" t="s">
        <v>4347</v>
      </c>
      <c r="C2049" s="2">
        <v>1.59</v>
      </c>
      <c r="D2049" s="2">
        <v>1.0727</v>
      </c>
      <c r="E2049" s="2" t="s">
        <v>1338</v>
      </c>
      <c r="F2049" s="2" t="e">
        <f>VLOOKUP(B2049,MSCI中国成分股!A:B,1,)</f>
        <v>#N/A</v>
      </c>
    </row>
    <row r="2050" spans="1:6" ht="20.25" hidden="1" customHeight="1" x14ac:dyDescent="0.15">
      <c r="A2050" s="2" t="s">
        <v>4348</v>
      </c>
      <c r="B2050" s="2" t="s">
        <v>4349</v>
      </c>
      <c r="C2050" s="2">
        <v>2.3199999999999998</v>
      </c>
      <c r="D2050" s="2">
        <v>4.2968999999999999</v>
      </c>
      <c r="E2050" s="2" t="s">
        <v>1528</v>
      </c>
      <c r="F2050" s="2" t="e">
        <f>VLOOKUP(B2050,MSCI中国成分股!A:B,1,)</f>
        <v>#N/A</v>
      </c>
    </row>
    <row r="2051" spans="1:6" ht="20.25" hidden="1" customHeight="1" x14ac:dyDescent="0.15">
      <c r="A2051" s="2" t="s">
        <v>4350</v>
      </c>
      <c r="B2051" s="2" t="s">
        <v>4351</v>
      </c>
      <c r="C2051" s="2">
        <v>-0.19</v>
      </c>
      <c r="D2051" s="2">
        <v>10.6312</v>
      </c>
      <c r="E2051" s="2" t="s">
        <v>265</v>
      </c>
      <c r="F2051" s="2" t="e">
        <f>VLOOKUP(B2051,MSCI中国成分股!A:B,1,)</f>
        <v>#N/A</v>
      </c>
    </row>
    <row r="2052" spans="1:6" ht="20.25" hidden="1" customHeight="1" x14ac:dyDescent="0.15">
      <c r="A2052" s="2" t="s">
        <v>4352</v>
      </c>
      <c r="B2052" s="2" t="s">
        <v>4353</v>
      </c>
      <c r="C2052" s="2">
        <v>0.27</v>
      </c>
      <c r="D2052" s="2">
        <v>1.5283</v>
      </c>
      <c r="E2052" s="2" t="s">
        <v>134</v>
      </c>
      <c r="F2052" s="2" t="e">
        <f>VLOOKUP(B2052,MSCI中国成分股!A:B,1,)</f>
        <v>#N/A</v>
      </c>
    </row>
    <row r="2053" spans="1:6" ht="20.25" hidden="1" customHeight="1" x14ac:dyDescent="0.15">
      <c r="A2053" s="2" t="s">
        <v>4354</v>
      </c>
      <c r="B2053" s="2" t="s">
        <v>4355</v>
      </c>
      <c r="C2053" s="2">
        <v>4.5999999999999996</v>
      </c>
      <c r="D2053" s="2">
        <v>6.4175000000000004</v>
      </c>
      <c r="E2053" s="2" t="s">
        <v>827</v>
      </c>
      <c r="F2053" s="2" t="e">
        <f>VLOOKUP(B2053,MSCI中国成分股!A:B,1,)</f>
        <v>#N/A</v>
      </c>
    </row>
    <row r="2054" spans="1:6" ht="20.25" hidden="1" customHeight="1" x14ac:dyDescent="0.15">
      <c r="A2054" s="2" t="s">
        <v>4356</v>
      </c>
      <c r="B2054" s="2" t="s">
        <v>4357</v>
      </c>
      <c r="C2054" s="2">
        <v>1.1499999999999999</v>
      </c>
      <c r="D2054" s="2">
        <v>1.9514</v>
      </c>
      <c r="E2054" s="2" t="s">
        <v>35</v>
      </c>
      <c r="F2054" s="2" t="e">
        <f>VLOOKUP(B2054,MSCI中国成分股!A:B,1,)</f>
        <v>#N/A</v>
      </c>
    </row>
    <row r="2055" spans="1:6" ht="20.25" hidden="1" customHeight="1" x14ac:dyDescent="0.15">
      <c r="A2055" s="2" t="s">
        <v>4358</v>
      </c>
      <c r="B2055" s="2" t="s">
        <v>4359</v>
      </c>
      <c r="C2055" s="2">
        <v>-1.83</v>
      </c>
      <c r="D2055" s="2">
        <v>20.770199999999999</v>
      </c>
      <c r="E2055" s="2" t="s">
        <v>385</v>
      </c>
      <c r="F2055" s="2" t="e">
        <f>VLOOKUP(B2055,MSCI中国成分股!A:B,1,)</f>
        <v>#N/A</v>
      </c>
    </row>
    <row r="2056" spans="1:6" ht="20.25" hidden="1" customHeight="1" x14ac:dyDescent="0.15">
      <c r="A2056" s="2" t="s">
        <v>4360</v>
      </c>
      <c r="B2056" s="2" t="s">
        <v>4361</v>
      </c>
      <c r="C2056" s="2">
        <v>0.84</v>
      </c>
      <c r="D2056" s="2">
        <v>0.9496</v>
      </c>
      <c r="E2056" s="2" t="s">
        <v>418</v>
      </c>
      <c r="F2056" s="2" t="e">
        <f>VLOOKUP(B2056,MSCI中国成分股!A:B,1,)</f>
        <v>#N/A</v>
      </c>
    </row>
    <row r="2057" spans="1:6" ht="20.25" hidden="1" customHeight="1" x14ac:dyDescent="0.15">
      <c r="A2057" s="2" t="s">
        <v>4362</v>
      </c>
      <c r="B2057" s="2" t="s">
        <v>4363</v>
      </c>
      <c r="C2057" s="2">
        <v>0.5</v>
      </c>
      <c r="D2057" s="2">
        <v>1.4517</v>
      </c>
      <c r="E2057" s="2" t="s">
        <v>220</v>
      </c>
      <c r="F2057" s="2" t="e">
        <f>VLOOKUP(B2057,MSCI中国成分股!A:B,1,)</f>
        <v>#N/A</v>
      </c>
    </row>
    <row r="2058" spans="1:6" ht="20.25" hidden="1" customHeight="1" x14ac:dyDescent="0.15">
      <c r="A2058" s="2" t="s">
        <v>4364</v>
      </c>
      <c r="B2058" s="2" t="s">
        <v>4365</v>
      </c>
      <c r="C2058" s="2">
        <v>-0.23</v>
      </c>
      <c r="D2058" s="2">
        <v>4.3103999999999996</v>
      </c>
      <c r="E2058" s="2" t="s">
        <v>201</v>
      </c>
      <c r="F2058" s="2" t="e">
        <f>VLOOKUP(B2058,MSCI中国成分股!A:B,1,)</f>
        <v>#N/A</v>
      </c>
    </row>
    <row r="2059" spans="1:6" ht="20.25" hidden="1" customHeight="1" x14ac:dyDescent="0.15">
      <c r="A2059" s="2" t="s">
        <v>4366</v>
      </c>
      <c r="B2059" s="2" t="s">
        <v>4367</v>
      </c>
      <c r="C2059" s="2">
        <v>0.85</v>
      </c>
      <c r="D2059" s="2">
        <v>0.71989999999999998</v>
      </c>
      <c r="E2059" s="2" t="s">
        <v>418</v>
      </c>
      <c r="F2059" s="2" t="e">
        <f>VLOOKUP(B2059,MSCI中国成分股!A:B,1,)</f>
        <v>#N/A</v>
      </c>
    </row>
    <row r="2060" spans="1:6" ht="20.25" hidden="1" customHeight="1" x14ac:dyDescent="0.15">
      <c r="A2060" s="2" t="s">
        <v>4368</v>
      </c>
      <c r="B2060" s="2" t="s">
        <v>4369</v>
      </c>
      <c r="C2060" s="2">
        <v>0.63</v>
      </c>
      <c r="D2060" s="2">
        <v>0.2273</v>
      </c>
      <c r="E2060" s="2" t="s">
        <v>1381</v>
      </c>
      <c r="F2060" s="2" t="e">
        <f>VLOOKUP(B2060,MSCI中国成分股!A:B,1,)</f>
        <v>#N/A</v>
      </c>
    </row>
    <row r="2061" spans="1:6" ht="20.25" hidden="1" customHeight="1" x14ac:dyDescent="0.15">
      <c r="A2061" s="2" t="s">
        <v>4370</v>
      </c>
      <c r="B2061" s="2" t="s">
        <v>4371</v>
      </c>
      <c r="C2061" s="2">
        <v>-0.28999999999999998</v>
      </c>
      <c r="D2061" s="2">
        <v>15.1867</v>
      </c>
      <c r="E2061" s="2" t="s">
        <v>476</v>
      </c>
      <c r="F2061" s="2" t="e">
        <f>VLOOKUP(B2061,MSCI中国成分股!A:B,1,)</f>
        <v>#N/A</v>
      </c>
    </row>
    <row r="2062" spans="1:6" ht="20.25" hidden="1" customHeight="1" x14ac:dyDescent="0.15">
      <c r="A2062" s="2" t="s">
        <v>4372</v>
      </c>
      <c r="B2062" s="2" t="s">
        <v>4373</v>
      </c>
      <c r="C2062" s="2">
        <v>0</v>
      </c>
      <c r="D2062" s="2">
        <v>1.3312999999999999</v>
      </c>
      <c r="E2062" s="2" t="s">
        <v>286</v>
      </c>
      <c r="F2062" s="2" t="e">
        <f>VLOOKUP(B2062,MSCI中国成分股!A:B,1,)</f>
        <v>#N/A</v>
      </c>
    </row>
    <row r="2063" spans="1:6" ht="20.25" hidden="1" customHeight="1" x14ac:dyDescent="0.15">
      <c r="A2063" s="2" t="s">
        <v>4374</v>
      </c>
      <c r="B2063" s="2" t="s">
        <v>4375</v>
      </c>
      <c r="C2063" s="2">
        <v>2.4500000000000002</v>
      </c>
      <c r="D2063" s="2">
        <v>1.1612</v>
      </c>
      <c r="E2063" s="2" t="s">
        <v>356</v>
      </c>
      <c r="F2063" s="2" t="e">
        <f>VLOOKUP(B2063,MSCI中国成分股!A:B,1,)</f>
        <v>#N/A</v>
      </c>
    </row>
    <row r="2064" spans="1:6" ht="20.25" hidden="1" customHeight="1" x14ac:dyDescent="0.15">
      <c r="A2064" s="2" t="s">
        <v>4376</v>
      </c>
      <c r="B2064" s="2" t="s">
        <v>4377</v>
      </c>
      <c r="C2064" s="2">
        <v>0.24</v>
      </c>
      <c r="D2064" s="2">
        <v>0.1051</v>
      </c>
      <c r="E2064" s="2" t="s">
        <v>74</v>
      </c>
      <c r="F2064" s="2" t="e">
        <f>VLOOKUP(B2064,MSCI中国成分股!A:B,1,)</f>
        <v>#N/A</v>
      </c>
    </row>
    <row r="2065" spans="1:6" ht="20.25" hidden="1" customHeight="1" x14ac:dyDescent="0.15">
      <c r="A2065" s="2" t="s">
        <v>4378</v>
      </c>
      <c r="B2065" s="2" t="s">
        <v>4379</v>
      </c>
      <c r="C2065" s="2">
        <v>3.85</v>
      </c>
      <c r="D2065" s="2">
        <v>2.7818999999999998</v>
      </c>
      <c r="E2065" s="2" t="s">
        <v>1515</v>
      </c>
      <c r="F2065" s="2" t="e">
        <f>VLOOKUP(B2065,MSCI中国成分股!A:B,1,)</f>
        <v>#N/A</v>
      </c>
    </row>
    <row r="2066" spans="1:6" ht="20.25" hidden="1" customHeight="1" x14ac:dyDescent="0.15">
      <c r="A2066" s="2" t="s">
        <v>4380</v>
      </c>
      <c r="B2066" s="2" t="s">
        <v>4381</v>
      </c>
      <c r="C2066" s="2">
        <v>2.87</v>
      </c>
      <c r="D2066" s="2">
        <v>3.7578</v>
      </c>
      <c r="E2066" s="2" t="s">
        <v>633</v>
      </c>
      <c r="F2066" s="2" t="e">
        <f>VLOOKUP(B2066,MSCI中国成分股!A:B,1,)</f>
        <v>#N/A</v>
      </c>
    </row>
    <row r="2067" spans="1:6" ht="20.25" hidden="1" customHeight="1" x14ac:dyDescent="0.15">
      <c r="A2067" s="2" t="s">
        <v>4382</v>
      </c>
      <c r="B2067" s="2" t="s">
        <v>4383</v>
      </c>
      <c r="C2067" s="2">
        <v>0.02</v>
      </c>
      <c r="D2067" s="2">
        <v>2.7105000000000001</v>
      </c>
      <c r="E2067" s="2" t="s">
        <v>7</v>
      </c>
      <c r="F2067" s="2" t="e">
        <f>VLOOKUP(B2067,MSCI中国成分股!A:B,1,)</f>
        <v>#N/A</v>
      </c>
    </row>
    <row r="2068" spans="1:6" ht="20.25" hidden="1" customHeight="1" x14ac:dyDescent="0.15">
      <c r="A2068" s="2" t="s">
        <v>4384</v>
      </c>
      <c r="B2068" s="2" t="s">
        <v>4385</v>
      </c>
      <c r="C2068" s="2">
        <v>0.74</v>
      </c>
      <c r="D2068" s="2">
        <v>1.5281</v>
      </c>
      <c r="E2068" s="2" t="s">
        <v>371</v>
      </c>
      <c r="F2068" s="2" t="e">
        <f>VLOOKUP(B2068,MSCI中国成分股!A:B,1,)</f>
        <v>#N/A</v>
      </c>
    </row>
    <row r="2069" spans="1:6" ht="20.25" hidden="1" customHeight="1" x14ac:dyDescent="0.15">
      <c r="A2069" s="2" t="s">
        <v>4386</v>
      </c>
      <c r="B2069" s="2" t="s">
        <v>4387</v>
      </c>
      <c r="C2069" s="2">
        <v>0.82</v>
      </c>
      <c r="D2069" s="2">
        <v>1.0316000000000001</v>
      </c>
      <c r="E2069" s="2" t="s">
        <v>1757</v>
      </c>
      <c r="F2069" s="2" t="e">
        <f>VLOOKUP(B2069,MSCI中国成分股!A:B,1,)</f>
        <v>#N/A</v>
      </c>
    </row>
    <row r="2070" spans="1:6" ht="20.25" hidden="1" customHeight="1" x14ac:dyDescent="0.15">
      <c r="A2070" s="2" t="s">
        <v>4388</v>
      </c>
      <c r="B2070" s="2" t="s">
        <v>4389</v>
      </c>
      <c r="C2070" s="2">
        <v>4.42</v>
      </c>
      <c r="D2070" s="2">
        <v>11.1045</v>
      </c>
      <c r="E2070" s="2" t="s">
        <v>1608</v>
      </c>
      <c r="F2070" s="2" t="e">
        <f>VLOOKUP(B2070,MSCI中国成分股!A:B,1,)</f>
        <v>#N/A</v>
      </c>
    </row>
    <row r="2071" spans="1:6" ht="20.25" hidden="1" customHeight="1" x14ac:dyDescent="0.15">
      <c r="A2071" s="2" t="s">
        <v>4390</v>
      </c>
      <c r="B2071" s="2" t="s">
        <v>4391</v>
      </c>
      <c r="C2071" s="2">
        <v>1.55</v>
      </c>
      <c r="D2071" s="2">
        <v>6.4503000000000004</v>
      </c>
      <c r="E2071" s="2" t="s">
        <v>1608</v>
      </c>
      <c r="F2071" s="2" t="e">
        <f>VLOOKUP(B2071,MSCI中国成分股!A:B,1,)</f>
        <v>#N/A</v>
      </c>
    </row>
    <row r="2072" spans="1:6" ht="20.25" hidden="1" customHeight="1" x14ac:dyDescent="0.15">
      <c r="A2072" s="2" t="s">
        <v>4392</v>
      </c>
      <c r="B2072" s="2" t="s">
        <v>4393</v>
      </c>
      <c r="C2072" s="2">
        <v>0.05</v>
      </c>
      <c r="D2072" s="2">
        <v>8.6126000000000005</v>
      </c>
      <c r="E2072" s="2" t="s">
        <v>1034</v>
      </c>
      <c r="F2072" s="2" t="e">
        <f>VLOOKUP(B2072,MSCI中国成分股!A:B,1,)</f>
        <v>#N/A</v>
      </c>
    </row>
    <row r="2073" spans="1:6" ht="20.25" hidden="1" customHeight="1" x14ac:dyDescent="0.15">
      <c r="A2073" s="2" t="s">
        <v>4394</v>
      </c>
      <c r="B2073" s="2" t="s">
        <v>4395</v>
      </c>
      <c r="C2073" s="2">
        <v>0.42</v>
      </c>
      <c r="D2073" s="2">
        <v>5.5100000000000003E-2</v>
      </c>
      <c r="E2073" s="2" t="s">
        <v>134</v>
      </c>
      <c r="F2073" s="2" t="e">
        <f>VLOOKUP(B2073,MSCI中国成分股!A:B,1,)</f>
        <v>#N/A</v>
      </c>
    </row>
    <row r="2074" spans="1:6" ht="20.25" hidden="1" customHeight="1" x14ac:dyDescent="0.15">
      <c r="A2074" s="2" t="s">
        <v>4396</v>
      </c>
      <c r="B2074" s="2" t="s">
        <v>4397</v>
      </c>
      <c r="C2074" s="2">
        <v>0.74</v>
      </c>
      <c r="D2074" s="2">
        <v>41.919699999999999</v>
      </c>
      <c r="E2074" s="2" t="s">
        <v>1969</v>
      </c>
      <c r="F2074" s="2" t="e">
        <f>VLOOKUP(B2074,MSCI中国成分股!A:B,1,)</f>
        <v>#N/A</v>
      </c>
    </row>
    <row r="2075" spans="1:6" ht="20.25" hidden="1" customHeight="1" x14ac:dyDescent="0.15">
      <c r="A2075" s="2" t="s">
        <v>4398</v>
      </c>
      <c r="B2075" s="2" t="s">
        <v>4399</v>
      </c>
      <c r="C2075" s="2">
        <v>0.78</v>
      </c>
      <c r="D2075" s="2">
        <v>0.2384</v>
      </c>
      <c r="E2075" s="2" t="s">
        <v>704</v>
      </c>
      <c r="F2075" s="2" t="e">
        <f>VLOOKUP(B2075,MSCI中国成分股!A:B,1,)</f>
        <v>#N/A</v>
      </c>
    </row>
    <row r="2076" spans="1:6" ht="20.25" hidden="1" customHeight="1" x14ac:dyDescent="0.15">
      <c r="A2076" s="2" t="s">
        <v>4400</v>
      </c>
      <c r="B2076" s="2" t="s">
        <v>4401</v>
      </c>
      <c r="C2076" s="2">
        <v>1.5</v>
      </c>
      <c r="D2076" s="2">
        <v>0.44829999999999998</v>
      </c>
      <c r="E2076" s="2" t="s">
        <v>286</v>
      </c>
      <c r="F2076" s="2" t="e">
        <f>VLOOKUP(B2076,MSCI中国成分股!A:B,1,)</f>
        <v>#N/A</v>
      </c>
    </row>
    <row r="2077" spans="1:6" ht="20.25" hidden="1" customHeight="1" x14ac:dyDescent="0.15">
      <c r="A2077" s="2" t="s">
        <v>4402</v>
      </c>
      <c r="B2077" s="2" t="s">
        <v>4403</v>
      </c>
      <c r="C2077" s="2">
        <v>3.55</v>
      </c>
      <c r="D2077" s="2">
        <v>4.4680999999999997</v>
      </c>
      <c r="E2077" s="2" t="s">
        <v>1691</v>
      </c>
      <c r="F2077" s="2" t="e">
        <f>VLOOKUP(B2077,MSCI中国成分股!A:B,1,)</f>
        <v>#N/A</v>
      </c>
    </row>
    <row r="2078" spans="1:6" ht="20.25" hidden="1" customHeight="1" x14ac:dyDescent="0.15">
      <c r="A2078" s="2" t="s">
        <v>4404</v>
      </c>
      <c r="B2078" s="2" t="s">
        <v>4405</v>
      </c>
      <c r="C2078" s="2">
        <v>2.335</v>
      </c>
      <c r="D2078" s="2">
        <v>2.6196000000000002</v>
      </c>
      <c r="E2078" s="2" t="s">
        <v>10</v>
      </c>
      <c r="F2078" s="2" t="e">
        <f>VLOOKUP(B2078,MSCI中国成分股!A:B,1,)</f>
        <v>#N/A</v>
      </c>
    </row>
    <row r="2079" spans="1:6" ht="20.25" hidden="1" customHeight="1" x14ac:dyDescent="0.15">
      <c r="A2079" s="2" t="s">
        <v>4406</v>
      </c>
      <c r="B2079" s="2" t="s">
        <v>4407</v>
      </c>
      <c r="C2079" s="2">
        <v>-0.59499999999999997</v>
      </c>
      <c r="D2079" s="2">
        <v>4.6165000000000003</v>
      </c>
      <c r="E2079" s="2" t="s">
        <v>685</v>
      </c>
      <c r="F2079" s="2" t="e">
        <f>VLOOKUP(B2079,MSCI中国成分股!A:B,1,)</f>
        <v>#N/A</v>
      </c>
    </row>
    <row r="2080" spans="1:6" ht="20.25" hidden="1" customHeight="1" x14ac:dyDescent="0.15">
      <c r="A2080" s="2" t="s">
        <v>4408</v>
      </c>
      <c r="B2080" s="2" t="s">
        <v>4409</v>
      </c>
      <c r="C2080" s="2">
        <v>2.17</v>
      </c>
      <c r="D2080" s="2">
        <v>2.1093000000000002</v>
      </c>
      <c r="E2080" s="2" t="s">
        <v>657</v>
      </c>
      <c r="F2080" s="2" t="e">
        <f>VLOOKUP(B2080,MSCI中国成分股!A:B,1,)</f>
        <v>#N/A</v>
      </c>
    </row>
    <row r="2081" spans="1:6" ht="20.25" hidden="1" customHeight="1" x14ac:dyDescent="0.15">
      <c r="A2081" s="2" t="s">
        <v>4410</v>
      </c>
      <c r="B2081" s="2" t="s">
        <v>4411</v>
      </c>
      <c r="C2081" s="2">
        <v>0.71</v>
      </c>
      <c r="D2081" s="2">
        <v>5.9036999999999997</v>
      </c>
      <c r="E2081" s="2" t="s">
        <v>571</v>
      </c>
      <c r="F2081" s="2" t="e">
        <f>VLOOKUP(B2081,MSCI中国成分股!A:B,1,)</f>
        <v>#N/A</v>
      </c>
    </row>
    <row r="2082" spans="1:6" ht="20.25" hidden="1" customHeight="1" x14ac:dyDescent="0.15">
      <c r="A2082" s="2" t="s">
        <v>4412</v>
      </c>
      <c r="B2082" s="2" t="s">
        <v>4413</v>
      </c>
      <c r="C2082" s="2">
        <v>0.75</v>
      </c>
      <c r="D2082" s="2">
        <v>2.6749999999999998</v>
      </c>
      <c r="E2082" s="2" t="s">
        <v>630</v>
      </c>
      <c r="F2082" s="2" t="e">
        <f>VLOOKUP(B2082,MSCI中国成分股!A:B,1,)</f>
        <v>#N/A</v>
      </c>
    </row>
    <row r="2083" spans="1:6" ht="20.25" hidden="1" customHeight="1" x14ac:dyDescent="0.15">
      <c r="A2083" s="2" t="s">
        <v>4414</v>
      </c>
      <c r="B2083" s="2" t="s">
        <v>4415</v>
      </c>
      <c r="C2083" s="2">
        <v>0.75</v>
      </c>
      <c r="D2083" s="2">
        <v>53.104700000000001</v>
      </c>
      <c r="E2083" s="2" t="s">
        <v>385</v>
      </c>
      <c r="F2083" s="2" t="e">
        <f>VLOOKUP(B2083,MSCI中国成分股!A:B,1,)</f>
        <v>#N/A</v>
      </c>
    </row>
    <row r="2084" spans="1:6" ht="20.25" hidden="1" customHeight="1" x14ac:dyDescent="0.15">
      <c r="A2084" s="2" t="s">
        <v>4416</v>
      </c>
      <c r="B2084" s="2" t="s">
        <v>4417</v>
      </c>
      <c r="C2084" s="2">
        <v>0.85</v>
      </c>
      <c r="D2084" s="2">
        <v>2.6215000000000002</v>
      </c>
      <c r="E2084" s="2" t="s">
        <v>220</v>
      </c>
      <c r="F2084" s="2" t="e">
        <f>VLOOKUP(B2084,MSCI中国成分股!A:B,1,)</f>
        <v>#N/A</v>
      </c>
    </row>
    <row r="2085" spans="1:6" ht="20.25" hidden="1" customHeight="1" x14ac:dyDescent="0.15">
      <c r="A2085" s="2" t="s">
        <v>4418</v>
      </c>
      <c r="B2085" s="2" t="s">
        <v>4419</v>
      </c>
      <c r="C2085" s="2">
        <v>0.76</v>
      </c>
      <c r="D2085" s="2">
        <v>310.62020000000001</v>
      </c>
      <c r="E2085" s="2" t="s">
        <v>1774</v>
      </c>
      <c r="F2085" s="2" t="e">
        <f>VLOOKUP(B2085,MSCI中国成分股!A:B,1,)</f>
        <v>#N/A</v>
      </c>
    </row>
    <row r="2086" spans="1:6" ht="20.25" hidden="1" customHeight="1" x14ac:dyDescent="0.15">
      <c r="A2086" s="2" t="s">
        <v>4420</v>
      </c>
      <c r="B2086" s="2" t="s">
        <v>4421</v>
      </c>
      <c r="C2086" s="2">
        <v>1.51</v>
      </c>
      <c r="D2086" s="2">
        <v>4.1054000000000004</v>
      </c>
      <c r="E2086" s="2" t="s">
        <v>421</v>
      </c>
      <c r="F2086" s="2" t="e">
        <f>VLOOKUP(B2086,MSCI中国成分股!A:B,1,)</f>
        <v>#N/A</v>
      </c>
    </row>
    <row r="2087" spans="1:6" ht="20.25" hidden="1" customHeight="1" x14ac:dyDescent="0.15">
      <c r="A2087" s="2" t="s">
        <v>4422</v>
      </c>
      <c r="B2087" s="2" t="s">
        <v>4423</v>
      </c>
      <c r="C2087" s="2">
        <v>-0.96</v>
      </c>
      <c r="D2087" s="2">
        <v>8.1074000000000002</v>
      </c>
      <c r="E2087" s="2" t="s">
        <v>769</v>
      </c>
      <c r="F2087" s="2" t="e">
        <f>VLOOKUP(B2087,MSCI中国成分股!A:B,1,)</f>
        <v>#N/A</v>
      </c>
    </row>
    <row r="2088" spans="1:6" ht="20.25" hidden="1" customHeight="1" x14ac:dyDescent="0.15">
      <c r="A2088" s="2" t="s">
        <v>4424</v>
      </c>
      <c r="B2088" s="2" t="s">
        <v>4425</v>
      </c>
      <c r="C2088" s="2">
        <v>-0.19</v>
      </c>
      <c r="D2088" s="2">
        <v>3.6880999999999999</v>
      </c>
      <c r="E2088" s="2" t="s">
        <v>3005</v>
      </c>
      <c r="F2088" s="2" t="e">
        <f>VLOOKUP(B2088,MSCI中国成分股!A:B,1,)</f>
        <v>#N/A</v>
      </c>
    </row>
    <row r="2089" spans="1:6" ht="20.25" hidden="1" customHeight="1" x14ac:dyDescent="0.15">
      <c r="A2089" s="2" t="s">
        <v>4426</v>
      </c>
      <c r="B2089" s="2" t="s">
        <v>4427</v>
      </c>
      <c r="C2089" s="2">
        <v>2.0099999999999998</v>
      </c>
      <c r="D2089" s="2">
        <v>3.3439000000000001</v>
      </c>
      <c r="E2089" s="2" t="s">
        <v>365</v>
      </c>
      <c r="F2089" s="2" t="e">
        <f>VLOOKUP(B2089,MSCI中国成分股!A:B,1,)</f>
        <v>#N/A</v>
      </c>
    </row>
    <row r="2090" spans="1:6" ht="20.25" hidden="1" customHeight="1" x14ac:dyDescent="0.15">
      <c r="A2090" s="2" t="s">
        <v>4428</v>
      </c>
      <c r="B2090" s="2" t="s">
        <v>4429</v>
      </c>
      <c r="C2090" s="2">
        <v>0.37</v>
      </c>
      <c r="D2090" s="2">
        <v>0.27589999999999998</v>
      </c>
      <c r="E2090" s="2" t="s">
        <v>81</v>
      </c>
      <c r="F2090" s="2" t="e">
        <f>VLOOKUP(B2090,MSCI中国成分股!A:B,1,)</f>
        <v>#N/A</v>
      </c>
    </row>
    <row r="2091" spans="1:6" ht="20.25" hidden="1" customHeight="1" x14ac:dyDescent="0.15">
      <c r="A2091" s="2" t="s">
        <v>4430</v>
      </c>
      <c r="B2091" s="2" t="s">
        <v>4431</v>
      </c>
      <c r="C2091" s="2">
        <v>-0.89</v>
      </c>
      <c r="D2091" s="2">
        <v>27.8126</v>
      </c>
      <c r="E2091" s="2" t="s">
        <v>1969</v>
      </c>
      <c r="F2091" s="2" t="e">
        <f>VLOOKUP(B2091,MSCI中国成分股!A:B,1,)</f>
        <v>#N/A</v>
      </c>
    </row>
    <row r="2092" spans="1:6" ht="20.25" hidden="1" customHeight="1" x14ac:dyDescent="0.15">
      <c r="A2092" s="2" t="s">
        <v>4432</v>
      </c>
      <c r="B2092" s="2" t="s">
        <v>4433</v>
      </c>
      <c r="C2092" s="2">
        <v>1.7</v>
      </c>
      <c r="D2092" s="2">
        <v>2.3719000000000001</v>
      </c>
      <c r="E2092" s="2" t="s">
        <v>1338</v>
      </c>
      <c r="F2092" s="2" t="e">
        <f>VLOOKUP(B2092,MSCI中国成分股!A:B,1,)</f>
        <v>#N/A</v>
      </c>
    </row>
    <row r="2093" spans="1:6" ht="20.25" hidden="1" customHeight="1" x14ac:dyDescent="0.15">
      <c r="A2093" s="2" t="s">
        <v>4434</v>
      </c>
      <c r="B2093" s="2" t="s">
        <v>4435</v>
      </c>
      <c r="C2093" s="2">
        <v>-0.18</v>
      </c>
      <c r="D2093" s="2">
        <v>0.2697</v>
      </c>
      <c r="E2093" s="2" t="s">
        <v>368</v>
      </c>
      <c r="F2093" s="2" t="e">
        <f>VLOOKUP(B2093,MSCI中国成分股!A:B,1,)</f>
        <v>#N/A</v>
      </c>
    </row>
    <row r="2094" spans="1:6" ht="20.25" hidden="1" customHeight="1" x14ac:dyDescent="0.15">
      <c r="A2094" s="2" t="s">
        <v>4436</v>
      </c>
      <c r="B2094" s="2" t="s">
        <v>4437</v>
      </c>
      <c r="C2094" s="2">
        <v>3.2149999999999999</v>
      </c>
      <c r="D2094" s="2">
        <v>1.8897999999999999</v>
      </c>
      <c r="E2094" s="2" t="s">
        <v>605</v>
      </c>
      <c r="F2094" s="2" t="e">
        <f>VLOOKUP(B2094,MSCI中国成分股!A:B,1,)</f>
        <v>#N/A</v>
      </c>
    </row>
    <row r="2095" spans="1:6" ht="20.25" hidden="1" customHeight="1" x14ac:dyDescent="0.15">
      <c r="A2095" s="2" t="s">
        <v>4438</v>
      </c>
      <c r="B2095" s="2" t="s">
        <v>4439</v>
      </c>
      <c r="C2095" s="2">
        <v>2.145</v>
      </c>
      <c r="D2095" s="2">
        <v>53.554499999999997</v>
      </c>
      <c r="E2095" s="2" t="s">
        <v>677</v>
      </c>
      <c r="F2095" s="2" t="e">
        <f>VLOOKUP(B2095,MSCI中国成分股!A:B,1,)</f>
        <v>#N/A</v>
      </c>
    </row>
    <row r="2096" spans="1:6" ht="20.25" hidden="1" customHeight="1" x14ac:dyDescent="0.15">
      <c r="A2096" s="2" t="s">
        <v>4440</v>
      </c>
      <c r="B2096" s="2" t="s">
        <v>4441</v>
      </c>
      <c r="C2096" s="2">
        <v>0.19</v>
      </c>
      <c r="D2096" s="2">
        <v>0.81779999999999997</v>
      </c>
      <c r="E2096" s="2" t="s">
        <v>2038</v>
      </c>
      <c r="F2096" s="2" t="e">
        <f>VLOOKUP(B2096,MSCI中国成分股!A:B,1,)</f>
        <v>#N/A</v>
      </c>
    </row>
    <row r="2097" spans="1:6" ht="20.25" hidden="1" customHeight="1" x14ac:dyDescent="0.15">
      <c r="A2097" s="2" t="s">
        <v>4442</v>
      </c>
      <c r="B2097" s="2" t="s">
        <v>4443</v>
      </c>
      <c r="C2097" s="2">
        <v>0.42</v>
      </c>
      <c r="D2097" s="2">
        <v>5.6818999999999997</v>
      </c>
      <c r="E2097" s="2" t="s">
        <v>630</v>
      </c>
      <c r="F2097" s="2" t="e">
        <f>VLOOKUP(B2097,MSCI中国成分股!A:B,1,)</f>
        <v>#N/A</v>
      </c>
    </row>
    <row r="2098" spans="1:6" ht="20.25" hidden="1" customHeight="1" x14ac:dyDescent="0.15">
      <c r="A2098" s="2" t="s">
        <v>4444</v>
      </c>
      <c r="B2098" s="2" t="s">
        <v>4445</v>
      </c>
      <c r="C2098" s="2">
        <v>1.38</v>
      </c>
      <c r="D2098" s="2">
        <v>1.571</v>
      </c>
      <c r="E2098" s="2" t="s">
        <v>1425</v>
      </c>
      <c r="F2098" s="2" t="e">
        <f>VLOOKUP(B2098,MSCI中国成分股!A:B,1,)</f>
        <v>#N/A</v>
      </c>
    </row>
    <row r="2099" spans="1:6" ht="20.25" hidden="1" customHeight="1" x14ac:dyDescent="0.15">
      <c r="A2099" s="2" t="s">
        <v>4446</v>
      </c>
      <c r="B2099" s="2" t="s">
        <v>4447</v>
      </c>
      <c r="C2099" s="2">
        <v>0.63</v>
      </c>
      <c r="D2099" s="2">
        <v>0.16769999999999999</v>
      </c>
      <c r="E2099" s="2" t="s">
        <v>134</v>
      </c>
      <c r="F2099" s="2" t="e">
        <f>VLOOKUP(B2099,MSCI中国成分股!A:B,1,)</f>
        <v>#N/A</v>
      </c>
    </row>
    <row r="2100" spans="1:6" ht="20.25" hidden="1" customHeight="1" x14ac:dyDescent="0.15">
      <c r="A2100" s="2" t="s">
        <v>4448</v>
      </c>
      <c r="B2100" s="2" t="s">
        <v>4449</v>
      </c>
      <c r="C2100" s="2">
        <v>1.085</v>
      </c>
      <c r="D2100" s="2">
        <v>1.6753</v>
      </c>
      <c r="E2100" s="2" t="s">
        <v>787</v>
      </c>
      <c r="F2100" s="2" t="e">
        <f>VLOOKUP(B2100,MSCI中国成分股!A:B,1,)</f>
        <v>#N/A</v>
      </c>
    </row>
    <row r="2101" spans="1:6" ht="20.25" hidden="1" customHeight="1" x14ac:dyDescent="0.15">
      <c r="A2101" s="2" t="s">
        <v>4450</v>
      </c>
      <c r="B2101" s="2" t="s">
        <v>4451</v>
      </c>
      <c r="C2101" s="2">
        <v>0.18</v>
      </c>
      <c r="D2101" s="2">
        <v>7.6738</v>
      </c>
      <c r="E2101" s="2" t="s">
        <v>741</v>
      </c>
      <c r="F2101" s="2" t="e">
        <f>VLOOKUP(B2101,MSCI中国成分股!A:B,1,)</f>
        <v>#N/A</v>
      </c>
    </row>
    <row r="2102" spans="1:6" ht="20.25" hidden="1" customHeight="1" x14ac:dyDescent="0.15">
      <c r="A2102" s="2" t="s">
        <v>4452</v>
      </c>
      <c r="B2102" s="2" t="s">
        <v>4453</v>
      </c>
      <c r="C2102" s="2">
        <v>-0.86</v>
      </c>
      <c r="D2102" s="2">
        <v>8.4016999999999999</v>
      </c>
      <c r="E2102" s="2" t="s">
        <v>143</v>
      </c>
      <c r="F2102" s="2" t="e">
        <f>VLOOKUP(B2102,MSCI中国成分股!A:B,1,)</f>
        <v>#N/A</v>
      </c>
    </row>
    <row r="2103" spans="1:6" ht="20.25" hidden="1" customHeight="1" x14ac:dyDescent="0.15">
      <c r="A2103" s="2" t="s">
        <v>4454</v>
      </c>
      <c r="B2103" s="2" t="s">
        <v>4455</v>
      </c>
      <c r="C2103" s="2">
        <v>0.67</v>
      </c>
      <c r="D2103" s="2">
        <v>1.6921999999999999</v>
      </c>
      <c r="E2103" s="2" t="s">
        <v>406</v>
      </c>
      <c r="F2103" s="2" t="e">
        <f>VLOOKUP(B2103,MSCI中国成分股!A:B,1,)</f>
        <v>#N/A</v>
      </c>
    </row>
    <row r="2104" spans="1:6" ht="20.25" hidden="1" customHeight="1" x14ac:dyDescent="0.15">
      <c r="A2104" s="2" t="s">
        <v>4456</v>
      </c>
      <c r="B2104" s="2" t="s">
        <v>4457</v>
      </c>
      <c r="C2104" s="2">
        <v>0.9</v>
      </c>
      <c r="D2104" s="2">
        <v>0.14960000000000001</v>
      </c>
      <c r="E2104" s="2" t="s">
        <v>134</v>
      </c>
      <c r="F2104" s="2" t="e">
        <f>VLOOKUP(B2104,MSCI中国成分股!A:B,1,)</f>
        <v>#N/A</v>
      </c>
    </row>
    <row r="2105" spans="1:6" ht="20.25" hidden="1" customHeight="1" x14ac:dyDescent="0.15">
      <c r="A2105" s="2" t="s">
        <v>4458</v>
      </c>
      <c r="B2105" s="2" t="s">
        <v>4459</v>
      </c>
      <c r="C2105" s="2">
        <v>1.69</v>
      </c>
      <c r="D2105" s="2">
        <v>1.5012000000000001</v>
      </c>
      <c r="E2105" s="2" t="s">
        <v>1056</v>
      </c>
      <c r="F2105" s="2" t="e">
        <f>VLOOKUP(B2105,MSCI中国成分股!A:B,1,)</f>
        <v>#N/A</v>
      </c>
    </row>
    <row r="2106" spans="1:6" ht="20.25" hidden="1" customHeight="1" x14ac:dyDescent="0.15">
      <c r="A2106" s="2" t="s">
        <v>4460</v>
      </c>
      <c r="B2106" s="2" t="s">
        <v>4461</v>
      </c>
      <c r="C2106" s="2">
        <v>3.24</v>
      </c>
      <c r="D2106" s="2">
        <v>3.645</v>
      </c>
      <c r="E2106" s="2" t="s">
        <v>406</v>
      </c>
      <c r="F2106" s="2" t="e">
        <f>VLOOKUP(B2106,MSCI中国成分股!A:B,1,)</f>
        <v>#N/A</v>
      </c>
    </row>
    <row r="2107" spans="1:6" ht="20.25" hidden="1" customHeight="1" x14ac:dyDescent="0.15">
      <c r="A2107" s="2" t="s">
        <v>4462</v>
      </c>
      <c r="B2107" s="2" t="s">
        <v>4463</v>
      </c>
      <c r="C2107" s="2">
        <v>3.39</v>
      </c>
      <c r="D2107" s="2">
        <v>1.7362</v>
      </c>
      <c r="E2107" s="2" t="s">
        <v>713</v>
      </c>
      <c r="F2107" s="2" t="e">
        <f>VLOOKUP(B2107,MSCI中国成分股!A:B,1,)</f>
        <v>#N/A</v>
      </c>
    </row>
    <row r="2108" spans="1:6" ht="20.25" hidden="1" customHeight="1" x14ac:dyDescent="0.15">
      <c r="A2108" s="2" t="s">
        <v>4464</v>
      </c>
      <c r="B2108" s="2" t="s">
        <v>4465</v>
      </c>
      <c r="C2108" s="2">
        <v>0.05</v>
      </c>
      <c r="D2108" s="2">
        <v>7.1276000000000002</v>
      </c>
      <c r="E2108" s="2" t="s">
        <v>146</v>
      </c>
      <c r="F2108" s="2" t="e">
        <f>VLOOKUP(B2108,MSCI中国成分股!A:B,1,)</f>
        <v>#N/A</v>
      </c>
    </row>
    <row r="2109" spans="1:6" ht="20.25" hidden="1" customHeight="1" x14ac:dyDescent="0.15">
      <c r="A2109" s="2" t="s">
        <v>4466</v>
      </c>
      <c r="B2109" s="2" t="s">
        <v>4467</v>
      </c>
      <c r="C2109" s="2">
        <v>1</v>
      </c>
      <c r="D2109" s="2">
        <v>0.20930000000000001</v>
      </c>
      <c r="E2109" s="2" t="s">
        <v>1757</v>
      </c>
      <c r="F2109" s="2" t="e">
        <f>VLOOKUP(B2109,MSCI中国成分股!A:B,1,)</f>
        <v>#N/A</v>
      </c>
    </row>
    <row r="2110" spans="1:6" ht="20.25" hidden="1" customHeight="1" x14ac:dyDescent="0.15">
      <c r="A2110" s="2" t="s">
        <v>4468</v>
      </c>
      <c r="B2110" s="2" t="s">
        <v>4469</v>
      </c>
      <c r="C2110" s="2">
        <v>0.79</v>
      </c>
      <c r="D2110" s="2">
        <v>20587.1312</v>
      </c>
      <c r="E2110" s="2" t="s">
        <v>699</v>
      </c>
      <c r="F2110" s="2" t="e">
        <f>VLOOKUP(B2110,MSCI中国成分股!A:B,1,)</f>
        <v>#N/A</v>
      </c>
    </row>
    <row r="2111" spans="1:6" ht="20.25" hidden="1" customHeight="1" x14ac:dyDescent="0.15">
      <c r="A2111" s="2" t="s">
        <v>4470</v>
      </c>
      <c r="B2111" s="2" t="s">
        <v>4471</v>
      </c>
      <c r="C2111" s="2">
        <v>3.08</v>
      </c>
      <c r="D2111" s="2">
        <v>1.0262</v>
      </c>
      <c r="E2111" s="2" t="s">
        <v>123</v>
      </c>
      <c r="F2111" s="2" t="e">
        <f>VLOOKUP(B2111,MSCI中国成分股!A:B,1,)</f>
        <v>#N/A</v>
      </c>
    </row>
    <row r="2112" spans="1:6" ht="20.25" hidden="1" customHeight="1" x14ac:dyDescent="0.15">
      <c r="A2112" s="2" t="s">
        <v>4472</v>
      </c>
      <c r="B2112" s="2" t="s">
        <v>4473</v>
      </c>
      <c r="C2112" s="2">
        <v>2.79</v>
      </c>
      <c r="D2112" s="2">
        <v>0.32300000000000001</v>
      </c>
      <c r="E2112" s="2" t="s">
        <v>638</v>
      </c>
      <c r="F2112" s="2" t="e">
        <f>VLOOKUP(B2112,MSCI中国成分股!A:B,1,)</f>
        <v>#N/A</v>
      </c>
    </row>
    <row r="2113" spans="1:6" ht="20.25" hidden="1" customHeight="1" x14ac:dyDescent="0.15">
      <c r="A2113" s="2" t="s">
        <v>4474</v>
      </c>
      <c r="B2113" s="2" t="s">
        <v>4475</v>
      </c>
      <c r="C2113" s="2">
        <v>2.4449999999999998</v>
      </c>
      <c r="D2113" s="2">
        <v>1.7251000000000001</v>
      </c>
      <c r="E2113" s="2" t="s">
        <v>794</v>
      </c>
      <c r="F2113" s="2" t="e">
        <f>VLOOKUP(B2113,MSCI中国成分股!A:B,1,)</f>
        <v>#N/A</v>
      </c>
    </row>
    <row r="2114" spans="1:6" ht="20.25" hidden="1" customHeight="1" x14ac:dyDescent="0.15">
      <c r="A2114" s="2" t="s">
        <v>4476</v>
      </c>
      <c r="B2114" s="2" t="s">
        <v>4477</v>
      </c>
      <c r="C2114" s="2">
        <v>-0.45</v>
      </c>
      <c r="D2114" s="2">
        <v>5.2766000000000002</v>
      </c>
      <c r="E2114" s="2" t="s">
        <v>265</v>
      </c>
      <c r="F2114" s="2" t="e">
        <f>VLOOKUP(B2114,MSCI中国成分股!A:B,1,)</f>
        <v>#N/A</v>
      </c>
    </row>
    <row r="2115" spans="1:6" ht="20.25" hidden="1" customHeight="1" x14ac:dyDescent="0.15">
      <c r="A2115" s="2" t="s">
        <v>4478</v>
      </c>
      <c r="B2115" s="2" t="s">
        <v>4479</v>
      </c>
      <c r="C2115" s="2">
        <v>2.25</v>
      </c>
      <c r="D2115" s="2">
        <v>1.7958000000000001</v>
      </c>
      <c r="E2115" s="2" t="s">
        <v>3048</v>
      </c>
      <c r="F2115" s="2" t="e">
        <f>VLOOKUP(B2115,MSCI中国成分股!A:B,1,)</f>
        <v>#N/A</v>
      </c>
    </row>
    <row r="2116" spans="1:6" ht="20.25" hidden="1" customHeight="1" x14ac:dyDescent="0.15">
      <c r="A2116" s="2" t="s">
        <v>4480</v>
      </c>
      <c r="B2116" s="2" t="s">
        <v>4481</v>
      </c>
      <c r="C2116" s="2">
        <v>-1.32</v>
      </c>
      <c r="D2116" s="2">
        <v>11.537100000000001</v>
      </c>
      <c r="E2116" s="2" t="s">
        <v>260</v>
      </c>
      <c r="F2116" s="2" t="e">
        <f>VLOOKUP(B2116,MSCI中国成分股!A:B,1,)</f>
        <v>#N/A</v>
      </c>
    </row>
    <row r="2117" spans="1:6" ht="20.25" hidden="1" customHeight="1" x14ac:dyDescent="0.15">
      <c r="A2117" s="2" t="s">
        <v>4482</v>
      </c>
      <c r="B2117" s="2" t="s">
        <v>4483</v>
      </c>
      <c r="C2117" s="2">
        <v>1.17</v>
      </c>
      <c r="D2117" s="2">
        <v>1.8322000000000001</v>
      </c>
      <c r="E2117" s="2" t="s">
        <v>483</v>
      </c>
      <c r="F2117" s="2" t="e">
        <f>VLOOKUP(B2117,MSCI中国成分股!A:B,1,)</f>
        <v>#N/A</v>
      </c>
    </row>
    <row r="2118" spans="1:6" ht="20.25" hidden="1" customHeight="1" x14ac:dyDescent="0.15">
      <c r="A2118" s="2" t="s">
        <v>4484</v>
      </c>
      <c r="B2118" s="2" t="s">
        <v>4485</v>
      </c>
      <c r="C2118" s="2">
        <v>1.86</v>
      </c>
      <c r="D2118" s="2">
        <v>1.2802</v>
      </c>
      <c r="E2118" s="2" t="s">
        <v>589</v>
      </c>
      <c r="F2118" s="2" t="e">
        <f>VLOOKUP(B2118,MSCI中国成分股!A:B,1,)</f>
        <v>#N/A</v>
      </c>
    </row>
    <row r="2119" spans="1:6" ht="20.25" hidden="1" customHeight="1" x14ac:dyDescent="0.15">
      <c r="A2119" s="2" t="s">
        <v>4486</v>
      </c>
      <c r="B2119" s="2" t="s">
        <v>4487</v>
      </c>
      <c r="C2119" s="2">
        <v>-0.06</v>
      </c>
      <c r="D2119" s="2">
        <v>36.893599999999999</v>
      </c>
      <c r="E2119" s="2" t="s">
        <v>1515</v>
      </c>
      <c r="F2119" s="2" t="e">
        <f>VLOOKUP(B2119,MSCI中国成分股!A:B,1,)</f>
        <v>#N/A</v>
      </c>
    </row>
    <row r="2120" spans="1:6" ht="20.25" hidden="1" customHeight="1" x14ac:dyDescent="0.15">
      <c r="A2120" s="2" t="s">
        <v>4488</v>
      </c>
      <c r="B2120" s="2" t="s">
        <v>4489</v>
      </c>
      <c r="C2120" s="2">
        <v>0.56999999999999995</v>
      </c>
      <c r="D2120" s="2">
        <v>0.99960000000000004</v>
      </c>
      <c r="E2120" s="2" t="s">
        <v>916</v>
      </c>
      <c r="F2120" s="2" t="e">
        <f>VLOOKUP(B2120,MSCI中国成分股!A:B,1,)</f>
        <v>#N/A</v>
      </c>
    </row>
    <row r="2121" spans="1:6" ht="20.25" hidden="1" customHeight="1" x14ac:dyDescent="0.15">
      <c r="A2121" s="2" t="s">
        <v>4490</v>
      </c>
      <c r="B2121" s="2" t="s">
        <v>4491</v>
      </c>
      <c r="C2121" s="2">
        <v>1.24</v>
      </c>
      <c r="D2121" s="2">
        <v>0.6532</v>
      </c>
      <c r="E2121" s="2" t="s">
        <v>276</v>
      </c>
      <c r="F2121" s="2" t="e">
        <f>VLOOKUP(B2121,MSCI中国成分股!A:B,1,)</f>
        <v>#N/A</v>
      </c>
    </row>
    <row r="2122" spans="1:6" ht="20.25" hidden="1" customHeight="1" x14ac:dyDescent="0.15">
      <c r="A2122" s="2" t="s">
        <v>4492</v>
      </c>
      <c r="B2122" s="2" t="s">
        <v>4493</v>
      </c>
      <c r="C2122" s="2">
        <v>2.1800000000000002</v>
      </c>
      <c r="D2122" s="2">
        <v>4.6540999999999997</v>
      </c>
      <c r="E2122" s="2" t="s">
        <v>403</v>
      </c>
      <c r="F2122" s="2" t="e">
        <f>VLOOKUP(B2122,MSCI中国成分股!A:B,1,)</f>
        <v>#N/A</v>
      </c>
    </row>
    <row r="2123" spans="1:6" ht="20.25" hidden="1" customHeight="1" x14ac:dyDescent="0.15">
      <c r="A2123" s="2" t="s">
        <v>4494</v>
      </c>
      <c r="B2123" s="2" t="s">
        <v>4495</v>
      </c>
      <c r="C2123" s="2">
        <v>0.02</v>
      </c>
      <c r="D2123" s="2">
        <v>1.11E-2</v>
      </c>
      <c r="E2123" s="2" t="s">
        <v>220</v>
      </c>
      <c r="F2123" s="2" t="e">
        <f>VLOOKUP(B2123,MSCI中国成分股!A:B,1,)</f>
        <v>#N/A</v>
      </c>
    </row>
    <row r="2124" spans="1:6" ht="20.25" hidden="1" customHeight="1" x14ac:dyDescent="0.15">
      <c r="A2124" s="2" t="s">
        <v>4496</v>
      </c>
      <c r="B2124" s="2" t="s">
        <v>4497</v>
      </c>
      <c r="C2124" s="2">
        <v>0.8</v>
      </c>
      <c r="D2124" s="2">
        <v>2.8529</v>
      </c>
      <c r="E2124" s="2" t="s">
        <v>344</v>
      </c>
      <c r="F2124" s="2" t="e">
        <f>VLOOKUP(B2124,MSCI中国成分股!A:B,1,)</f>
        <v>#N/A</v>
      </c>
    </row>
    <row r="2125" spans="1:6" ht="20.25" hidden="1" customHeight="1" x14ac:dyDescent="0.15">
      <c r="A2125" s="2" t="s">
        <v>4498</v>
      </c>
      <c r="B2125" s="2" t="s">
        <v>4499</v>
      </c>
      <c r="C2125" s="2">
        <v>-1.59</v>
      </c>
      <c r="D2125" s="2">
        <v>88.777900000000002</v>
      </c>
      <c r="E2125" s="2" t="s">
        <v>299</v>
      </c>
      <c r="F2125" s="2" t="e">
        <f>VLOOKUP(B2125,MSCI中国成分股!A:B,1,)</f>
        <v>#N/A</v>
      </c>
    </row>
    <row r="2126" spans="1:6" ht="20.25" hidden="1" customHeight="1" x14ac:dyDescent="0.15">
      <c r="A2126" s="2" t="s">
        <v>4500</v>
      </c>
      <c r="B2126" s="2" t="s">
        <v>4501</v>
      </c>
      <c r="C2126" s="2">
        <v>1.63</v>
      </c>
      <c r="D2126" s="2">
        <v>47.164700000000003</v>
      </c>
      <c r="E2126" s="2" t="s">
        <v>1173</v>
      </c>
      <c r="F2126" s="2" t="e">
        <f>VLOOKUP(B2126,MSCI中国成分股!A:B,1,)</f>
        <v>#N/A</v>
      </c>
    </row>
    <row r="2127" spans="1:6" ht="20.25" hidden="1" customHeight="1" x14ac:dyDescent="0.15">
      <c r="A2127" s="2" t="s">
        <v>4502</v>
      </c>
      <c r="B2127" s="2" t="s">
        <v>4503</v>
      </c>
      <c r="C2127" s="2">
        <v>0.06</v>
      </c>
      <c r="D2127" s="2">
        <v>2.6122000000000001</v>
      </c>
      <c r="E2127" s="2" t="s">
        <v>1774</v>
      </c>
      <c r="F2127" s="2" t="e">
        <f>VLOOKUP(B2127,MSCI中国成分股!A:B,1,)</f>
        <v>#N/A</v>
      </c>
    </row>
    <row r="2128" spans="1:6" ht="20.25" hidden="1" customHeight="1" x14ac:dyDescent="0.15">
      <c r="A2128" s="2" t="s">
        <v>4504</v>
      </c>
      <c r="B2128" s="2" t="s">
        <v>4505</v>
      </c>
      <c r="C2128" s="2">
        <v>1.4950000000000001</v>
      </c>
      <c r="D2128" s="2">
        <v>1.7296</v>
      </c>
      <c r="E2128" s="2" t="s">
        <v>171</v>
      </c>
      <c r="F2128" s="2" t="e">
        <f>VLOOKUP(B2128,MSCI中国成分股!A:B,1,)</f>
        <v>#N/A</v>
      </c>
    </row>
    <row r="2129" spans="1:6" ht="20.25" hidden="1" customHeight="1" x14ac:dyDescent="0.15">
      <c r="A2129" s="2" t="s">
        <v>4506</v>
      </c>
      <c r="B2129" s="2" t="s">
        <v>4507</v>
      </c>
      <c r="C2129" s="2">
        <v>1.97</v>
      </c>
      <c r="D2129" s="2">
        <v>5.5429000000000004</v>
      </c>
      <c r="E2129" s="2" t="s">
        <v>747</v>
      </c>
      <c r="F2129" s="2" t="e">
        <f>VLOOKUP(B2129,MSCI中国成分股!A:B,1,)</f>
        <v>#N/A</v>
      </c>
    </row>
    <row r="2130" spans="1:6" ht="20.25" hidden="1" customHeight="1" x14ac:dyDescent="0.15">
      <c r="A2130" s="2" t="s">
        <v>4508</v>
      </c>
      <c r="B2130" s="2" t="s">
        <v>4509</v>
      </c>
      <c r="C2130" s="2">
        <v>0.51</v>
      </c>
      <c r="D2130" s="2">
        <v>3.0484</v>
      </c>
      <c r="E2130" s="2" t="s">
        <v>574</v>
      </c>
      <c r="F2130" s="2" t="e">
        <f>VLOOKUP(B2130,MSCI中国成分股!A:B,1,)</f>
        <v>#N/A</v>
      </c>
    </row>
    <row r="2131" spans="1:6" ht="20.25" hidden="1" customHeight="1" x14ac:dyDescent="0.15">
      <c r="A2131" s="2" t="s">
        <v>4510</v>
      </c>
      <c r="B2131" s="2" t="s">
        <v>4511</v>
      </c>
      <c r="C2131" s="2">
        <v>1.29</v>
      </c>
      <c r="D2131" s="2">
        <v>11.5159</v>
      </c>
      <c r="E2131" s="2" t="s">
        <v>146</v>
      </c>
      <c r="F2131" s="2" t="e">
        <f>VLOOKUP(B2131,MSCI中国成分股!A:B,1,)</f>
        <v>#N/A</v>
      </c>
    </row>
    <row r="2132" spans="1:6" ht="20.25" hidden="1" customHeight="1" x14ac:dyDescent="0.15">
      <c r="A2132" s="2" t="s">
        <v>4512</v>
      </c>
      <c r="B2132" s="2" t="s">
        <v>4513</v>
      </c>
      <c r="C2132" s="2">
        <v>2.54</v>
      </c>
      <c r="D2132" s="2">
        <v>96.303399999999996</v>
      </c>
      <c r="E2132" s="2" t="s">
        <v>143</v>
      </c>
      <c r="F2132" s="2" t="e">
        <f>VLOOKUP(B2132,MSCI中国成分股!A:B,1,)</f>
        <v>#N/A</v>
      </c>
    </row>
    <row r="2133" spans="1:6" ht="20.25" hidden="1" customHeight="1" x14ac:dyDescent="0.15">
      <c r="A2133" s="2" t="s">
        <v>4514</v>
      </c>
      <c r="B2133" s="2" t="s">
        <v>4515</v>
      </c>
      <c r="C2133" s="2">
        <v>-1.65</v>
      </c>
      <c r="D2133" s="2">
        <v>17.1281</v>
      </c>
      <c r="E2133" s="2" t="s">
        <v>245</v>
      </c>
      <c r="F2133" s="2" t="e">
        <f>VLOOKUP(B2133,MSCI中国成分股!A:B,1,)</f>
        <v>#N/A</v>
      </c>
    </row>
    <row r="2134" spans="1:6" ht="20.25" hidden="1" customHeight="1" x14ac:dyDescent="0.15">
      <c r="A2134" s="2" t="s">
        <v>4516</v>
      </c>
      <c r="B2134" s="2" t="s">
        <v>4517</v>
      </c>
      <c r="C2134" s="2">
        <v>0.8</v>
      </c>
      <c r="D2134" s="2">
        <v>1.5441</v>
      </c>
      <c r="E2134" s="2" t="s">
        <v>111</v>
      </c>
      <c r="F2134" s="2" t="e">
        <f>VLOOKUP(B2134,MSCI中国成分股!A:B,1,)</f>
        <v>#N/A</v>
      </c>
    </row>
    <row r="2135" spans="1:6" ht="20.25" hidden="1" customHeight="1" x14ac:dyDescent="0.15">
      <c r="A2135" s="2" t="s">
        <v>4518</v>
      </c>
      <c r="B2135" s="2" t="s">
        <v>4519</v>
      </c>
      <c r="C2135" s="2">
        <v>2.1</v>
      </c>
      <c r="D2135" s="2">
        <v>1.0685</v>
      </c>
      <c r="E2135" s="2" t="s">
        <v>265</v>
      </c>
      <c r="F2135" s="2" t="e">
        <f>VLOOKUP(B2135,MSCI中国成分股!A:B,1,)</f>
        <v>#N/A</v>
      </c>
    </row>
    <row r="2136" spans="1:6" ht="20.25" hidden="1" customHeight="1" x14ac:dyDescent="0.15">
      <c r="A2136" s="2" t="s">
        <v>4520</v>
      </c>
      <c r="B2136" s="2" t="s">
        <v>4521</v>
      </c>
      <c r="C2136" s="2">
        <v>2.2999999999999998</v>
      </c>
      <c r="D2136" s="2">
        <v>13.4491</v>
      </c>
      <c r="E2136" s="2" t="s">
        <v>638</v>
      </c>
      <c r="F2136" s="2" t="e">
        <f>VLOOKUP(B2136,MSCI中国成分股!A:B,1,)</f>
        <v>#N/A</v>
      </c>
    </row>
    <row r="2137" spans="1:6" ht="20.25" hidden="1" customHeight="1" x14ac:dyDescent="0.15">
      <c r="A2137" s="2" t="s">
        <v>4522</v>
      </c>
      <c r="B2137" s="2" t="s">
        <v>4523</v>
      </c>
      <c r="C2137" s="2">
        <v>0.27</v>
      </c>
      <c r="D2137" s="2">
        <v>57.326500000000003</v>
      </c>
      <c r="E2137" s="2" t="s">
        <v>1774</v>
      </c>
      <c r="F2137" s="2" t="e">
        <f>VLOOKUP(B2137,MSCI中国成分股!A:B,1,)</f>
        <v>#N/A</v>
      </c>
    </row>
    <row r="2138" spans="1:6" ht="20.25" hidden="1" customHeight="1" x14ac:dyDescent="0.15">
      <c r="A2138" s="2" t="s">
        <v>4524</v>
      </c>
      <c r="B2138" s="2" t="s">
        <v>4525</v>
      </c>
      <c r="C2138" s="2">
        <v>0.85</v>
      </c>
      <c r="D2138" s="2">
        <v>0.87419999999999998</v>
      </c>
      <c r="E2138" s="2" t="s">
        <v>2898</v>
      </c>
      <c r="F2138" s="2" t="e">
        <f>VLOOKUP(B2138,MSCI中国成分股!A:B,1,)</f>
        <v>#N/A</v>
      </c>
    </row>
    <row r="2139" spans="1:6" ht="20.25" hidden="1" customHeight="1" x14ac:dyDescent="0.15">
      <c r="A2139" s="2" t="s">
        <v>4526</v>
      </c>
      <c r="B2139" s="2" t="s">
        <v>4527</v>
      </c>
      <c r="C2139" s="2">
        <v>0.79</v>
      </c>
      <c r="D2139" s="2">
        <v>1.2576000000000001</v>
      </c>
      <c r="E2139" s="2" t="s">
        <v>2678</v>
      </c>
      <c r="F2139" s="2" t="e">
        <f>VLOOKUP(B2139,MSCI中国成分股!A:B,1,)</f>
        <v>#N/A</v>
      </c>
    </row>
    <row r="2140" spans="1:6" ht="20.25" hidden="1" customHeight="1" x14ac:dyDescent="0.15">
      <c r="A2140" s="2" t="s">
        <v>4528</v>
      </c>
      <c r="B2140" s="2" t="s">
        <v>4529</v>
      </c>
      <c r="C2140" s="2">
        <v>1.26</v>
      </c>
      <c r="D2140" s="2">
        <v>0.37690000000000001</v>
      </c>
      <c r="E2140" s="2" t="s">
        <v>1403</v>
      </c>
      <c r="F2140" s="2" t="e">
        <f>VLOOKUP(B2140,MSCI中国成分股!A:B,1,)</f>
        <v>#N/A</v>
      </c>
    </row>
    <row r="2141" spans="1:6" ht="20.25" hidden="1" customHeight="1" x14ac:dyDescent="0.15">
      <c r="A2141" s="2" t="s">
        <v>4530</v>
      </c>
      <c r="B2141" s="2" t="s">
        <v>4531</v>
      </c>
      <c r="C2141" s="2">
        <v>2.37</v>
      </c>
      <c r="D2141" s="2">
        <v>0.45960000000000001</v>
      </c>
      <c r="E2141" s="2" t="s">
        <v>89</v>
      </c>
      <c r="F2141" s="2" t="e">
        <f>VLOOKUP(B2141,MSCI中国成分股!A:B,1,)</f>
        <v>#N/A</v>
      </c>
    </row>
    <row r="2142" spans="1:6" ht="20.25" hidden="1" customHeight="1" x14ac:dyDescent="0.15">
      <c r="A2142" s="2" t="s">
        <v>4532</v>
      </c>
      <c r="B2142" s="2" t="s">
        <v>4533</v>
      </c>
      <c r="C2142" s="2">
        <v>0.39</v>
      </c>
      <c r="D2142" s="2">
        <v>0.1017</v>
      </c>
      <c r="E2142" s="2" t="s">
        <v>1873</v>
      </c>
      <c r="F2142" s="2" t="e">
        <f>VLOOKUP(B2142,MSCI中国成分股!A:B,1,)</f>
        <v>#N/A</v>
      </c>
    </row>
    <row r="2143" spans="1:6" ht="20.25" hidden="1" customHeight="1" x14ac:dyDescent="0.15">
      <c r="A2143" s="2" t="s">
        <v>4534</v>
      </c>
      <c r="B2143" s="2" t="s">
        <v>4535</v>
      </c>
      <c r="C2143" s="2">
        <v>0.03</v>
      </c>
      <c r="D2143" s="2">
        <v>2.8887</v>
      </c>
      <c r="E2143" s="2" t="s">
        <v>2063</v>
      </c>
      <c r="F2143" s="2" t="e">
        <f>VLOOKUP(B2143,MSCI中国成分股!A:B,1,)</f>
        <v>#N/A</v>
      </c>
    </row>
    <row r="2144" spans="1:6" ht="20.25" hidden="1" customHeight="1" x14ac:dyDescent="0.15">
      <c r="A2144" s="2" t="s">
        <v>4536</v>
      </c>
      <c r="B2144" s="2" t="s">
        <v>4537</v>
      </c>
      <c r="C2144" s="2">
        <v>-0.27</v>
      </c>
      <c r="D2144" s="2">
        <v>42.951599999999999</v>
      </c>
      <c r="E2144" s="2" t="s">
        <v>471</v>
      </c>
      <c r="F2144" s="2" t="e">
        <f>VLOOKUP(B2144,MSCI中国成分股!A:B,1,)</f>
        <v>#N/A</v>
      </c>
    </row>
    <row r="2145" spans="1:6" ht="20.25" hidden="1" customHeight="1" x14ac:dyDescent="0.15">
      <c r="A2145" s="2" t="s">
        <v>4538</v>
      </c>
      <c r="B2145" s="2" t="s">
        <v>4539</v>
      </c>
      <c r="C2145" s="2">
        <v>0.01</v>
      </c>
      <c r="D2145" s="2">
        <v>377.87009999999998</v>
      </c>
      <c r="E2145" s="2" t="s">
        <v>713</v>
      </c>
      <c r="F2145" s="2" t="e">
        <f>VLOOKUP(B2145,MSCI中国成分股!A:B,1,)</f>
        <v>#N/A</v>
      </c>
    </row>
    <row r="2146" spans="1:6" ht="20.25" hidden="1" customHeight="1" x14ac:dyDescent="0.15">
      <c r="A2146" s="2" t="s">
        <v>4540</v>
      </c>
      <c r="B2146" s="2" t="s">
        <v>4541</v>
      </c>
      <c r="C2146" s="2">
        <v>-1.19</v>
      </c>
      <c r="D2146" s="2">
        <v>31.580100000000002</v>
      </c>
      <c r="E2146" s="2" t="s">
        <v>385</v>
      </c>
      <c r="F2146" s="2" t="e">
        <f>VLOOKUP(B2146,MSCI中国成分股!A:B,1,)</f>
        <v>#N/A</v>
      </c>
    </row>
    <row r="2147" spans="1:6" ht="20.25" hidden="1" customHeight="1" x14ac:dyDescent="0.15">
      <c r="A2147" s="2" t="s">
        <v>4542</v>
      </c>
      <c r="B2147" s="2" t="s">
        <v>4543</v>
      </c>
      <c r="C2147" s="2">
        <v>2.44</v>
      </c>
      <c r="D2147" s="2">
        <v>2.9645999999999999</v>
      </c>
      <c r="E2147" s="2" t="s">
        <v>44</v>
      </c>
      <c r="F2147" s="2" t="e">
        <f>VLOOKUP(B2147,MSCI中国成分股!A:B,1,)</f>
        <v>#N/A</v>
      </c>
    </row>
    <row r="2148" spans="1:6" ht="20.25" hidden="1" customHeight="1" x14ac:dyDescent="0.15">
      <c r="A2148" s="2" t="s">
        <v>4544</v>
      </c>
      <c r="B2148" s="2" t="s">
        <v>4545</v>
      </c>
      <c r="C2148" s="2">
        <v>-0.34</v>
      </c>
      <c r="D2148" s="2">
        <v>7.5621999999999998</v>
      </c>
      <c r="E2148" s="2" t="s">
        <v>123</v>
      </c>
      <c r="F2148" s="2" t="e">
        <f>VLOOKUP(B2148,MSCI中国成分股!A:B,1,)</f>
        <v>#N/A</v>
      </c>
    </row>
    <row r="2149" spans="1:6" ht="20.25" hidden="1" customHeight="1" x14ac:dyDescent="0.15">
      <c r="A2149" s="2" t="s">
        <v>4546</v>
      </c>
      <c r="B2149" s="2" t="s">
        <v>4547</v>
      </c>
      <c r="C2149" s="2">
        <v>0.6</v>
      </c>
      <c r="D2149" s="2">
        <v>4.1203000000000003</v>
      </c>
      <c r="E2149" s="2" t="s">
        <v>55</v>
      </c>
      <c r="F2149" s="2" t="e">
        <f>VLOOKUP(B2149,MSCI中国成分股!A:B,1,)</f>
        <v>#N/A</v>
      </c>
    </row>
    <row r="2150" spans="1:6" ht="20.25" hidden="1" customHeight="1" x14ac:dyDescent="0.15">
      <c r="A2150" s="2" t="s">
        <v>4548</v>
      </c>
      <c r="B2150" s="2" t="s">
        <v>4549</v>
      </c>
      <c r="C2150" s="2">
        <v>0.14000000000000001</v>
      </c>
      <c r="D2150" s="2">
        <v>0.90429999999999999</v>
      </c>
      <c r="E2150" s="2" t="s">
        <v>126</v>
      </c>
      <c r="F2150" s="2" t="e">
        <f>VLOOKUP(B2150,MSCI中国成分股!A:B,1,)</f>
        <v>#N/A</v>
      </c>
    </row>
    <row r="2151" spans="1:6" ht="20.25" hidden="1" customHeight="1" x14ac:dyDescent="0.15">
      <c r="A2151" s="2" t="s">
        <v>4550</v>
      </c>
      <c r="B2151" s="2" t="s">
        <v>4551</v>
      </c>
      <c r="C2151" s="2">
        <v>0.59</v>
      </c>
      <c r="D2151" s="2">
        <v>0.65539999999999998</v>
      </c>
      <c r="E2151" s="2" t="s">
        <v>736</v>
      </c>
      <c r="F2151" s="2" t="e">
        <f>VLOOKUP(B2151,MSCI中国成分股!A:B,1,)</f>
        <v>#N/A</v>
      </c>
    </row>
    <row r="2152" spans="1:6" ht="20.25" hidden="1" customHeight="1" x14ac:dyDescent="0.15">
      <c r="A2152" s="2" t="s">
        <v>4552</v>
      </c>
      <c r="B2152" s="2" t="s">
        <v>4553</v>
      </c>
      <c r="C2152" s="2">
        <v>-0.04</v>
      </c>
      <c r="D2152" s="2">
        <v>0.40639999999999998</v>
      </c>
      <c r="E2152" s="2" t="s">
        <v>220</v>
      </c>
      <c r="F2152" s="2" t="e">
        <f>VLOOKUP(B2152,MSCI中国成分股!A:B,1,)</f>
        <v>#N/A</v>
      </c>
    </row>
    <row r="2153" spans="1:6" ht="20.25" hidden="1" customHeight="1" x14ac:dyDescent="0.15">
      <c r="A2153" s="2" t="s">
        <v>4554</v>
      </c>
      <c r="B2153" s="2" t="s">
        <v>4555</v>
      </c>
      <c r="C2153" s="2">
        <v>1.24</v>
      </c>
      <c r="D2153" s="2">
        <v>0.79700000000000004</v>
      </c>
      <c r="E2153" s="2" t="s">
        <v>571</v>
      </c>
      <c r="F2153" s="2" t="e">
        <f>VLOOKUP(B2153,MSCI中国成分股!A:B,1,)</f>
        <v>#N/A</v>
      </c>
    </row>
    <row r="2154" spans="1:6" ht="20.25" hidden="1" customHeight="1" x14ac:dyDescent="0.15">
      <c r="A2154" s="2" t="s">
        <v>4556</v>
      </c>
      <c r="B2154" s="2" t="s">
        <v>4557</v>
      </c>
      <c r="C2154" s="2">
        <v>0.46</v>
      </c>
      <c r="D2154" s="2">
        <v>355.7278</v>
      </c>
      <c r="E2154" s="2" t="s">
        <v>647</v>
      </c>
      <c r="F2154" s="2" t="e">
        <f>VLOOKUP(B2154,MSCI中国成分股!A:B,1,)</f>
        <v>#N/A</v>
      </c>
    </row>
    <row r="2155" spans="1:6" ht="20.25" hidden="1" customHeight="1" x14ac:dyDescent="0.15">
      <c r="A2155" s="2" t="s">
        <v>4558</v>
      </c>
      <c r="B2155" s="2" t="s">
        <v>4559</v>
      </c>
      <c r="C2155" s="2">
        <v>2.57</v>
      </c>
      <c r="D2155" s="2">
        <v>3.6013000000000002</v>
      </c>
      <c r="E2155" s="2" t="s">
        <v>140</v>
      </c>
      <c r="F2155" s="2" t="e">
        <f>VLOOKUP(B2155,MSCI中国成分股!A:B,1,)</f>
        <v>#N/A</v>
      </c>
    </row>
    <row r="2156" spans="1:6" ht="20.25" hidden="1" customHeight="1" x14ac:dyDescent="0.15">
      <c r="A2156" s="2" t="s">
        <v>4560</v>
      </c>
      <c r="B2156" s="2" t="s">
        <v>4561</v>
      </c>
      <c r="C2156" s="2">
        <v>2.0299999999999998</v>
      </c>
      <c r="D2156" s="2">
        <v>0.79610000000000003</v>
      </c>
      <c r="E2156" s="2" t="s">
        <v>1853</v>
      </c>
      <c r="F2156" s="2" t="e">
        <f>VLOOKUP(B2156,MSCI中国成分股!A:B,1,)</f>
        <v>#N/A</v>
      </c>
    </row>
    <row r="2157" spans="1:6" ht="20.25" hidden="1" customHeight="1" x14ac:dyDescent="0.15">
      <c r="A2157" s="2" t="s">
        <v>4562</v>
      </c>
      <c r="B2157" s="2" t="s">
        <v>4563</v>
      </c>
      <c r="C2157" s="2">
        <v>3.6549999999999998</v>
      </c>
      <c r="D2157" s="2">
        <v>4.3314000000000004</v>
      </c>
      <c r="E2157" s="2" t="s">
        <v>1994</v>
      </c>
      <c r="F2157" s="2" t="e">
        <f>VLOOKUP(B2157,MSCI中国成分股!A:B,1,)</f>
        <v>#N/A</v>
      </c>
    </row>
    <row r="2158" spans="1:6" ht="20.25" hidden="1" customHeight="1" x14ac:dyDescent="0.15">
      <c r="A2158" s="2" t="s">
        <v>4564</v>
      </c>
      <c r="B2158" s="2" t="s">
        <v>4565</v>
      </c>
      <c r="C2158" s="2">
        <v>0.47</v>
      </c>
      <c r="D2158" s="2">
        <v>1.2859</v>
      </c>
      <c r="E2158" s="2" t="s">
        <v>245</v>
      </c>
      <c r="F2158" s="2" t="e">
        <f>VLOOKUP(B2158,MSCI中国成分股!A:B,1,)</f>
        <v>#N/A</v>
      </c>
    </row>
    <row r="2159" spans="1:6" ht="20.25" hidden="1" customHeight="1" x14ac:dyDescent="0.15">
      <c r="A2159" s="2" t="s">
        <v>4566</v>
      </c>
      <c r="B2159" s="2" t="s">
        <v>4567</v>
      </c>
      <c r="C2159" s="2">
        <v>3.29</v>
      </c>
      <c r="D2159" s="2">
        <v>2.1198999999999999</v>
      </c>
      <c r="E2159" s="2" t="s">
        <v>140</v>
      </c>
      <c r="F2159" s="2" t="e">
        <f>VLOOKUP(B2159,MSCI中国成分股!A:B,1,)</f>
        <v>#N/A</v>
      </c>
    </row>
    <row r="2160" spans="1:6" ht="20.25" hidden="1" customHeight="1" x14ac:dyDescent="0.15">
      <c r="A2160" s="2" t="s">
        <v>4568</v>
      </c>
      <c r="B2160" s="2" t="s">
        <v>4569</v>
      </c>
      <c r="C2160" s="2">
        <v>-3.37</v>
      </c>
      <c r="D2160" s="2">
        <v>79.656999999999996</v>
      </c>
      <c r="E2160" s="2" t="s">
        <v>630</v>
      </c>
      <c r="F2160" s="2" t="e">
        <f>VLOOKUP(B2160,MSCI中国成分股!A:B,1,)</f>
        <v>#N/A</v>
      </c>
    </row>
    <row r="2161" spans="1:6" ht="20.25" hidden="1" customHeight="1" x14ac:dyDescent="0.15">
      <c r="A2161" s="2" t="s">
        <v>4570</v>
      </c>
      <c r="B2161" s="2" t="s">
        <v>4571</v>
      </c>
      <c r="C2161" s="2">
        <v>0.32</v>
      </c>
      <c r="D2161" s="2">
        <v>4.3719000000000001</v>
      </c>
      <c r="E2161" s="2" t="s">
        <v>171</v>
      </c>
      <c r="F2161" s="2" t="e">
        <f>VLOOKUP(B2161,MSCI中国成分股!A:B,1,)</f>
        <v>#N/A</v>
      </c>
    </row>
    <row r="2162" spans="1:6" ht="20.25" hidden="1" customHeight="1" x14ac:dyDescent="0.15">
      <c r="A2162" s="2" t="s">
        <v>4572</v>
      </c>
      <c r="B2162" s="2" t="s">
        <v>4573</v>
      </c>
      <c r="C2162" s="2">
        <v>-4.17</v>
      </c>
      <c r="D2162" s="2">
        <v>614.25429999999994</v>
      </c>
      <c r="E2162" s="2" t="s">
        <v>1224</v>
      </c>
      <c r="F2162" s="2" t="e">
        <f>VLOOKUP(B2162,MSCI中国成分股!A:B,1,)</f>
        <v>#N/A</v>
      </c>
    </row>
    <row r="2163" spans="1:6" ht="20.25" hidden="1" customHeight="1" x14ac:dyDescent="0.15">
      <c r="A2163" s="2" t="s">
        <v>4574</v>
      </c>
      <c r="B2163" s="2" t="s">
        <v>4575</v>
      </c>
      <c r="C2163" s="2">
        <v>0.47</v>
      </c>
      <c r="D2163" s="2">
        <v>0.22320000000000001</v>
      </c>
      <c r="E2163" s="2" t="s">
        <v>459</v>
      </c>
      <c r="F2163" s="2" t="e">
        <f>VLOOKUP(B2163,MSCI中国成分股!A:B,1,)</f>
        <v>#N/A</v>
      </c>
    </row>
    <row r="2164" spans="1:6" ht="20.25" hidden="1" customHeight="1" x14ac:dyDescent="0.15">
      <c r="A2164" s="2" t="s">
        <v>4576</v>
      </c>
      <c r="B2164" s="2" t="s">
        <v>4577</v>
      </c>
      <c r="C2164" s="2">
        <v>0.67</v>
      </c>
      <c r="D2164" s="2">
        <v>13.734500000000001</v>
      </c>
      <c r="E2164" s="2" t="s">
        <v>638</v>
      </c>
      <c r="F2164" s="2" t="e">
        <f>VLOOKUP(B2164,MSCI中国成分股!A:B,1,)</f>
        <v>#N/A</v>
      </c>
    </row>
    <row r="2165" spans="1:6" ht="20.25" hidden="1" customHeight="1" x14ac:dyDescent="0.15">
      <c r="A2165" s="2" t="s">
        <v>4578</v>
      </c>
      <c r="B2165" s="2" t="s">
        <v>4579</v>
      </c>
      <c r="C2165" s="2">
        <v>0.68</v>
      </c>
      <c r="D2165" s="2">
        <v>1.2949999999999999</v>
      </c>
      <c r="E2165" s="2" t="s">
        <v>368</v>
      </c>
      <c r="F2165" s="2" t="e">
        <f>VLOOKUP(B2165,MSCI中国成分股!A:B,1,)</f>
        <v>#N/A</v>
      </c>
    </row>
    <row r="2166" spans="1:6" ht="20.25" hidden="1" customHeight="1" x14ac:dyDescent="0.15">
      <c r="A2166" s="2" t="s">
        <v>4580</v>
      </c>
      <c r="B2166" s="2" t="s">
        <v>4581</v>
      </c>
      <c r="C2166" s="2">
        <v>2.63</v>
      </c>
      <c r="D2166" s="2">
        <v>1.7002999999999999</v>
      </c>
      <c r="E2166" s="2" t="s">
        <v>86</v>
      </c>
      <c r="F2166" s="2" t="e">
        <f>VLOOKUP(B2166,MSCI中国成分股!A:B,1,)</f>
        <v>#N/A</v>
      </c>
    </row>
    <row r="2167" spans="1:6" ht="20.25" hidden="1" customHeight="1" x14ac:dyDescent="0.15">
      <c r="A2167" s="2" t="s">
        <v>4582</v>
      </c>
      <c r="B2167" s="2" t="s">
        <v>4583</v>
      </c>
      <c r="C2167" s="2">
        <v>2.48</v>
      </c>
      <c r="D2167" s="2">
        <v>2.9986999999999999</v>
      </c>
      <c r="E2167" s="2" t="s">
        <v>176</v>
      </c>
      <c r="F2167" s="2" t="e">
        <f>VLOOKUP(B2167,MSCI中国成分股!A:B,1,)</f>
        <v>#N/A</v>
      </c>
    </row>
    <row r="2168" spans="1:6" ht="20.25" hidden="1" customHeight="1" x14ac:dyDescent="0.15">
      <c r="A2168" s="2" t="s">
        <v>4584</v>
      </c>
      <c r="B2168" s="2" t="s">
        <v>4585</v>
      </c>
      <c r="C2168" s="2">
        <v>1.52</v>
      </c>
      <c r="D2168" s="2">
        <v>0.50229999999999997</v>
      </c>
      <c r="E2168" s="2" t="s">
        <v>713</v>
      </c>
      <c r="F2168" s="2" t="e">
        <f>VLOOKUP(B2168,MSCI中国成分股!A:B,1,)</f>
        <v>#N/A</v>
      </c>
    </row>
    <row r="2169" spans="1:6" ht="20.25" hidden="1" customHeight="1" x14ac:dyDescent="0.15">
      <c r="A2169" s="2" t="s">
        <v>4586</v>
      </c>
      <c r="B2169" s="2" t="s">
        <v>4587</v>
      </c>
      <c r="C2169" s="2">
        <v>0.1</v>
      </c>
      <c r="D2169" s="2">
        <v>0.5494</v>
      </c>
      <c r="E2169" s="2" t="s">
        <v>220</v>
      </c>
      <c r="F2169" s="2" t="e">
        <f>VLOOKUP(B2169,MSCI中国成分股!A:B,1,)</f>
        <v>#N/A</v>
      </c>
    </row>
    <row r="2170" spans="1:6" ht="20.25" hidden="1" customHeight="1" x14ac:dyDescent="0.15">
      <c r="A2170" s="2" t="s">
        <v>4588</v>
      </c>
      <c r="B2170" s="2" t="s">
        <v>4589</v>
      </c>
      <c r="C2170" s="2">
        <v>0.56000000000000005</v>
      </c>
      <c r="D2170" s="2">
        <v>0.27900000000000003</v>
      </c>
      <c r="E2170" s="2" t="s">
        <v>1712</v>
      </c>
      <c r="F2170" s="2" t="e">
        <f>VLOOKUP(B2170,MSCI中国成分股!A:B,1,)</f>
        <v>#N/A</v>
      </c>
    </row>
    <row r="2171" spans="1:6" ht="20.25" hidden="1" customHeight="1" x14ac:dyDescent="0.15">
      <c r="A2171" s="2" t="s">
        <v>4590</v>
      </c>
      <c r="B2171" s="2" t="s">
        <v>4591</v>
      </c>
      <c r="C2171" s="2">
        <v>0.625</v>
      </c>
      <c r="D2171" s="2">
        <v>1.3915999999999999</v>
      </c>
      <c r="E2171" s="2" t="s">
        <v>149</v>
      </c>
      <c r="F2171" s="2" t="e">
        <f>VLOOKUP(B2171,MSCI中国成分股!A:B,1,)</f>
        <v>#N/A</v>
      </c>
    </row>
    <row r="2172" spans="1:6" ht="20.25" hidden="1" customHeight="1" x14ac:dyDescent="0.15">
      <c r="A2172" s="2" t="s">
        <v>4592</v>
      </c>
      <c r="B2172" s="2" t="s">
        <v>4593</v>
      </c>
      <c r="C2172" s="2">
        <v>1.06</v>
      </c>
      <c r="D2172" s="2">
        <v>1.2791999999999999</v>
      </c>
      <c r="E2172" s="2" t="s">
        <v>501</v>
      </c>
      <c r="F2172" s="2" t="e">
        <f>VLOOKUP(B2172,MSCI中国成分股!A:B,1,)</f>
        <v>#N/A</v>
      </c>
    </row>
    <row r="2173" spans="1:6" ht="20.25" hidden="1" customHeight="1" x14ac:dyDescent="0.15">
      <c r="A2173" s="2" t="s">
        <v>4594</v>
      </c>
      <c r="B2173" s="2" t="s">
        <v>4595</v>
      </c>
      <c r="C2173" s="2">
        <v>0.19</v>
      </c>
      <c r="D2173" s="2">
        <v>132.2499</v>
      </c>
      <c r="E2173" s="2" t="s">
        <v>299</v>
      </c>
      <c r="F2173" s="2" t="e">
        <f>VLOOKUP(B2173,MSCI中国成分股!A:B,1,)</f>
        <v>#N/A</v>
      </c>
    </row>
    <row r="2174" spans="1:6" ht="20.25" hidden="1" customHeight="1" x14ac:dyDescent="0.15">
      <c r="A2174" s="2" t="s">
        <v>4596</v>
      </c>
      <c r="B2174" s="2" t="s">
        <v>4597</v>
      </c>
      <c r="C2174" s="2">
        <v>0.5</v>
      </c>
      <c r="D2174" s="2">
        <v>2.1886000000000001</v>
      </c>
      <c r="E2174" s="2" t="s">
        <v>690</v>
      </c>
      <c r="F2174" s="2" t="e">
        <f>VLOOKUP(B2174,MSCI中国成分股!A:B,1,)</f>
        <v>#N/A</v>
      </c>
    </row>
    <row r="2175" spans="1:6" ht="20.25" hidden="1" customHeight="1" x14ac:dyDescent="0.15">
      <c r="A2175" s="2" t="s">
        <v>4598</v>
      </c>
      <c r="B2175" s="2" t="s">
        <v>4599</v>
      </c>
      <c r="C2175" s="2">
        <v>-0.09</v>
      </c>
      <c r="D2175" s="2">
        <v>1.0085999999999999</v>
      </c>
      <c r="E2175" s="2" t="s">
        <v>86</v>
      </c>
      <c r="F2175" s="2" t="e">
        <f>VLOOKUP(B2175,MSCI中国成分股!A:B,1,)</f>
        <v>#N/A</v>
      </c>
    </row>
    <row r="2176" spans="1:6" ht="20.25" hidden="1" customHeight="1" x14ac:dyDescent="0.15">
      <c r="A2176" s="2" t="s">
        <v>4600</v>
      </c>
      <c r="B2176" s="2" t="s">
        <v>4601</v>
      </c>
      <c r="C2176" s="2">
        <v>1.62</v>
      </c>
      <c r="D2176" s="2">
        <v>1.1337999999999999</v>
      </c>
      <c r="E2176" s="2" t="s">
        <v>667</v>
      </c>
      <c r="F2176" s="2" t="e">
        <f>VLOOKUP(B2176,MSCI中国成分股!A:B,1,)</f>
        <v>#N/A</v>
      </c>
    </row>
    <row r="2177" spans="1:6" ht="20.25" hidden="1" customHeight="1" x14ac:dyDescent="0.15">
      <c r="A2177" s="2" t="s">
        <v>4602</v>
      </c>
      <c r="B2177" s="2" t="s">
        <v>4603</v>
      </c>
      <c r="C2177" s="2">
        <v>-0.59</v>
      </c>
      <c r="D2177" s="2">
        <v>3.0143</v>
      </c>
      <c r="E2177" s="2" t="s">
        <v>385</v>
      </c>
      <c r="F2177" s="2" t="e">
        <f>VLOOKUP(B2177,MSCI中国成分股!A:B,1,)</f>
        <v>#N/A</v>
      </c>
    </row>
    <row r="2178" spans="1:6" ht="20.25" hidden="1" customHeight="1" x14ac:dyDescent="0.15">
      <c r="A2178" s="2" t="s">
        <v>4604</v>
      </c>
      <c r="B2178" s="2" t="s">
        <v>4605</v>
      </c>
      <c r="C2178" s="2">
        <v>0.47</v>
      </c>
      <c r="D2178" s="2">
        <v>0.19420000000000001</v>
      </c>
      <c r="E2178" s="2" t="s">
        <v>123</v>
      </c>
      <c r="F2178" s="2" t="e">
        <f>VLOOKUP(B2178,MSCI中国成分股!A:B,1,)</f>
        <v>#N/A</v>
      </c>
    </row>
    <row r="2179" spans="1:6" ht="20.25" hidden="1" customHeight="1" x14ac:dyDescent="0.15">
      <c r="A2179" s="2" t="s">
        <v>4606</v>
      </c>
      <c r="B2179" s="2" t="s">
        <v>4607</v>
      </c>
      <c r="C2179" s="2">
        <v>0.98</v>
      </c>
      <c r="D2179" s="2">
        <v>9.9850999999999992</v>
      </c>
      <c r="E2179" s="2" t="s">
        <v>396</v>
      </c>
      <c r="F2179" s="2" t="e">
        <f>VLOOKUP(B2179,MSCI中国成分股!A:B,1,)</f>
        <v>#N/A</v>
      </c>
    </row>
    <row r="2180" spans="1:6" ht="20.25" hidden="1" customHeight="1" x14ac:dyDescent="0.15">
      <c r="A2180" s="2" t="s">
        <v>4608</v>
      </c>
      <c r="B2180" s="2" t="s">
        <v>4609</v>
      </c>
      <c r="C2180" s="2">
        <v>1.22</v>
      </c>
      <c r="D2180" s="2">
        <v>0.40310000000000001</v>
      </c>
      <c r="E2180" s="2" t="s">
        <v>787</v>
      </c>
      <c r="F2180" s="2" t="e">
        <f>VLOOKUP(B2180,MSCI中国成分股!A:B,1,)</f>
        <v>#N/A</v>
      </c>
    </row>
    <row r="2181" spans="1:6" ht="20.25" hidden="1" customHeight="1" x14ac:dyDescent="0.15">
      <c r="A2181" s="2" t="s">
        <v>4610</v>
      </c>
      <c r="B2181" s="2" t="s">
        <v>4611</v>
      </c>
      <c r="C2181" s="2">
        <v>3.03</v>
      </c>
      <c r="D2181" s="2">
        <v>11.145799999999999</v>
      </c>
      <c r="E2181" s="2" t="s">
        <v>1338</v>
      </c>
      <c r="F2181" s="2" t="e">
        <f>VLOOKUP(B2181,MSCI中国成分股!A:B,1,)</f>
        <v>#N/A</v>
      </c>
    </row>
    <row r="2182" spans="1:6" ht="20.25" hidden="1" customHeight="1" x14ac:dyDescent="0.15">
      <c r="A2182" s="2" t="s">
        <v>4612</v>
      </c>
      <c r="B2182" s="2" t="s">
        <v>4613</v>
      </c>
      <c r="C2182" s="2">
        <v>1.37</v>
      </c>
      <c r="D2182" s="2">
        <v>1.9795</v>
      </c>
      <c r="E2182" s="2" t="s">
        <v>1774</v>
      </c>
      <c r="F2182" s="2" t="e">
        <f>VLOOKUP(B2182,MSCI中国成分股!A:B,1,)</f>
        <v>#N/A</v>
      </c>
    </row>
    <row r="2183" spans="1:6" ht="20.25" hidden="1" customHeight="1" x14ac:dyDescent="0.15">
      <c r="A2183" s="2" t="s">
        <v>4614</v>
      </c>
      <c r="B2183" s="2" t="s">
        <v>4615</v>
      </c>
      <c r="C2183" s="2">
        <v>-1.2549999999999999</v>
      </c>
      <c r="D2183" s="2">
        <v>1.4100999999999999</v>
      </c>
      <c r="E2183" s="2" t="s">
        <v>1515</v>
      </c>
      <c r="F2183" s="2" t="e">
        <f>VLOOKUP(B2183,MSCI中国成分股!A:B,1,)</f>
        <v>#N/A</v>
      </c>
    </row>
    <row r="2184" spans="1:6" ht="20.25" hidden="1" customHeight="1" x14ac:dyDescent="0.15">
      <c r="A2184" s="2" t="s">
        <v>4616</v>
      </c>
      <c r="B2184" s="2" t="s">
        <v>4617</v>
      </c>
      <c r="C2184" s="2">
        <v>2.13</v>
      </c>
      <c r="D2184" s="2">
        <v>0.19869999999999999</v>
      </c>
      <c r="E2184" s="2" t="s">
        <v>368</v>
      </c>
      <c r="F2184" s="2" t="e">
        <f>VLOOKUP(B2184,MSCI中国成分股!A:B,1,)</f>
        <v>#N/A</v>
      </c>
    </row>
    <row r="2185" spans="1:6" ht="20.25" hidden="1" customHeight="1" x14ac:dyDescent="0.15">
      <c r="A2185" s="2" t="s">
        <v>4618</v>
      </c>
      <c r="B2185" s="2" t="s">
        <v>4619</v>
      </c>
      <c r="C2185" s="2">
        <v>3.69</v>
      </c>
      <c r="D2185" s="2">
        <v>9.9466999999999999</v>
      </c>
      <c r="E2185" s="2" t="s">
        <v>2681</v>
      </c>
      <c r="F2185" s="2" t="e">
        <f>VLOOKUP(B2185,MSCI中国成分股!A:B,1,)</f>
        <v>#N/A</v>
      </c>
    </row>
    <row r="2186" spans="1:6" ht="20.25" hidden="1" customHeight="1" x14ac:dyDescent="0.15">
      <c r="A2186" s="2" t="s">
        <v>4620</v>
      </c>
      <c r="B2186" s="2" t="s">
        <v>4621</v>
      </c>
      <c r="C2186" s="2">
        <v>-1.8</v>
      </c>
      <c r="D2186" s="2">
        <v>5.5888999999999998</v>
      </c>
      <c r="E2186" s="2" t="s">
        <v>647</v>
      </c>
      <c r="F2186" s="2" t="e">
        <f>VLOOKUP(B2186,MSCI中国成分股!A:B,1,)</f>
        <v>#N/A</v>
      </c>
    </row>
    <row r="2187" spans="1:6" ht="20.25" hidden="1" customHeight="1" x14ac:dyDescent="0.15">
      <c r="A2187" s="2" t="s">
        <v>4622</v>
      </c>
      <c r="B2187" s="2" t="s">
        <v>4623</v>
      </c>
      <c r="C2187" s="2">
        <v>-1.23</v>
      </c>
      <c r="D2187" s="2">
        <v>2.1715</v>
      </c>
      <c r="E2187" s="2" t="s">
        <v>1066</v>
      </c>
      <c r="F2187" s="2" t="e">
        <f>VLOOKUP(B2187,MSCI中国成分股!A:B,1,)</f>
        <v>#N/A</v>
      </c>
    </row>
    <row r="2188" spans="1:6" ht="20.25" hidden="1" customHeight="1" x14ac:dyDescent="0.15">
      <c r="A2188" s="2" t="s">
        <v>4624</v>
      </c>
      <c r="B2188" s="2" t="s">
        <v>4625</v>
      </c>
      <c r="C2188" s="2">
        <v>0.72</v>
      </c>
      <c r="D2188" s="2">
        <v>0.31530000000000002</v>
      </c>
      <c r="E2188" s="2" t="s">
        <v>664</v>
      </c>
      <c r="F2188" s="2" t="e">
        <f>VLOOKUP(B2188,MSCI中国成分股!A:B,1,)</f>
        <v>#N/A</v>
      </c>
    </row>
    <row r="2189" spans="1:6" ht="20.25" hidden="1" customHeight="1" x14ac:dyDescent="0.15">
      <c r="A2189" s="2" t="s">
        <v>4626</v>
      </c>
      <c r="B2189" s="2" t="s">
        <v>4627</v>
      </c>
      <c r="C2189" s="2">
        <v>3.49</v>
      </c>
      <c r="D2189" s="2">
        <v>6.6966999999999999</v>
      </c>
      <c r="E2189" s="2" t="s">
        <v>1593</v>
      </c>
      <c r="F2189" s="2" t="e">
        <f>VLOOKUP(B2189,MSCI中国成分股!A:B,1,)</f>
        <v>#N/A</v>
      </c>
    </row>
    <row r="2190" spans="1:6" ht="20.25" hidden="1" customHeight="1" x14ac:dyDescent="0.15">
      <c r="A2190" s="2" t="s">
        <v>4628</v>
      </c>
      <c r="B2190" s="2" t="s">
        <v>4629</v>
      </c>
      <c r="C2190" s="2">
        <v>0.36</v>
      </c>
      <c r="D2190" s="2">
        <v>7.0373000000000001</v>
      </c>
      <c r="E2190" s="2" t="s">
        <v>171</v>
      </c>
      <c r="F2190" s="2" t="e">
        <f>VLOOKUP(B2190,MSCI中国成分股!A:B,1,)</f>
        <v>#N/A</v>
      </c>
    </row>
    <row r="2191" spans="1:6" ht="20.25" hidden="1" customHeight="1" x14ac:dyDescent="0.15">
      <c r="A2191" s="2" t="s">
        <v>4630</v>
      </c>
      <c r="B2191" s="2" t="s">
        <v>4631</v>
      </c>
      <c r="C2191" s="2">
        <v>0.39</v>
      </c>
      <c r="D2191" s="2">
        <v>0.36899999999999999</v>
      </c>
      <c r="E2191" s="2" t="s">
        <v>81</v>
      </c>
      <c r="F2191" s="2" t="e">
        <f>VLOOKUP(B2191,MSCI中国成分股!A:B,1,)</f>
        <v>#N/A</v>
      </c>
    </row>
    <row r="2192" spans="1:6" ht="20.25" hidden="1" customHeight="1" x14ac:dyDescent="0.15">
      <c r="A2192" s="2" t="s">
        <v>4632</v>
      </c>
      <c r="B2192" s="2" t="s">
        <v>4633</v>
      </c>
      <c r="C2192" s="2">
        <v>-1.9</v>
      </c>
      <c r="D2192" s="2">
        <v>13.9975</v>
      </c>
      <c r="E2192" s="2" t="s">
        <v>146</v>
      </c>
      <c r="F2192" s="2" t="e">
        <f>VLOOKUP(B2192,MSCI中国成分股!A:B,1,)</f>
        <v>#N/A</v>
      </c>
    </row>
    <row r="2193" spans="1:6" ht="20.25" hidden="1" customHeight="1" x14ac:dyDescent="0.15">
      <c r="A2193" s="2" t="s">
        <v>4634</v>
      </c>
      <c r="B2193" s="2" t="s">
        <v>4635</v>
      </c>
      <c r="C2193" s="2">
        <v>1.22</v>
      </c>
      <c r="D2193" s="2">
        <v>0.6492</v>
      </c>
      <c r="E2193" s="2" t="s">
        <v>750</v>
      </c>
      <c r="F2193" s="2" t="e">
        <f>VLOOKUP(B2193,MSCI中国成分股!A:B,1,)</f>
        <v>#N/A</v>
      </c>
    </row>
    <row r="2194" spans="1:6" ht="20.25" hidden="1" customHeight="1" x14ac:dyDescent="0.15">
      <c r="A2194" s="2" t="s">
        <v>4636</v>
      </c>
      <c r="B2194" s="2" t="s">
        <v>4637</v>
      </c>
      <c r="C2194" s="2">
        <v>0.14000000000000001</v>
      </c>
      <c r="D2194" s="2">
        <v>49.86</v>
      </c>
      <c r="E2194" s="2" t="s">
        <v>68</v>
      </c>
      <c r="F2194" s="2" t="e">
        <f>VLOOKUP(B2194,MSCI中国成分股!A:B,1,)</f>
        <v>#N/A</v>
      </c>
    </row>
    <row r="2195" spans="1:6" ht="20.25" hidden="1" customHeight="1" x14ac:dyDescent="0.15">
      <c r="A2195" s="2" t="s">
        <v>4638</v>
      </c>
      <c r="B2195" s="2" t="s">
        <v>4639</v>
      </c>
      <c r="C2195" s="2">
        <v>-0.41</v>
      </c>
      <c r="D2195" s="2">
        <v>96.561700000000002</v>
      </c>
      <c r="E2195" s="2" t="s">
        <v>260</v>
      </c>
      <c r="F2195" s="2" t="e">
        <f>VLOOKUP(B2195,MSCI中国成分股!A:B,1,)</f>
        <v>#N/A</v>
      </c>
    </row>
    <row r="2196" spans="1:6" ht="20.25" hidden="1" customHeight="1" x14ac:dyDescent="0.15">
      <c r="A2196" s="2" t="s">
        <v>4640</v>
      </c>
      <c r="B2196" s="2" t="s">
        <v>4641</v>
      </c>
      <c r="C2196" s="2">
        <v>3.9</v>
      </c>
      <c r="D2196" s="2">
        <v>1.6777</v>
      </c>
      <c r="E2196" s="2" t="s">
        <v>1224</v>
      </c>
      <c r="F2196" s="2" t="e">
        <f>VLOOKUP(B2196,MSCI中国成分股!A:B,1,)</f>
        <v>#N/A</v>
      </c>
    </row>
    <row r="2197" spans="1:6" ht="20.25" hidden="1" customHeight="1" x14ac:dyDescent="0.15">
      <c r="A2197" s="2" t="s">
        <v>4642</v>
      </c>
      <c r="B2197" s="2" t="s">
        <v>4643</v>
      </c>
      <c r="C2197" s="2">
        <v>0.08</v>
      </c>
      <c r="D2197" s="2">
        <v>21.544599999999999</v>
      </c>
      <c r="E2197" s="2" t="s">
        <v>2355</v>
      </c>
      <c r="F2197" s="2" t="e">
        <f>VLOOKUP(B2197,MSCI中国成分股!A:B,1,)</f>
        <v>#N/A</v>
      </c>
    </row>
    <row r="2198" spans="1:6" ht="20.25" hidden="1" customHeight="1" x14ac:dyDescent="0.15">
      <c r="A2198" s="2" t="s">
        <v>4644</v>
      </c>
      <c r="B2198" s="2" t="s">
        <v>4645</v>
      </c>
      <c r="C2198" s="2">
        <v>0.71</v>
      </c>
      <c r="D2198" s="2">
        <v>0.1144</v>
      </c>
      <c r="E2198" s="2" t="s">
        <v>35</v>
      </c>
      <c r="F2198" s="2" t="e">
        <f>VLOOKUP(B2198,MSCI中国成分股!A:B,1,)</f>
        <v>#N/A</v>
      </c>
    </row>
    <row r="2199" spans="1:6" ht="20.25" hidden="1" customHeight="1" x14ac:dyDescent="0.15">
      <c r="A2199" s="2" t="s">
        <v>4646</v>
      </c>
      <c r="B2199" s="2" t="s">
        <v>4647</v>
      </c>
      <c r="C2199" s="2">
        <v>3.54</v>
      </c>
      <c r="D2199" s="2">
        <v>8.4008000000000003</v>
      </c>
      <c r="E2199" s="2" t="s">
        <v>1275</v>
      </c>
      <c r="F2199" s="2" t="e">
        <f>VLOOKUP(B2199,MSCI中国成分股!A:B,1,)</f>
        <v>#N/A</v>
      </c>
    </row>
    <row r="2200" spans="1:6" ht="20.25" hidden="1" customHeight="1" x14ac:dyDescent="0.15">
      <c r="A2200" s="2" t="s">
        <v>4648</v>
      </c>
      <c r="B2200" s="2" t="s">
        <v>4649</v>
      </c>
      <c r="C2200" s="2">
        <v>-0.42</v>
      </c>
      <c r="D2200" s="2">
        <v>33.535499999999999</v>
      </c>
      <c r="E2200" s="2" t="s">
        <v>371</v>
      </c>
      <c r="F2200" s="2" t="e">
        <f>VLOOKUP(B2200,MSCI中国成分股!A:B,1,)</f>
        <v>#N/A</v>
      </c>
    </row>
    <row r="2201" spans="1:6" ht="20.25" hidden="1" customHeight="1" x14ac:dyDescent="0.15">
      <c r="A2201" s="2" t="s">
        <v>4650</v>
      </c>
      <c r="B2201" s="2" t="s">
        <v>4651</v>
      </c>
      <c r="C2201" s="2">
        <v>1.07</v>
      </c>
      <c r="D2201" s="2">
        <v>0.31219999999999998</v>
      </c>
      <c r="E2201" s="2" t="s">
        <v>299</v>
      </c>
      <c r="F2201" s="2" t="e">
        <f>VLOOKUP(B2201,MSCI中国成分股!A:B,1,)</f>
        <v>#N/A</v>
      </c>
    </row>
    <row r="2202" spans="1:6" ht="20.25" hidden="1" customHeight="1" x14ac:dyDescent="0.15">
      <c r="A2202" s="2" t="s">
        <v>4652</v>
      </c>
      <c r="B2202" s="2" t="s">
        <v>4653</v>
      </c>
      <c r="C2202" s="2">
        <v>1.0900000000000001</v>
      </c>
      <c r="D2202" s="2">
        <v>3.2122999999999999</v>
      </c>
      <c r="E2202" s="2" t="s">
        <v>140</v>
      </c>
      <c r="F2202" s="2" t="e">
        <f>VLOOKUP(B2202,MSCI中国成分股!A:B,1,)</f>
        <v>#N/A</v>
      </c>
    </row>
    <row r="2203" spans="1:6" ht="20.25" hidden="1" customHeight="1" x14ac:dyDescent="0.15">
      <c r="A2203" s="2" t="s">
        <v>4654</v>
      </c>
      <c r="B2203" s="2" t="s">
        <v>4655</v>
      </c>
      <c r="C2203" s="2">
        <v>1.77</v>
      </c>
      <c r="D2203" s="2">
        <v>0.15409999999999999</v>
      </c>
      <c r="E2203" s="2" t="s">
        <v>1102</v>
      </c>
      <c r="F2203" s="2" t="e">
        <f>VLOOKUP(B2203,MSCI中国成分股!A:B,1,)</f>
        <v>#N/A</v>
      </c>
    </row>
    <row r="2204" spans="1:6" ht="20.25" hidden="1" customHeight="1" x14ac:dyDescent="0.15">
      <c r="A2204" s="2" t="s">
        <v>4656</v>
      </c>
      <c r="B2204" s="2" t="s">
        <v>4657</v>
      </c>
      <c r="C2204" s="2">
        <v>1.89</v>
      </c>
      <c r="D2204" s="2">
        <v>3.5552000000000001</v>
      </c>
      <c r="E2204" s="2" t="s">
        <v>498</v>
      </c>
      <c r="F2204" s="2" t="e">
        <f>VLOOKUP(B2204,MSCI中国成分股!A:B,1,)</f>
        <v>#N/A</v>
      </c>
    </row>
    <row r="2205" spans="1:6" ht="20.25" hidden="1" customHeight="1" x14ac:dyDescent="0.15">
      <c r="A2205" s="2" t="s">
        <v>4658</v>
      </c>
      <c r="B2205" s="2" t="s">
        <v>4659</v>
      </c>
      <c r="C2205" s="2">
        <v>0.64</v>
      </c>
      <c r="D2205" s="2">
        <v>0.33119999999999999</v>
      </c>
      <c r="E2205" s="2" t="s">
        <v>24</v>
      </c>
      <c r="F2205" s="2" t="e">
        <f>VLOOKUP(B2205,MSCI中国成分股!A:B,1,)</f>
        <v>#N/A</v>
      </c>
    </row>
    <row r="2206" spans="1:6" ht="20.25" hidden="1" customHeight="1" x14ac:dyDescent="0.15">
      <c r="A2206" s="2" t="s">
        <v>4660</v>
      </c>
      <c r="B2206" s="2" t="s">
        <v>4661</v>
      </c>
      <c r="C2206" s="2">
        <v>0.38</v>
      </c>
      <c r="D2206" s="2">
        <v>1.9373</v>
      </c>
      <c r="E2206" s="2" t="s">
        <v>220</v>
      </c>
      <c r="F2206" s="2" t="e">
        <f>VLOOKUP(B2206,MSCI中国成分股!A:B,1,)</f>
        <v>#N/A</v>
      </c>
    </row>
    <row r="2207" spans="1:6" ht="20.25" hidden="1" customHeight="1" x14ac:dyDescent="0.15">
      <c r="A2207" s="2" t="s">
        <v>4662</v>
      </c>
      <c r="B2207" s="2" t="s">
        <v>4663</v>
      </c>
      <c r="C2207" s="2">
        <v>0.61</v>
      </c>
      <c r="D2207" s="2">
        <v>1.3609</v>
      </c>
      <c r="E2207" s="2" t="s">
        <v>86</v>
      </c>
      <c r="F2207" s="2" t="e">
        <f>VLOOKUP(B2207,MSCI中国成分股!A:B,1,)</f>
        <v>#N/A</v>
      </c>
    </row>
    <row r="2208" spans="1:6" ht="20.25" hidden="1" customHeight="1" x14ac:dyDescent="0.15">
      <c r="A2208" s="2" t="s">
        <v>4664</v>
      </c>
      <c r="B2208" s="2" t="s">
        <v>4665</v>
      </c>
      <c r="C2208" s="2">
        <v>2.0099999999999998</v>
      </c>
      <c r="D2208" s="2">
        <v>4.2035999999999998</v>
      </c>
      <c r="E2208" s="2" t="s">
        <v>406</v>
      </c>
      <c r="F2208" s="2" t="e">
        <f>VLOOKUP(B2208,MSCI中国成分股!A:B,1,)</f>
        <v>#N/A</v>
      </c>
    </row>
    <row r="2209" spans="1:6" ht="20.25" hidden="1" customHeight="1" x14ac:dyDescent="0.15">
      <c r="A2209" s="2" t="s">
        <v>4666</v>
      </c>
      <c r="B2209" s="2" t="s">
        <v>4667</v>
      </c>
      <c r="C2209" s="2">
        <v>0.92</v>
      </c>
      <c r="D2209" s="2">
        <v>1.004</v>
      </c>
      <c r="E2209" s="2" t="s">
        <v>89</v>
      </c>
      <c r="F2209" s="2" t="e">
        <f>VLOOKUP(B2209,MSCI中国成分股!A:B,1,)</f>
        <v>#N/A</v>
      </c>
    </row>
    <row r="2210" spans="1:6" ht="20.25" hidden="1" customHeight="1" x14ac:dyDescent="0.15">
      <c r="A2210" s="2" t="s">
        <v>4668</v>
      </c>
      <c r="B2210" s="2" t="s">
        <v>4669</v>
      </c>
      <c r="C2210" s="2">
        <v>2.44</v>
      </c>
      <c r="D2210" s="2">
        <v>2.0257000000000001</v>
      </c>
      <c r="E2210" s="2" t="s">
        <v>596</v>
      </c>
      <c r="F2210" s="2" t="e">
        <f>VLOOKUP(B2210,MSCI中国成分股!A:B,1,)</f>
        <v>#N/A</v>
      </c>
    </row>
    <row r="2211" spans="1:6" ht="20.25" hidden="1" customHeight="1" x14ac:dyDescent="0.15">
      <c r="A2211" s="2" t="s">
        <v>4670</v>
      </c>
      <c r="B2211" s="2" t="s">
        <v>4671</v>
      </c>
      <c r="C2211" s="2">
        <v>1.1200000000000001</v>
      </c>
      <c r="D2211" s="2">
        <v>0.1575</v>
      </c>
      <c r="E2211" s="2" t="s">
        <v>1102</v>
      </c>
      <c r="F2211" s="2" t="e">
        <f>VLOOKUP(B2211,MSCI中国成分股!A:B,1,)</f>
        <v>#N/A</v>
      </c>
    </row>
    <row r="2212" spans="1:6" ht="20.25" hidden="1" customHeight="1" x14ac:dyDescent="0.15">
      <c r="A2212" s="2" t="s">
        <v>4672</v>
      </c>
      <c r="B2212" s="2" t="s">
        <v>4673</v>
      </c>
      <c r="C2212" s="2">
        <v>0.83</v>
      </c>
      <c r="D2212" s="2">
        <v>1.6011</v>
      </c>
      <c r="E2212" s="2" t="s">
        <v>44</v>
      </c>
      <c r="F2212" s="2" t="e">
        <f>VLOOKUP(B2212,MSCI中国成分股!A:B,1,)</f>
        <v>#N/A</v>
      </c>
    </row>
    <row r="2213" spans="1:6" ht="20.25" hidden="1" customHeight="1" x14ac:dyDescent="0.15">
      <c r="A2213" s="2" t="s">
        <v>4674</v>
      </c>
      <c r="B2213" s="2" t="s">
        <v>4675</v>
      </c>
      <c r="C2213" s="2">
        <v>-0.84</v>
      </c>
      <c r="D2213" s="2">
        <v>12.347300000000001</v>
      </c>
      <c r="E2213" s="2" t="s">
        <v>299</v>
      </c>
      <c r="F2213" s="2" t="e">
        <f>VLOOKUP(B2213,MSCI中国成分股!A:B,1,)</f>
        <v>#N/A</v>
      </c>
    </row>
    <row r="2214" spans="1:6" ht="20.25" hidden="1" customHeight="1" x14ac:dyDescent="0.15">
      <c r="A2214" s="2" t="s">
        <v>4676</v>
      </c>
      <c r="B2214" s="2" t="s">
        <v>4677</v>
      </c>
      <c r="C2214" s="2">
        <v>1.48</v>
      </c>
      <c r="D2214" s="2">
        <v>0.94569999999999999</v>
      </c>
      <c r="E2214" s="2" t="s">
        <v>787</v>
      </c>
      <c r="F2214" s="2" t="e">
        <f>VLOOKUP(B2214,MSCI中国成分股!A:B,1,)</f>
        <v>#N/A</v>
      </c>
    </row>
    <row r="2215" spans="1:6" ht="20.25" hidden="1" customHeight="1" x14ac:dyDescent="0.15">
      <c r="A2215" s="2" t="s">
        <v>4678</v>
      </c>
      <c r="B2215" s="2" t="s">
        <v>4679</v>
      </c>
      <c r="C2215" s="2">
        <v>1.96</v>
      </c>
      <c r="D2215" s="2">
        <v>2.3395999999999999</v>
      </c>
      <c r="E2215" s="2" t="s">
        <v>391</v>
      </c>
      <c r="F2215" s="2" t="e">
        <f>VLOOKUP(B2215,MSCI中国成分股!A:B,1,)</f>
        <v>#N/A</v>
      </c>
    </row>
    <row r="2216" spans="1:6" ht="20.25" hidden="1" customHeight="1" x14ac:dyDescent="0.15">
      <c r="A2216" s="2" t="s">
        <v>4680</v>
      </c>
      <c r="B2216" s="2" t="s">
        <v>4681</v>
      </c>
      <c r="C2216" s="2">
        <v>0.36</v>
      </c>
      <c r="D2216" s="2">
        <v>0.33739999999999998</v>
      </c>
      <c r="E2216" s="2" t="s">
        <v>89</v>
      </c>
      <c r="F2216" s="2" t="e">
        <f>VLOOKUP(B2216,MSCI中国成分股!A:B,1,)</f>
        <v>#N/A</v>
      </c>
    </row>
    <row r="2217" spans="1:6" ht="20.25" hidden="1" customHeight="1" x14ac:dyDescent="0.15">
      <c r="A2217" s="2" t="s">
        <v>4682</v>
      </c>
      <c r="B2217" s="2" t="s">
        <v>4683</v>
      </c>
      <c r="C2217" s="2">
        <v>-0.56999999999999995</v>
      </c>
      <c r="D2217" s="2">
        <v>2.3340000000000001</v>
      </c>
      <c r="E2217" s="2" t="s">
        <v>1099</v>
      </c>
      <c r="F2217" s="2" t="e">
        <f>VLOOKUP(B2217,MSCI中国成分股!A:B,1,)</f>
        <v>#N/A</v>
      </c>
    </row>
    <row r="2218" spans="1:6" ht="20.25" hidden="1" customHeight="1" x14ac:dyDescent="0.15">
      <c r="A2218" s="2" t="s">
        <v>4684</v>
      </c>
      <c r="B2218" s="2" t="s">
        <v>4685</v>
      </c>
      <c r="C2218" s="2">
        <v>0.94</v>
      </c>
      <c r="D2218" s="2">
        <v>3.0449999999999999</v>
      </c>
      <c r="E2218" s="2" t="s">
        <v>2681</v>
      </c>
      <c r="F2218" s="2" t="e">
        <f>VLOOKUP(B2218,MSCI中国成分股!A:B,1,)</f>
        <v>#N/A</v>
      </c>
    </row>
    <row r="2219" spans="1:6" ht="20.25" hidden="1" customHeight="1" x14ac:dyDescent="0.15">
      <c r="A2219" s="2" t="s">
        <v>4686</v>
      </c>
      <c r="B2219" s="2" t="s">
        <v>4687</v>
      </c>
      <c r="C2219" s="2">
        <v>0.45</v>
      </c>
      <c r="D2219" s="2">
        <v>2.5907</v>
      </c>
      <c r="E2219" s="2" t="s">
        <v>430</v>
      </c>
      <c r="F2219" s="2" t="e">
        <f>VLOOKUP(B2219,MSCI中国成分股!A:B,1,)</f>
        <v>#N/A</v>
      </c>
    </row>
    <row r="2220" spans="1:6" ht="20.25" hidden="1" customHeight="1" x14ac:dyDescent="0.15">
      <c r="A2220" s="2" t="s">
        <v>4688</v>
      </c>
      <c r="B2220" s="2" t="s">
        <v>4689</v>
      </c>
      <c r="C2220" s="2">
        <v>0.28000000000000003</v>
      </c>
      <c r="D2220" s="2">
        <v>0.19420000000000001</v>
      </c>
      <c r="E2220" s="2" t="s">
        <v>704</v>
      </c>
      <c r="F2220" s="2" t="e">
        <f>VLOOKUP(B2220,MSCI中国成分股!A:B,1,)</f>
        <v>#N/A</v>
      </c>
    </row>
    <row r="2221" spans="1:6" ht="20.25" hidden="1" customHeight="1" x14ac:dyDescent="0.15">
      <c r="A2221" s="2" t="s">
        <v>4690</v>
      </c>
      <c r="B2221" s="2" t="s">
        <v>4691</v>
      </c>
      <c r="C2221" s="2">
        <v>0.19</v>
      </c>
      <c r="D2221" s="2">
        <v>0.31519999999999998</v>
      </c>
      <c r="E2221" s="2" t="s">
        <v>207</v>
      </c>
      <c r="F2221" s="2" t="e">
        <f>VLOOKUP(B2221,MSCI中国成分股!A:B,1,)</f>
        <v>#N/A</v>
      </c>
    </row>
    <row r="2222" spans="1:6" ht="20.25" hidden="1" customHeight="1" x14ac:dyDescent="0.15">
      <c r="A2222" s="2" t="s">
        <v>4692</v>
      </c>
      <c r="B2222" s="2" t="s">
        <v>4693</v>
      </c>
      <c r="C2222" s="2">
        <v>1.82</v>
      </c>
      <c r="D2222" s="2">
        <v>1.1811</v>
      </c>
      <c r="E2222" s="2" t="s">
        <v>630</v>
      </c>
      <c r="F2222" s="2" t="e">
        <f>VLOOKUP(B2222,MSCI中国成分股!A:B,1,)</f>
        <v>#N/A</v>
      </c>
    </row>
    <row r="2223" spans="1:6" ht="20.25" hidden="1" customHeight="1" x14ac:dyDescent="0.15">
      <c r="A2223" s="2" t="s">
        <v>4694</v>
      </c>
      <c r="B2223" s="2" t="s">
        <v>4695</v>
      </c>
      <c r="C2223" s="2">
        <v>3.02</v>
      </c>
      <c r="D2223" s="2">
        <v>0.4385</v>
      </c>
      <c r="E2223" s="2" t="s">
        <v>310</v>
      </c>
      <c r="F2223" s="2" t="e">
        <f>VLOOKUP(B2223,MSCI中国成分股!A:B,1,)</f>
        <v>#N/A</v>
      </c>
    </row>
    <row r="2224" spans="1:6" ht="20.25" hidden="1" customHeight="1" x14ac:dyDescent="0.15">
      <c r="A2224" s="2" t="s">
        <v>4696</v>
      </c>
      <c r="B2224" s="2" t="s">
        <v>4697</v>
      </c>
      <c r="C2224" s="2">
        <v>2.7149999999999999</v>
      </c>
      <c r="D2224" s="2">
        <v>2.19</v>
      </c>
      <c r="E2224" s="2" t="s">
        <v>35</v>
      </c>
      <c r="F2224" s="2" t="e">
        <f>VLOOKUP(B2224,MSCI中国成分股!A:B,1,)</f>
        <v>#N/A</v>
      </c>
    </row>
    <row r="2225" spans="1:6" ht="20.25" hidden="1" customHeight="1" x14ac:dyDescent="0.15">
      <c r="A2225" s="2" t="s">
        <v>4698</v>
      </c>
      <c r="B2225" s="2" t="s">
        <v>4699</v>
      </c>
      <c r="C2225" s="2">
        <v>-0.44</v>
      </c>
      <c r="D2225" s="2">
        <v>17.059899999999999</v>
      </c>
      <c r="E2225" s="2" t="s">
        <v>44</v>
      </c>
      <c r="F2225" s="2" t="e">
        <f>VLOOKUP(B2225,MSCI中国成分股!A:B,1,)</f>
        <v>#N/A</v>
      </c>
    </row>
    <row r="2226" spans="1:6" ht="20.25" hidden="1" customHeight="1" x14ac:dyDescent="0.15">
      <c r="A2226" s="2" t="s">
        <v>4700</v>
      </c>
      <c r="B2226" s="2" t="s">
        <v>4701</v>
      </c>
      <c r="C2226" s="2">
        <v>0.46</v>
      </c>
      <c r="D2226" s="2">
        <v>1.6336999999999999</v>
      </c>
      <c r="E2226" s="2" t="s">
        <v>201</v>
      </c>
      <c r="F2226" s="2" t="e">
        <f>VLOOKUP(B2226,MSCI中国成分股!A:B,1,)</f>
        <v>#N/A</v>
      </c>
    </row>
    <row r="2227" spans="1:6" ht="20.25" hidden="1" customHeight="1" x14ac:dyDescent="0.15">
      <c r="A2227" s="2" t="s">
        <v>4702</v>
      </c>
      <c r="B2227" s="2" t="s">
        <v>4703</v>
      </c>
      <c r="C2227" s="2">
        <v>3.57</v>
      </c>
      <c r="D2227" s="2">
        <v>4.4631999999999996</v>
      </c>
      <c r="E2227" s="2" t="s">
        <v>374</v>
      </c>
      <c r="F2227" s="2" t="e">
        <f>VLOOKUP(B2227,MSCI中国成分股!A:B,1,)</f>
        <v>#N/A</v>
      </c>
    </row>
    <row r="2228" spans="1:6" ht="20.25" hidden="1" customHeight="1" x14ac:dyDescent="0.15">
      <c r="A2228" s="2" t="s">
        <v>4704</v>
      </c>
      <c r="B2228" s="2" t="s">
        <v>4705</v>
      </c>
      <c r="C2228" s="2">
        <v>1.93</v>
      </c>
      <c r="D2228" s="2">
        <v>7.5155000000000003</v>
      </c>
      <c r="E2228" s="2" t="s">
        <v>1593</v>
      </c>
      <c r="F2228" s="2" t="e">
        <f>VLOOKUP(B2228,MSCI中国成分股!A:B,1,)</f>
        <v>#N/A</v>
      </c>
    </row>
    <row r="2229" spans="1:6" ht="20.25" hidden="1" customHeight="1" x14ac:dyDescent="0.15">
      <c r="A2229" s="2" t="s">
        <v>4706</v>
      </c>
      <c r="B2229" s="2" t="s">
        <v>4707</v>
      </c>
      <c r="C2229" s="2">
        <v>1.1100000000000001</v>
      </c>
      <c r="D2229" s="2">
        <v>0.84299999999999997</v>
      </c>
      <c r="E2229" s="2" t="s">
        <v>931</v>
      </c>
      <c r="F2229" s="2" t="e">
        <f>VLOOKUP(B2229,MSCI中国成分股!A:B,1,)</f>
        <v>#N/A</v>
      </c>
    </row>
    <row r="2230" spans="1:6" ht="20.25" hidden="1" customHeight="1" x14ac:dyDescent="0.15">
      <c r="A2230" s="2" t="s">
        <v>4708</v>
      </c>
      <c r="B2230" s="2" t="s">
        <v>4709</v>
      </c>
      <c r="C2230" s="2">
        <v>0.16</v>
      </c>
      <c r="D2230" s="2">
        <v>8.9099999999999999E-2</v>
      </c>
      <c r="E2230" s="2" t="s">
        <v>123</v>
      </c>
      <c r="F2230" s="2" t="e">
        <f>VLOOKUP(B2230,MSCI中国成分股!A:B,1,)</f>
        <v>#N/A</v>
      </c>
    </row>
    <row r="2231" spans="1:6" ht="20.25" hidden="1" customHeight="1" x14ac:dyDescent="0.15">
      <c r="A2231" s="2" t="s">
        <v>4710</v>
      </c>
      <c r="B2231" s="2" t="s">
        <v>4711</v>
      </c>
      <c r="C2231" s="2">
        <v>0.56000000000000005</v>
      </c>
      <c r="D2231" s="2">
        <v>0.1321</v>
      </c>
      <c r="E2231" s="2" t="s">
        <v>750</v>
      </c>
      <c r="F2231" s="2" t="e">
        <f>VLOOKUP(B2231,MSCI中国成分股!A:B,1,)</f>
        <v>#N/A</v>
      </c>
    </row>
    <row r="2232" spans="1:6" ht="20.25" hidden="1" customHeight="1" x14ac:dyDescent="0.15">
      <c r="A2232" s="2" t="s">
        <v>4712</v>
      </c>
      <c r="B2232" s="2" t="s">
        <v>4713</v>
      </c>
      <c r="C2232" s="2">
        <v>0.78</v>
      </c>
      <c r="D2232" s="2">
        <v>3.8677999999999999</v>
      </c>
      <c r="E2232" s="2" t="s">
        <v>1515</v>
      </c>
      <c r="F2232" s="2" t="e">
        <f>VLOOKUP(B2232,MSCI中国成分股!A:B,1,)</f>
        <v>#N/A</v>
      </c>
    </row>
    <row r="2233" spans="1:6" ht="20.25" hidden="1" customHeight="1" x14ac:dyDescent="0.15">
      <c r="A2233" s="2" t="s">
        <v>4714</v>
      </c>
      <c r="B2233" s="2" t="s">
        <v>4715</v>
      </c>
      <c r="C2233" s="2">
        <v>1.69</v>
      </c>
      <c r="D2233" s="2">
        <v>0.34449999999999997</v>
      </c>
      <c r="E2233" s="2" t="s">
        <v>201</v>
      </c>
      <c r="F2233" s="2" t="e">
        <f>VLOOKUP(B2233,MSCI中国成分股!A:B,1,)</f>
        <v>#N/A</v>
      </c>
    </row>
    <row r="2234" spans="1:6" ht="20.25" hidden="1" customHeight="1" x14ac:dyDescent="0.15">
      <c r="A2234" s="2" t="s">
        <v>4716</v>
      </c>
      <c r="B2234" s="2" t="s">
        <v>4717</v>
      </c>
      <c r="C2234" s="2">
        <v>0.46</v>
      </c>
      <c r="D2234" s="2">
        <v>0.93759999999999999</v>
      </c>
      <c r="E2234" s="2" t="s">
        <v>74</v>
      </c>
      <c r="F2234" s="2" t="e">
        <f>VLOOKUP(B2234,MSCI中国成分股!A:B,1,)</f>
        <v>#N/A</v>
      </c>
    </row>
    <row r="2235" spans="1:6" ht="20.25" hidden="1" customHeight="1" x14ac:dyDescent="0.15">
      <c r="A2235" s="2" t="s">
        <v>4718</v>
      </c>
      <c r="B2235" s="2" t="s">
        <v>4719</v>
      </c>
      <c r="C2235" s="2">
        <v>-2.06</v>
      </c>
      <c r="D2235" s="2">
        <v>254.6576</v>
      </c>
      <c r="E2235" s="2" t="s">
        <v>4720</v>
      </c>
      <c r="F2235" s="2" t="e">
        <f>VLOOKUP(B2235,MSCI中国成分股!A:B,1,)</f>
        <v>#N/A</v>
      </c>
    </row>
    <row r="2236" spans="1:6" ht="20.25" hidden="1" customHeight="1" x14ac:dyDescent="0.15">
      <c r="A2236" s="2" t="s">
        <v>4721</v>
      </c>
      <c r="B2236" s="2" t="s">
        <v>4722</v>
      </c>
      <c r="C2236" s="2">
        <v>1.93</v>
      </c>
      <c r="D2236" s="2">
        <v>1.9378</v>
      </c>
      <c r="E2236" s="2" t="s">
        <v>35</v>
      </c>
      <c r="F2236" s="2" t="e">
        <f>VLOOKUP(B2236,MSCI中国成分股!A:B,1,)</f>
        <v>#N/A</v>
      </c>
    </row>
    <row r="2237" spans="1:6" ht="20.25" hidden="1" customHeight="1" x14ac:dyDescent="0.15">
      <c r="A2237" s="2" t="s">
        <v>4723</v>
      </c>
      <c r="B2237" s="2" t="s">
        <v>4724</v>
      </c>
      <c r="C2237" s="2">
        <v>2.5499999999999998</v>
      </c>
      <c r="D2237" s="2">
        <v>2.9832000000000001</v>
      </c>
      <c r="E2237" s="2" t="s">
        <v>41</v>
      </c>
      <c r="F2237" s="2" t="e">
        <f>VLOOKUP(B2237,MSCI中国成分股!A:B,1,)</f>
        <v>#N/A</v>
      </c>
    </row>
    <row r="2238" spans="1:6" ht="20.25" hidden="1" customHeight="1" x14ac:dyDescent="0.15">
      <c r="A2238" s="2" t="s">
        <v>4725</v>
      </c>
      <c r="B2238" s="2" t="s">
        <v>4726</v>
      </c>
      <c r="C2238" s="2">
        <v>9.6199999999999992</v>
      </c>
      <c r="D2238" s="2">
        <v>142.57660000000001</v>
      </c>
      <c r="E2238" s="2" t="s">
        <v>374</v>
      </c>
      <c r="F2238" s="2" t="e">
        <f>VLOOKUP(B2238,MSCI中国成分股!A:B,1,)</f>
        <v>#N/A</v>
      </c>
    </row>
    <row r="2239" spans="1:6" ht="20.25" hidden="1" customHeight="1" x14ac:dyDescent="0.15">
      <c r="A2239" s="2" t="s">
        <v>4727</v>
      </c>
      <c r="B2239" s="2" t="s">
        <v>4728</v>
      </c>
      <c r="C2239" s="2">
        <v>-1.53</v>
      </c>
      <c r="D2239" s="2">
        <v>38.665100000000002</v>
      </c>
      <c r="E2239" s="2" t="s">
        <v>630</v>
      </c>
      <c r="F2239" s="2" t="e">
        <f>VLOOKUP(B2239,MSCI中国成分股!A:B,1,)</f>
        <v>#N/A</v>
      </c>
    </row>
    <row r="2240" spans="1:6" ht="20.25" hidden="1" customHeight="1" x14ac:dyDescent="0.15">
      <c r="A2240" s="2" t="s">
        <v>4729</v>
      </c>
      <c r="B2240" s="2" t="s">
        <v>4730</v>
      </c>
      <c r="C2240" s="2">
        <v>3.06</v>
      </c>
      <c r="D2240" s="2">
        <v>2.1051000000000002</v>
      </c>
      <c r="E2240" s="2" t="s">
        <v>1139</v>
      </c>
      <c r="F2240" s="2" t="e">
        <f>VLOOKUP(B2240,MSCI中国成分股!A:B,1,)</f>
        <v>#N/A</v>
      </c>
    </row>
    <row r="2241" spans="1:6" ht="20.25" hidden="1" customHeight="1" x14ac:dyDescent="0.15">
      <c r="A2241" s="2" t="s">
        <v>4731</v>
      </c>
      <c r="B2241" s="2" t="s">
        <v>4732</v>
      </c>
      <c r="C2241" s="2">
        <v>2.5750000000000002</v>
      </c>
      <c r="D2241" s="2">
        <v>0.49880000000000002</v>
      </c>
      <c r="E2241" s="2" t="s">
        <v>421</v>
      </c>
      <c r="F2241" s="2" t="e">
        <f>VLOOKUP(B2241,MSCI中国成分股!A:B,1,)</f>
        <v>#N/A</v>
      </c>
    </row>
    <row r="2242" spans="1:6" ht="20.25" hidden="1" customHeight="1" x14ac:dyDescent="0.15">
      <c r="A2242" s="2" t="s">
        <v>4733</v>
      </c>
      <c r="B2242" s="2" t="s">
        <v>4734</v>
      </c>
      <c r="C2242" s="2">
        <v>2.09</v>
      </c>
      <c r="D2242" s="2">
        <v>0.70430000000000004</v>
      </c>
      <c r="E2242" s="2" t="s">
        <v>638</v>
      </c>
      <c r="F2242" s="2" t="e">
        <f>VLOOKUP(B2242,MSCI中国成分股!A:B,1,)</f>
        <v>#N/A</v>
      </c>
    </row>
    <row r="2243" spans="1:6" ht="20.25" hidden="1" customHeight="1" x14ac:dyDescent="0.15">
      <c r="A2243" s="2" t="s">
        <v>4735</v>
      </c>
      <c r="B2243" s="2" t="s">
        <v>4736</v>
      </c>
      <c r="C2243" s="2">
        <v>1.98</v>
      </c>
      <c r="D2243" s="2">
        <v>1.764</v>
      </c>
      <c r="E2243" s="2" t="s">
        <v>13</v>
      </c>
      <c r="F2243" s="2" t="e">
        <f>VLOOKUP(B2243,MSCI中国成分股!A:B,1,)</f>
        <v>#N/A</v>
      </c>
    </row>
    <row r="2244" spans="1:6" ht="20.25" hidden="1" customHeight="1" x14ac:dyDescent="0.15">
      <c r="A2244" s="2" t="s">
        <v>4737</v>
      </c>
      <c r="B2244" s="2" t="s">
        <v>4738</v>
      </c>
      <c r="C2244" s="2">
        <v>1.04</v>
      </c>
      <c r="D2244" s="2">
        <v>79.181899999999999</v>
      </c>
      <c r="E2244" s="2" t="s">
        <v>682</v>
      </c>
      <c r="F2244" s="2" t="e">
        <f>VLOOKUP(B2244,MSCI中国成分股!A:B,1,)</f>
        <v>#N/A</v>
      </c>
    </row>
    <row r="2245" spans="1:6" ht="20.25" hidden="1" customHeight="1" x14ac:dyDescent="0.15">
      <c r="A2245" s="2" t="s">
        <v>4739</v>
      </c>
      <c r="B2245" s="2" t="s">
        <v>4740</v>
      </c>
      <c r="C2245" s="2">
        <v>1.71</v>
      </c>
      <c r="D2245" s="2">
        <v>0.30359999999999998</v>
      </c>
      <c r="E2245" s="2" t="s">
        <v>1268</v>
      </c>
      <c r="F2245" s="2" t="e">
        <f>VLOOKUP(B2245,MSCI中国成分股!A:B,1,)</f>
        <v>#N/A</v>
      </c>
    </row>
    <row r="2246" spans="1:6" ht="20.25" hidden="1" customHeight="1" x14ac:dyDescent="0.15">
      <c r="A2246" s="2" t="s">
        <v>4741</v>
      </c>
      <c r="B2246" s="2" t="s">
        <v>4742</v>
      </c>
      <c r="C2246" s="2">
        <v>0.98</v>
      </c>
      <c r="D2246" s="2">
        <v>2.3658000000000001</v>
      </c>
      <c r="E2246" s="2" t="s">
        <v>60</v>
      </c>
      <c r="F2246" s="2" t="e">
        <f>VLOOKUP(B2246,MSCI中国成分股!A:B,1,)</f>
        <v>#N/A</v>
      </c>
    </row>
    <row r="2247" spans="1:6" ht="20.25" hidden="1" customHeight="1" x14ac:dyDescent="0.15">
      <c r="A2247" s="2" t="s">
        <v>4743</v>
      </c>
      <c r="B2247" s="2" t="s">
        <v>4744</v>
      </c>
      <c r="C2247" s="2">
        <v>2.82</v>
      </c>
      <c r="D2247" s="2">
        <v>2.2284000000000002</v>
      </c>
      <c r="E2247" s="2" t="s">
        <v>2063</v>
      </c>
      <c r="F2247" s="2" t="e">
        <f>VLOOKUP(B2247,MSCI中国成分股!A:B,1,)</f>
        <v>#N/A</v>
      </c>
    </row>
    <row r="2248" spans="1:6" ht="20.25" hidden="1" customHeight="1" x14ac:dyDescent="0.15">
      <c r="A2248" s="2" t="s">
        <v>4745</v>
      </c>
      <c r="B2248" s="2" t="s">
        <v>4746</v>
      </c>
      <c r="C2248" s="2">
        <v>-0.5</v>
      </c>
      <c r="D2248" s="2">
        <v>6.1520000000000001</v>
      </c>
      <c r="E2248" s="2" t="s">
        <v>371</v>
      </c>
      <c r="F2248" s="2" t="e">
        <f>VLOOKUP(B2248,MSCI中国成分股!A:B,1,)</f>
        <v>#N/A</v>
      </c>
    </row>
    <row r="2249" spans="1:6" ht="20.25" hidden="1" customHeight="1" x14ac:dyDescent="0.15">
      <c r="A2249" s="2" t="s">
        <v>4747</v>
      </c>
      <c r="B2249" s="2" t="s">
        <v>4748</v>
      </c>
      <c r="C2249" s="2">
        <v>0.95</v>
      </c>
      <c r="D2249" s="2">
        <v>2.7031999999999998</v>
      </c>
      <c r="E2249" s="2" t="s">
        <v>123</v>
      </c>
      <c r="F2249" s="2" t="e">
        <f>VLOOKUP(B2249,MSCI中国成分股!A:B,1,)</f>
        <v>#N/A</v>
      </c>
    </row>
    <row r="2250" spans="1:6" ht="20.25" hidden="1" customHeight="1" x14ac:dyDescent="0.15">
      <c r="A2250" s="2" t="s">
        <v>4749</v>
      </c>
      <c r="B2250" s="2" t="s">
        <v>4750</v>
      </c>
      <c r="C2250" s="2">
        <v>0.12</v>
      </c>
      <c r="D2250" s="2">
        <v>1.5141</v>
      </c>
      <c r="E2250" s="2" t="s">
        <v>1094</v>
      </c>
      <c r="F2250" s="2" t="e">
        <f>VLOOKUP(B2250,MSCI中国成分股!A:B,1,)</f>
        <v>#N/A</v>
      </c>
    </row>
    <row r="2251" spans="1:6" ht="20.25" hidden="1" customHeight="1" x14ac:dyDescent="0.15">
      <c r="A2251" s="2" t="s">
        <v>4751</v>
      </c>
      <c r="B2251" s="2" t="s">
        <v>4752</v>
      </c>
      <c r="C2251" s="2">
        <v>2.99</v>
      </c>
      <c r="D2251" s="2">
        <v>1.5368999999999999</v>
      </c>
      <c r="E2251" s="2" t="s">
        <v>374</v>
      </c>
      <c r="F2251" s="2" t="e">
        <f>VLOOKUP(B2251,MSCI中国成分股!A:B,1,)</f>
        <v>#N/A</v>
      </c>
    </row>
    <row r="2252" spans="1:6" ht="20.25" hidden="1" customHeight="1" x14ac:dyDescent="0.15">
      <c r="A2252" s="2" t="s">
        <v>4753</v>
      </c>
      <c r="B2252" s="2" t="s">
        <v>4754</v>
      </c>
      <c r="C2252" s="2">
        <v>1.33</v>
      </c>
      <c r="D2252" s="2">
        <v>2.5783</v>
      </c>
      <c r="E2252" s="2" t="s">
        <v>784</v>
      </c>
      <c r="F2252" s="2" t="e">
        <f>VLOOKUP(B2252,MSCI中国成分股!A:B,1,)</f>
        <v>#N/A</v>
      </c>
    </row>
    <row r="2253" spans="1:6" ht="20.25" hidden="1" customHeight="1" x14ac:dyDescent="0.15">
      <c r="A2253" s="2" t="s">
        <v>4755</v>
      </c>
      <c r="B2253" s="2" t="s">
        <v>4756</v>
      </c>
      <c r="C2253" s="2">
        <v>2.94</v>
      </c>
      <c r="D2253" s="2">
        <v>1.47</v>
      </c>
      <c r="E2253" s="2" t="s">
        <v>4127</v>
      </c>
      <c r="F2253" s="2" t="e">
        <f>VLOOKUP(B2253,MSCI中国成分股!A:B,1,)</f>
        <v>#N/A</v>
      </c>
    </row>
    <row r="2254" spans="1:6" ht="20.25" hidden="1" customHeight="1" x14ac:dyDescent="0.15">
      <c r="A2254" s="2" t="s">
        <v>4757</v>
      </c>
      <c r="B2254" s="2" t="s">
        <v>4758</v>
      </c>
      <c r="C2254" s="2">
        <v>0.21</v>
      </c>
      <c r="D2254" s="2">
        <v>1.1914</v>
      </c>
      <c r="E2254" s="2" t="s">
        <v>24</v>
      </c>
      <c r="F2254" s="2" t="e">
        <f>VLOOKUP(B2254,MSCI中国成分股!A:B,1,)</f>
        <v>#N/A</v>
      </c>
    </row>
    <row r="2255" spans="1:6" ht="20.25" hidden="1" customHeight="1" x14ac:dyDescent="0.15">
      <c r="A2255" s="2" t="s">
        <v>4759</v>
      </c>
      <c r="B2255" s="2" t="s">
        <v>4760</v>
      </c>
      <c r="C2255" s="2">
        <v>-1.48</v>
      </c>
      <c r="D2255" s="2">
        <v>5.0945</v>
      </c>
      <c r="E2255" s="2" t="s">
        <v>146</v>
      </c>
      <c r="F2255" s="2" t="e">
        <f>VLOOKUP(B2255,MSCI中国成分股!A:B,1,)</f>
        <v>#N/A</v>
      </c>
    </row>
    <row r="2256" spans="1:6" ht="20.25" hidden="1" customHeight="1" x14ac:dyDescent="0.15">
      <c r="A2256" s="2" t="s">
        <v>4761</v>
      </c>
      <c r="B2256" s="2" t="s">
        <v>4762</v>
      </c>
      <c r="C2256" s="2">
        <v>2.5299999999999998</v>
      </c>
      <c r="D2256" s="2">
        <v>4.2507000000000001</v>
      </c>
      <c r="E2256" s="2" t="s">
        <v>41</v>
      </c>
      <c r="F2256" s="2" t="e">
        <f>VLOOKUP(B2256,MSCI中国成分股!A:B,1,)</f>
        <v>#N/A</v>
      </c>
    </row>
    <row r="2257" spans="1:6" ht="20.25" hidden="1" customHeight="1" x14ac:dyDescent="0.15">
      <c r="A2257" s="2" t="s">
        <v>4763</v>
      </c>
      <c r="B2257" s="2" t="s">
        <v>4764</v>
      </c>
      <c r="C2257" s="2">
        <v>0.41</v>
      </c>
      <c r="D2257" s="2">
        <v>11.210599999999999</v>
      </c>
      <c r="E2257" s="2" t="s">
        <v>699</v>
      </c>
      <c r="F2257" s="2" t="e">
        <f>VLOOKUP(B2257,MSCI中国成分股!A:B,1,)</f>
        <v>#N/A</v>
      </c>
    </row>
    <row r="2258" spans="1:6" ht="20.25" hidden="1" customHeight="1" x14ac:dyDescent="0.15">
      <c r="A2258" s="2" t="s">
        <v>4765</v>
      </c>
      <c r="B2258" s="2" t="s">
        <v>4766</v>
      </c>
      <c r="C2258" s="2">
        <v>-3.2</v>
      </c>
      <c r="D2258" s="2">
        <v>11.1889</v>
      </c>
      <c r="E2258" s="2" t="s">
        <v>4246</v>
      </c>
      <c r="F2258" s="2" t="e">
        <f>VLOOKUP(B2258,MSCI中国成分股!A:B,1,)</f>
        <v>#N/A</v>
      </c>
    </row>
    <row r="2259" spans="1:6" ht="20.25" hidden="1" customHeight="1" x14ac:dyDescent="0.15">
      <c r="A2259" s="2" t="s">
        <v>4767</v>
      </c>
      <c r="B2259" s="2" t="s">
        <v>4768</v>
      </c>
      <c r="C2259" s="2">
        <v>1.24</v>
      </c>
      <c r="D2259" s="2">
        <v>34.491999999999997</v>
      </c>
      <c r="E2259" s="2" t="s">
        <v>299</v>
      </c>
      <c r="F2259" s="2" t="e">
        <f>VLOOKUP(B2259,MSCI中国成分股!A:B,1,)</f>
        <v>#N/A</v>
      </c>
    </row>
    <row r="2260" spans="1:6" ht="20.25" hidden="1" customHeight="1" x14ac:dyDescent="0.15">
      <c r="A2260" s="2" t="s">
        <v>4769</v>
      </c>
      <c r="B2260" s="2" t="s">
        <v>4770</v>
      </c>
      <c r="C2260" s="2">
        <v>0.06</v>
      </c>
      <c r="D2260" s="2">
        <v>6.6379000000000001</v>
      </c>
      <c r="E2260" s="2" t="s">
        <v>171</v>
      </c>
      <c r="F2260" s="2" t="e">
        <f>VLOOKUP(B2260,MSCI中国成分股!A:B,1,)</f>
        <v>#N/A</v>
      </c>
    </row>
    <row r="2261" spans="1:6" ht="20.25" hidden="1" customHeight="1" x14ac:dyDescent="0.15">
      <c r="A2261" s="2" t="s">
        <v>4771</v>
      </c>
      <c r="B2261" s="2" t="s">
        <v>4772</v>
      </c>
      <c r="C2261" s="2">
        <v>0.93</v>
      </c>
      <c r="D2261" s="2">
        <v>0.1651</v>
      </c>
      <c r="E2261" s="2" t="s">
        <v>74</v>
      </c>
      <c r="F2261" s="2" t="e">
        <f>VLOOKUP(B2261,MSCI中国成分股!A:B,1,)</f>
        <v>#N/A</v>
      </c>
    </row>
    <row r="2262" spans="1:6" ht="20.25" hidden="1" customHeight="1" x14ac:dyDescent="0.15">
      <c r="A2262" s="2" t="s">
        <v>4773</v>
      </c>
      <c r="B2262" s="2" t="s">
        <v>4774</v>
      </c>
      <c r="C2262" s="2">
        <v>1.9750000000000001</v>
      </c>
      <c r="D2262" s="2">
        <v>1.3391</v>
      </c>
      <c r="E2262" s="2" t="s">
        <v>201</v>
      </c>
      <c r="F2262" s="2" t="e">
        <f>VLOOKUP(B2262,MSCI中国成分股!A:B,1,)</f>
        <v>#N/A</v>
      </c>
    </row>
    <row r="2263" spans="1:6" ht="20.25" hidden="1" customHeight="1" x14ac:dyDescent="0.15">
      <c r="A2263" s="2" t="s">
        <v>4775</v>
      </c>
      <c r="B2263" s="2" t="s">
        <v>4776</v>
      </c>
      <c r="C2263" s="2">
        <v>0.79</v>
      </c>
      <c r="D2263" s="2">
        <v>1.2718</v>
      </c>
      <c r="E2263" s="2" t="s">
        <v>44</v>
      </c>
      <c r="F2263" s="2" t="e">
        <f>VLOOKUP(B2263,MSCI中国成分股!A:B,1,)</f>
        <v>#N/A</v>
      </c>
    </row>
    <row r="2264" spans="1:6" ht="20.25" hidden="1" customHeight="1" x14ac:dyDescent="0.15">
      <c r="A2264" s="2" t="s">
        <v>4777</v>
      </c>
      <c r="B2264" s="2" t="s">
        <v>4778</v>
      </c>
      <c r="C2264" s="2">
        <v>-0.64</v>
      </c>
      <c r="D2264" s="2">
        <v>16.546199999999999</v>
      </c>
      <c r="E2264" s="2" t="s">
        <v>21</v>
      </c>
      <c r="F2264" s="2" t="e">
        <f>VLOOKUP(B2264,MSCI中国成分股!A:B,1,)</f>
        <v>#N/A</v>
      </c>
    </row>
    <row r="2265" spans="1:6" ht="20.25" hidden="1" customHeight="1" x14ac:dyDescent="0.15">
      <c r="A2265" s="2" t="s">
        <v>4779</v>
      </c>
      <c r="B2265" s="2" t="s">
        <v>4780</v>
      </c>
      <c r="C2265" s="2">
        <v>-0.79</v>
      </c>
      <c r="D2265" s="2">
        <v>5.3419999999999996</v>
      </c>
      <c r="E2265" s="2" t="s">
        <v>1873</v>
      </c>
      <c r="F2265" s="2" t="e">
        <f>VLOOKUP(B2265,MSCI中国成分股!A:B,1,)</f>
        <v>#N/A</v>
      </c>
    </row>
    <row r="2266" spans="1:6" ht="20.25" hidden="1" customHeight="1" x14ac:dyDescent="0.15">
      <c r="A2266" s="2" t="s">
        <v>4781</v>
      </c>
      <c r="B2266" s="2" t="s">
        <v>4782</v>
      </c>
      <c r="C2266" s="2">
        <v>1.88</v>
      </c>
      <c r="D2266" s="2">
        <v>2.2970999999999999</v>
      </c>
      <c r="E2266" s="2" t="s">
        <v>207</v>
      </c>
      <c r="F2266" s="2" t="e">
        <f>VLOOKUP(B2266,MSCI中国成分股!A:B,1,)</f>
        <v>#N/A</v>
      </c>
    </row>
    <row r="2267" spans="1:6" ht="20.25" hidden="1" customHeight="1" x14ac:dyDescent="0.15">
      <c r="A2267" s="2" t="s">
        <v>4783</v>
      </c>
      <c r="B2267" s="2" t="s">
        <v>4784</v>
      </c>
      <c r="C2267" s="2">
        <v>0.8</v>
      </c>
      <c r="D2267" s="2">
        <v>7.22E-2</v>
      </c>
      <c r="E2267" s="2" t="s">
        <v>1102</v>
      </c>
      <c r="F2267" s="2" t="e">
        <f>VLOOKUP(B2267,MSCI中国成分股!A:B,1,)</f>
        <v>#N/A</v>
      </c>
    </row>
    <row r="2268" spans="1:6" ht="20.25" hidden="1" customHeight="1" x14ac:dyDescent="0.15">
      <c r="A2268" s="2" t="s">
        <v>4785</v>
      </c>
      <c r="B2268" s="2" t="s">
        <v>4786</v>
      </c>
      <c r="C2268" s="2">
        <v>0.46</v>
      </c>
      <c r="D2268" s="2">
        <v>0.26979999999999998</v>
      </c>
      <c r="E2268" s="2" t="s">
        <v>1099</v>
      </c>
      <c r="F2268" s="2" t="e">
        <f>VLOOKUP(B2268,MSCI中国成分股!A:B,1,)</f>
        <v>#N/A</v>
      </c>
    </row>
    <row r="2269" spans="1:6" ht="20.25" hidden="1" customHeight="1" x14ac:dyDescent="0.15">
      <c r="A2269" s="2" t="s">
        <v>4787</v>
      </c>
      <c r="B2269" s="2" t="s">
        <v>4788</v>
      </c>
      <c r="C2269" s="2">
        <v>2.02</v>
      </c>
      <c r="D2269" s="2">
        <v>11.058</v>
      </c>
      <c r="E2269" s="2" t="s">
        <v>344</v>
      </c>
      <c r="F2269" s="2" t="e">
        <f>VLOOKUP(B2269,MSCI中国成分股!A:B,1,)</f>
        <v>#N/A</v>
      </c>
    </row>
    <row r="2270" spans="1:6" ht="20.25" hidden="1" customHeight="1" x14ac:dyDescent="0.15">
      <c r="A2270" s="2" t="s">
        <v>4789</v>
      </c>
      <c r="B2270" s="2" t="s">
        <v>4790</v>
      </c>
      <c r="C2270" s="2">
        <v>-0.14000000000000001</v>
      </c>
      <c r="D2270" s="2">
        <v>3202.3195999999998</v>
      </c>
      <c r="E2270" s="2" t="s">
        <v>605</v>
      </c>
      <c r="F2270" s="2" t="e">
        <f>VLOOKUP(B2270,MSCI中国成分股!A:B,1,)</f>
        <v>#N/A</v>
      </c>
    </row>
    <row r="2271" spans="1:6" ht="20.25" hidden="1" customHeight="1" x14ac:dyDescent="0.15">
      <c r="A2271" s="2" t="s">
        <v>4791</v>
      </c>
      <c r="B2271" s="2" t="s">
        <v>4792</v>
      </c>
      <c r="C2271" s="2">
        <v>1.71</v>
      </c>
      <c r="D2271" s="2">
        <v>3.2311000000000001</v>
      </c>
      <c r="E2271" s="2" t="s">
        <v>299</v>
      </c>
      <c r="F2271" s="2" t="e">
        <f>VLOOKUP(B2271,MSCI中国成分股!A:B,1,)</f>
        <v>#N/A</v>
      </c>
    </row>
    <row r="2272" spans="1:6" ht="20.25" hidden="1" customHeight="1" x14ac:dyDescent="0.15">
      <c r="A2272" s="2" t="s">
        <v>4793</v>
      </c>
      <c r="B2272" s="2" t="s">
        <v>4794</v>
      </c>
      <c r="C2272" s="2">
        <v>0.97</v>
      </c>
      <c r="D2272" s="2">
        <v>1.8402000000000001</v>
      </c>
      <c r="E2272" s="2" t="s">
        <v>35</v>
      </c>
      <c r="F2272" s="2" t="e">
        <f>VLOOKUP(B2272,MSCI中国成分股!A:B,1,)</f>
        <v>#N/A</v>
      </c>
    </row>
    <row r="2273" spans="1:6" ht="20.25" hidden="1" customHeight="1" x14ac:dyDescent="0.15">
      <c r="A2273" s="2" t="s">
        <v>4795</v>
      </c>
      <c r="B2273" s="2" t="s">
        <v>4796</v>
      </c>
      <c r="C2273" s="2">
        <v>1.1100000000000001</v>
      </c>
      <c r="D2273" s="2">
        <v>4.9339000000000004</v>
      </c>
      <c r="E2273" s="2" t="s">
        <v>322</v>
      </c>
      <c r="F2273" s="2" t="e">
        <f>VLOOKUP(B2273,MSCI中国成分股!A:B,1,)</f>
        <v>#N/A</v>
      </c>
    </row>
    <row r="2274" spans="1:6" ht="20.25" hidden="1" customHeight="1" x14ac:dyDescent="0.15">
      <c r="A2274" s="2" t="s">
        <v>4797</v>
      </c>
      <c r="B2274" s="2" t="s">
        <v>4798</v>
      </c>
      <c r="C2274" s="2">
        <v>0.24</v>
      </c>
      <c r="D2274" s="2">
        <v>3.0962000000000001</v>
      </c>
      <c r="E2274" s="2" t="s">
        <v>299</v>
      </c>
      <c r="F2274" s="2" t="e">
        <f>VLOOKUP(B2274,MSCI中国成分股!A:B,1,)</f>
        <v>#N/A</v>
      </c>
    </row>
    <row r="2275" spans="1:6" ht="20.25" hidden="1" customHeight="1" x14ac:dyDescent="0.15">
      <c r="A2275" s="2" t="s">
        <v>4799</v>
      </c>
      <c r="B2275" s="2" t="s">
        <v>4800</v>
      </c>
      <c r="C2275" s="2">
        <v>0.77</v>
      </c>
      <c r="D2275" s="2">
        <v>1.9772000000000001</v>
      </c>
      <c r="E2275" s="2" t="s">
        <v>1774</v>
      </c>
      <c r="F2275" s="2" t="e">
        <f>VLOOKUP(B2275,MSCI中国成分股!A:B,1,)</f>
        <v>#N/A</v>
      </c>
    </row>
    <row r="2276" spans="1:6" ht="20.25" hidden="1" customHeight="1" x14ac:dyDescent="0.15">
      <c r="A2276" s="2" t="s">
        <v>4801</v>
      </c>
      <c r="B2276" s="2" t="s">
        <v>4802</v>
      </c>
      <c r="C2276" s="2">
        <v>1.74</v>
      </c>
      <c r="D2276" s="2">
        <v>0.183</v>
      </c>
      <c r="E2276" s="2" t="s">
        <v>368</v>
      </c>
      <c r="F2276" s="2" t="e">
        <f>VLOOKUP(B2276,MSCI中国成分股!A:B,1,)</f>
        <v>#N/A</v>
      </c>
    </row>
    <row r="2277" spans="1:6" ht="20.25" hidden="1" customHeight="1" x14ac:dyDescent="0.15">
      <c r="A2277" s="2" t="s">
        <v>4803</v>
      </c>
      <c r="B2277" s="2" t="s">
        <v>4804</v>
      </c>
      <c r="C2277" s="2">
        <v>-1.23</v>
      </c>
      <c r="D2277" s="2">
        <v>4.6973000000000003</v>
      </c>
      <c r="E2277" s="2" t="s">
        <v>1066</v>
      </c>
      <c r="F2277" s="2" t="e">
        <f>VLOOKUP(B2277,MSCI中国成分股!A:B,1,)</f>
        <v>#N/A</v>
      </c>
    </row>
    <row r="2278" spans="1:6" ht="20.25" hidden="1" customHeight="1" x14ac:dyDescent="0.15">
      <c r="A2278" s="2" t="s">
        <v>4805</v>
      </c>
      <c r="B2278" s="2" t="s">
        <v>4806</v>
      </c>
      <c r="C2278" s="2">
        <v>1.76</v>
      </c>
      <c r="D2278" s="2">
        <v>0.94320000000000004</v>
      </c>
      <c r="E2278" s="2" t="s">
        <v>396</v>
      </c>
      <c r="F2278" s="2" t="e">
        <f>VLOOKUP(B2278,MSCI中国成分股!A:B,1,)</f>
        <v>#N/A</v>
      </c>
    </row>
    <row r="2279" spans="1:6" ht="20.25" hidden="1" customHeight="1" x14ac:dyDescent="0.15">
      <c r="A2279" s="2" t="s">
        <v>4807</v>
      </c>
      <c r="B2279" s="2" t="s">
        <v>4808</v>
      </c>
      <c r="C2279" s="2">
        <v>2.3250000000000002</v>
      </c>
      <c r="D2279" s="2">
        <v>1.8287</v>
      </c>
      <c r="E2279" s="2" t="s">
        <v>794</v>
      </c>
      <c r="F2279" s="2" t="e">
        <f>VLOOKUP(B2279,MSCI中国成分股!A:B,1,)</f>
        <v>#N/A</v>
      </c>
    </row>
    <row r="2280" spans="1:6" ht="20.25" hidden="1" customHeight="1" x14ac:dyDescent="0.15">
      <c r="A2280" s="2" t="s">
        <v>4809</v>
      </c>
      <c r="B2280" s="2" t="s">
        <v>4810</v>
      </c>
      <c r="C2280" s="2">
        <v>1.69</v>
      </c>
      <c r="D2280" s="2">
        <v>1.4363999999999999</v>
      </c>
      <c r="E2280" s="2" t="s">
        <v>140</v>
      </c>
      <c r="F2280" s="2" t="e">
        <f>VLOOKUP(B2280,MSCI中国成分股!A:B,1,)</f>
        <v>#N/A</v>
      </c>
    </row>
    <row r="2281" spans="1:6" ht="20.25" hidden="1" customHeight="1" x14ac:dyDescent="0.15">
      <c r="A2281" s="2" t="s">
        <v>4811</v>
      </c>
      <c r="B2281" s="2" t="s">
        <v>4812</v>
      </c>
      <c r="C2281" s="2">
        <v>-2.72</v>
      </c>
      <c r="D2281" s="2">
        <v>190460.90700000001</v>
      </c>
      <c r="E2281" s="2" t="s">
        <v>207</v>
      </c>
      <c r="F2281" s="2" t="e">
        <f>VLOOKUP(B2281,MSCI中国成分股!A:B,1,)</f>
        <v>#N/A</v>
      </c>
    </row>
    <row r="2282" spans="1:6" ht="20.25" hidden="1" customHeight="1" x14ac:dyDescent="0.15">
      <c r="A2282" s="2" t="s">
        <v>4813</v>
      </c>
      <c r="B2282" s="2" t="s">
        <v>4814</v>
      </c>
      <c r="C2282" s="2">
        <v>0.27</v>
      </c>
      <c r="D2282" s="2">
        <v>0.4471</v>
      </c>
      <c r="E2282" s="2" t="s">
        <v>1102</v>
      </c>
      <c r="F2282" s="2" t="e">
        <f>VLOOKUP(B2282,MSCI中国成分股!A:B,1,)</f>
        <v>#N/A</v>
      </c>
    </row>
    <row r="2283" spans="1:6" ht="20.25" hidden="1" customHeight="1" x14ac:dyDescent="0.15">
      <c r="A2283" s="2" t="s">
        <v>4815</v>
      </c>
      <c r="B2283" s="2" t="s">
        <v>4816</v>
      </c>
      <c r="C2283" s="2">
        <v>1.29</v>
      </c>
      <c r="D2283" s="2">
        <v>3.3191000000000002</v>
      </c>
      <c r="E2283" s="2" t="s">
        <v>667</v>
      </c>
      <c r="F2283" s="2" t="e">
        <f>VLOOKUP(B2283,MSCI中国成分股!A:B,1,)</f>
        <v>#N/A</v>
      </c>
    </row>
    <row r="2284" spans="1:6" ht="20.25" hidden="1" customHeight="1" x14ac:dyDescent="0.15">
      <c r="A2284" s="2" t="s">
        <v>4817</v>
      </c>
      <c r="B2284" s="2" t="s">
        <v>4818</v>
      </c>
      <c r="C2284" s="2">
        <v>0.03</v>
      </c>
      <c r="D2284" s="2">
        <v>6.9999999999999999E-4</v>
      </c>
      <c r="E2284" s="2" t="s">
        <v>152</v>
      </c>
      <c r="F2284" s="2" t="e">
        <f>VLOOKUP(B2284,MSCI中国成分股!A:B,1,)</f>
        <v>#N/A</v>
      </c>
    </row>
    <row r="2285" spans="1:6" ht="20.25" hidden="1" customHeight="1" x14ac:dyDescent="0.15">
      <c r="A2285" s="2" t="s">
        <v>4819</v>
      </c>
      <c r="B2285" s="2" t="s">
        <v>4820</v>
      </c>
      <c r="C2285" s="2">
        <v>1.47</v>
      </c>
      <c r="D2285" s="2">
        <v>0.65380000000000005</v>
      </c>
      <c r="E2285" s="2" t="s">
        <v>677</v>
      </c>
      <c r="F2285" s="2" t="e">
        <f>VLOOKUP(B2285,MSCI中国成分股!A:B,1,)</f>
        <v>#N/A</v>
      </c>
    </row>
    <row r="2286" spans="1:6" ht="20.25" hidden="1" customHeight="1" x14ac:dyDescent="0.15">
      <c r="A2286" s="2" t="s">
        <v>4821</v>
      </c>
      <c r="B2286" s="2" t="s">
        <v>4822</v>
      </c>
      <c r="C2286" s="2">
        <v>2.4300000000000002</v>
      </c>
      <c r="D2286" s="2">
        <v>2.0236000000000001</v>
      </c>
      <c r="E2286" s="2" t="s">
        <v>406</v>
      </c>
      <c r="F2286" s="2" t="e">
        <f>VLOOKUP(B2286,MSCI中国成分股!A:B,1,)</f>
        <v>#N/A</v>
      </c>
    </row>
    <row r="2287" spans="1:6" ht="20.25" hidden="1" customHeight="1" x14ac:dyDescent="0.15">
      <c r="A2287" s="2" t="s">
        <v>4823</v>
      </c>
      <c r="B2287" s="2" t="s">
        <v>4824</v>
      </c>
      <c r="C2287" s="2">
        <v>1.22</v>
      </c>
      <c r="D2287" s="2">
        <v>1.8523000000000001</v>
      </c>
      <c r="E2287" s="2" t="s">
        <v>784</v>
      </c>
      <c r="F2287" s="2" t="e">
        <f>VLOOKUP(B2287,MSCI中国成分股!A:B,1,)</f>
        <v>#N/A</v>
      </c>
    </row>
    <row r="2288" spans="1:6" ht="20.25" hidden="1" customHeight="1" x14ac:dyDescent="0.15">
      <c r="A2288" s="2" t="s">
        <v>4825</v>
      </c>
      <c r="B2288" s="2" t="s">
        <v>4826</v>
      </c>
      <c r="C2288" s="2">
        <v>2.23</v>
      </c>
      <c r="D2288" s="2">
        <v>1.0205</v>
      </c>
      <c r="E2288" s="2" t="s">
        <v>3693</v>
      </c>
      <c r="F2288" s="2" t="e">
        <f>VLOOKUP(B2288,MSCI中国成分股!A:B,1,)</f>
        <v>#N/A</v>
      </c>
    </row>
    <row r="2289" spans="1:6" ht="20.25" hidden="1" customHeight="1" x14ac:dyDescent="0.15">
      <c r="A2289" s="2" t="s">
        <v>4827</v>
      </c>
      <c r="B2289" s="2" t="s">
        <v>4828</v>
      </c>
      <c r="C2289" s="2">
        <v>0.93</v>
      </c>
      <c r="D2289" s="2">
        <v>0.64119999999999999</v>
      </c>
      <c r="E2289" s="2" t="s">
        <v>81</v>
      </c>
      <c r="F2289" s="2" t="e">
        <f>VLOOKUP(B2289,MSCI中国成分股!A:B,1,)</f>
        <v>#N/A</v>
      </c>
    </row>
    <row r="2290" spans="1:6" ht="20.25" hidden="1" customHeight="1" x14ac:dyDescent="0.15">
      <c r="A2290" s="2" t="s">
        <v>4829</v>
      </c>
      <c r="B2290" s="2" t="s">
        <v>4830</v>
      </c>
      <c r="C2290" s="2">
        <v>0.23</v>
      </c>
      <c r="D2290" s="2">
        <v>1.3329</v>
      </c>
      <c r="E2290" s="2" t="s">
        <v>741</v>
      </c>
      <c r="F2290" s="2" t="e">
        <f>VLOOKUP(B2290,MSCI中国成分股!A:B,1,)</f>
        <v>#N/A</v>
      </c>
    </row>
    <row r="2291" spans="1:6" ht="20.25" hidden="1" customHeight="1" x14ac:dyDescent="0.15">
      <c r="A2291" s="2" t="s">
        <v>4831</v>
      </c>
      <c r="B2291" s="2" t="s">
        <v>4832</v>
      </c>
      <c r="C2291" s="2">
        <v>0.02</v>
      </c>
      <c r="D2291" s="2">
        <v>1.2545999999999999</v>
      </c>
      <c r="E2291" s="2" t="s">
        <v>1066</v>
      </c>
      <c r="F2291" s="2" t="e">
        <f>VLOOKUP(B2291,MSCI中国成分股!A:B,1,)</f>
        <v>#N/A</v>
      </c>
    </row>
    <row r="2292" spans="1:6" ht="20.25" hidden="1" customHeight="1" x14ac:dyDescent="0.15">
      <c r="A2292" s="2" t="s">
        <v>4833</v>
      </c>
      <c r="B2292" s="2" t="s">
        <v>4834</v>
      </c>
      <c r="C2292" s="2">
        <v>1.51</v>
      </c>
      <c r="D2292" s="2">
        <v>4.6761999999999997</v>
      </c>
      <c r="E2292" s="2" t="s">
        <v>1099</v>
      </c>
      <c r="F2292" s="2" t="e">
        <f>VLOOKUP(B2292,MSCI中国成分股!A:B,1,)</f>
        <v>#N/A</v>
      </c>
    </row>
    <row r="2293" spans="1:6" ht="20.25" hidden="1" customHeight="1" x14ac:dyDescent="0.15">
      <c r="A2293" s="2" t="s">
        <v>4835</v>
      </c>
      <c r="B2293" s="2" t="s">
        <v>4836</v>
      </c>
      <c r="C2293" s="2">
        <v>3.07</v>
      </c>
      <c r="D2293" s="2">
        <v>1.746</v>
      </c>
      <c r="E2293" s="2" t="s">
        <v>1243</v>
      </c>
      <c r="F2293" s="2" t="e">
        <f>VLOOKUP(B2293,MSCI中国成分股!A:B,1,)</f>
        <v>#N/A</v>
      </c>
    </row>
    <row r="2294" spans="1:6" ht="20.25" hidden="1" customHeight="1" x14ac:dyDescent="0.15">
      <c r="A2294" s="2" t="s">
        <v>4837</v>
      </c>
      <c r="B2294" s="2" t="s">
        <v>4838</v>
      </c>
      <c r="C2294" s="2">
        <v>0.87</v>
      </c>
      <c r="D2294" s="2">
        <v>0.73650000000000004</v>
      </c>
      <c r="E2294" s="2" t="s">
        <v>1870</v>
      </c>
      <c r="F2294" s="2" t="e">
        <f>VLOOKUP(B2294,MSCI中国成分股!A:B,1,)</f>
        <v>#N/A</v>
      </c>
    </row>
    <row r="2295" spans="1:6" ht="20.25" hidden="1" customHeight="1" x14ac:dyDescent="0.15">
      <c r="A2295" s="2" t="s">
        <v>4839</v>
      </c>
      <c r="B2295" s="2" t="s">
        <v>4840</v>
      </c>
      <c r="C2295" s="2">
        <v>1.1950000000000001</v>
      </c>
      <c r="D2295" s="2">
        <v>1.0170999999999999</v>
      </c>
      <c r="E2295" s="2" t="s">
        <v>171</v>
      </c>
      <c r="F2295" s="2" t="e">
        <f>VLOOKUP(B2295,MSCI中国成分股!A:B,1,)</f>
        <v>#N/A</v>
      </c>
    </row>
    <row r="2296" spans="1:6" ht="20.25" hidden="1" customHeight="1" x14ac:dyDescent="0.15">
      <c r="A2296" s="2" t="s">
        <v>4841</v>
      </c>
      <c r="B2296" s="2" t="s">
        <v>4842</v>
      </c>
      <c r="C2296" s="2">
        <v>1.24</v>
      </c>
      <c r="D2296" s="2">
        <v>6.2502000000000004</v>
      </c>
      <c r="E2296" s="2" t="s">
        <v>982</v>
      </c>
      <c r="F2296" s="2" t="e">
        <f>VLOOKUP(B2296,MSCI中国成分股!A:B,1,)</f>
        <v>#N/A</v>
      </c>
    </row>
    <row r="2297" spans="1:6" ht="20.25" hidden="1" customHeight="1" x14ac:dyDescent="0.15">
      <c r="A2297" s="2" t="s">
        <v>4843</v>
      </c>
      <c r="B2297" s="2" t="s">
        <v>4844</v>
      </c>
      <c r="C2297" s="2">
        <v>0.81</v>
      </c>
      <c r="D2297" s="2">
        <v>0.1835</v>
      </c>
      <c r="E2297" s="2" t="s">
        <v>126</v>
      </c>
      <c r="F2297" s="2" t="e">
        <f>VLOOKUP(B2297,MSCI中国成分股!A:B,1,)</f>
        <v>#N/A</v>
      </c>
    </row>
    <row r="2298" spans="1:6" ht="20.25" hidden="1" customHeight="1" x14ac:dyDescent="0.15">
      <c r="A2298" s="2" t="s">
        <v>4845</v>
      </c>
      <c r="B2298" s="2" t="s">
        <v>4846</v>
      </c>
      <c r="C2298" s="2">
        <v>-0.91</v>
      </c>
      <c r="D2298" s="2">
        <v>28679.3207</v>
      </c>
      <c r="E2298" s="2" t="s">
        <v>374</v>
      </c>
      <c r="F2298" s="2" t="e">
        <f>VLOOKUP(B2298,MSCI中国成分股!A:B,1,)</f>
        <v>#N/A</v>
      </c>
    </row>
    <row r="2299" spans="1:6" ht="20.25" hidden="1" customHeight="1" x14ac:dyDescent="0.15">
      <c r="A2299" s="2" t="s">
        <v>4847</v>
      </c>
      <c r="B2299" s="2" t="s">
        <v>4848</v>
      </c>
      <c r="C2299" s="2">
        <v>1.62</v>
      </c>
      <c r="D2299" s="2">
        <v>4.6516000000000002</v>
      </c>
      <c r="E2299" s="2" t="s">
        <v>3053</v>
      </c>
      <c r="F2299" s="2" t="e">
        <f>VLOOKUP(B2299,MSCI中国成分股!A:B,1,)</f>
        <v>#N/A</v>
      </c>
    </row>
    <row r="2300" spans="1:6" ht="20.25" hidden="1" customHeight="1" x14ac:dyDescent="0.15">
      <c r="A2300" s="2" t="s">
        <v>4849</v>
      </c>
      <c r="B2300" s="2" t="s">
        <v>4850</v>
      </c>
      <c r="C2300" s="2">
        <v>3.6</v>
      </c>
      <c r="D2300" s="2">
        <v>4.4438000000000004</v>
      </c>
      <c r="E2300" s="2" t="s">
        <v>68</v>
      </c>
      <c r="F2300" s="2" t="e">
        <f>VLOOKUP(B2300,MSCI中国成分股!A:B,1,)</f>
        <v>#N/A</v>
      </c>
    </row>
    <row r="2301" spans="1:6" ht="20.25" hidden="1" customHeight="1" x14ac:dyDescent="0.15">
      <c r="A2301" s="2" t="s">
        <v>4851</v>
      </c>
      <c r="B2301" s="2" t="s">
        <v>4852</v>
      </c>
      <c r="C2301" s="2">
        <v>0.47</v>
      </c>
      <c r="D2301" s="2">
        <v>1.0369999999999999</v>
      </c>
      <c r="E2301" s="2" t="s">
        <v>1224</v>
      </c>
      <c r="F2301" s="2" t="e">
        <f>VLOOKUP(B2301,MSCI中国成分股!A:B,1,)</f>
        <v>#N/A</v>
      </c>
    </row>
    <row r="2302" spans="1:6" ht="20.25" hidden="1" customHeight="1" x14ac:dyDescent="0.15">
      <c r="A2302" s="2" t="s">
        <v>4853</v>
      </c>
      <c r="B2302" s="2" t="s">
        <v>4854</v>
      </c>
      <c r="C2302" s="2">
        <v>0.85</v>
      </c>
      <c r="D2302" s="2">
        <v>5.2809999999999997</v>
      </c>
      <c r="E2302" s="2" t="s">
        <v>299</v>
      </c>
      <c r="F2302" s="2" t="e">
        <f>VLOOKUP(B2302,MSCI中国成分股!A:B,1,)</f>
        <v>#N/A</v>
      </c>
    </row>
    <row r="2303" spans="1:6" ht="20.25" hidden="1" customHeight="1" x14ac:dyDescent="0.15">
      <c r="A2303" s="2" t="s">
        <v>4855</v>
      </c>
      <c r="B2303" s="2" t="s">
        <v>4856</v>
      </c>
      <c r="C2303" s="2">
        <v>0.84</v>
      </c>
      <c r="D2303" s="2">
        <v>1.1062000000000001</v>
      </c>
      <c r="E2303" s="2" t="s">
        <v>35</v>
      </c>
      <c r="F2303" s="2" t="e">
        <f>VLOOKUP(B2303,MSCI中国成分股!A:B,1,)</f>
        <v>#N/A</v>
      </c>
    </row>
    <row r="2304" spans="1:6" ht="20.25" hidden="1" customHeight="1" x14ac:dyDescent="0.15">
      <c r="A2304" s="2" t="s">
        <v>4857</v>
      </c>
      <c r="B2304" s="2" t="s">
        <v>4858</v>
      </c>
      <c r="C2304" s="2">
        <v>-0.05</v>
      </c>
      <c r="D2304" s="2">
        <v>4.7388000000000003</v>
      </c>
      <c r="E2304" s="2" t="s">
        <v>299</v>
      </c>
      <c r="F2304" s="2" t="e">
        <f>VLOOKUP(B2304,MSCI中国成分股!A:B,1,)</f>
        <v>#N/A</v>
      </c>
    </row>
    <row r="2305" spans="1:6" ht="20.25" hidden="1" customHeight="1" x14ac:dyDescent="0.15">
      <c r="A2305" s="2" t="s">
        <v>4859</v>
      </c>
      <c r="B2305" s="2" t="s">
        <v>4860</v>
      </c>
      <c r="C2305" s="2">
        <v>-0.35</v>
      </c>
      <c r="D2305" s="2">
        <v>32.7483</v>
      </c>
      <c r="E2305" s="2" t="s">
        <v>713</v>
      </c>
      <c r="F2305" s="2" t="e">
        <f>VLOOKUP(B2305,MSCI中国成分股!A:B,1,)</f>
        <v>#N/A</v>
      </c>
    </row>
    <row r="2306" spans="1:6" ht="20.25" hidden="1" customHeight="1" x14ac:dyDescent="0.15">
      <c r="A2306" s="2" t="s">
        <v>4861</v>
      </c>
      <c r="B2306" s="2" t="s">
        <v>4862</v>
      </c>
      <c r="C2306" s="2">
        <v>-0.11</v>
      </c>
      <c r="D2306" s="2">
        <v>9.3687000000000005</v>
      </c>
      <c r="E2306" s="2" t="s">
        <v>240</v>
      </c>
      <c r="F2306" s="2" t="e">
        <f>VLOOKUP(B2306,MSCI中国成分股!A:B,1,)</f>
        <v>#N/A</v>
      </c>
    </row>
    <row r="2307" spans="1:6" ht="20.25" hidden="1" customHeight="1" x14ac:dyDescent="0.15">
      <c r="A2307" s="2" t="s">
        <v>4863</v>
      </c>
      <c r="B2307" s="2" t="s">
        <v>4864</v>
      </c>
      <c r="C2307" s="2">
        <v>1.94</v>
      </c>
      <c r="D2307" s="2">
        <v>0.80979999999999996</v>
      </c>
      <c r="E2307" s="2" t="s">
        <v>3130</v>
      </c>
      <c r="F2307" s="2" t="e">
        <f>VLOOKUP(B2307,MSCI中国成分股!A:B,1,)</f>
        <v>#N/A</v>
      </c>
    </row>
    <row r="2308" spans="1:6" ht="20.25" hidden="1" customHeight="1" x14ac:dyDescent="0.15">
      <c r="A2308" s="2" t="s">
        <v>4865</v>
      </c>
      <c r="B2308" s="2" t="s">
        <v>4866</v>
      </c>
      <c r="C2308" s="2">
        <v>0.28000000000000003</v>
      </c>
      <c r="D2308" s="2">
        <v>0.10630000000000001</v>
      </c>
      <c r="E2308" s="2" t="s">
        <v>1102</v>
      </c>
      <c r="F2308" s="2" t="e">
        <f>VLOOKUP(B2308,MSCI中国成分股!A:B,1,)</f>
        <v>#N/A</v>
      </c>
    </row>
    <row r="2309" spans="1:6" ht="20.25" hidden="1" customHeight="1" x14ac:dyDescent="0.15">
      <c r="A2309" s="2" t="s">
        <v>4867</v>
      </c>
      <c r="B2309" s="2" t="s">
        <v>4868</v>
      </c>
      <c r="C2309" s="2">
        <v>1.23</v>
      </c>
      <c r="D2309" s="2">
        <v>2.1536</v>
      </c>
      <c r="E2309" s="2" t="s">
        <v>682</v>
      </c>
      <c r="F2309" s="2" t="e">
        <f>VLOOKUP(B2309,MSCI中国成分股!A:B,1,)</f>
        <v>#N/A</v>
      </c>
    </row>
    <row r="2310" spans="1:6" ht="20.25" hidden="1" customHeight="1" x14ac:dyDescent="0.15">
      <c r="A2310" s="2" t="s">
        <v>4869</v>
      </c>
      <c r="B2310" s="2" t="s">
        <v>4870</v>
      </c>
      <c r="C2310" s="2">
        <v>1.04</v>
      </c>
      <c r="D2310" s="2">
        <v>0.1216</v>
      </c>
      <c r="E2310" s="2" t="s">
        <v>44</v>
      </c>
      <c r="F2310" s="2" t="e">
        <f>VLOOKUP(B2310,MSCI中国成分股!A:B,1,)</f>
        <v>#N/A</v>
      </c>
    </row>
    <row r="2311" spans="1:6" ht="20.25" hidden="1" customHeight="1" x14ac:dyDescent="0.15">
      <c r="A2311" s="2" t="s">
        <v>4871</v>
      </c>
      <c r="B2311" s="2" t="s">
        <v>4872</v>
      </c>
      <c r="C2311" s="2">
        <v>2.16</v>
      </c>
      <c r="D2311" s="2">
        <v>168.64429999999999</v>
      </c>
      <c r="E2311" s="2" t="s">
        <v>403</v>
      </c>
      <c r="F2311" s="2" t="e">
        <f>VLOOKUP(B2311,MSCI中国成分股!A:B,1,)</f>
        <v>#N/A</v>
      </c>
    </row>
    <row r="2312" spans="1:6" ht="20.25" hidden="1" customHeight="1" x14ac:dyDescent="0.15">
      <c r="A2312" s="2" t="s">
        <v>4873</v>
      </c>
      <c r="B2312" s="2" t="s">
        <v>4874</v>
      </c>
      <c r="C2312" s="2">
        <v>0.43</v>
      </c>
      <c r="D2312" s="2">
        <v>5.6974999999999998</v>
      </c>
      <c r="E2312" s="2" t="s">
        <v>35</v>
      </c>
      <c r="F2312" s="2" t="e">
        <f>VLOOKUP(B2312,MSCI中国成分股!A:B,1,)</f>
        <v>#N/A</v>
      </c>
    </row>
    <row r="2313" spans="1:6" ht="20.25" hidden="1" customHeight="1" x14ac:dyDescent="0.15">
      <c r="A2313" s="2" t="s">
        <v>4875</v>
      </c>
      <c r="B2313" s="2" t="s">
        <v>4876</v>
      </c>
      <c r="C2313" s="2">
        <v>1.01</v>
      </c>
      <c r="D2313" s="2">
        <v>14.2529</v>
      </c>
      <c r="E2313" s="2" t="s">
        <v>385</v>
      </c>
      <c r="F2313" s="2" t="e">
        <f>VLOOKUP(B2313,MSCI中国成分股!A:B,1,)</f>
        <v>#N/A</v>
      </c>
    </row>
    <row r="2314" spans="1:6" ht="20.25" hidden="1" customHeight="1" x14ac:dyDescent="0.15">
      <c r="A2314" s="2" t="s">
        <v>4877</v>
      </c>
      <c r="B2314" s="2" t="s">
        <v>4878</v>
      </c>
      <c r="C2314" s="2">
        <v>0.79</v>
      </c>
      <c r="D2314" s="2">
        <v>1.0911999999999999</v>
      </c>
      <c r="E2314" s="2" t="s">
        <v>3130</v>
      </c>
      <c r="F2314" s="2" t="e">
        <f>VLOOKUP(B2314,MSCI中国成分股!A:B,1,)</f>
        <v>#N/A</v>
      </c>
    </row>
    <row r="2315" spans="1:6" ht="20.25" hidden="1" customHeight="1" x14ac:dyDescent="0.15">
      <c r="A2315" s="2" t="s">
        <v>4879</v>
      </c>
      <c r="B2315" s="2" t="s">
        <v>4880</v>
      </c>
      <c r="C2315" s="2">
        <v>0.77</v>
      </c>
      <c r="D2315" s="2">
        <v>0.43140000000000001</v>
      </c>
      <c r="E2315" s="2" t="s">
        <v>220</v>
      </c>
      <c r="F2315" s="2" t="e">
        <f>VLOOKUP(B2315,MSCI中国成分股!A:B,1,)</f>
        <v>#N/A</v>
      </c>
    </row>
    <row r="2316" spans="1:6" ht="20.25" hidden="1" customHeight="1" x14ac:dyDescent="0.15">
      <c r="A2316" s="2" t="s">
        <v>4881</v>
      </c>
      <c r="B2316" s="2" t="s">
        <v>4882</v>
      </c>
      <c r="C2316" s="2">
        <v>0.61</v>
      </c>
      <c r="D2316" s="2">
        <v>34.673499999999997</v>
      </c>
      <c r="E2316" s="2" t="s">
        <v>1969</v>
      </c>
      <c r="F2316" s="2" t="e">
        <f>VLOOKUP(B2316,MSCI中国成分股!A:B,1,)</f>
        <v>#N/A</v>
      </c>
    </row>
    <row r="2317" spans="1:6" ht="20.25" hidden="1" customHeight="1" x14ac:dyDescent="0.15">
      <c r="A2317" s="2" t="s">
        <v>4883</v>
      </c>
      <c r="B2317" s="2" t="s">
        <v>4884</v>
      </c>
      <c r="C2317" s="2">
        <v>0.28000000000000003</v>
      </c>
      <c r="D2317" s="2">
        <v>0.1515</v>
      </c>
      <c r="E2317" s="2" t="s">
        <v>3971</v>
      </c>
      <c r="F2317" s="2" t="e">
        <f>VLOOKUP(B2317,MSCI中国成分股!A:B,1,)</f>
        <v>#N/A</v>
      </c>
    </row>
    <row r="2318" spans="1:6" ht="20.25" hidden="1" customHeight="1" x14ac:dyDescent="0.15">
      <c r="A2318" s="2" t="s">
        <v>4885</v>
      </c>
      <c r="B2318" s="2" t="s">
        <v>4886</v>
      </c>
      <c r="C2318" s="2">
        <v>3.3149999999999999</v>
      </c>
      <c r="D2318" s="2">
        <v>1.4278999999999999</v>
      </c>
      <c r="E2318" s="2" t="s">
        <v>44</v>
      </c>
      <c r="F2318" s="2" t="e">
        <f>VLOOKUP(B2318,MSCI中国成分股!A:B,1,)</f>
        <v>#N/A</v>
      </c>
    </row>
    <row r="2319" spans="1:6" ht="20.25" hidden="1" customHeight="1" x14ac:dyDescent="0.15">
      <c r="A2319" s="2" t="s">
        <v>4887</v>
      </c>
      <c r="B2319" s="2" t="s">
        <v>4888</v>
      </c>
      <c r="C2319" s="2">
        <v>0.25</v>
      </c>
      <c r="D2319" s="2">
        <v>1.1416999999999999</v>
      </c>
      <c r="E2319" s="2" t="s">
        <v>596</v>
      </c>
      <c r="F2319" s="2" t="e">
        <f>VLOOKUP(B2319,MSCI中国成分股!A:B,1,)</f>
        <v>#N/A</v>
      </c>
    </row>
    <row r="2320" spans="1:6" ht="20.25" hidden="1" customHeight="1" x14ac:dyDescent="0.15">
      <c r="A2320" s="2" t="s">
        <v>4889</v>
      </c>
      <c r="B2320" s="2" t="s">
        <v>4890</v>
      </c>
      <c r="C2320" s="2">
        <v>0.54</v>
      </c>
      <c r="D2320" s="2">
        <v>13.3497</v>
      </c>
      <c r="E2320" s="2" t="s">
        <v>670</v>
      </c>
      <c r="F2320" s="2" t="e">
        <f>VLOOKUP(B2320,MSCI中国成分股!A:B,1,)</f>
        <v>#N/A</v>
      </c>
    </row>
    <row r="2321" spans="1:6" ht="20.25" hidden="1" customHeight="1" x14ac:dyDescent="0.15">
      <c r="A2321" s="2" t="s">
        <v>4891</v>
      </c>
      <c r="B2321" s="2" t="s">
        <v>4892</v>
      </c>
      <c r="C2321" s="2">
        <v>-0.22</v>
      </c>
      <c r="D2321" s="2">
        <v>3.2965</v>
      </c>
      <c r="E2321" s="2" t="s">
        <v>498</v>
      </c>
      <c r="F2321" s="2" t="e">
        <f>VLOOKUP(B2321,MSCI中国成分股!A:B,1,)</f>
        <v>#N/A</v>
      </c>
    </row>
    <row r="2322" spans="1:6" ht="20.25" hidden="1" customHeight="1" x14ac:dyDescent="0.15">
      <c r="A2322" s="2" t="s">
        <v>4893</v>
      </c>
      <c r="B2322" s="2" t="s">
        <v>4894</v>
      </c>
      <c r="C2322" s="2">
        <v>0.7</v>
      </c>
      <c r="D2322" s="2">
        <v>0.193</v>
      </c>
      <c r="E2322" s="2" t="s">
        <v>418</v>
      </c>
      <c r="F2322" s="2" t="e">
        <f>VLOOKUP(B2322,MSCI中国成分股!A:B,1,)</f>
        <v>#N/A</v>
      </c>
    </row>
    <row r="2323" spans="1:6" ht="20.25" hidden="1" customHeight="1" x14ac:dyDescent="0.15">
      <c r="A2323" s="2" t="s">
        <v>4895</v>
      </c>
      <c r="B2323" s="2" t="s">
        <v>4896</v>
      </c>
      <c r="C2323" s="2">
        <v>2.04</v>
      </c>
      <c r="D2323" s="2">
        <v>0.99409999999999998</v>
      </c>
      <c r="E2323" s="2" t="s">
        <v>123</v>
      </c>
      <c r="F2323" s="2" t="e">
        <f>VLOOKUP(B2323,MSCI中国成分股!A:B,1,)</f>
        <v>#N/A</v>
      </c>
    </row>
    <row r="2324" spans="1:6" ht="20.25" hidden="1" customHeight="1" x14ac:dyDescent="0.15">
      <c r="A2324" s="2" t="s">
        <v>4897</v>
      </c>
      <c r="B2324" s="2" t="s">
        <v>4898</v>
      </c>
      <c r="C2324" s="2">
        <v>1.26</v>
      </c>
      <c r="D2324" s="2">
        <v>0.20030000000000001</v>
      </c>
      <c r="E2324" s="2" t="s">
        <v>152</v>
      </c>
      <c r="F2324" s="2" t="e">
        <f>VLOOKUP(B2324,MSCI中国成分股!A:B,1,)</f>
        <v>#N/A</v>
      </c>
    </row>
    <row r="2325" spans="1:6" ht="20.25" hidden="1" customHeight="1" x14ac:dyDescent="0.15">
      <c r="A2325" s="2" t="s">
        <v>4899</v>
      </c>
      <c r="B2325" s="2" t="s">
        <v>4900</v>
      </c>
      <c r="C2325" s="2">
        <v>0.56999999999999995</v>
      </c>
      <c r="D2325" s="2">
        <v>0.70789999999999997</v>
      </c>
      <c r="E2325" s="2" t="s">
        <v>385</v>
      </c>
      <c r="F2325" s="2" t="e">
        <f>VLOOKUP(B2325,MSCI中国成分股!A:B,1,)</f>
        <v>#N/A</v>
      </c>
    </row>
    <row r="2326" spans="1:6" ht="20.25" hidden="1" customHeight="1" x14ac:dyDescent="0.15">
      <c r="A2326" s="2" t="s">
        <v>4901</v>
      </c>
      <c r="B2326" s="2" t="s">
        <v>4902</v>
      </c>
      <c r="C2326" s="2">
        <v>1.48</v>
      </c>
      <c r="D2326" s="2">
        <v>9.8528000000000002</v>
      </c>
      <c r="E2326" s="2" t="s">
        <v>385</v>
      </c>
      <c r="F2326" s="2" t="e">
        <f>VLOOKUP(B2326,MSCI中国成分股!A:B,1,)</f>
        <v>#N/A</v>
      </c>
    </row>
    <row r="2327" spans="1:6" ht="20.25" hidden="1" customHeight="1" x14ac:dyDescent="0.15">
      <c r="A2327" s="2" t="s">
        <v>4903</v>
      </c>
      <c r="B2327" s="2" t="s">
        <v>4904</v>
      </c>
      <c r="C2327" s="2">
        <v>3.41</v>
      </c>
      <c r="D2327" s="2">
        <v>4.5266999999999999</v>
      </c>
      <c r="E2327" s="2" t="s">
        <v>171</v>
      </c>
      <c r="F2327" s="2" t="e">
        <f>VLOOKUP(B2327,MSCI中国成分股!A:B,1,)</f>
        <v>#N/A</v>
      </c>
    </row>
    <row r="2328" spans="1:6" ht="20.25" hidden="1" customHeight="1" x14ac:dyDescent="0.15">
      <c r="A2328" s="2" t="s">
        <v>4905</v>
      </c>
      <c r="B2328" s="2" t="s">
        <v>4906</v>
      </c>
      <c r="C2328" s="2">
        <v>3.09</v>
      </c>
      <c r="D2328" s="2">
        <v>8.1759000000000004</v>
      </c>
      <c r="E2328" s="2" t="s">
        <v>44</v>
      </c>
      <c r="F2328" s="2" t="e">
        <f>VLOOKUP(B2328,MSCI中国成分股!A:B,1,)</f>
        <v>#N/A</v>
      </c>
    </row>
    <row r="2329" spans="1:6" ht="20.25" hidden="1" customHeight="1" x14ac:dyDescent="0.15">
      <c r="A2329" s="2" t="s">
        <v>4907</v>
      </c>
      <c r="B2329" s="2" t="s">
        <v>4908</v>
      </c>
      <c r="C2329" s="2">
        <v>-0.94</v>
      </c>
      <c r="D2329" s="2">
        <v>6038.8175000000001</v>
      </c>
      <c r="E2329" s="2" t="s">
        <v>704</v>
      </c>
      <c r="F2329" s="2" t="e">
        <f>VLOOKUP(B2329,MSCI中国成分股!A:B,1,)</f>
        <v>#N/A</v>
      </c>
    </row>
    <row r="2330" spans="1:6" ht="20.25" hidden="1" customHeight="1" x14ac:dyDescent="0.15">
      <c r="A2330" s="2" t="s">
        <v>4909</v>
      </c>
      <c r="B2330" s="2" t="s">
        <v>4910</v>
      </c>
      <c r="C2330" s="2">
        <v>0.56000000000000005</v>
      </c>
      <c r="D2330" s="2">
        <v>1.8819999999999999</v>
      </c>
      <c r="E2330" s="2" t="s">
        <v>794</v>
      </c>
      <c r="F2330" s="2" t="e">
        <f>VLOOKUP(B2330,MSCI中国成分股!A:B,1,)</f>
        <v>#N/A</v>
      </c>
    </row>
    <row r="2331" spans="1:6" ht="20.25" hidden="1" customHeight="1" x14ac:dyDescent="0.15">
      <c r="A2331" s="2" t="s">
        <v>4911</v>
      </c>
      <c r="B2331" s="2" t="s">
        <v>4912</v>
      </c>
      <c r="C2331" s="2">
        <v>1.03</v>
      </c>
      <c r="D2331" s="2">
        <v>1.5103</v>
      </c>
      <c r="E2331" s="2" t="s">
        <v>359</v>
      </c>
      <c r="F2331" s="2" t="e">
        <f>VLOOKUP(B2331,MSCI中国成分股!A:B,1,)</f>
        <v>#N/A</v>
      </c>
    </row>
    <row r="2332" spans="1:6" ht="20.25" hidden="1" customHeight="1" x14ac:dyDescent="0.15">
      <c r="A2332" s="2" t="s">
        <v>4913</v>
      </c>
      <c r="B2332" s="2" t="s">
        <v>4914</v>
      </c>
      <c r="C2332" s="2">
        <v>-0.82</v>
      </c>
      <c r="D2332" s="2">
        <v>18.2608</v>
      </c>
      <c r="E2332" s="2" t="s">
        <v>201</v>
      </c>
      <c r="F2332" s="2" t="e">
        <f>VLOOKUP(B2332,MSCI中国成分股!A:B,1,)</f>
        <v>#N/A</v>
      </c>
    </row>
    <row r="2333" spans="1:6" ht="20.25" hidden="1" customHeight="1" x14ac:dyDescent="0.15">
      <c r="A2333" s="2" t="s">
        <v>4915</v>
      </c>
      <c r="B2333" s="2" t="s">
        <v>4916</v>
      </c>
      <c r="C2333" s="2">
        <v>0.8</v>
      </c>
      <c r="D2333" s="2">
        <v>0.67769999999999997</v>
      </c>
      <c r="E2333" s="2" t="s">
        <v>201</v>
      </c>
      <c r="F2333" s="2" t="e">
        <f>VLOOKUP(B2333,MSCI中国成分股!A:B,1,)</f>
        <v>#N/A</v>
      </c>
    </row>
    <row r="2334" spans="1:6" ht="20.25" hidden="1" customHeight="1" x14ac:dyDescent="0.15">
      <c r="A2334" s="2" t="s">
        <v>4917</v>
      </c>
      <c r="B2334" s="2" t="s">
        <v>4918</v>
      </c>
      <c r="C2334" s="2">
        <v>-0.55000000000000004</v>
      </c>
      <c r="D2334" s="2">
        <v>12.3329</v>
      </c>
      <c r="E2334" s="2" t="s">
        <v>35</v>
      </c>
      <c r="F2334" s="2" t="e">
        <f>VLOOKUP(B2334,MSCI中国成分股!A:B,1,)</f>
        <v>#N/A</v>
      </c>
    </row>
    <row r="2335" spans="1:6" ht="20.25" hidden="1" customHeight="1" x14ac:dyDescent="0.15">
      <c r="A2335" s="2" t="s">
        <v>4919</v>
      </c>
      <c r="B2335" s="2" t="s">
        <v>4920</v>
      </c>
      <c r="C2335" s="2">
        <v>3.24</v>
      </c>
      <c r="D2335" s="2">
        <v>0.62360000000000004</v>
      </c>
      <c r="E2335" s="2" t="s">
        <v>1224</v>
      </c>
      <c r="F2335" s="2" t="e">
        <f>VLOOKUP(B2335,MSCI中国成分股!A:B,1,)</f>
        <v>#N/A</v>
      </c>
    </row>
    <row r="2336" spans="1:6" ht="20.25" hidden="1" customHeight="1" x14ac:dyDescent="0.15">
      <c r="A2336" s="2" t="s">
        <v>4921</v>
      </c>
      <c r="B2336" s="2" t="s">
        <v>4922</v>
      </c>
      <c r="C2336" s="2">
        <v>0.09</v>
      </c>
      <c r="D2336" s="2">
        <v>23.8231</v>
      </c>
      <c r="E2336" s="2" t="s">
        <v>1403</v>
      </c>
      <c r="F2336" s="2" t="e">
        <f>VLOOKUP(B2336,MSCI中国成分股!A:B,1,)</f>
        <v>#N/A</v>
      </c>
    </row>
    <row r="2337" spans="1:6" ht="20.25" hidden="1" customHeight="1" x14ac:dyDescent="0.15">
      <c r="A2337" s="2" t="s">
        <v>4923</v>
      </c>
      <c r="B2337" s="2" t="s">
        <v>4924</v>
      </c>
      <c r="C2337" s="2">
        <v>0.09</v>
      </c>
      <c r="D2337" s="2">
        <v>397.93900000000002</v>
      </c>
      <c r="E2337" s="2" t="s">
        <v>396</v>
      </c>
      <c r="F2337" s="2" t="e">
        <f>VLOOKUP(B2337,MSCI中国成分股!A:B,1,)</f>
        <v>#N/A</v>
      </c>
    </row>
    <row r="2338" spans="1:6" ht="20.25" hidden="1" customHeight="1" x14ac:dyDescent="0.15">
      <c r="A2338" s="2" t="s">
        <v>4925</v>
      </c>
      <c r="B2338" s="2" t="s">
        <v>4926</v>
      </c>
      <c r="C2338" s="2">
        <v>0.87</v>
      </c>
      <c r="D2338" s="2">
        <v>4.4001999999999999</v>
      </c>
      <c r="E2338" s="2" t="s">
        <v>176</v>
      </c>
      <c r="F2338" s="2" t="e">
        <f>VLOOKUP(B2338,MSCI中国成分股!A:B,1,)</f>
        <v>#N/A</v>
      </c>
    </row>
    <row r="2339" spans="1:6" ht="20.25" hidden="1" customHeight="1" x14ac:dyDescent="0.15">
      <c r="A2339" s="2" t="s">
        <v>4927</v>
      </c>
      <c r="B2339" s="2" t="s">
        <v>4928</v>
      </c>
      <c r="C2339" s="2">
        <v>0.13</v>
      </c>
      <c r="D2339" s="2">
        <v>18.9102</v>
      </c>
      <c r="E2339" s="2" t="s">
        <v>339</v>
      </c>
      <c r="F2339" s="2" t="e">
        <f>VLOOKUP(B2339,MSCI中国成分股!A:B,1,)</f>
        <v>#N/A</v>
      </c>
    </row>
    <row r="2340" spans="1:6" ht="20.25" hidden="1" customHeight="1" x14ac:dyDescent="0.15">
      <c r="A2340" s="2" t="s">
        <v>4929</v>
      </c>
      <c r="B2340" s="2" t="s">
        <v>4930</v>
      </c>
      <c r="C2340" s="2">
        <v>2.5550000000000002</v>
      </c>
      <c r="D2340" s="2">
        <v>1.5797000000000001</v>
      </c>
      <c r="E2340" s="2" t="s">
        <v>356</v>
      </c>
      <c r="F2340" s="2" t="e">
        <f>VLOOKUP(B2340,MSCI中国成分股!A:B,1,)</f>
        <v>#N/A</v>
      </c>
    </row>
    <row r="2341" spans="1:6" ht="20.25" hidden="1" customHeight="1" x14ac:dyDescent="0.15">
      <c r="A2341" s="2" t="s">
        <v>4931</v>
      </c>
      <c r="B2341" s="2" t="s">
        <v>4932</v>
      </c>
      <c r="C2341" s="2">
        <v>0.08</v>
      </c>
      <c r="D2341" s="2">
        <v>0.96140000000000003</v>
      </c>
      <c r="E2341" s="2" t="s">
        <v>201</v>
      </c>
      <c r="F2341" s="2" t="e">
        <f>VLOOKUP(B2341,MSCI中国成分股!A:B,1,)</f>
        <v>#N/A</v>
      </c>
    </row>
    <row r="2342" spans="1:6" ht="20.25" hidden="1" customHeight="1" x14ac:dyDescent="0.15">
      <c r="A2342" s="2" t="s">
        <v>4933</v>
      </c>
      <c r="B2342" s="2" t="s">
        <v>4934</v>
      </c>
      <c r="C2342" s="2">
        <v>1.71</v>
      </c>
      <c r="D2342" s="2">
        <v>1.7907999999999999</v>
      </c>
      <c r="E2342" s="2" t="s">
        <v>501</v>
      </c>
      <c r="F2342" s="2" t="e">
        <f>VLOOKUP(B2342,MSCI中国成分股!A:B,1,)</f>
        <v>#N/A</v>
      </c>
    </row>
    <row r="2343" spans="1:6" ht="20.25" hidden="1" customHeight="1" x14ac:dyDescent="0.15">
      <c r="A2343" s="2" t="s">
        <v>4935</v>
      </c>
      <c r="B2343" s="2" t="s">
        <v>4936</v>
      </c>
      <c r="C2343" s="2">
        <v>-0.65</v>
      </c>
      <c r="D2343" s="2">
        <v>2.7890999999999999</v>
      </c>
      <c r="E2343" s="2" t="s">
        <v>677</v>
      </c>
      <c r="F2343" s="2" t="e">
        <f>VLOOKUP(B2343,MSCI中国成分股!A:B,1,)</f>
        <v>#N/A</v>
      </c>
    </row>
    <row r="2344" spans="1:6" ht="20.25" hidden="1" customHeight="1" x14ac:dyDescent="0.15">
      <c r="A2344" s="2" t="s">
        <v>4937</v>
      </c>
      <c r="B2344" s="2" t="s">
        <v>4938</v>
      </c>
      <c r="C2344" s="2">
        <v>1.87</v>
      </c>
      <c r="D2344" s="2">
        <v>19.519300000000001</v>
      </c>
      <c r="E2344" s="2" t="s">
        <v>4939</v>
      </c>
      <c r="F2344" s="2" t="e">
        <f>VLOOKUP(B2344,MSCI中国成分股!A:B,1,)</f>
        <v>#N/A</v>
      </c>
    </row>
    <row r="2345" spans="1:6" ht="20.25" hidden="1" customHeight="1" x14ac:dyDescent="0.15">
      <c r="A2345" s="2" t="s">
        <v>4940</v>
      </c>
      <c r="B2345" s="2" t="s">
        <v>4941</v>
      </c>
      <c r="C2345" s="2">
        <v>0.92</v>
      </c>
      <c r="D2345" s="2">
        <v>1.0953999999999999</v>
      </c>
      <c r="E2345" s="2" t="s">
        <v>2374</v>
      </c>
      <c r="F2345" s="2" t="e">
        <f>VLOOKUP(B2345,MSCI中国成分股!A:B,1,)</f>
        <v>#N/A</v>
      </c>
    </row>
    <row r="2346" spans="1:6" ht="20.25" hidden="1" customHeight="1" x14ac:dyDescent="0.15">
      <c r="A2346" s="2" t="s">
        <v>4942</v>
      </c>
      <c r="B2346" s="2" t="s">
        <v>4943</v>
      </c>
      <c r="C2346" s="2">
        <v>1.9650000000000001</v>
      </c>
      <c r="D2346" s="2">
        <v>1.3358000000000001</v>
      </c>
      <c r="E2346" s="2" t="s">
        <v>35</v>
      </c>
      <c r="F2346" s="2" t="e">
        <f>VLOOKUP(B2346,MSCI中国成分股!A:B,1,)</f>
        <v>#N/A</v>
      </c>
    </row>
    <row r="2347" spans="1:6" ht="20.25" hidden="1" customHeight="1" x14ac:dyDescent="0.15">
      <c r="A2347" s="2" t="s">
        <v>4944</v>
      </c>
      <c r="B2347" s="2" t="s">
        <v>4945</v>
      </c>
      <c r="C2347" s="2">
        <v>-4.3899999999999997</v>
      </c>
      <c r="D2347" s="2">
        <v>39.775599999999997</v>
      </c>
      <c r="E2347" s="2" t="s">
        <v>371</v>
      </c>
      <c r="F2347" s="2" t="e">
        <f>VLOOKUP(B2347,MSCI中国成分股!A:B,1,)</f>
        <v>#N/A</v>
      </c>
    </row>
    <row r="2348" spans="1:6" ht="20.25" hidden="1" customHeight="1" x14ac:dyDescent="0.15">
      <c r="A2348" s="2" t="s">
        <v>4946</v>
      </c>
      <c r="B2348" s="2" t="s">
        <v>4947</v>
      </c>
      <c r="C2348" s="2">
        <v>4.3899999999999997</v>
      </c>
      <c r="D2348" s="2">
        <v>8.9278999999999993</v>
      </c>
      <c r="E2348" s="2" t="s">
        <v>176</v>
      </c>
      <c r="F2348" s="2" t="e">
        <f>VLOOKUP(B2348,MSCI中国成分股!A:B,1,)</f>
        <v>#N/A</v>
      </c>
    </row>
    <row r="2349" spans="1:6" ht="20.25" hidden="1" customHeight="1" x14ac:dyDescent="0.15">
      <c r="A2349" s="2" t="s">
        <v>4948</v>
      </c>
      <c r="B2349" s="2" t="s">
        <v>4949</v>
      </c>
      <c r="C2349" s="2">
        <v>1.55</v>
      </c>
      <c r="D2349" s="2">
        <v>0.8034</v>
      </c>
      <c r="E2349" s="2" t="s">
        <v>89</v>
      </c>
      <c r="F2349" s="2" t="e">
        <f>VLOOKUP(B2349,MSCI中国成分股!A:B,1,)</f>
        <v>#N/A</v>
      </c>
    </row>
    <row r="2350" spans="1:6" ht="20.25" hidden="1" customHeight="1" x14ac:dyDescent="0.15">
      <c r="A2350" s="2" t="s">
        <v>4950</v>
      </c>
      <c r="B2350" s="2" t="s">
        <v>4951</v>
      </c>
      <c r="C2350" s="2">
        <v>1.84</v>
      </c>
      <c r="D2350" s="2">
        <v>18.838000000000001</v>
      </c>
      <c r="E2350" s="2" t="s">
        <v>157</v>
      </c>
      <c r="F2350" s="2" t="e">
        <f>VLOOKUP(B2350,MSCI中国成分股!A:B,1,)</f>
        <v>#N/A</v>
      </c>
    </row>
    <row r="2351" spans="1:6" ht="20.25" hidden="1" customHeight="1" x14ac:dyDescent="0.15">
      <c r="A2351" s="2" t="s">
        <v>4952</v>
      </c>
      <c r="B2351" s="2" t="s">
        <v>4953</v>
      </c>
      <c r="C2351" s="2">
        <v>0.45</v>
      </c>
      <c r="D2351" s="2">
        <v>1.4495</v>
      </c>
      <c r="E2351" s="2" t="s">
        <v>403</v>
      </c>
      <c r="F2351" s="2" t="e">
        <f>VLOOKUP(B2351,MSCI中国成分股!A:B,1,)</f>
        <v>#N/A</v>
      </c>
    </row>
    <row r="2352" spans="1:6" ht="20.25" hidden="1" customHeight="1" x14ac:dyDescent="0.15">
      <c r="A2352" s="2" t="s">
        <v>4954</v>
      </c>
      <c r="B2352" s="2" t="s">
        <v>4955</v>
      </c>
      <c r="C2352" s="2">
        <v>1</v>
      </c>
      <c r="D2352" s="2">
        <v>13.3271</v>
      </c>
      <c r="E2352" s="2" t="s">
        <v>1099</v>
      </c>
      <c r="F2352" s="2" t="e">
        <f>VLOOKUP(B2352,MSCI中国成分股!A:B,1,)</f>
        <v>#N/A</v>
      </c>
    </row>
    <row r="2353" spans="1:6" ht="20.25" hidden="1" customHeight="1" x14ac:dyDescent="0.15">
      <c r="A2353" s="2" t="s">
        <v>4956</v>
      </c>
      <c r="B2353" s="2" t="s">
        <v>4957</v>
      </c>
      <c r="C2353" s="2">
        <v>-1.31</v>
      </c>
      <c r="D2353" s="2">
        <v>171.26679999999999</v>
      </c>
      <c r="E2353" s="2" t="s">
        <v>1094</v>
      </c>
      <c r="F2353" s="2" t="e">
        <f>VLOOKUP(B2353,MSCI中国成分股!A:B,1,)</f>
        <v>#N/A</v>
      </c>
    </row>
    <row r="2354" spans="1:6" ht="20.25" hidden="1" customHeight="1" x14ac:dyDescent="0.15">
      <c r="A2354" s="2" t="s">
        <v>4958</v>
      </c>
      <c r="B2354" s="2" t="s">
        <v>4959</v>
      </c>
      <c r="C2354" s="2">
        <v>0.82</v>
      </c>
      <c r="D2354" s="2">
        <v>1.9294</v>
      </c>
      <c r="E2354" s="2" t="s">
        <v>450</v>
      </c>
      <c r="F2354" s="2" t="e">
        <f>VLOOKUP(B2354,MSCI中国成分股!A:B,1,)</f>
        <v>#N/A</v>
      </c>
    </row>
    <row r="2355" spans="1:6" ht="20.25" hidden="1" customHeight="1" x14ac:dyDescent="0.15">
      <c r="A2355" s="2" t="s">
        <v>4960</v>
      </c>
      <c r="B2355" s="2" t="s">
        <v>4961</v>
      </c>
      <c r="C2355" s="2">
        <v>-0.87</v>
      </c>
      <c r="D2355" s="2">
        <v>2.3302999999999998</v>
      </c>
      <c r="E2355" s="2" t="s">
        <v>35</v>
      </c>
      <c r="F2355" s="2" t="e">
        <f>VLOOKUP(B2355,MSCI中国成分股!A:B,1,)</f>
        <v>#N/A</v>
      </c>
    </row>
    <row r="2356" spans="1:6" ht="20.25" hidden="1" customHeight="1" x14ac:dyDescent="0.15">
      <c r="A2356" s="2" t="s">
        <v>4962</v>
      </c>
      <c r="B2356" s="2" t="s">
        <v>4963</v>
      </c>
      <c r="C2356" s="2">
        <v>0.67</v>
      </c>
      <c r="D2356" s="2">
        <v>6.9241000000000001</v>
      </c>
      <c r="E2356" s="2" t="s">
        <v>1420</v>
      </c>
      <c r="F2356" s="2" t="e">
        <f>VLOOKUP(B2356,MSCI中国成分股!A:B,1,)</f>
        <v>#N/A</v>
      </c>
    </row>
    <row r="2357" spans="1:6" ht="20.25" hidden="1" customHeight="1" x14ac:dyDescent="0.15">
      <c r="A2357" s="2" t="s">
        <v>4964</v>
      </c>
      <c r="B2357" s="2" t="s">
        <v>4965</v>
      </c>
      <c r="C2357" s="2">
        <v>4.6349999999999998</v>
      </c>
      <c r="D2357" s="2">
        <v>3.3523999999999998</v>
      </c>
      <c r="E2357" s="2" t="s">
        <v>68</v>
      </c>
      <c r="F2357" s="2" t="e">
        <f>VLOOKUP(B2357,MSCI中国成分股!A:B,1,)</f>
        <v>#N/A</v>
      </c>
    </row>
    <row r="2358" spans="1:6" ht="20.25" hidden="1" customHeight="1" x14ac:dyDescent="0.15">
      <c r="A2358" s="2" t="s">
        <v>4966</v>
      </c>
      <c r="B2358" s="2" t="s">
        <v>4967</v>
      </c>
      <c r="C2358" s="2">
        <v>2.46</v>
      </c>
      <c r="D2358" s="2">
        <v>132.36420000000001</v>
      </c>
      <c r="E2358" s="2" t="s">
        <v>1873</v>
      </c>
      <c r="F2358" s="2" t="e">
        <f>VLOOKUP(B2358,MSCI中国成分股!A:B,1,)</f>
        <v>#N/A</v>
      </c>
    </row>
    <row r="2359" spans="1:6" ht="20.25" hidden="1" customHeight="1" x14ac:dyDescent="0.15">
      <c r="A2359" s="2" t="s">
        <v>4968</v>
      </c>
      <c r="B2359" s="2" t="s">
        <v>4969</v>
      </c>
      <c r="C2359" s="2">
        <v>1.92</v>
      </c>
      <c r="D2359" s="2">
        <v>1.2173</v>
      </c>
      <c r="E2359" s="2" t="s">
        <v>35</v>
      </c>
      <c r="F2359" s="2" t="e">
        <f>VLOOKUP(B2359,MSCI中国成分股!A:B,1,)</f>
        <v>#N/A</v>
      </c>
    </row>
    <row r="2360" spans="1:6" ht="20.25" hidden="1" customHeight="1" x14ac:dyDescent="0.15">
      <c r="A2360" s="2" t="s">
        <v>4970</v>
      </c>
      <c r="B2360" s="2" t="s">
        <v>4971</v>
      </c>
      <c r="C2360" s="2">
        <v>1.88</v>
      </c>
      <c r="D2360" s="2">
        <v>0.36070000000000002</v>
      </c>
      <c r="E2360" s="2" t="s">
        <v>299</v>
      </c>
      <c r="F2360" s="2" t="e">
        <f>VLOOKUP(B2360,MSCI中国成分股!A:B,1,)</f>
        <v>#N/A</v>
      </c>
    </row>
    <row r="2361" spans="1:6" ht="20.25" hidden="1" customHeight="1" x14ac:dyDescent="0.15">
      <c r="A2361" s="2" t="s">
        <v>4972</v>
      </c>
      <c r="B2361" s="2" t="s">
        <v>4973</v>
      </c>
      <c r="C2361" s="2">
        <v>0.79</v>
      </c>
      <c r="D2361" s="2">
        <v>6.8421000000000003</v>
      </c>
      <c r="E2361" s="2" t="s">
        <v>24</v>
      </c>
      <c r="F2361" s="2" t="e">
        <f>VLOOKUP(B2361,MSCI中国成分股!A:B,1,)</f>
        <v>#N/A</v>
      </c>
    </row>
    <row r="2362" spans="1:6" ht="20.25" hidden="1" customHeight="1" x14ac:dyDescent="0.15">
      <c r="A2362" s="2" t="s">
        <v>4974</v>
      </c>
      <c r="B2362" s="2" t="s">
        <v>4975</v>
      </c>
      <c r="C2362" s="2">
        <v>0.42</v>
      </c>
      <c r="D2362" s="2">
        <v>3.4268000000000001</v>
      </c>
      <c r="E2362" s="2" t="s">
        <v>120</v>
      </c>
      <c r="F2362" s="2" t="e">
        <f>VLOOKUP(B2362,MSCI中国成分股!A:B,1,)</f>
        <v>#N/A</v>
      </c>
    </row>
    <row r="2363" spans="1:6" ht="20.25" hidden="1" customHeight="1" x14ac:dyDescent="0.15">
      <c r="A2363" s="2" t="s">
        <v>4976</v>
      </c>
      <c r="B2363" s="2" t="s">
        <v>4977</v>
      </c>
      <c r="C2363" s="2">
        <v>1.42</v>
      </c>
      <c r="D2363" s="2">
        <v>1.9581999999999999</v>
      </c>
      <c r="E2363" s="2" t="s">
        <v>784</v>
      </c>
      <c r="F2363" s="2" t="e">
        <f>VLOOKUP(B2363,MSCI中国成分股!A:B,1,)</f>
        <v>#N/A</v>
      </c>
    </row>
    <row r="2364" spans="1:6" ht="20.25" hidden="1" customHeight="1" x14ac:dyDescent="0.15">
      <c r="A2364" s="2" t="s">
        <v>4978</v>
      </c>
      <c r="B2364" s="2" t="s">
        <v>4979</v>
      </c>
      <c r="C2364" s="2">
        <v>0.24</v>
      </c>
      <c r="D2364" s="2">
        <v>0.31919999999999998</v>
      </c>
      <c r="E2364" s="2" t="s">
        <v>322</v>
      </c>
      <c r="F2364" s="2" t="e">
        <f>VLOOKUP(B2364,MSCI中国成分股!A:B,1,)</f>
        <v>#N/A</v>
      </c>
    </row>
    <row r="2365" spans="1:6" ht="20.25" hidden="1" customHeight="1" x14ac:dyDescent="0.15">
      <c r="A2365" s="2" t="s">
        <v>4980</v>
      </c>
      <c r="B2365" s="2" t="s">
        <v>4981</v>
      </c>
      <c r="C2365" s="2">
        <v>0.75</v>
      </c>
      <c r="D2365" s="2">
        <v>5.7003000000000004</v>
      </c>
      <c r="E2365" s="2" t="s">
        <v>231</v>
      </c>
      <c r="F2365" s="2" t="e">
        <f>VLOOKUP(B2365,MSCI中国成分股!A:B,1,)</f>
        <v>#N/A</v>
      </c>
    </row>
    <row r="2366" spans="1:6" ht="20.25" hidden="1" customHeight="1" x14ac:dyDescent="0.15">
      <c r="A2366" s="2" t="s">
        <v>4982</v>
      </c>
      <c r="B2366" s="2" t="s">
        <v>4983</v>
      </c>
      <c r="C2366" s="2">
        <v>2.12</v>
      </c>
      <c r="D2366" s="2">
        <v>35.039200000000001</v>
      </c>
      <c r="E2366" s="2" t="s">
        <v>374</v>
      </c>
      <c r="F2366" s="2" t="e">
        <f>VLOOKUP(B2366,MSCI中国成分股!A:B,1,)</f>
        <v>#N/A</v>
      </c>
    </row>
    <row r="2367" spans="1:6" ht="20.25" hidden="1" customHeight="1" x14ac:dyDescent="0.15">
      <c r="A2367" s="2" t="s">
        <v>4984</v>
      </c>
      <c r="B2367" s="2" t="s">
        <v>4985</v>
      </c>
      <c r="C2367" s="2">
        <v>1.07</v>
      </c>
      <c r="D2367" s="2">
        <v>2.3008000000000002</v>
      </c>
      <c r="E2367" s="2" t="s">
        <v>3971</v>
      </c>
      <c r="F2367" s="2" t="e">
        <f>VLOOKUP(B2367,MSCI中国成分股!A:B,1,)</f>
        <v>#N/A</v>
      </c>
    </row>
    <row r="2368" spans="1:6" ht="20.25" hidden="1" customHeight="1" x14ac:dyDescent="0.15">
      <c r="A2368" s="2" t="s">
        <v>4986</v>
      </c>
      <c r="B2368" s="2" t="s">
        <v>4987</v>
      </c>
      <c r="C2368" s="2">
        <v>0.44</v>
      </c>
      <c r="D2368" s="2">
        <v>11.533899999999999</v>
      </c>
      <c r="E2368" s="2" t="s">
        <v>542</v>
      </c>
      <c r="F2368" s="2" t="e">
        <f>VLOOKUP(B2368,MSCI中国成分股!A:B,1,)</f>
        <v>#N/A</v>
      </c>
    </row>
    <row r="2369" spans="1:6" ht="20.25" hidden="1" customHeight="1" x14ac:dyDescent="0.15">
      <c r="A2369" s="2" t="s">
        <v>4988</v>
      </c>
      <c r="B2369" s="2" t="s">
        <v>4989</v>
      </c>
      <c r="C2369" s="2">
        <v>1.41</v>
      </c>
      <c r="D2369" s="2">
        <v>2.4802</v>
      </c>
      <c r="E2369" s="2" t="s">
        <v>1691</v>
      </c>
      <c r="F2369" s="2" t="e">
        <f>VLOOKUP(B2369,MSCI中国成分股!A:B,1,)</f>
        <v>#N/A</v>
      </c>
    </row>
    <row r="2370" spans="1:6" ht="20.25" hidden="1" customHeight="1" x14ac:dyDescent="0.15">
      <c r="A2370" s="2" t="s">
        <v>4990</v>
      </c>
      <c r="B2370" s="2" t="s">
        <v>4991</v>
      </c>
      <c r="C2370" s="2">
        <v>0.66</v>
      </c>
      <c r="D2370" s="2">
        <v>8.9704999999999995</v>
      </c>
      <c r="E2370" s="2" t="s">
        <v>2374</v>
      </c>
      <c r="F2370" s="2" t="e">
        <f>VLOOKUP(B2370,MSCI中国成分股!A:B,1,)</f>
        <v>#N/A</v>
      </c>
    </row>
    <row r="2371" spans="1:6" ht="20.25" hidden="1" customHeight="1" x14ac:dyDescent="0.15">
      <c r="A2371" s="2" t="s">
        <v>4992</v>
      </c>
      <c r="B2371" s="2" t="s">
        <v>4993</v>
      </c>
      <c r="C2371" s="2">
        <v>0.69</v>
      </c>
      <c r="D2371" s="2">
        <v>0.58919999999999995</v>
      </c>
      <c r="E2371" s="2" t="s">
        <v>396</v>
      </c>
      <c r="F2371" s="2" t="e">
        <f>VLOOKUP(B2371,MSCI中国成分股!A:B,1,)</f>
        <v>#N/A</v>
      </c>
    </row>
    <row r="2372" spans="1:6" ht="20.25" hidden="1" customHeight="1" x14ac:dyDescent="0.15">
      <c r="A2372" s="2" t="s">
        <v>4994</v>
      </c>
      <c r="B2372" s="2" t="s">
        <v>4995</v>
      </c>
      <c r="C2372" s="2">
        <v>-4.29</v>
      </c>
      <c r="D2372" s="2">
        <v>64.444500000000005</v>
      </c>
      <c r="E2372" s="2" t="s">
        <v>690</v>
      </c>
      <c r="F2372" s="2" t="e">
        <f>VLOOKUP(B2372,MSCI中国成分股!A:B,1,)</f>
        <v>#N/A</v>
      </c>
    </row>
    <row r="2373" spans="1:6" ht="20.25" hidden="1" customHeight="1" x14ac:dyDescent="0.15">
      <c r="A2373" s="2" t="s">
        <v>4996</v>
      </c>
      <c r="B2373" s="2" t="s">
        <v>4997</v>
      </c>
      <c r="C2373" s="2">
        <v>-0.3</v>
      </c>
      <c r="D2373" s="2">
        <v>1.2241</v>
      </c>
      <c r="E2373" s="2" t="s">
        <v>21</v>
      </c>
      <c r="F2373" s="2" t="e">
        <f>VLOOKUP(B2373,MSCI中国成分股!A:B,1,)</f>
        <v>#N/A</v>
      </c>
    </row>
    <row r="2374" spans="1:6" ht="20.25" hidden="1" customHeight="1" x14ac:dyDescent="0.15">
      <c r="A2374" s="2" t="s">
        <v>4998</v>
      </c>
      <c r="B2374" s="2" t="s">
        <v>4999</v>
      </c>
      <c r="C2374" s="2">
        <v>1.46</v>
      </c>
      <c r="D2374" s="2">
        <v>0.47610000000000002</v>
      </c>
      <c r="E2374" s="2" t="s">
        <v>713</v>
      </c>
      <c r="F2374" s="2" t="e">
        <f>VLOOKUP(B2374,MSCI中国成分股!A:B,1,)</f>
        <v>#N/A</v>
      </c>
    </row>
    <row r="2375" spans="1:6" ht="20.25" hidden="1" customHeight="1" x14ac:dyDescent="0.15">
      <c r="A2375" s="2" t="s">
        <v>5000</v>
      </c>
      <c r="B2375" s="2" t="s">
        <v>5001</v>
      </c>
      <c r="C2375" s="2">
        <v>0.76</v>
      </c>
      <c r="D2375" s="2">
        <v>0.44519999999999998</v>
      </c>
      <c r="E2375" s="2" t="s">
        <v>690</v>
      </c>
      <c r="F2375" s="2" t="e">
        <f>VLOOKUP(B2375,MSCI中国成分股!A:B,1,)</f>
        <v>#N/A</v>
      </c>
    </row>
    <row r="2376" spans="1:6" ht="20.25" hidden="1" customHeight="1" x14ac:dyDescent="0.15">
      <c r="A2376" s="2" t="s">
        <v>5002</v>
      </c>
      <c r="B2376" s="2" t="s">
        <v>5003</v>
      </c>
      <c r="C2376" s="2">
        <v>0.35</v>
      </c>
      <c r="D2376" s="2">
        <v>6.8754999999999997</v>
      </c>
      <c r="E2376" s="2" t="s">
        <v>299</v>
      </c>
      <c r="F2376" s="2" t="e">
        <f>VLOOKUP(B2376,MSCI中国成分股!A:B,1,)</f>
        <v>#N/A</v>
      </c>
    </row>
    <row r="2377" spans="1:6" ht="20.25" hidden="1" customHeight="1" x14ac:dyDescent="0.15">
      <c r="A2377" s="2" t="s">
        <v>5004</v>
      </c>
      <c r="B2377" s="2" t="s">
        <v>5005</v>
      </c>
      <c r="C2377" s="2">
        <v>5.34</v>
      </c>
      <c r="D2377" s="2">
        <v>1.2810999999999999</v>
      </c>
      <c r="E2377" s="2" t="s">
        <v>647</v>
      </c>
      <c r="F2377" s="2" t="e">
        <f>VLOOKUP(B2377,MSCI中国成分股!A:B,1,)</f>
        <v>#N/A</v>
      </c>
    </row>
    <row r="2378" spans="1:6" ht="20.25" hidden="1" customHeight="1" x14ac:dyDescent="0.15">
      <c r="A2378" s="2" t="s">
        <v>5006</v>
      </c>
      <c r="B2378" s="2" t="s">
        <v>5007</v>
      </c>
      <c r="C2378" s="2">
        <v>1.86</v>
      </c>
      <c r="D2378" s="2">
        <v>1.1344000000000001</v>
      </c>
      <c r="E2378" s="2" t="s">
        <v>1820</v>
      </c>
      <c r="F2378" s="2" t="e">
        <f>VLOOKUP(B2378,MSCI中国成分股!A:B,1,)</f>
        <v>#N/A</v>
      </c>
    </row>
    <row r="2379" spans="1:6" ht="20.25" hidden="1" customHeight="1" x14ac:dyDescent="0.15">
      <c r="A2379" s="2" t="s">
        <v>5008</v>
      </c>
      <c r="B2379" s="2" t="s">
        <v>5009</v>
      </c>
      <c r="C2379" s="2">
        <v>2.29</v>
      </c>
      <c r="D2379" s="2">
        <v>0.95589999999999997</v>
      </c>
      <c r="E2379" s="2" t="s">
        <v>1056</v>
      </c>
      <c r="F2379" s="2" t="e">
        <f>VLOOKUP(B2379,MSCI中国成分股!A:B,1,)</f>
        <v>#N/A</v>
      </c>
    </row>
    <row r="2380" spans="1:6" ht="20.25" hidden="1" customHeight="1" x14ac:dyDescent="0.15">
      <c r="A2380" s="2" t="s">
        <v>5010</v>
      </c>
      <c r="B2380" s="2" t="s">
        <v>5011</v>
      </c>
      <c r="C2380" s="2">
        <v>1.1100000000000001</v>
      </c>
      <c r="D2380" s="2">
        <v>16.622800000000002</v>
      </c>
      <c r="E2380" s="2" t="s">
        <v>862</v>
      </c>
      <c r="F2380" s="2" t="e">
        <f>VLOOKUP(B2380,MSCI中国成分股!A:B,1,)</f>
        <v>#N/A</v>
      </c>
    </row>
    <row r="2381" spans="1:6" ht="20.25" hidden="1" customHeight="1" x14ac:dyDescent="0.15">
      <c r="A2381" s="2" t="s">
        <v>5012</v>
      </c>
      <c r="B2381" s="2" t="s">
        <v>5013</v>
      </c>
      <c r="C2381" s="2">
        <v>0.28000000000000003</v>
      </c>
      <c r="D2381" s="2">
        <v>8.7906999999999993</v>
      </c>
      <c r="E2381" s="2" t="s">
        <v>421</v>
      </c>
      <c r="F2381" s="2" t="e">
        <f>VLOOKUP(B2381,MSCI中国成分股!A:B,1,)</f>
        <v>#N/A</v>
      </c>
    </row>
    <row r="2382" spans="1:6" ht="20.25" hidden="1" customHeight="1" x14ac:dyDescent="0.15">
      <c r="A2382" s="2" t="s">
        <v>5014</v>
      </c>
      <c r="B2382" s="2" t="s">
        <v>5015</v>
      </c>
      <c r="C2382" s="2">
        <v>1.22</v>
      </c>
      <c r="D2382" s="2">
        <v>108.17359999999999</v>
      </c>
      <c r="E2382" s="2" t="s">
        <v>2344</v>
      </c>
      <c r="F2382" s="2" t="e">
        <f>VLOOKUP(B2382,MSCI中国成分股!A:B,1,)</f>
        <v>#N/A</v>
      </c>
    </row>
    <row r="2383" spans="1:6" ht="20.25" hidden="1" customHeight="1" x14ac:dyDescent="0.15">
      <c r="A2383" s="2" t="s">
        <v>5016</v>
      </c>
      <c r="B2383" s="2" t="s">
        <v>5017</v>
      </c>
      <c r="C2383" s="2">
        <v>1.45</v>
      </c>
      <c r="D2383" s="2">
        <v>1.3804000000000001</v>
      </c>
      <c r="E2383" s="2" t="s">
        <v>286</v>
      </c>
      <c r="F2383" s="2" t="e">
        <f>VLOOKUP(B2383,MSCI中国成分股!A:B,1,)</f>
        <v>#N/A</v>
      </c>
    </row>
    <row r="2384" spans="1:6" ht="20.25" hidden="1" customHeight="1" x14ac:dyDescent="0.15">
      <c r="A2384" s="2" t="s">
        <v>5018</v>
      </c>
      <c r="B2384" s="2" t="s">
        <v>5019</v>
      </c>
      <c r="C2384" s="2">
        <v>1.22</v>
      </c>
      <c r="D2384" s="2">
        <v>0.4718</v>
      </c>
      <c r="E2384" s="2" t="s">
        <v>677</v>
      </c>
      <c r="F2384" s="2" t="e">
        <f>VLOOKUP(B2384,MSCI中国成分股!A:B,1,)</f>
        <v>#N/A</v>
      </c>
    </row>
    <row r="2385" spans="1:6" ht="20.25" hidden="1" customHeight="1" x14ac:dyDescent="0.15">
      <c r="A2385" s="2" t="s">
        <v>5020</v>
      </c>
      <c r="B2385" s="2" t="s">
        <v>5021</v>
      </c>
      <c r="C2385" s="2">
        <v>1.87</v>
      </c>
      <c r="D2385" s="2">
        <v>7.2850000000000001</v>
      </c>
      <c r="E2385" s="2" t="s">
        <v>713</v>
      </c>
      <c r="F2385" s="2" t="e">
        <f>VLOOKUP(B2385,MSCI中国成分股!A:B,1,)</f>
        <v>#N/A</v>
      </c>
    </row>
    <row r="2386" spans="1:6" ht="20.25" hidden="1" customHeight="1" x14ac:dyDescent="0.15">
      <c r="A2386" s="2" t="s">
        <v>5022</v>
      </c>
      <c r="B2386" s="2" t="s">
        <v>5023</v>
      </c>
      <c r="C2386" s="2">
        <v>1.76</v>
      </c>
      <c r="D2386" s="2">
        <v>2.9580000000000002</v>
      </c>
      <c r="E2386" s="2" t="s">
        <v>123</v>
      </c>
      <c r="F2386" s="2" t="e">
        <f>VLOOKUP(B2386,MSCI中国成分股!A:B,1,)</f>
        <v>#N/A</v>
      </c>
    </row>
    <row r="2387" spans="1:6" ht="20.25" hidden="1" customHeight="1" x14ac:dyDescent="0.15">
      <c r="A2387" s="2" t="s">
        <v>5024</v>
      </c>
      <c r="B2387" s="2" t="s">
        <v>5025</v>
      </c>
      <c r="C2387" s="2">
        <v>0.875</v>
      </c>
      <c r="D2387" s="2">
        <v>2.0175000000000001</v>
      </c>
      <c r="E2387" s="2" t="s">
        <v>1820</v>
      </c>
      <c r="F2387" s="2" t="e">
        <f>VLOOKUP(B2387,MSCI中国成分股!A:B,1,)</f>
        <v>#N/A</v>
      </c>
    </row>
    <row r="2388" spans="1:6" ht="20.25" hidden="1" customHeight="1" x14ac:dyDescent="0.15">
      <c r="A2388" s="2" t="s">
        <v>5026</v>
      </c>
      <c r="B2388" s="2" t="s">
        <v>5027</v>
      </c>
      <c r="C2388" s="2">
        <v>-0.82</v>
      </c>
      <c r="D2388" s="2">
        <v>18.947299999999998</v>
      </c>
      <c r="E2388" s="2" t="s">
        <v>409</v>
      </c>
      <c r="F2388" s="2" t="e">
        <f>VLOOKUP(B2388,MSCI中国成分股!A:B,1,)</f>
        <v>#N/A</v>
      </c>
    </row>
    <row r="2389" spans="1:6" ht="20.25" hidden="1" customHeight="1" x14ac:dyDescent="0.15">
      <c r="A2389" s="2" t="s">
        <v>5028</v>
      </c>
      <c r="B2389" s="2" t="s">
        <v>5029</v>
      </c>
      <c r="C2389" s="2">
        <v>2.4900000000000002</v>
      </c>
      <c r="D2389" s="2">
        <v>0.78739999999999999</v>
      </c>
      <c r="E2389" s="2" t="s">
        <v>310</v>
      </c>
      <c r="F2389" s="2" t="e">
        <f>VLOOKUP(B2389,MSCI中国成分股!A:B,1,)</f>
        <v>#N/A</v>
      </c>
    </row>
    <row r="2390" spans="1:6" ht="20.25" hidden="1" customHeight="1" x14ac:dyDescent="0.15">
      <c r="A2390" s="2" t="s">
        <v>5030</v>
      </c>
      <c r="B2390" s="2" t="s">
        <v>5031</v>
      </c>
      <c r="C2390" s="2">
        <v>-0.87</v>
      </c>
      <c r="D2390" s="2">
        <v>6.4478999999999997</v>
      </c>
      <c r="E2390" s="2" t="s">
        <v>630</v>
      </c>
      <c r="F2390" s="2" t="e">
        <f>VLOOKUP(B2390,MSCI中国成分股!A:B,1,)</f>
        <v>#N/A</v>
      </c>
    </row>
    <row r="2391" spans="1:6" ht="20.25" hidden="1" customHeight="1" x14ac:dyDescent="0.15">
      <c r="A2391" s="2" t="s">
        <v>5032</v>
      </c>
      <c r="B2391" s="2" t="s">
        <v>5033</v>
      </c>
      <c r="C2391" s="2">
        <v>0.34</v>
      </c>
      <c r="D2391" s="2">
        <v>3.9883000000000002</v>
      </c>
      <c r="E2391" s="2" t="s">
        <v>2681</v>
      </c>
      <c r="F2391" s="2" t="e">
        <f>VLOOKUP(B2391,MSCI中国成分股!A:B,1,)</f>
        <v>#N/A</v>
      </c>
    </row>
    <row r="2392" spans="1:6" ht="20.25" hidden="1" customHeight="1" x14ac:dyDescent="0.15">
      <c r="A2392" s="2" t="s">
        <v>5034</v>
      </c>
      <c r="B2392" s="2" t="s">
        <v>5035</v>
      </c>
      <c r="C2392" s="2">
        <v>1.1200000000000001</v>
      </c>
      <c r="D2392" s="2">
        <v>5.423</v>
      </c>
      <c r="E2392" s="2" t="s">
        <v>784</v>
      </c>
      <c r="F2392" s="2" t="e">
        <f>VLOOKUP(B2392,MSCI中国成分股!A:B,1,)</f>
        <v>#N/A</v>
      </c>
    </row>
    <row r="2393" spans="1:6" ht="20.25" hidden="1" customHeight="1" x14ac:dyDescent="0.15">
      <c r="A2393" s="2" t="s">
        <v>5036</v>
      </c>
      <c r="B2393" s="2" t="s">
        <v>5037</v>
      </c>
      <c r="C2393" s="2">
        <v>4.8499999999999996</v>
      </c>
      <c r="D2393" s="2">
        <v>19.505800000000001</v>
      </c>
      <c r="E2393" s="2" t="s">
        <v>374</v>
      </c>
      <c r="F2393" s="2" t="e">
        <f>VLOOKUP(B2393,MSCI中国成分股!A:B,1,)</f>
        <v>#N/A</v>
      </c>
    </row>
    <row r="2394" spans="1:6" ht="20.25" hidden="1" customHeight="1" x14ac:dyDescent="0.15">
      <c r="A2394" s="2" t="s">
        <v>5038</v>
      </c>
      <c r="B2394" s="2" t="s">
        <v>5039</v>
      </c>
      <c r="C2394" s="2">
        <v>1.21</v>
      </c>
      <c r="D2394" s="2">
        <v>0.56789999999999996</v>
      </c>
      <c r="E2394" s="2" t="s">
        <v>727</v>
      </c>
      <c r="F2394" s="2" t="e">
        <f>VLOOKUP(B2394,MSCI中国成分股!A:B,1,)</f>
        <v>#N/A</v>
      </c>
    </row>
    <row r="2395" spans="1:6" ht="20.25" hidden="1" customHeight="1" x14ac:dyDescent="0.15">
      <c r="A2395" s="2" t="s">
        <v>5040</v>
      </c>
      <c r="B2395" s="2" t="s">
        <v>5041</v>
      </c>
      <c r="C2395" s="2">
        <v>0.19</v>
      </c>
      <c r="D2395" s="2">
        <v>9.1746999999999996</v>
      </c>
      <c r="E2395" s="2" t="s">
        <v>371</v>
      </c>
      <c r="F2395" s="2" t="e">
        <f>VLOOKUP(B2395,MSCI中国成分股!A:B,1,)</f>
        <v>#N/A</v>
      </c>
    </row>
    <row r="2396" spans="1:6" ht="20.25" hidden="1" customHeight="1" x14ac:dyDescent="0.15">
      <c r="A2396" s="2" t="s">
        <v>5042</v>
      </c>
      <c r="B2396" s="2" t="s">
        <v>5043</v>
      </c>
      <c r="C2396" s="2">
        <v>0.28000000000000003</v>
      </c>
      <c r="D2396" s="2">
        <v>46.467399999999998</v>
      </c>
      <c r="E2396" s="2" t="s">
        <v>44</v>
      </c>
      <c r="F2396" s="2" t="e">
        <f>VLOOKUP(B2396,MSCI中国成分股!A:B,1,)</f>
        <v>#N/A</v>
      </c>
    </row>
    <row r="2397" spans="1:6" ht="20.25" hidden="1" customHeight="1" x14ac:dyDescent="0.15">
      <c r="A2397" s="2" t="s">
        <v>5044</v>
      </c>
      <c r="B2397" s="2" t="s">
        <v>5045</v>
      </c>
      <c r="C2397" s="2">
        <v>1.61</v>
      </c>
      <c r="D2397" s="2">
        <v>0.68959999999999999</v>
      </c>
      <c r="E2397" s="2" t="s">
        <v>667</v>
      </c>
      <c r="F2397" s="2" t="e">
        <f>VLOOKUP(B2397,MSCI中国成分股!A:B,1,)</f>
        <v>#N/A</v>
      </c>
    </row>
    <row r="2398" spans="1:6" ht="20.25" hidden="1" customHeight="1" x14ac:dyDescent="0.15">
      <c r="A2398" s="2" t="s">
        <v>5046</v>
      </c>
      <c r="B2398" s="2" t="s">
        <v>5047</v>
      </c>
      <c r="C2398" s="2">
        <v>1.05</v>
      </c>
      <c r="D2398" s="2">
        <v>0.1198</v>
      </c>
      <c r="E2398" s="2" t="s">
        <v>201</v>
      </c>
      <c r="F2398" s="2" t="e">
        <f>VLOOKUP(B2398,MSCI中国成分股!A:B,1,)</f>
        <v>#N/A</v>
      </c>
    </row>
    <row r="2399" spans="1:6" ht="20.25" hidden="1" customHeight="1" x14ac:dyDescent="0.15">
      <c r="A2399" s="2" t="s">
        <v>5048</v>
      </c>
      <c r="B2399" s="2" t="s">
        <v>5049</v>
      </c>
      <c r="C2399" s="2">
        <v>0.8</v>
      </c>
      <c r="D2399" s="2">
        <v>0.9254</v>
      </c>
      <c r="E2399" s="2" t="s">
        <v>1390</v>
      </c>
      <c r="F2399" s="2" t="e">
        <f>VLOOKUP(B2399,MSCI中国成分股!A:B,1,)</f>
        <v>#N/A</v>
      </c>
    </row>
    <row r="2400" spans="1:6" ht="20.25" hidden="1" customHeight="1" x14ac:dyDescent="0.15">
      <c r="A2400" s="2" t="s">
        <v>5050</v>
      </c>
      <c r="B2400" s="2" t="s">
        <v>5051</v>
      </c>
      <c r="C2400" s="2">
        <v>1.32</v>
      </c>
      <c r="D2400" s="2">
        <v>0.19639999999999999</v>
      </c>
      <c r="E2400" s="2" t="s">
        <v>1820</v>
      </c>
      <c r="F2400" s="2" t="e">
        <f>VLOOKUP(B2400,MSCI中国成分股!A:B,1,)</f>
        <v>#N/A</v>
      </c>
    </row>
    <row r="2401" spans="1:6" ht="20.25" hidden="1" customHeight="1" x14ac:dyDescent="0.15">
      <c r="A2401" s="2" t="s">
        <v>5052</v>
      </c>
      <c r="B2401" s="2" t="s">
        <v>5053</v>
      </c>
      <c r="C2401" s="2">
        <v>0.82</v>
      </c>
      <c r="D2401" s="2">
        <v>0.38169999999999998</v>
      </c>
      <c r="E2401" s="2" t="s">
        <v>2898</v>
      </c>
      <c r="F2401" s="2" t="e">
        <f>VLOOKUP(B2401,MSCI中国成分股!A:B,1,)</f>
        <v>#N/A</v>
      </c>
    </row>
    <row r="2402" spans="1:6" ht="20.25" hidden="1" customHeight="1" x14ac:dyDescent="0.15">
      <c r="A2402" s="2" t="s">
        <v>5054</v>
      </c>
      <c r="B2402" s="2" t="s">
        <v>5055</v>
      </c>
      <c r="C2402" s="2">
        <v>2.29</v>
      </c>
      <c r="D2402" s="2">
        <v>14.3736</v>
      </c>
      <c r="E2402" s="2" t="s">
        <v>421</v>
      </c>
      <c r="F2402" s="2" t="e">
        <f>VLOOKUP(B2402,MSCI中国成分股!A:B,1,)</f>
        <v>#N/A</v>
      </c>
    </row>
    <row r="2403" spans="1:6" ht="20.25" hidden="1" customHeight="1" x14ac:dyDescent="0.15">
      <c r="A2403" s="2" t="s">
        <v>5056</v>
      </c>
      <c r="B2403" s="2" t="s">
        <v>5057</v>
      </c>
      <c r="C2403" s="2">
        <v>2.75</v>
      </c>
      <c r="D2403" s="2">
        <v>0.39829999999999999</v>
      </c>
      <c r="E2403" s="2" t="s">
        <v>4122</v>
      </c>
      <c r="F2403" s="2" t="e">
        <f>VLOOKUP(B2403,MSCI中国成分股!A:B,1,)</f>
        <v>#N/A</v>
      </c>
    </row>
    <row r="2404" spans="1:6" ht="20.25" hidden="1" customHeight="1" x14ac:dyDescent="0.15">
      <c r="A2404" s="2" t="s">
        <v>5058</v>
      </c>
      <c r="B2404" s="2" t="s">
        <v>5059</v>
      </c>
      <c r="C2404" s="2">
        <v>1.2150000000000001</v>
      </c>
      <c r="D2404" s="2">
        <v>0.76529999999999998</v>
      </c>
      <c r="E2404" s="2" t="s">
        <v>143</v>
      </c>
      <c r="F2404" s="2" t="e">
        <f>VLOOKUP(B2404,MSCI中国成分股!A:B,1,)</f>
        <v>#N/A</v>
      </c>
    </row>
    <row r="2405" spans="1:6" ht="20.25" hidden="1" customHeight="1" x14ac:dyDescent="0.15">
      <c r="A2405" s="2" t="s">
        <v>5060</v>
      </c>
      <c r="B2405" s="2" t="s">
        <v>5061</v>
      </c>
      <c r="C2405" s="2">
        <v>0.09</v>
      </c>
      <c r="D2405" s="2">
        <v>19.829699999999999</v>
      </c>
      <c r="E2405" s="2" t="s">
        <v>86</v>
      </c>
      <c r="F2405" s="2" t="e">
        <f>VLOOKUP(B2405,MSCI中国成分股!A:B,1,)</f>
        <v>#N/A</v>
      </c>
    </row>
    <row r="2406" spans="1:6" ht="20.25" hidden="1" customHeight="1" x14ac:dyDescent="0.15">
      <c r="A2406" s="2" t="s">
        <v>5062</v>
      </c>
      <c r="B2406" s="2" t="s">
        <v>5063</v>
      </c>
      <c r="C2406" s="2">
        <v>1.2</v>
      </c>
      <c r="D2406" s="2">
        <v>1.7459</v>
      </c>
      <c r="E2406" s="2" t="s">
        <v>3130</v>
      </c>
      <c r="F2406" s="2" t="e">
        <f>VLOOKUP(B2406,MSCI中国成分股!A:B,1,)</f>
        <v>#N/A</v>
      </c>
    </row>
    <row r="2407" spans="1:6" ht="20.25" hidden="1" customHeight="1" x14ac:dyDescent="0.15">
      <c r="A2407" s="2" t="s">
        <v>5064</v>
      </c>
      <c r="B2407" s="2" t="s">
        <v>5065</v>
      </c>
      <c r="C2407" s="2">
        <v>2.0499999999999998</v>
      </c>
      <c r="D2407" s="2">
        <v>1.5658000000000001</v>
      </c>
      <c r="E2407" s="2" t="s">
        <v>391</v>
      </c>
      <c r="F2407" s="2" t="e">
        <f>VLOOKUP(B2407,MSCI中国成分股!A:B,1,)</f>
        <v>#N/A</v>
      </c>
    </row>
    <row r="2408" spans="1:6" ht="20.25" hidden="1" customHeight="1" x14ac:dyDescent="0.15">
      <c r="A2408" s="2" t="s">
        <v>5066</v>
      </c>
      <c r="B2408" s="2" t="s">
        <v>5067</v>
      </c>
      <c r="C2408" s="2">
        <v>1.47</v>
      </c>
      <c r="D2408" s="2">
        <v>1.2853000000000001</v>
      </c>
      <c r="E2408" s="2" t="s">
        <v>1403</v>
      </c>
      <c r="F2408" s="2" t="e">
        <f>VLOOKUP(B2408,MSCI中国成分股!A:B,1,)</f>
        <v>#N/A</v>
      </c>
    </row>
    <row r="2409" spans="1:6" ht="20.25" hidden="1" customHeight="1" x14ac:dyDescent="0.15">
      <c r="A2409" s="2" t="s">
        <v>5068</v>
      </c>
      <c r="B2409" s="2" t="s">
        <v>5069</v>
      </c>
      <c r="C2409" s="2">
        <v>1.32</v>
      </c>
      <c r="D2409" s="2">
        <v>1.9846999999999999</v>
      </c>
      <c r="E2409" s="2" t="s">
        <v>574</v>
      </c>
      <c r="F2409" s="2" t="e">
        <f>VLOOKUP(B2409,MSCI中国成分股!A:B,1,)</f>
        <v>#N/A</v>
      </c>
    </row>
    <row r="2410" spans="1:6" ht="20.25" hidden="1" customHeight="1" x14ac:dyDescent="0.15">
      <c r="A2410" s="2" t="s">
        <v>5070</v>
      </c>
      <c r="B2410" s="2" t="s">
        <v>5071</v>
      </c>
      <c r="C2410" s="2">
        <v>1.49</v>
      </c>
      <c r="D2410" s="2">
        <v>5.89</v>
      </c>
      <c r="E2410" s="2" t="s">
        <v>336</v>
      </c>
      <c r="F2410" s="2" t="e">
        <f>VLOOKUP(B2410,MSCI中国成分股!A:B,1,)</f>
        <v>#N/A</v>
      </c>
    </row>
    <row r="2411" spans="1:6" ht="20.25" hidden="1" customHeight="1" x14ac:dyDescent="0.15">
      <c r="A2411" s="2" t="s">
        <v>5072</v>
      </c>
      <c r="B2411" s="2" t="s">
        <v>5073</v>
      </c>
      <c r="C2411" s="2">
        <v>1.1299999999999999</v>
      </c>
      <c r="D2411" s="2">
        <v>0.83299999999999996</v>
      </c>
      <c r="E2411" s="2" t="s">
        <v>1139</v>
      </c>
      <c r="F2411" s="2" t="e">
        <f>VLOOKUP(B2411,MSCI中国成分股!A:B,1,)</f>
        <v>#N/A</v>
      </c>
    </row>
    <row r="2412" spans="1:6" ht="20.25" hidden="1" customHeight="1" x14ac:dyDescent="0.15">
      <c r="A2412" s="2" t="s">
        <v>5074</v>
      </c>
      <c r="B2412" s="2" t="s">
        <v>5075</v>
      </c>
      <c r="C2412" s="2">
        <v>0.33</v>
      </c>
      <c r="D2412" s="2">
        <v>2.5154000000000001</v>
      </c>
      <c r="E2412" s="2" t="s">
        <v>396</v>
      </c>
      <c r="F2412" s="2" t="e">
        <f>VLOOKUP(B2412,MSCI中国成分股!A:B,1,)</f>
        <v>#N/A</v>
      </c>
    </row>
    <row r="2413" spans="1:6" ht="20.25" hidden="1" customHeight="1" x14ac:dyDescent="0.15">
      <c r="A2413" s="2" t="s">
        <v>5076</v>
      </c>
      <c r="B2413" s="2" t="s">
        <v>5077</v>
      </c>
      <c r="C2413" s="2">
        <v>2.0499999999999998</v>
      </c>
      <c r="D2413" s="2">
        <v>0.97270000000000001</v>
      </c>
      <c r="E2413" s="2" t="s">
        <v>713</v>
      </c>
      <c r="F2413" s="2" t="e">
        <f>VLOOKUP(B2413,MSCI中国成分股!A:B,1,)</f>
        <v>#N/A</v>
      </c>
    </row>
    <row r="2414" spans="1:6" ht="20.25" hidden="1" customHeight="1" x14ac:dyDescent="0.15">
      <c r="A2414" s="2" t="s">
        <v>5078</v>
      </c>
      <c r="B2414" s="2" t="s">
        <v>5079</v>
      </c>
      <c r="C2414" s="2">
        <v>2.1</v>
      </c>
      <c r="D2414" s="2">
        <v>1.0069999999999999</v>
      </c>
      <c r="E2414" s="2" t="s">
        <v>44</v>
      </c>
      <c r="F2414" s="2" t="e">
        <f>VLOOKUP(B2414,MSCI中国成分股!A:B,1,)</f>
        <v>#N/A</v>
      </c>
    </row>
    <row r="2415" spans="1:6" ht="20.25" hidden="1" customHeight="1" x14ac:dyDescent="0.15">
      <c r="A2415" s="2" t="s">
        <v>5080</v>
      </c>
      <c r="B2415" s="2" t="s">
        <v>5081</v>
      </c>
      <c r="C2415" s="2">
        <v>2.4249999999999998</v>
      </c>
      <c r="D2415" s="2">
        <v>2.2837999999999998</v>
      </c>
      <c r="E2415" s="2" t="s">
        <v>71</v>
      </c>
      <c r="F2415" s="2" t="e">
        <f>VLOOKUP(B2415,MSCI中国成分股!A:B,1,)</f>
        <v>#N/A</v>
      </c>
    </row>
    <row r="2416" spans="1:6" ht="20.25" hidden="1" customHeight="1" x14ac:dyDescent="0.15">
      <c r="A2416" s="2" t="s">
        <v>5082</v>
      </c>
      <c r="B2416" s="2" t="s">
        <v>5083</v>
      </c>
      <c r="C2416" s="2">
        <v>0.39</v>
      </c>
      <c r="D2416" s="2">
        <v>5.8737000000000004</v>
      </c>
      <c r="E2416" s="2" t="s">
        <v>1801</v>
      </c>
      <c r="F2416" s="2" t="e">
        <f>VLOOKUP(B2416,MSCI中国成分股!A:B,1,)</f>
        <v>#N/A</v>
      </c>
    </row>
    <row r="2417" spans="1:6" ht="20.25" hidden="1" customHeight="1" x14ac:dyDescent="0.15">
      <c r="A2417" s="2" t="s">
        <v>5084</v>
      </c>
      <c r="B2417" s="2" t="s">
        <v>5085</v>
      </c>
      <c r="C2417" s="2">
        <v>-0.35</v>
      </c>
      <c r="D2417" s="2">
        <v>81.574200000000005</v>
      </c>
      <c r="E2417" s="2" t="s">
        <v>137</v>
      </c>
      <c r="F2417" s="2" t="e">
        <f>VLOOKUP(B2417,MSCI中国成分股!A:B,1,)</f>
        <v>#N/A</v>
      </c>
    </row>
    <row r="2418" spans="1:6" ht="20.25" hidden="1" customHeight="1" x14ac:dyDescent="0.15">
      <c r="A2418" s="2" t="s">
        <v>5086</v>
      </c>
      <c r="B2418" s="2" t="s">
        <v>5087</v>
      </c>
      <c r="C2418" s="2">
        <v>0.04</v>
      </c>
      <c r="D2418" s="2">
        <v>9.2741000000000007</v>
      </c>
      <c r="E2418" s="2" t="s">
        <v>185</v>
      </c>
      <c r="F2418" s="2" t="e">
        <f>VLOOKUP(B2418,MSCI中国成分股!A:B,1,)</f>
        <v>#N/A</v>
      </c>
    </row>
    <row r="2419" spans="1:6" ht="20.25" hidden="1" customHeight="1" x14ac:dyDescent="0.15">
      <c r="A2419" s="2" t="s">
        <v>5088</v>
      </c>
      <c r="B2419" s="2" t="s">
        <v>5089</v>
      </c>
      <c r="C2419" s="2">
        <v>1.72</v>
      </c>
      <c r="D2419" s="2">
        <v>19.411899999999999</v>
      </c>
      <c r="E2419" s="2" t="s">
        <v>1515</v>
      </c>
      <c r="F2419" s="2" t="e">
        <f>VLOOKUP(B2419,MSCI中国成分股!A:B,1,)</f>
        <v>#N/A</v>
      </c>
    </row>
    <row r="2420" spans="1:6" ht="20.25" hidden="1" customHeight="1" x14ac:dyDescent="0.15">
      <c r="A2420" s="2" t="s">
        <v>5090</v>
      </c>
      <c r="B2420" s="2" t="s">
        <v>5091</v>
      </c>
      <c r="C2420" s="2">
        <v>2.2599999999999998</v>
      </c>
      <c r="D2420" s="2">
        <v>6.6806000000000001</v>
      </c>
      <c r="E2420" s="2" t="s">
        <v>1243</v>
      </c>
      <c r="F2420" s="2" t="e">
        <f>VLOOKUP(B2420,MSCI中国成分股!A:B,1,)</f>
        <v>#N/A</v>
      </c>
    </row>
    <row r="2421" spans="1:6" ht="20.25" hidden="1" customHeight="1" x14ac:dyDescent="0.15">
      <c r="A2421" s="2" t="s">
        <v>5092</v>
      </c>
      <c r="B2421" s="2" t="s">
        <v>5093</v>
      </c>
      <c r="C2421" s="2">
        <v>2.58</v>
      </c>
      <c r="D2421" s="2">
        <v>5.4154999999999998</v>
      </c>
      <c r="E2421" s="2" t="s">
        <v>204</v>
      </c>
      <c r="F2421" s="2" t="e">
        <f>VLOOKUP(B2421,MSCI中国成分股!A:B,1,)</f>
        <v>#N/A</v>
      </c>
    </row>
    <row r="2422" spans="1:6" ht="20.25" hidden="1" customHeight="1" x14ac:dyDescent="0.15">
      <c r="A2422" s="2" t="s">
        <v>5094</v>
      </c>
      <c r="B2422" s="2" t="s">
        <v>5095</v>
      </c>
      <c r="C2422" s="2">
        <v>0.06</v>
      </c>
      <c r="D2422" s="2">
        <v>17.877800000000001</v>
      </c>
      <c r="E2422" s="2" t="s">
        <v>193</v>
      </c>
      <c r="F2422" s="2" t="e">
        <f>VLOOKUP(B2422,MSCI中国成分股!A:B,1,)</f>
        <v>#N/A</v>
      </c>
    </row>
    <row r="2423" spans="1:6" ht="20.25" hidden="1" customHeight="1" x14ac:dyDescent="0.15">
      <c r="A2423" s="2" t="s">
        <v>5096</v>
      </c>
      <c r="B2423" s="2" t="s">
        <v>5097</v>
      </c>
      <c r="C2423" s="2">
        <v>3.9550000000000001</v>
      </c>
      <c r="D2423" s="2">
        <v>5.0964</v>
      </c>
      <c r="E2423" s="2" t="s">
        <v>638</v>
      </c>
      <c r="F2423" s="2" t="e">
        <f>VLOOKUP(B2423,MSCI中国成分股!A:B,1,)</f>
        <v>#N/A</v>
      </c>
    </row>
    <row r="2424" spans="1:6" ht="20.25" hidden="1" customHeight="1" x14ac:dyDescent="0.15">
      <c r="A2424" s="2" t="s">
        <v>5098</v>
      </c>
      <c r="B2424" s="2" t="s">
        <v>5099</v>
      </c>
      <c r="C2424" s="2">
        <v>1.71</v>
      </c>
      <c r="D2424" s="2">
        <v>0.81269999999999998</v>
      </c>
      <c r="E2424" s="2" t="s">
        <v>699</v>
      </c>
      <c r="F2424" s="2" t="e">
        <f>VLOOKUP(B2424,MSCI中国成分股!A:B,1,)</f>
        <v>#N/A</v>
      </c>
    </row>
    <row r="2425" spans="1:6" ht="20.25" hidden="1" customHeight="1" x14ac:dyDescent="0.15">
      <c r="A2425" s="2" t="s">
        <v>5100</v>
      </c>
      <c r="B2425" s="2" t="s">
        <v>5101</v>
      </c>
      <c r="C2425" s="2">
        <v>0.91500000000000004</v>
      </c>
      <c r="D2425" s="2">
        <v>0.92649999999999999</v>
      </c>
      <c r="E2425" s="2" t="s">
        <v>207</v>
      </c>
      <c r="F2425" s="2" t="e">
        <f>VLOOKUP(B2425,MSCI中国成分股!A:B,1,)</f>
        <v>#N/A</v>
      </c>
    </row>
    <row r="2426" spans="1:6" ht="20.25" hidden="1" customHeight="1" x14ac:dyDescent="0.15">
      <c r="A2426" s="2" t="s">
        <v>5102</v>
      </c>
      <c r="B2426" s="2" t="s">
        <v>5103</v>
      </c>
      <c r="C2426" s="2">
        <v>1.99</v>
      </c>
      <c r="D2426" s="2">
        <v>2.9651999999999998</v>
      </c>
      <c r="E2426" s="2" t="s">
        <v>3190</v>
      </c>
      <c r="F2426" s="2" t="e">
        <f>VLOOKUP(B2426,MSCI中国成分股!A:B,1,)</f>
        <v>#N/A</v>
      </c>
    </row>
    <row r="2427" spans="1:6" ht="20.25" hidden="1" customHeight="1" x14ac:dyDescent="0.15">
      <c r="A2427" s="2" t="s">
        <v>5104</v>
      </c>
      <c r="B2427" s="2" t="s">
        <v>5105</v>
      </c>
      <c r="C2427" s="2">
        <v>0.02</v>
      </c>
      <c r="D2427" s="2">
        <v>224.68700000000001</v>
      </c>
      <c r="E2427" s="2" t="s">
        <v>614</v>
      </c>
      <c r="F2427" s="2" t="e">
        <f>VLOOKUP(B2427,MSCI中国成分股!A:B,1,)</f>
        <v>#N/A</v>
      </c>
    </row>
    <row r="2428" spans="1:6" ht="20.25" hidden="1" customHeight="1" x14ac:dyDescent="0.15">
      <c r="A2428" s="2" t="s">
        <v>5106</v>
      </c>
      <c r="B2428" s="2" t="s">
        <v>5107</v>
      </c>
      <c r="C2428" s="2">
        <v>0.35</v>
      </c>
      <c r="D2428" s="2">
        <v>0.75829999999999997</v>
      </c>
      <c r="E2428" s="2" t="s">
        <v>1173</v>
      </c>
      <c r="F2428" s="2" t="e">
        <f>VLOOKUP(B2428,MSCI中国成分股!A:B,1,)</f>
        <v>#N/A</v>
      </c>
    </row>
    <row r="2429" spans="1:6" ht="20.25" hidden="1" customHeight="1" x14ac:dyDescent="0.15">
      <c r="A2429" s="2" t="s">
        <v>5108</v>
      </c>
      <c r="B2429" s="2" t="s">
        <v>5109</v>
      </c>
      <c r="C2429" s="2">
        <v>1.06</v>
      </c>
      <c r="D2429" s="2">
        <v>22.283899999999999</v>
      </c>
      <c r="E2429" s="2" t="s">
        <v>638</v>
      </c>
      <c r="F2429" s="2" t="e">
        <f>VLOOKUP(B2429,MSCI中国成分股!A:B,1,)</f>
        <v>#N/A</v>
      </c>
    </row>
    <row r="2430" spans="1:6" ht="20.25" hidden="1" customHeight="1" x14ac:dyDescent="0.15">
      <c r="A2430" s="2" t="s">
        <v>5110</v>
      </c>
      <c r="B2430" s="2" t="s">
        <v>5111</v>
      </c>
      <c r="C2430" s="2">
        <v>2.68</v>
      </c>
      <c r="D2430" s="2">
        <v>1.4370000000000001</v>
      </c>
      <c r="E2430" s="2" t="s">
        <v>630</v>
      </c>
      <c r="F2430" s="2" t="e">
        <f>VLOOKUP(B2430,MSCI中国成分股!A:B,1,)</f>
        <v>#N/A</v>
      </c>
    </row>
    <row r="2431" spans="1:6" ht="20.25" hidden="1" customHeight="1" x14ac:dyDescent="0.15">
      <c r="A2431" s="2" t="s">
        <v>5112</v>
      </c>
      <c r="B2431" s="2" t="s">
        <v>5113</v>
      </c>
      <c r="C2431" s="2">
        <v>-7.0000000000000007E-2</v>
      </c>
      <c r="D2431" s="2">
        <v>52.405299999999997</v>
      </c>
      <c r="E2431" s="2" t="s">
        <v>2038</v>
      </c>
      <c r="F2431" s="2" t="e">
        <f>VLOOKUP(B2431,MSCI中国成分股!A:B,1,)</f>
        <v>#N/A</v>
      </c>
    </row>
    <row r="2432" spans="1:6" ht="20.25" hidden="1" customHeight="1" x14ac:dyDescent="0.15">
      <c r="A2432" s="2" t="s">
        <v>5114</v>
      </c>
      <c r="B2432" s="2" t="s">
        <v>5115</v>
      </c>
      <c r="C2432" s="2">
        <v>3.23</v>
      </c>
      <c r="D2432" s="2">
        <v>20.639900000000001</v>
      </c>
      <c r="E2432" s="2" t="s">
        <v>633</v>
      </c>
      <c r="F2432" s="2" t="e">
        <f>VLOOKUP(B2432,MSCI中国成分股!A:B,1,)</f>
        <v>#N/A</v>
      </c>
    </row>
    <row r="2433" spans="1:6" ht="20.25" hidden="1" customHeight="1" x14ac:dyDescent="0.15">
      <c r="A2433" s="2" t="s">
        <v>5116</v>
      </c>
      <c r="B2433" s="2" t="s">
        <v>5117</v>
      </c>
      <c r="C2433" s="2">
        <v>0.5</v>
      </c>
      <c r="D2433" s="2">
        <v>82.034199999999998</v>
      </c>
      <c r="E2433" s="2" t="s">
        <v>143</v>
      </c>
      <c r="F2433" s="2" t="e">
        <f>VLOOKUP(B2433,MSCI中国成分股!A:B,1,)</f>
        <v>#N/A</v>
      </c>
    </row>
    <row r="2434" spans="1:6" ht="20.25" hidden="1" customHeight="1" x14ac:dyDescent="0.15">
      <c r="A2434" s="2" t="s">
        <v>5118</v>
      </c>
      <c r="B2434" s="2" t="s">
        <v>5119</v>
      </c>
      <c r="C2434" s="2">
        <v>3.7</v>
      </c>
      <c r="D2434" s="2">
        <v>2.5766</v>
      </c>
      <c r="E2434" s="2" t="s">
        <v>68</v>
      </c>
      <c r="F2434" s="2" t="e">
        <f>VLOOKUP(B2434,MSCI中国成分股!A:B,1,)</f>
        <v>#N/A</v>
      </c>
    </row>
    <row r="2435" spans="1:6" ht="20.25" hidden="1" customHeight="1" x14ac:dyDescent="0.15">
      <c r="A2435" s="2" t="s">
        <v>5120</v>
      </c>
      <c r="B2435" s="2" t="s">
        <v>5121</v>
      </c>
      <c r="C2435" s="2">
        <v>3.46</v>
      </c>
      <c r="D2435" s="2">
        <v>0.78869999999999996</v>
      </c>
      <c r="E2435" s="2" t="s">
        <v>44</v>
      </c>
      <c r="F2435" s="2" t="e">
        <f>VLOOKUP(B2435,MSCI中国成分股!A:B,1,)</f>
        <v>#N/A</v>
      </c>
    </row>
    <row r="2436" spans="1:6" ht="20.25" hidden="1" customHeight="1" x14ac:dyDescent="0.15">
      <c r="A2436" s="2" t="s">
        <v>5122</v>
      </c>
      <c r="B2436" s="2" t="s">
        <v>5123</v>
      </c>
      <c r="C2436" s="2">
        <v>0.94</v>
      </c>
      <c r="D2436" s="2">
        <v>0.73719999999999997</v>
      </c>
      <c r="E2436" s="2" t="s">
        <v>92</v>
      </c>
      <c r="F2436" s="2" t="e">
        <f>VLOOKUP(B2436,MSCI中国成分股!A:B,1,)</f>
        <v>#N/A</v>
      </c>
    </row>
    <row r="2437" spans="1:6" ht="20.25" hidden="1" customHeight="1" x14ac:dyDescent="0.15">
      <c r="A2437" s="2" t="s">
        <v>5124</v>
      </c>
      <c r="B2437" s="2" t="s">
        <v>5125</v>
      </c>
      <c r="C2437" s="2">
        <v>1.53</v>
      </c>
      <c r="D2437" s="2">
        <v>0.50609999999999999</v>
      </c>
      <c r="E2437" s="2" t="s">
        <v>286</v>
      </c>
      <c r="F2437" s="2" t="e">
        <f>VLOOKUP(B2437,MSCI中国成分股!A:B,1,)</f>
        <v>#N/A</v>
      </c>
    </row>
    <row r="2438" spans="1:6" ht="20.25" hidden="1" customHeight="1" x14ac:dyDescent="0.15">
      <c r="A2438" s="2" t="s">
        <v>5126</v>
      </c>
      <c r="B2438" s="2" t="s">
        <v>5127</v>
      </c>
      <c r="C2438" s="2">
        <v>-0.18</v>
      </c>
      <c r="D2438" s="2">
        <v>152.0735</v>
      </c>
      <c r="E2438" s="2" t="s">
        <v>1969</v>
      </c>
      <c r="F2438" s="2" t="e">
        <f>VLOOKUP(B2438,MSCI中国成分股!A:B,1,)</f>
        <v>#N/A</v>
      </c>
    </row>
    <row r="2439" spans="1:6" ht="20.25" hidden="1" customHeight="1" x14ac:dyDescent="0.15">
      <c r="A2439" s="2" t="s">
        <v>5128</v>
      </c>
      <c r="B2439" s="2" t="s">
        <v>5129</v>
      </c>
      <c r="C2439" s="2">
        <v>0.73</v>
      </c>
      <c r="D2439" s="2">
        <v>1.3576999999999999</v>
      </c>
      <c r="E2439" s="2" t="s">
        <v>506</v>
      </c>
      <c r="F2439" s="2" t="e">
        <f>VLOOKUP(B2439,MSCI中国成分股!A:B,1,)</f>
        <v>#N/A</v>
      </c>
    </row>
    <row r="2440" spans="1:6" ht="20.25" hidden="1" customHeight="1" x14ac:dyDescent="0.15">
      <c r="A2440" s="2" t="s">
        <v>5130</v>
      </c>
      <c r="B2440" s="2" t="s">
        <v>5131</v>
      </c>
      <c r="C2440" s="2">
        <v>1.355</v>
      </c>
      <c r="D2440" s="2">
        <v>1.6661999999999999</v>
      </c>
      <c r="E2440" s="2" t="s">
        <v>207</v>
      </c>
      <c r="F2440" s="2" t="e">
        <f>VLOOKUP(B2440,MSCI中国成分股!A:B,1,)</f>
        <v>#N/A</v>
      </c>
    </row>
    <row r="2441" spans="1:6" ht="20.25" hidden="1" customHeight="1" x14ac:dyDescent="0.15">
      <c r="A2441" s="2" t="s">
        <v>5132</v>
      </c>
      <c r="B2441" s="2" t="s">
        <v>5133</v>
      </c>
      <c r="C2441" s="2">
        <v>-0.4</v>
      </c>
      <c r="D2441" s="2">
        <v>2.1472000000000002</v>
      </c>
      <c r="E2441" s="2" t="s">
        <v>344</v>
      </c>
      <c r="F2441" s="2" t="e">
        <f>VLOOKUP(B2441,MSCI中国成分股!A:B,1,)</f>
        <v>#N/A</v>
      </c>
    </row>
    <row r="2442" spans="1:6" ht="20.25" hidden="1" customHeight="1" x14ac:dyDescent="0.15">
      <c r="A2442" s="2" t="s">
        <v>5134</v>
      </c>
      <c r="B2442" s="2" t="s">
        <v>5135</v>
      </c>
      <c r="C2442" s="2">
        <v>1.02</v>
      </c>
      <c r="D2442" s="2">
        <v>1.1293</v>
      </c>
      <c r="E2442" s="2" t="s">
        <v>123</v>
      </c>
      <c r="F2442" s="2" t="e">
        <f>VLOOKUP(B2442,MSCI中国成分股!A:B,1,)</f>
        <v>#N/A</v>
      </c>
    </row>
    <row r="2443" spans="1:6" ht="20.25" hidden="1" customHeight="1" x14ac:dyDescent="0.15">
      <c r="A2443" s="2" t="s">
        <v>5136</v>
      </c>
      <c r="B2443" s="2" t="s">
        <v>5137</v>
      </c>
      <c r="C2443" s="2">
        <v>2.71</v>
      </c>
      <c r="D2443" s="2">
        <v>1.1041000000000001</v>
      </c>
      <c r="E2443" s="2" t="s">
        <v>265</v>
      </c>
      <c r="F2443" s="2" t="e">
        <f>VLOOKUP(B2443,MSCI中国成分股!A:B,1,)</f>
        <v>#N/A</v>
      </c>
    </row>
    <row r="2444" spans="1:6" ht="20.25" hidden="1" customHeight="1" x14ac:dyDescent="0.15">
      <c r="A2444" s="2" t="s">
        <v>5138</v>
      </c>
      <c r="B2444" s="2" t="s">
        <v>5139</v>
      </c>
      <c r="C2444" s="2">
        <v>3.6749999999999998</v>
      </c>
      <c r="D2444" s="2">
        <v>13.147600000000001</v>
      </c>
      <c r="E2444" s="2" t="s">
        <v>310</v>
      </c>
      <c r="F2444" s="2" t="e">
        <f>VLOOKUP(B2444,MSCI中国成分股!A:B,1,)</f>
        <v>#N/A</v>
      </c>
    </row>
    <row r="2445" spans="1:6" ht="20.25" hidden="1" customHeight="1" x14ac:dyDescent="0.15">
      <c r="A2445" s="2" t="s">
        <v>5140</v>
      </c>
      <c r="B2445" s="2" t="s">
        <v>5141</v>
      </c>
      <c r="C2445" s="2">
        <v>0.86</v>
      </c>
      <c r="D2445" s="2">
        <v>1.1191</v>
      </c>
      <c r="E2445" s="2" t="s">
        <v>982</v>
      </c>
      <c r="F2445" s="2" t="e">
        <f>VLOOKUP(B2445,MSCI中国成分股!A:B,1,)</f>
        <v>#N/A</v>
      </c>
    </row>
    <row r="2446" spans="1:6" ht="20.25" hidden="1" customHeight="1" x14ac:dyDescent="0.15">
      <c r="A2446" s="2" t="s">
        <v>5142</v>
      </c>
      <c r="B2446" s="2" t="s">
        <v>5143</v>
      </c>
      <c r="C2446" s="2">
        <v>-1.93</v>
      </c>
      <c r="D2446" s="2">
        <v>19.3066</v>
      </c>
      <c r="E2446" s="2" t="s">
        <v>1613</v>
      </c>
      <c r="F2446" s="2" t="e">
        <f>VLOOKUP(B2446,MSCI中国成分股!A:B,1,)</f>
        <v>#N/A</v>
      </c>
    </row>
    <row r="2447" spans="1:6" ht="20.25" hidden="1" customHeight="1" x14ac:dyDescent="0.15">
      <c r="A2447" s="2" t="s">
        <v>5144</v>
      </c>
      <c r="B2447" s="2" t="s">
        <v>5145</v>
      </c>
      <c r="C2447" s="2">
        <v>1.5</v>
      </c>
      <c r="D2447" s="2">
        <v>1.9483999999999999</v>
      </c>
      <c r="E2447" s="2" t="s">
        <v>1403</v>
      </c>
      <c r="F2447" s="2" t="e">
        <f>VLOOKUP(B2447,MSCI中国成分股!A:B,1,)</f>
        <v>#N/A</v>
      </c>
    </row>
    <row r="2448" spans="1:6" ht="20.25" hidden="1" customHeight="1" x14ac:dyDescent="0.15">
      <c r="A2448" s="2" t="s">
        <v>5146</v>
      </c>
      <c r="B2448" s="2" t="s">
        <v>5147</v>
      </c>
      <c r="C2448" s="2">
        <v>0.52</v>
      </c>
      <c r="D2448" s="2">
        <v>0.62609999999999999</v>
      </c>
      <c r="E2448" s="2" t="s">
        <v>1243</v>
      </c>
      <c r="F2448" s="2" t="e">
        <f>VLOOKUP(B2448,MSCI中国成分股!A:B,1,)</f>
        <v>#N/A</v>
      </c>
    </row>
    <row r="2449" spans="1:6" ht="20.25" hidden="1" customHeight="1" x14ac:dyDescent="0.15">
      <c r="A2449" s="2" t="s">
        <v>5148</v>
      </c>
      <c r="B2449" s="2" t="s">
        <v>5149</v>
      </c>
      <c r="C2449" s="2">
        <v>1.9</v>
      </c>
      <c r="D2449" s="2">
        <v>0.69620000000000004</v>
      </c>
      <c r="E2449" s="2" t="s">
        <v>1224</v>
      </c>
      <c r="F2449" s="2" t="e">
        <f>VLOOKUP(B2449,MSCI中国成分股!A:B,1,)</f>
        <v>#N/A</v>
      </c>
    </row>
    <row r="2450" spans="1:6" ht="20.25" hidden="1" customHeight="1" x14ac:dyDescent="0.15">
      <c r="A2450" s="2" t="s">
        <v>5150</v>
      </c>
      <c r="B2450" s="2" t="s">
        <v>5151</v>
      </c>
      <c r="C2450" s="2">
        <v>1.95</v>
      </c>
      <c r="D2450" s="2">
        <v>3.3172999999999999</v>
      </c>
      <c r="E2450" s="2" t="s">
        <v>2463</v>
      </c>
      <c r="F2450" s="2" t="e">
        <f>VLOOKUP(B2450,MSCI中国成分股!A:B,1,)</f>
        <v>#N/A</v>
      </c>
    </row>
    <row r="2451" spans="1:6" ht="20.25" hidden="1" customHeight="1" x14ac:dyDescent="0.15">
      <c r="A2451" s="2" t="s">
        <v>5152</v>
      </c>
      <c r="B2451" s="2" t="s">
        <v>5153</v>
      </c>
      <c r="C2451" s="2">
        <v>3.37</v>
      </c>
      <c r="D2451" s="2">
        <v>10.604900000000001</v>
      </c>
      <c r="E2451" s="2" t="s">
        <v>176</v>
      </c>
      <c r="F2451" s="2" t="e">
        <f>VLOOKUP(B2451,MSCI中国成分股!A:B,1,)</f>
        <v>#N/A</v>
      </c>
    </row>
    <row r="2452" spans="1:6" ht="20.25" hidden="1" customHeight="1" x14ac:dyDescent="0.15">
      <c r="A2452" s="2" t="s">
        <v>5154</v>
      </c>
      <c r="B2452" s="2" t="s">
        <v>5155</v>
      </c>
      <c r="C2452" s="2">
        <v>0.31</v>
      </c>
      <c r="D2452" s="2">
        <v>1.7000999999999999</v>
      </c>
      <c r="E2452" s="2" t="s">
        <v>24</v>
      </c>
      <c r="F2452" s="2" t="e">
        <f>VLOOKUP(B2452,MSCI中国成分股!A:B,1,)</f>
        <v>#N/A</v>
      </c>
    </row>
    <row r="2453" spans="1:6" ht="20.25" hidden="1" customHeight="1" x14ac:dyDescent="0.15">
      <c r="A2453" s="2" t="s">
        <v>5156</v>
      </c>
      <c r="B2453" s="2" t="s">
        <v>5157</v>
      </c>
      <c r="C2453" s="2">
        <v>2.84</v>
      </c>
      <c r="D2453" s="2">
        <v>3.6528</v>
      </c>
      <c r="E2453" s="2" t="s">
        <v>44</v>
      </c>
      <c r="F2453" s="2" t="e">
        <f>VLOOKUP(B2453,MSCI中国成分股!A:B,1,)</f>
        <v>#N/A</v>
      </c>
    </row>
    <row r="2454" spans="1:6" ht="20.25" hidden="1" customHeight="1" x14ac:dyDescent="0.15">
      <c r="A2454" s="2" t="s">
        <v>5158</v>
      </c>
      <c r="B2454" s="2" t="s">
        <v>5159</v>
      </c>
      <c r="C2454" s="2">
        <v>-0.78</v>
      </c>
      <c r="D2454" s="2">
        <v>38.0336</v>
      </c>
      <c r="E2454" s="2" t="s">
        <v>713</v>
      </c>
      <c r="F2454" s="2" t="e">
        <f>VLOOKUP(B2454,MSCI中国成分股!A:B,1,)</f>
        <v>#N/A</v>
      </c>
    </row>
    <row r="2455" spans="1:6" ht="20.25" hidden="1" customHeight="1" x14ac:dyDescent="0.15">
      <c r="A2455" s="2" t="s">
        <v>5160</v>
      </c>
      <c r="B2455" s="2" t="s">
        <v>5161</v>
      </c>
      <c r="C2455" s="2">
        <v>0.64</v>
      </c>
      <c r="D2455" s="2">
        <v>1.3573</v>
      </c>
      <c r="E2455" s="2" t="s">
        <v>391</v>
      </c>
      <c r="F2455" s="2" t="e">
        <f>VLOOKUP(B2455,MSCI中国成分股!A:B,1,)</f>
        <v>#N/A</v>
      </c>
    </row>
    <row r="2456" spans="1:6" ht="20.25" hidden="1" customHeight="1" x14ac:dyDescent="0.15">
      <c r="A2456" s="2" t="s">
        <v>5162</v>
      </c>
      <c r="B2456" s="2" t="s">
        <v>5163</v>
      </c>
      <c r="C2456" s="2">
        <v>1.79</v>
      </c>
      <c r="D2456" s="2">
        <v>37.689599999999999</v>
      </c>
      <c r="E2456" s="2" t="s">
        <v>459</v>
      </c>
      <c r="F2456" s="2" t="e">
        <f>VLOOKUP(B2456,MSCI中国成分股!A:B,1,)</f>
        <v>#N/A</v>
      </c>
    </row>
    <row r="2457" spans="1:6" ht="20.25" hidden="1" customHeight="1" x14ac:dyDescent="0.15">
      <c r="A2457" s="2" t="s">
        <v>5164</v>
      </c>
      <c r="B2457" s="2" t="s">
        <v>5165</v>
      </c>
      <c r="C2457" s="2">
        <v>-0.86</v>
      </c>
      <c r="D2457" s="2">
        <v>4.1315999999999997</v>
      </c>
      <c r="E2457" s="2" t="s">
        <v>344</v>
      </c>
      <c r="F2457" s="2" t="e">
        <f>VLOOKUP(B2457,MSCI中国成分股!A:B,1,)</f>
        <v>#N/A</v>
      </c>
    </row>
    <row r="2458" spans="1:6" ht="20.25" hidden="1" customHeight="1" x14ac:dyDescent="0.15">
      <c r="A2458" s="2" t="s">
        <v>5166</v>
      </c>
      <c r="B2458" s="2" t="s">
        <v>5167</v>
      </c>
      <c r="C2458" s="2">
        <v>-0.47</v>
      </c>
      <c r="D2458" s="2">
        <v>38.038400000000003</v>
      </c>
      <c r="E2458" s="2" t="s">
        <v>68</v>
      </c>
      <c r="F2458" s="2" t="e">
        <f>VLOOKUP(B2458,MSCI中国成分股!A:B,1,)</f>
        <v>#N/A</v>
      </c>
    </row>
    <row r="2459" spans="1:6" ht="20.25" hidden="1" customHeight="1" x14ac:dyDescent="0.15">
      <c r="A2459" s="2" t="s">
        <v>5168</v>
      </c>
      <c r="B2459" s="2" t="s">
        <v>5169</v>
      </c>
      <c r="C2459" s="2">
        <v>3.1749999999999998</v>
      </c>
      <c r="D2459" s="2">
        <v>2.3039999999999998</v>
      </c>
      <c r="E2459" s="2" t="s">
        <v>41</v>
      </c>
      <c r="F2459" s="2" t="e">
        <f>VLOOKUP(B2459,MSCI中国成分股!A:B,1,)</f>
        <v>#N/A</v>
      </c>
    </row>
    <row r="2460" spans="1:6" ht="20.25" hidden="1" customHeight="1" x14ac:dyDescent="0.15">
      <c r="A2460" s="2" t="s">
        <v>5170</v>
      </c>
      <c r="B2460" s="2" t="s">
        <v>5171</v>
      </c>
      <c r="C2460" s="2">
        <v>0.06</v>
      </c>
      <c r="D2460" s="2">
        <v>2.5783999999999998</v>
      </c>
      <c r="E2460" s="2" t="s">
        <v>699</v>
      </c>
      <c r="F2460" s="2" t="e">
        <f>VLOOKUP(B2460,MSCI中国成分股!A:B,1,)</f>
        <v>#N/A</v>
      </c>
    </row>
    <row r="2461" spans="1:6" ht="20.25" hidden="1" customHeight="1" x14ac:dyDescent="0.15">
      <c r="A2461" s="2" t="s">
        <v>5172</v>
      </c>
      <c r="B2461" s="2" t="s">
        <v>5173</v>
      </c>
      <c r="C2461" s="2">
        <v>-1.2</v>
      </c>
      <c r="D2461" s="2">
        <v>25.384</v>
      </c>
      <c r="E2461" s="2" t="s">
        <v>81</v>
      </c>
      <c r="F2461" s="2" t="e">
        <f>VLOOKUP(B2461,MSCI中国成分股!A:B,1,)</f>
        <v>#N/A</v>
      </c>
    </row>
    <row r="2462" spans="1:6" ht="20.25" hidden="1" customHeight="1" x14ac:dyDescent="0.15">
      <c r="A2462" s="2" t="s">
        <v>5174</v>
      </c>
      <c r="B2462" s="2" t="s">
        <v>5175</v>
      </c>
      <c r="C2462" s="2">
        <v>-0.06</v>
      </c>
      <c r="D2462" s="2">
        <v>0.44119999999999998</v>
      </c>
      <c r="E2462" s="2" t="s">
        <v>257</v>
      </c>
      <c r="F2462" s="2" t="e">
        <f>VLOOKUP(B2462,MSCI中国成分股!A:B,1,)</f>
        <v>#N/A</v>
      </c>
    </row>
    <row r="2463" spans="1:6" ht="20.25" hidden="1" customHeight="1" x14ac:dyDescent="0.15">
      <c r="A2463" s="2" t="s">
        <v>5176</v>
      </c>
      <c r="B2463" s="2" t="s">
        <v>5177</v>
      </c>
      <c r="C2463" s="2">
        <v>0.76</v>
      </c>
      <c r="D2463" s="2">
        <v>0.20799999999999999</v>
      </c>
      <c r="E2463" s="2" t="s">
        <v>1820</v>
      </c>
      <c r="F2463" s="2" t="e">
        <f>VLOOKUP(B2463,MSCI中国成分股!A:B,1,)</f>
        <v>#N/A</v>
      </c>
    </row>
    <row r="2464" spans="1:6" ht="20.25" hidden="1" customHeight="1" x14ac:dyDescent="0.15">
      <c r="A2464" s="2" t="s">
        <v>5178</v>
      </c>
      <c r="B2464" s="2" t="s">
        <v>5179</v>
      </c>
      <c r="C2464" s="2">
        <v>0.87</v>
      </c>
      <c r="D2464" s="2">
        <v>1.7681</v>
      </c>
      <c r="E2464" s="2" t="s">
        <v>286</v>
      </c>
      <c r="F2464" s="2" t="e">
        <f>VLOOKUP(B2464,MSCI中国成分股!A:B,1,)</f>
        <v>#N/A</v>
      </c>
    </row>
    <row r="2465" spans="1:6" ht="20.25" hidden="1" customHeight="1" x14ac:dyDescent="0.15">
      <c r="A2465" s="2" t="s">
        <v>5180</v>
      </c>
      <c r="B2465" s="2" t="s">
        <v>5181</v>
      </c>
      <c r="C2465" s="2">
        <v>0.43</v>
      </c>
      <c r="D2465" s="2">
        <v>22.904199999999999</v>
      </c>
      <c r="E2465" s="2" t="s">
        <v>1608</v>
      </c>
      <c r="F2465" s="2" t="e">
        <f>VLOOKUP(B2465,MSCI中国成分股!A:B,1,)</f>
        <v>#N/A</v>
      </c>
    </row>
    <row r="2466" spans="1:6" ht="20.25" hidden="1" customHeight="1" x14ac:dyDescent="0.15">
      <c r="A2466" s="2" t="s">
        <v>5182</v>
      </c>
      <c r="B2466" s="2" t="s">
        <v>5183</v>
      </c>
      <c r="C2466" s="2">
        <v>2.56</v>
      </c>
      <c r="D2466" s="2">
        <v>1.1603000000000001</v>
      </c>
      <c r="E2466" s="2" t="s">
        <v>1608</v>
      </c>
      <c r="F2466" s="2" t="e">
        <f>VLOOKUP(B2466,MSCI中国成分股!A:B,1,)</f>
        <v>#N/A</v>
      </c>
    </row>
    <row r="2467" spans="1:6" ht="20.25" hidden="1" customHeight="1" x14ac:dyDescent="0.15">
      <c r="A2467" s="2" t="s">
        <v>5184</v>
      </c>
      <c r="B2467" s="2" t="s">
        <v>5185</v>
      </c>
      <c r="C2467" s="2">
        <v>2.9049999999999998</v>
      </c>
      <c r="D2467" s="2">
        <v>6.8075000000000001</v>
      </c>
      <c r="E2467" s="2" t="s">
        <v>1041</v>
      </c>
      <c r="F2467" s="2" t="e">
        <f>VLOOKUP(B2467,MSCI中国成分股!A:B,1,)</f>
        <v>#N/A</v>
      </c>
    </row>
    <row r="2468" spans="1:6" ht="20.25" hidden="1" customHeight="1" x14ac:dyDescent="0.15">
      <c r="A2468" s="2" t="s">
        <v>5186</v>
      </c>
      <c r="B2468" s="2" t="s">
        <v>5187</v>
      </c>
      <c r="C2468" s="2">
        <v>1.0900000000000001</v>
      </c>
      <c r="D2468" s="2">
        <v>1.4950000000000001</v>
      </c>
      <c r="E2468" s="2" t="s">
        <v>1102</v>
      </c>
      <c r="F2468" s="2" t="e">
        <f>VLOOKUP(B2468,MSCI中国成分股!A:B,1,)</f>
        <v>#N/A</v>
      </c>
    </row>
    <row r="2469" spans="1:6" ht="20.25" hidden="1" customHeight="1" x14ac:dyDescent="0.15">
      <c r="A2469" s="2" t="s">
        <v>5188</v>
      </c>
      <c r="B2469" s="2" t="s">
        <v>5189</v>
      </c>
      <c r="C2469" s="2">
        <v>0.56000000000000005</v>
      </c>
      <c r="D2469" s="2">
        <v>1.9174</v>
      </c>
      <c r="E2469" s="2" t="s">
        <v>769</v>
      </c>
      <c r="F2469" s="2" t="e">
        <f>VLOOKUP(B2469,MSCI中国成分股!A:B,1,)</f>
        <v>#N/A</v>
      </c>
    </row>
    <row r="2470" spans="1:6" ht="20.25" hidden="1" customHeight="1" x14ac:dyDescent="0.15">
      <c r="A2470" s="2" t="s">
        <v>5190</v>
      </c>
      <c r="B2470" s="2" t="s">
        <v>5191</v>
      </c>
      <c r="C2470" s="2">
        <v>0.43</v>
      </c>
      <c r="D2470" s="2">
        <v>1.0883</v>
      </c>
      <c r="E2470" s="2" t="s">
        <v>529</v>
      </c>
      <c r="F2470" s="2" t="e">
        <f>VLOOKUP(B2470,MSCI中国成分股!A:B,1,)</f>
        <v>#N/A</v>
      </c>
    </row>
    <row r="2471" spans="1:6" ht="20.25" hidden="1" customHeight="1" x14ac:dyDescent="0.15">
      <c r="A2471" s="2" t="s">
        <v>5192</v>
      </c>
      <c r="B2471" s="2" t="s">
        <v>5193</v>
      </c>
      <c r="C2471" s="2">
        <v>1.28</v>
      </c>
      <c r="D2471" s="2">
        <v>0.31119999999999998</v>
      </c>
      <c r="E2471" s="2" t="s">
        <v>667</v>
      </c>
      <c r="F2471" s="2" t="e">
        <f>VLOOKUP(B2471,MSCI中国成分股!A:B,1,)</f>
        <v>#N/A</v>
      </c>
    </row>
    <row r="2472" spans="1:6" ht="20.25" hidden="1" customHeight="1" x14ac:dyDescent="0.15">
      <c r="A2472" s="2" t="s">
        <v>5194</v>
      </c>
      <c r="B2472" s="2" t="s">
        <v>5195</v>
      </c>
      <c r="C2472" s="2">
        <v>2.84</v>
      </c>
      <c r="D2472" s="2">
        <v>1.0194000000000001</v>
      </c>
      <c r="E2472" s="2" t="s">
        <v>1338</v>
      </c>
      <c r="F2472" s="2" t="e">
        <f>VLOOKUP(B2472,MSCI中国成分股!A:B,1,)</f>
        <v>#N/A</v>
      </c>
    </row>
    <row r="2473" spans="1:6" ht="20.25" hidden="1" customHeight="1" x14ac:dyDescent="0.15">
      <c r="A2473" s="2" t="s">
        <v>5196</v>
      </c>
      <c r="B2473" s="2" t="s">
        <v>5197</v>
      </c>
      <c r="C2473" s="2">
        <v>1.325</v>
      </c>
      <c r="D2473" s="2">
        <v>0.26179999999999998</v>
      </c>
      <c r="E2473" s="2" t="s">
        <v>201</v>
      </c>
      <c r="F2473" s="2" t="e">
        <f>VLOOKUP(B2473,MSCI中国成分股!A:B,1,)</f>
        <v>#N/A</v>
      </c>
    </row>
    <row r="2474" spans="1:6" ht="20.25" hidden="1" customHeight="1" x14ac:dyDescent="0.15">
      <c r="A2474" s="2" t="s">
        <v>5198</v>
      </c>
      <c r="B2474" s="2" t="s">
        <v>5199</v>
      </c>
      <c r="C2474" s="2">
        <v>0.63</v>
      </c>
      <c r="D2474" s="2">
        <v>130.77440000000001</v>
      </c>
      <c r="E2474" s="2" t="s">
        <v>371</v>
      </c>
      <c r="F2474" s="2" t="e">
        <f>VLOOKUP(B2474,MSCI中国成分股!A:B,1,)</f>
        <v>#N/A</v>
      </c>
    </row>
    <row r="2475" spans="1:6" ht="20.25" hidden="1" customHeight="1" x14ac:dyDescent="0.15">
      <c r="A2475" s="2" t="s">
        <v>5200</v>
      </c>
      <c r="B2475" s="2" t="s">
        <v>5201</v>
      </c>
      <c r="C2475" s="2">
        <v>2.56</v>
      </c>
      <c r="D2475" s="2">
        <v>3.9962</v>
      </c>
      <c r="E2475" s="2" t="s">
        <v>1997</v>
      </c>
      <c r="F2475" s="2" t="e">
        <f>VLOOKUP(B2475,MSCI中国成分股!A:B,1,)</f>
        <v>#N/A</v>
      </c>
    </row>
    <row r="2476" spans="1:6" ht="20.25" hidden="1" customHeight="1" x14ac:dyDescent="0.15">
      <c r="A2476" s="2" t="s">
        <v>5202</v>
      </c>
      <c r="B2476" s="2" t="s">
        <v>5203</v>
      </c>
      <c r="C2476" s="2">
        <v>1.08</v>
      </c>
      <c r="D2476" s="2">
        <v>0.54720000000000002</v>
      </c>
      <c r="E2476" s="2" t="s">
        <v>152</v>
      </c>
      <c r="F2476" s="2" t="e">
        <f>VLOOKUP(B2476,MSCI中国成分股!A:B,1,)</f>
        <v>#N/A</v>
      </c>
    </row>
    <row r="2477" spans="1:6" ht="20.25" hidden="1" customHeight="1" x14ac:dyDescent="0.15">
      <c r="A2477" s="2" t="s">
        <v>5204</v>
      </c>
      <c r="B2477" s="2" t="s">
        <v>5205</v>
      </c>
      <c r="C2477" s="2">
        <v>0.78500000000000003</v>
      </c>
      <c r="D2477" s="2">
        <v>31.140499999999999</v>
      </c>
      <c r="E2477" s="2" t="s">
        <v>371</v>
      </c>
      <c r="F2477" s="2" t="e">
        <f>VLOOKUP(B2477,MSCI中国成分股!A:B,1,)</f>
        <v>#N/A</v>
      </c>
    </row>
    <row r="2478" spans="1:6" ht="20.25" hidden="1" customHeight="1" x14ac:dyDescent="0.15">
      <c r="A2478" s="2" t="s">
        <v>5206</v>
      </c>
      <c r="B2478" s="2" t="s">
        <v>5207</v>
      </c>
      <c r="C2478" s="2">
        <v>-1.45</v>
      </c>
      <c r="D2478" s="2">
        <v>6.82</v>
      </c>
      <c r="E2478" s="2" t="s">
        <v>2724</v>
      </c>
      <c r="F2478" s="2" t="e">
        <f>VLOOKUP(B2478,MSCI中国成分股!A:B,1,)</f>
        <v>#N/A</v>
      </c>
    </row>
    <row r="2479" spans="1:6" ht="20.25" hidden="1" customHeight="1" x14ac:dyDescent="0.15">
      <c r="A2479" s="2" t="s">
        <v>5208</v>
      </c>
      <c r="B2479" s="2" t="s">
        <v>5209</v>
      </c>
      <c r="C2479" s="2">
        <v>3.61</v>
      </c>
      <c r="D2479" s="2">
        <v>5.085</v>
      </c>
      <c r="E2479" s="2" t="s">
        <v>931</v>
      </c>
      <c r="F2479" s="2" t="e">
        <f>VLOOKUP(B2479,MSCI中国成分股!A:B,1,)</f>
        <v>#N/A</v>
      </c>
    </row>
    <row r="2480" spans="1:6" ht="20.25" hidden="1" customHeight="1" x14ac:dyDescent="0.15">
      <c r="A2480" s="2" t="s">
        <v>5210</v>
      </c>
      <c r="B2480" s="2" t="s">
        <v>5211</v>
      </c>
      <c r="C2480" s="2">
        <v>1.24</v>
      </c>
      <c r="D2480" s="2">
        <v>2.1400999999999999</v>
      </c>
      <c r="E2480" s="2" t="s">
        <v>385</v>
      </c>
      <c r="F2480" s="2" t="e">
        <f>VLOOKUP(B2480,MSCI中国成分股!A:B,1,)</f>
        <v>#N/A</v>
      </c>
    </row>
    <row r="2481" spans="1:6" ht="20.25" hidden="1" customHeight="1" x14ac:dyDescent="0.15">
      <c r="A2481" s="2" t="s">
        <v>5212</v>
      </c>
      <c r="B2481" s="2" t="s">
        <v>5213</v>
      </c>
      <c r="C2481" s="2">
        <v>-0.26</v>
      </c>
      <c r="D2481" s="2">
        <v>2.4609999999999999</v>
      </c>
      <c r="E2481" s="2" t="s">
        <v>1285</v>
      </c>
      <c r="F2481" s="2" t="e">
        <f>VLOOKUP(B2481,MSCI中国成分股!A:B,1,)</f>
        <v>#N/A</v>
      </c>
    </row>
    <row r="2482" spans="1:6" ht="20.25" hidden="1" customHeight="1" x14ac:dyDescent="0.15">
      <c r="A2482" s="2" t="s">
        <v>5214</v>
      </c>
      <c r="B2482" s="2" t="s">
        <v>5215</v>
      </c>
      <c r="C2482" s="2">
        <v>3.64</v>
      </c>
      <c r="D2482" s="2">
        <v>10.2357</v>
      </c>
      <c r="E2482" s="2" t="s">
        <v>152</v>
      </c>
      <c r="F2482" s="2" t="e">
        <f>VLOOKUP(B2482,MSCI中国成分股!A:B,1,)</f>
        <v>#N/A</v>
      </c>
    </row>
    <row r="2483" spans="1:6" ht="20.25" hidden="1" customHeight="1" x14ac:dyDescent="0.15">
      <c r="A2483" s="2" t="s">
        <v>5216</v>
      </c>
      <c r="B2483" s="2" t="s">
        <v>5217</v>
      </c>
      <c r="C2483" s="2">
        <v>1.82</v>
      </c>
      <c r="D2483" s="2">
        <v>1.4813000000000001</v>
      </c>
      <c r="E2483" s="2" t="s">
        <v>1139</v>
      </c>
      <c r="F2483" s="2" t="e">
        <f>VLOOKUP(B2483,MSCI中国成分股!A:B,1,)</f>
        <v>#N/A</v>
      </c>
    </row>
    <row r="2484" spans="1:6" ht="20.25" hidden="1" customHeight="1" x14ac:dyDescent="0.15">
      <c r="A2484" s="2" t="s">
        <v>5218</v>
      </c>
      <c r="B2484" s="2" t="s">
        <v>5219</v>
      </c>
      <c r="C2484" s="2">
        <v>-0.25</v>
      </c>
      <c r="D2484" s="2">
        <v>5.0003000000000002</v>
      </c>
      <c r="E2484" s="2" t="s">
        <v>299</v>
      </c>
      <c r="F2484" s="2" t="e">
        <f>VLOOKUP(B2484,MSCI中国成分股!A:B,1,)</f>
        <v>#N/A</v>
      </c>
    </row>
    <row r="2485" spans="1:6" ht="20.25" hidden="1" customHeight="1" x14ac:dyDescent="0.15">
      <c r="A2485" s="2" t="s">
        <v>5220</v>
      </c>
      <c r="B2485" s="2" t="s">
        <v>5221</v>
      </c>
      <c r="C2485" s="2">
        <v>3.59</v>
      </c>
      <c r="D2485" s="2">
        <v>2.2685</v>
      </c>
      <c r="E2485" s="2" t="s">
        <v>35</v>
      </c>
      <c r="F2485" s="2" t="e">
        <f>VLOOKUP(B2485,MSCI中国成分股!A:B,1,)</f>
        <v>#N/A</v>
      </c>
    </row>
    <row r="2486" spans="1:6" ht="20.25" hidden="1" customHeight="1" x14ac:dyDescent="0.15">
      <c r="A2486" s="2" t="s">
        <v>5222</v>
      </c>
      <c r="B2486" s="2" t="s">
        <v>5223</v>
      </c>
      <c r="C2486" s="2">
        <v>0.93</v>
      </c>
      <c r="D2486" s="2">
        <v>21.1539</v>
      </c>
      <c r="E2486" s="2" t="s">
        <v>670</v>
      </c>
      <c r="F2486" s="2" t="e">
        <f>VLOOKUP(B2486,MSCI中国成分股!A:B,1,)</f>
        <v>#N/A</v>
      </c>
    </row>
    <row r="2487" spans="1:6" ht="20.25" hidden="1" customHeight="1" x14ac:dyDescent="0.15">
      <c r="A2487" s="2" t="s">
        <v>5224</v>
      </c>
      <c r="B2487" s="2" t="s">
        <v>5225</v>
      </c>
      <c r="C2487" s="2">
        <v>2.0299999999999998</v>
      </c>
      <c r="D2487" s="2">
        <v>1.62</v>
      </c>
      <c r="E2487" s="2" t="s">
        <v>123</v>
      </c>
      <c r="F2487" s="2" t="e">
        <f>VLOOKUP(B2487,MSCI中国成分股!A:B,1,)</f>
        <v>#N/A</v>
      </c>
    </row>
    <row r="2488" spans="1:6" ht="20.25" hidden="1" customHeight="1" x14ac:dyDescent="0.15">
      <c r="A2488" s="2" t="s">
        <v>5226</v>
      </c>
      <c r="B2488" s="2" t="s">
        <v>5227</v>
      </c>
      <c r="C2488" s="2">
        <v>1.52</v>
      </c>
      <c r="D2488" s="2">
        <v>0.2918</v>
      </c>
      <c r="E2488" s="2" t="s">
        <v>89</v>
      </c>
      <c r="F2488" s="2" t="e">
        <f>VLOOKUP(B2488,MSCI中国成分股!A:B,1,)</f>
        <v>#N/A</v>
      </c>
    </row>
    <row r="2489" spans="1:6" ht="20.25" hidden="1" customHeight="1" x14ac:dyDescent="0.15">
      <c r="A2489" s="2" t="s">
        <v>5228</v>
      </c>
      <c r="B2489" s="2" t="s">
        <v>5229</v>
      </c>
      <c r="C2489" s="2">
        <v>2.0499999999999998</v>
      </c>
      <c r="D2489" s="2">
        <v>12.645099999999999</v>
      </c>
      <c r="E2489" s="2" t="s">
        <v>336</v>
      </c>
      <c r="F2489" s="2" t="e">
        <f>VLOOKUP(B2489,MSCI中国成分股!A:B,1,)</f>
        <v>#N/A</v>
      </c>
    </row>
    <row r="2490" spans="1:6" ht="20.25" hidden="1" customHeight="1" x14ac:dyDescent="0.15">
      <c r="A2490" s="2" t="s">
        <v>5230</v>
      </c>
      <c r="B2490" s="2" t="s">
        <v>5231</v>
      </c>
      <c r="C2490" s="2">
        <v>1.35</v>
      </c>
      <c r="D2490" s="2">
        <v>0.98440000000000005</v>
      </c>
      <c r="E2490" s="2" t="s">
        <v>140</v>
      </c>
      <c r="F2490" s="2" t="e">
        <f>VLOOKUP(B2490,MSCI中国成分股!A:B,1,)</f>
        <v>#N/A</v>
      </c>
    </row>
    <row r="2491" spans="1:6" ht="20.25" hidden="1" customHeight="1" x14ac:dyDescent="0.15">
      <c r="A2491" s="2" t="s">
        <v>5232</v>
      </c>
      <c r="B2491" s="2" t="s">
        <v>5233</v>
      </c>
      <c r="C2491" s="2">
        <v>0.39</v>
      </c>
      <c r="D2491" s="2">
        <v>13.255699999999999</v>
      </c>
      <c r="E2491" s="2" t="s">
        <v>713</v>
      </c>
      <c r="F2491" s="2" t="e">
        <f>VLOOKUP(B2491,MSCI中国成分股!A:B,1,)</f>
        <v>#N/A</v>
      </c>
    </row>
    <row r="2492" spans="1:6" ht="20.25" hidden="1" customHeight="1" x14ac:dyDescent="0.15">
      <c r="A2492" s="2" t="s">
        <v>5234</v>
      </c>
      <c r="B2492" s="2" t="s">
        <v>5235</v>
      </c>
      <c r="C2492" s="2">
        <v>1.77</v>
      </c>
      <c r="D2492" s="2">
        <v>5.4238999999999997</v>
      </c>
      <c r="E2492" s="2" t="s">
        <v>421</v>
      </c>
      <c r="F2492" s="2" t="e">
        <f>VLOOKUP(B2492,MSCI中国成分股!A:B,1,)</f>
        <v>#N/A</v>
      </c>
    </row>
    <row r="2493" spans="1:6" ht="20.25" hidden="1" customHeight="1" x14ac:dyDescent="0.15">
      <c r="A2493" s="2" t="s">
        <v>5236</v>
      </c>
      <c r="B2493" s="2" t="s">
        <v>5237</v>
      </c>
      <c r="C2493" s="2">
        <v>1.1499999999999999</v>
      </c>
      <c r="D2493" s="2">
        <v>5.0620000000000003</v>
      </c>
      <c r="E2493" s="2" t="s">
        <v>149</v>
      </c>
      <c r="F2493" s="2" t="e">
        <f>VLOOKUP(B2493,MSCI中国成分股!A:B,1,)</f>
        <v>#N/A</v>
      </c>
    </row>
    <row r="2494" spans="1:6" ht="20.25" hidden="1" customHeight="1" x14ac:dyDescent="0.15">
      <c r="A2494" s="2" t="s">
        <v>5238</v>
      </c>
      <c r="B2494" s="2" t="s">
        <v>5239</v>
      </c>
      <c r="C2494" s="2">
        <v>1.7</v>
      </c>
      <c r="D2494" s="2">
        <v>4.6696</v>
      </c>
      <c r="E2494" s="2" t="s">
        <v>621</v>
      </c>
      <c r="F2494" s="2" t="e">
        <f>VLOOKUP(B2494,MSCI中国成分股!A:B,1,)</f>
        <v>#N/A</v>
      </c>
    </row>
    <row r="2495" spans="1:6" ht="20.25" hidden="1" customHeight="1" x14ac:dyDescent="0.15">
      <c r="A2495" s="2" t="s">
        <v>5240</v>
      </c>
      <c r="B2495" s="2" t="s">
        <v>5241</v>
      </c>
      <c r="C2495" s="2">
        <v>-0.73499999999999999</v>
      </c>
      <c r="D2495" s="2">
        <v>14.173299999999999</v>
      </c>
      <c r="E2495" s="2" t="s">
        <v>371</v>
      </c>
      <c r="F2495" s="2" t="e">
        <f>VLOOKUP(B2495,MSCI中国成分股!A:B,1,)</f>
        <v>#N/A</v>
      </c>
    </row>
    <row r="2496" spans="1:6" ht="20.25" hidden="1" customHeight="1" x14ac:dyDescent="0.15">
      <c r="A2496" s="2" t="s">
        <v>5242</v>
      </c>
      <c r="B2496" s="2" t="s">
        <v>5243</v>
      </c>
      <c r="C2496" s="2">
        <v>1.71</v>
      </c>
      <c r="D2496" s="2">
        <v>0.53069999999999995</v>
      </c>
      <c r="E2496" s="2" t="s">
        <v>201</v>
      </c>
      <c r="F2496" s="2" t="e">
        <f>VLOOKUP(B2496,MSCI中国成分股!A:B,1,)</f>
        <v>#N/A</v>
      </c>
    </row>
    <row r="2497" spans="1:6" ht="20.25" hidden="1" customHeight="1" x14ac:dyDescent="0.15">
      <c r="A2497" s="2" t="s">
        <v>5244</v>
      </c>
      <c r="B2497" s="2" t="s">
        <v>5245</v>
      </c>
      <c r="C2497" s="2">
        <v>0.47</v>
      </c>
      <c r="D2497" s="2">
        <v>0.38290000000000002</v>
      </c>
      <c r="E2497" s="2" t="s">
        <v>3246</v>
      </c>
      <c r="F2497" s="2" t="e">
        <f>VLOOKUP(B2497,MSCI中国成分股!A:B,1,)</f>
        <v>#N/A</v>
      </c>
    </row>
    <row r="2498" spans="1:6" ht="20.25" hidden="1" customHeight="1" x14ac:dyDescent="0.15">
      <c r="A2498" s="2" t="s">
        <v>5246</v>
      </c>
      <c r="B2498" s="2" t="s">
        <v>5247</v>
      </c>
      <c r="C2498" s="2">
        <v>1.32</v>
      </c>
      <c r="D2498" s="2">
        <v>7.4908999999999999</v>
      </c>
      <c r="E2498" s="2" t="s">
        <v>1873</v>
      </c>
      <c r="F2498" s="2" t="e">
        <f>VLOOKUP(B2498,MSCI中国成分股!A:B,1,)</f>
        <v>#N/A</v>
      </c>
    </row>
    <row r="2499" spans="1:6" ht="20.25" hidden="1" customHeight="1" x14ac:dyDescent="0.15">
      <c r="A2499" s="2" t="s">
        <v>5248</v>
      </c>
      <c r="B2499" s="2" t="s">
        <v>5249</v>
      </c>
      <c r="C2499" s="2">
        <v>-1.58</v>
      </c>
      <c r="D2499" s="2">
        <v>3.8815</v>
      </c>
      <c r="E2499" s="2" t="s">
        <v>529</v>
      </c>
      <c r="F2499" s="2" t="e">
        <f>VLOOKUP(B2499,MSCI中国成分股!A:B,1,)</f>
        <v>#N/A</v>
      </c>
    </row>
    <row r="2500" spans="1:6" ht="20.25" hidden="1" customHeight="1" x14ac:dyDescent="0.15">
      <c r="A2500" s="2" t="s">
        <v>5250</v>
      </c>
      <c r="B2500" s="2" t="s">
        <v>5251</v>
      </c>
      <c r="C2500" s="2">
        <v>-0.13</v>
      </c>
      <c r="D2500" s="2">
        <v>168.97720000000001</v>
      </c>
      <c r="E2500" s="2" t="s">
        <v>403</v>
      </c>
      <c r="F2500" s="2" t="e">
        <f>VLOOKUP(B2500,MSCI中国成分股!A:B,1,)</f>
        <v>#N/A</v>
      </c>
    </row>
    <row r="2501" spans="1:6" ht="20.25" hidden="1" customHeight="1" x14ac:dyDescent="0.15">
      <c r="A2501" s="2" t="s">
        <v>5252</v>
      </c>
      <c r="B2501" s="2" t="s">
        <v>5253</v>
      </c>
      <c r="C2501" s="2">
        <v>1.33</v>
      </c>
      <c r="D2501" s="2">
        <v>75.292400000000001</v>
      </c>
      <c r="E2501" s="2" t="s">
        <v>633</v>
      </c>
      <c r="F2501" s="2" t="e">
        <f>VLOOKUP(B2501,MSCI中国成分股!A:B,1,)</f>
        <v>#N/A</v>
      </c>
    </row>
    <row r="2502" spans="1:6" ht="20.25" hidden="1" customHeight="1" x14ac:dyDescent="0.15">
      <c r="A2502" s="2" t="s">
        <v>5254</v>
      </c>
      <c r="B2502" s="2" t="s">
        <v>5255</v>
      </c>
      <c r="C2502" s="2">
        <v>1.57</v>
      </c>
      <c r="D2502" s="2">
        <v>4.1981000000000002</v>
      </c>
      <c r="E2502" s="2" t="s">
        <v>406</v>
      </c>
      <c r="F2502" s="2" t="e">
        <f>VLOOKUP(B2502,MSCI中国成分股!A:B,1,)</f>
        <v>#N/A</v>
      </c>
    </row>
    <row r="2503" spans="1:6" ht="20.25" hidden="1" customHeight="1" x14ac:dyDescent="0.15">
      <c r="A2503" s="2" t="s">
        <v>5256</v>
      </c>
      <c r="B2503" s="2" t="s">
        <v>5257</v>
      </c>
      <c r="C2503" s="2">
        <v>0.28999999999999998</v>
      </c>
      <c r="D2503" s="2">
        <v>135.31460000000001</v>
      </c>
      <c r="E2503" s="2" t="s">
        <v>137</v>
      </c>
      <c r="F2503" s="2" t="e">
        <f>VLOOKUP(B2503,MSCI中国成分股!A:B,1,)</f>
        <v>#N/A</v>
      </c>
    </row>
    <row r="2504" spans="1:6" ht="20.25" hidden="1" customHeight="1" x14ac:dyDescent="0.15">
      <c r="A2504" s="2" t="s">
        <v>5258</v>
      </c>
      <c r="B2504" s="2" t="s">
        <v>5259</v>
      </c>
      <c r="C2504" s="2">
        <v>0.86</v>
      </c>
      <c r="D2504" s="2">
        <v>3.2121</v>
      </c>
      <c r="E2504" s="2" t="s">
        <v>1061</v>
      </c>
      <c r="F2504" s="2" t="e">
        <f>VLOOKUP(B2504,MSCI中国成分股!A:B,1,)</f>
        <v>#N/A</v>
      </c>
    </row>
    <row r="2505" spans="1:6" ht="20.25" hidden="1" customHeight="1" x14ac:dyDescent="0.15">
      <c r="A2505" s="2" t="s">
        <v>5260</v>
      </c>
      <c r="B2505" s="2" t="s">
        <v>5261</v>
      </c>
      <c r="C2505" s="2">
        <v>-2.1800000000000002</v>
      </c>
      <c r="D2505" s="2">
        <v>328.6866</v>
      </c>
      <c r="E2505" s="2" t="s">
        <v>299</v>
      </c>
      <c r="F2505" s="2" t="e">
        <f>VLOOKUP(B2505,MSCI中国成分股!A:B,1,)</f>
        <v>#N/A</v>
      </c>
    </row>
    <row r="2506" spans="1:6" ht="20.25" hidden="1" customHeight="1" x14ac:dyDescent="0.15">
      <c r="A2506" s="2" t="s">
        <v>5262</v>
      </c>
      <c r="B2506" s="2" t="s">
        <v>5263</v>
      </c>
      <c r="C2506" s="2">
        <v>2.57</v>
      </c>
      <c r="D2506" s="2">
        <v>1.5589</v>
      </c>
      <c r="E2506" s="2" t="s">
        <v>201</v>
      </c>
      <c r="F2506" s="2" t="e">
        <f>VLOOKUP(B2506,MSCI中国成分股!A:B,1,)</f>
        <v>#N/A</v>
      </c>
    </row>
    <row r="2507" spans="1:6" ht="20.25" hidden="1" customHeight="1" x14ac:dyDescent="0.15">
      <c r="A2507" s="2" t="s">
        <v>5264</v>
      </c>
      <c r="B2507" s="2" t="s">
        <v>5265</v>
      </c>
      <c r="C2507" s="2">
        <v>0.86</v>
      </c>
      <c r="D2507" s="2">
        <v>50.615900000000003</v>
      </c>
      <c r="E2507" s="2" t="s">
        <v>1593</v>
      </c>
      <c r="F2507" s="2" t="e">
        <f>VLOOKUP(B2507,MSCI中国成分股!A:B,1,)</f>
        <v>#N/A</v>
      </c>
    </row>
    <row r="2508" spans="1:6" ht="20.25" hidden="1" customHeight="1" x14ac:dyDescent="0.15">
      <c r="A2508" s="2" t="s">
        <v>5266</v>
      </c>
      <c r="B2508" s="2" t="s">
        <v>5267</v>
      </c>
      <c r="C2508" s="2">
        <v>1.33</v>
      </c>
      <c r="D2508" s="2">
        <v>17.677099999999999</v>
      </c>
      <c r="E2508" s="2" t="s">
        <v>747</v>
      </c>
      <c r="F2508" s="2" t="e">
        <f>VLOOKUP(B2508,MSCI中国成分股!A:B,1,)</f>
        <v>#N/A</v>
      </c>
    </row>
    <row r="2509" spans="1:6" ht="20.25" hidden="1" customHeight="1" x14ac:dyDescent="0.15">
      <c r="A2509" s="2" t="s">
        <v>5268</v>
      </c>
      <c r="B2509" s="2" t="s">
        <v>5269</v>
      </c>
      <c r="C2509" s="2">
        <v>0.87</v>
      </c>
      <c r="D2509" s="2">
        <v>6.9165000000000001</v>
      </c>
      <c r="E2509" s="2" t="s">
        <v>299</v>
      </c>
      <c r="F2509" s="2" t="e">
        <f>VLOOKUP(B2509,MSCI中国成分股!A:B,1,)</f>
        <v>#N/A</v>
      </c>
    </row>
    <row r="2510" spans="1:6" ht="20.25" hidden="1" customHeight="1" x14ac:dyDescent="0.15">
      <c r="A2510" s="2" t="s">
        <v>5270</v>
      </c>
      <c r="B2510" s="2" t="s">
        <v>5271</v>
      </c>
      <c r="C2510" s="2">
        <v>0.98</v>
      </c>
      <c r="D2510" s="2">
        <v>0.186</v>
      </c>
      <c r="E2510" s="2" t="s">
        <v>1870</v>
      </c>
      <c r="F2510" s="2" t="e">
        <f>VLOOKUP(B2510,MSCI中国成分股!A:B,1,)</f>
        <v>#N/A</v>
      </c>
    </row>
    <row r="2511" spans="1:6" ht="20.25" hidden="1" customHeight="1" x14ac:dyDescent="0.15">
      <c r="A2511" s="2" t="s">
        <v>5272</v>
      </c>
      <c r="B2511" s="2" t="s">
        <v>5273</v>
      </c>
      <c r="C2511" s="2">
        <v>1.61</v>
      </c>
      <c r="D2511" s="2">
        <v>11.067299999999999</v>
      </c>
      <c r="E2511" s="2" t="s">
        <v>1282</v>
      </c>
      <c r="F2511" s="2" t="e">
        <f>VLOOKUP(B2511,MSCI中国成分股!A:B,1,)</f>
        <v>#N/A</v>
      </c>
    </row>
    <row r="2512" spans="1:6" ht="20.25" hidden="1" customHeight="1" x14ac:dyDescent="0.15">
      <c r="A2512" s="2" t="s">
        <v>5274</v>
      </c>
      <c r="B2512" s="2" t="s">
        <v>5275</v>
      </c>
      <c r="C2512" s="2">
        <v>1.48</v>
      </c>
      <c r="D2512" s="2">
        <v>2.2132999999999998</v>
      </c>
      <c r="E2512" s="2" t="s">
        <v>421</v>
      </c>
      <c r="F2512" s="2" t="e">
        <f>VLOOKUP(B2512,MSCI中国成分股!A:B,1,)</f>
        <v>#N/A</v>
      </c>
    </row>
    <row r="2513" spans="1:6" ht="20.25" hidden="1" customHeight="1" x14ac:dyDescent="0.15">
      <c r="A2513" s="2" t="s">
        <v>5276</v>
      </c>
      <c r="B2513" s="2" t="s">
        <v>5277</v>
      </c>
      <c r="C2513" s="2">
        <v>0.02</v>
      </c>
      <c r="D2513" s="2">
        <v>0.45600000000000002</v>
      </c>
      <c r="E2513" s="2" t="s">
        <v>459</v>
      </c>
      <c r="F2513" s="2" t="e">
        <f>VLOOKUP(B2513,MSCI中国成分股!A:B,1,)</f>
        <v>#N/A</v>
      </c>
    </row>
    <row r="2514" spans="1:6" ht="20.25" hidden="1" customHeight="1" x14ac:dyDescent="0.15">
      <c r="A2514" s="2" t="s">
        <v>5278</v>
      </c>
      <c r="B2514" s="2" t="s">
        <v>5279</v>
      </c>
      <c r="C2514" s="2">
        <v>2.46</v>
      </c>
      <c r="D2514" s="2">
        <v>1.2319</v>
      </c>
      <c r="E2514" s="2" t="s">
        <v>2463</v>
      </c>
      <c r="F2514" s="2" t="e">
        <f>VLOOKUP(B2514,MSCI中国成分股!A:B,1,)</f>
        <v>#N/A</v>
      </c>
    </row>
    <row r="2515" spans="1:6" ht="20.25" hidden="1" customHeight="1" x14ac:dyDescent="0.15">
      <c r="A2515" s="2" t="s">
        <v>5280</v>
      </c>
      <c r="B2515" s="2" t="s">
        <v>5281</v>
      </c>
      <c r="C2515" s="2">
        <v>3.81</v>
      </c>
      <c r="D2515" s="2">
        <v>0.7359</v>
      </c>
      <c r="E2515" s="2" t="s">
        <v>647</v>
      </c>
      <c r="F2515" s="2" t="e">
        <f>VLOOKUP(B2515,MSCI中国成分股!A:B,1,)</f>
        <v>#N/A</v>
      </c>
    </row>
    <row r="2516" spans="1:6" ht="20.25" hidden="1" customHeight="1" x14ac:dyDescent="0.15">
      <c r="A2516" s="2" t="s">
        <v>5282</v>
      </c>
      <c r="B2516" s="2" t="s">
        <v>5283</v>
      </c>
      <c r="C2516" s="2">
        <v>2.37</v>
      </c>
      <c r="D2516" s="2">
        <v>0.46110000000000001</v>
      </c>
      <c r="E2516" s="2" t="s">
        <v>201</v>
      </c>
      <c r="F2516" s="2" t="e">
        <f>VLOOKUP(B2516,MSCI中国成分股!A:B,1,)</f>
        <v>#N/A</v>
      </c>
    </row>
    <row r="2517" spans="1:6" ht="20.25" hidden="1" customHeight="1" x14ac:dyDescent="0.15">
      <c r="A2517" s="2" t="s">
        <v>5284</v>
      </c>
      <c r="B2517" s="2" t="s">
        <v>5285</v>
      </c>
      <c r="C2517" s="2">
        <v>0.8</v>
      </c>
      <c r="D2517" s="2">
        <v>5.9200000000000003E-2</v>
      </c>
      <c r="E2517" s="2" t="s">
        <v>1570</v>
      </c>
      <c r="F2517" s="2" t="e">
        <f>VLOOKUP(B2517,MSCI中国成分股!A:B,1,)</f>
        <v>#N/A</v>
      </c>
    </row>
    <row r="2518" spans="1:6" ht="20.25" hidden="1" customHeight="1" x14ac:dyDescent="0.15">
      <c r="A2518" s="2" t="s">
        <v>5286</v>
      </c>
      <c r="B2518" s="2" t="s">
        <v>5287</v>
      </c>
      <c r="C2518" s="2">
        <v>0.42</v>
      </c>
      <c r="D2518" s="2">
        <v>4.4512</v>
      </c>
      <c r="E2518" s="2" t="s">
        <v>10</v>
      </c>
      <c r="F2518" s="2" t="e">
        <f>VLOOKUP(B2518,MSCI中国成分股!A:B,1,)</f>
        <v>#N/A</v>
      </c>
    </row>
    <row r="2519" spans="1:6" ht="20.25" hidden="1" customHeight="1" x14ac:dyDescent="0.15">
      <c r="A2519" s="2" t="s">
        <v>5288</v>
      </c>
      <c r="B2519" s="2" t="s">
        <v>5289</v>
      </c>
      <c r="C2519" s="2">
        <v>2.4</v>
      </c>
      <c r="D2519" s="2">
        <v>86.156899999999993</v>
      </c>
      <c r="E2519" s="2" t="s">
        <v>260</v>
      </c>
      <c r="F2519" s="2" t="e">
        <f>VLOOKUP(B2519,MSCI中国成分股!A:B,1,)</f>
        <v>#N/A</v>
      </c>
    </row>
    <row r="2520" spans="1:6" ht="20.25" hidden="1" customHeight="1" x14ac:dyDescent="0.15">
      <c r="A2520" s="2" t="s">
        <v>5290</v>
      </c>
      <c r="B2520" s="2" t="s">
        <v>5291</v>
      </c>
      <c r="C2520" s="2">
        <v>1.86</v>
      </c>
      <c r="D2520" s="2">
        <v>0.84340000000000004</v>
      </c>
      <c r="E2520" s="2" t="s">
        <v>344</v>
      </c>
      <c r="F2520" s="2" t="e">
        <f>VLOOKUP(B2520,MSCI中国成分股!A:B,1,)</f>
        <v>#N/A</v>
      </c>
    </row>
    <row r="2521" spans="1:6" ht="20.25" hidden="1" customHeight="1" x14ac:dyDescent="0.15">
      <c r="A2521" s="2" t="s">
        <v>5292</v>
      </c>
      <c r="B2521" s="2" t="s">
        <v>5293</v>
      </c>
      <c r="C2521" s="2">
        <v>0.14000000000000001</v>
      </c>
      <c r="D2521" s="2">
        <v>4.8310000000000004</v>
      </c>
      <c r="E2521" s="2" t="s">
        <v>747</v>
      </c>
      <c r="F2521" s="2" t="e">
        <f>VLOOKUP(B2521,MSCI中国成分股!A:B,1,)</f>
        <v>#N/A</v>
      </c>
    </row>
    <row r="2522" spans="1:6" ht="20.25" hidden="1" customHeight="1" x14ac:dyDescent="0.15">
      <c r="A2522" s="2" t="s">
        <v>5294</v>
      </c>
      <c r="B2522" s="2" t="s">
        <v>5295</v>
      </c>
      <c r="C2522" s="2">
        <v>1.41</v>
      </c>
      <c r="D2522" s="2">
        <v>1.8048999999999999</v>
      </c>
      <c r="E2522" s="2" t="s">
        <v>1061</v>
      </c>
      <c r="F2522" s="2" t="e">
        <f>VLOOKUP(B2522,MSCI中国成分股!A:B,1,)</f>
        <v>#N/A</v>
      </c>
    </row>
    <row r="2523" spans="1:6" ht="20.25" hidden="1" customHeight="1" x14ac:dyDescent="0.15">
      <c r="A2523" s="2" t="s">
        <v>5296</v>
      </c>
      <c r="B2523" s="2" t="s">
        <v>5297</v>
      </c>
      <c r="C2523" s="2">
        <v>-0.06</v>
      </c>
      <c r="D2523" s="2">
        <v>4.8593999999999999</v>
      </c>
      <c r="E2523" s="2" t="s">
        <v>344</v>
      </c>
      <c r="F2523" s="2" t="e">
        <f>VLOOKUP(B2523,MSCI中国成分股!A:B,1,)</f>
        <v>#N/A</v>
      </c>
    </row>
    <row r="2524" spans="1:6" ht="20.25" hidden="1" customHeight="1" x14ac:dyDescent="0.15">
      <c r="A2524" s="2" t="s">
        <v>5298</v>
      </c>
      <c r="B2524" s="2" t="s">
        <v>5299</v>
      </c>
      <c r="C2524" s="2">
        <v>2.0699999999999998</v>
      </c>
      <c r="D2524" s="2">
        <v>38.177799999999998</v>
      </c>
      <c r="E2524" s="2" t="s">
        <v>220</v>
      </c>
      <c r="F2524" s="2" t="e">
        <f>VLOOKUP(B2524,MSCI中国成分股!A:B,1,)</f>
        <v>#N/A</v>
      </c>
    </row>
    <row r="2525" spans="1:6" ht="20.25" hidden="1" customHeight="1" x14ac:dyDescent="0.15">
      <c r="A2525" s="2" t="s">
        <v>5300</v>
      </c>
      <c r="B2525" s="2" t="s">
        <v>5301</v>
      </c>
      <c r="C2525" s="2">
        <v>0.37</v>
      </c>
      <c r="D2525" s="2">
        <v>22.014700000000001</v>
      </c>
      <c r="E2525" s="2" t="s">
        <v>1873</v>
      </c>
      <c r="F2525" s="2" t="e">
        <f>VLOOKUP(B2525,MSCI中国成分股!A:B,1,)</f>
        <v>#N/A</v>
      </c>
    </row>
    <row r="2526" spans="1:6" ht="20.25" hidden="1" customHeight="1" x14ac:dyDescent="0.15">
      <c r="A2526" s="2" t="s">
        <v>5302</v>
      </c>
      <c r="B2526" s="2" t="s">
        <v>5303</v>
      </c>
      <c r="C2526" s="2">
        <v>1.24</v>
      </c>
      <c r="D2526" s="2">
        <v>0.81169999999999998</v>
      </c>
      <c r="E2526" s="2" t="s">
        <v>3693</v>
      </c>
      <c r="F2526" s="2" t="e">
        <f>VLOOKUP(B2526,MSCI中国成分股!A:B,1,)</f>
        <v>#N/A</v>
      </c>
    </row>
    <row r="2527" spans="1:6" ht="20.25" hidden="1" customHeight="1" x14ac:dyDescent="0.15">
      <c r="A2527" s="2" t="s">
        <v>5304</v>
      </c>
      <c r="B2527" s="2" t="s">
        <v>5305</v>
      </c>
      <c r="C2527" s="2">
        <v>-3.51</v>
      </c>
      <c r="D2527" s="2">
        <v>63.838999999999999</v>
      </c>
      <c r="E2527" s="2" t="s">
        <v>385</v>
      </c>
      <c r="F2527" s="2" t="e">
        <f>VLOOKUP(B2527,MSCI中国成分股!A:B,1,)</f>
        <v>#N/A</v>
      </c>
    </row>
    <row r="2528" spans="1:6" ht="20.25" hidden="1" customHeight="1" x14ac:dyDescent="0.15">
      <c r="A2528" s="2" t="s">
        <v>5306</v>
      </c>
      <c r="B2528" s="2" t="s">
        <v>5307</v>
      </c>
      <c r="C2528" s="2">
        <v>1.17</v>
      </c>
      <c r="D2528" s="2">
        <v>2.7847</v>
      </c>
      <c r="E2528" s="2" t="s">
        <v>2678</v>
      </c>
      <c r="F2528" s="2" t="e">
        <f>VLOOKUP(B2528,MSCI中国成分股!A:B,1,)</f>
        <v>#N/A</v>
      </c>
    </row>
    <row r="2529" spans="1:6" ht="20.25" hidden="1" customHeight="1" x14ac:dyDescent="0.15">
      <c r="A2529" s="2" t="s">
        <v>5308</v>
      </c>
      <c r="B2529" s="2" t="s">
        <v>5309</v>
      </c>
      <c r="C2529" s="2">
        <v>0.68</v>
      </c>
      <c r="D2529" s="2">
        <v>0.41110000000000002</v>
      </c>
      <c r="E2529" s="2" t="s">
        <v>664</v>
      </c>
      <c r="F2529" s="2" t="e">
        <f>VLOOKUP(B2529,MSCI中国成分股!A:B,1,)</f>
        <v>#N/A</v>
      </c>
    </row>
    <row r="2530" spans="1:6" ht="20.25" hidden="1" customHeight="1" x14ac:dyDescent="0.15">
      <c r="A2530" s="2" t="s">
        <v>5310</v>
      </c>
      <c r="B2530" s="2" t="s">
        <v>5311</v>
      </c>
      <c r="C2530" s="2">
        <v>1.22</v>
      </c>
      <c r="D2530" s="2">
        <v>0.20180000000000001</v>
      </c>
      <c r="E2530" s="2" t="s">
        <v>744</v>
      </c>
      <c r="F2530" s="2" t="e">
        <f>VLOOKUP(B2530,MSCI中国成分股!A:B,1,)</f>
        <v>#N/A</v>
      </c>
    </row>
    <row r="2531" spans="1:6" ht="20.25" hidden="1" customHeight="1" x14ac:dyDescent="0.15">
      <c r="A2531" s="2" t="s">
        <v>5312</v>
      </c>
      <c r="B2531" s="2" t="s">
        <v>5313</v>
      </c>
      <c r="C2531" s="2">
        <v>1.04</v>
      </c>
      <c r="D2531" s="2">
        <v>0.14149999999999999</v>
      </c>
      <c r="E2531" s="2" t="s">
        <v>784</v>
      </c>
      <c r="F2531" s="2" t="e">
        <f>VLOOKUP(B2531,MSCI中国成分股!A:B,1,)</f>
        <v>#N/A</v>
      </c>
    </row>
    <row r="2532" spans="1:6" ht="20.25" hidden="1" customHeight="1" x14ac:dyDescent="0.15">
      <c r="A2532" s="2" t="s">
        <v>5314</v>
      </c>
      <c r="B2532" s="2" t="s">
        <v>5315</v>
      </c>
      <c r="C2532" s="2">
        <v>0.97</v>
      </c>
      <c r="D2532" s="2">
        <v>0.98140000000000005</v>
      </c>
      <c r="E2532" s="2" t="s">
        <v>260</v>
      </c>
      <c r="F2532" s="2" t="e">
        <f>VLOOKUP(B2532,MSCI中国成分股!A:B,1,)</f>
        <v>#N/A</v>
      </c>
    </row>
    <row r="2533" spans="1:6" ht="20.25" hidden="1" customHeight="1" x14ac:dyDescent="0.15">
      <c r="A2533" s="2" t="s">
        <v>5316</v>
      </c>
      <c r="B2533" s="2" t="s">
        <v>5317</v>
      </c>
      <c r="C2533" s="2">
        <v>3.37</v>
      </c>
      <c r="D2533" s="2">
        <v>0.88480000000000003</v>
      </c>
      <c r="E2533" s="2" t="s">
        <v>1403</v>
      </c>
      <c r="F2533" s="2" t="e">
        <f>VLOOKUP(B2533,MSCI中国成分股!A:B,1,)</f>
        <v>#N/A</v>
      </c>
    </row>
    <row r="2534" spans="1:6" ht="20.25" hidden="1" customHeight="1" x14ac:dyDescent="0.15">
      <c r="A2534" s="2" t="s">
        <v>5318</v>
      </c>
      <c r="B2534" s="2" t="s">
        <v>5319</v>
      </c>
      <c r="C2534" s="2">
        <v>4.55</v>
      </c>
      <c r="D2534" s="2">
        <v>18.8003</v>
      </c>
      <c r="E2534" s="2" t="s">
        <v>356</v>
      </c>
      <c r="F2534" s="2" t="e">
        <f>VLOOKUP(B2534,MSCI中国成分股!A:B,1,)</f>
        <v>#N/A</v>
      </c>
    </row>
    <row r="2535" spans="1:6" ht="20.25" hidden="1" customHeight="1" x14ac:dyDescent="0.15">
      <c r="A2535" s="2" t="s">
        <v>5320</v>
      </c>
      <c r="B2535" s="2" t="s">
        <v>5321</v>
      </c>
      <c r="C2535" s="2">
        <v>0.44</v>
      </c>
      <c r="D2535" s="2">
        <v>2.2162999999999999</v>
      </c>
      <c r="E2535" s="2" t="s">
        <v>1145</v>
      </c>
      <c r="F2535" s="2" t="e">
        <f>VLOOKUP(B2535,MSCI中国成分股!A:B,1,)</f>
        <v>#N/A</v>
      </c>
    </row>
    <row r="2536" spans="1:6" ht="20.25" hidden="1" customHeight="1" x14ac:dyDescent="0.15">
      <c r="A2536" s="2" t="s">
        <v>5322</v>
      </c>
      <c r="B2536" s="2" t="s">
        <v>5323</v>
      </c>
      <c r="C2536" s="2">
        <v>1.29</v>
      </c>
      <c r="D2536" s="2">
        <v>0.20780000000000001</v>
      </c>
      <c r="E2536" s="2" t="s">
        <v>2463</v>
      </c>
      <c r="F2536" s="2" t="e">
        <f>VLOOKUP(B2536,MSCI中国成分股!A:B,1,)</f>
        <v>#N/A</v>
      </c>
    </row>
    <row r="2537" spans="1:6" ht="20.25" hidden="1" customHeight="1" x14ac:dyDescent="0.15">
      <c r="A2537" s="2" t="s">
        <v>5324</v>
      </c>
      <c r="B2537" s="2" t="s">
        <v>5325</v>
      </c>
      <c r="C2537" s="2">
        <v>2.4300000000000002</v>
      </c>
      <c r="D2537" s="2">
        <v>2.2275</v>
      </c>
      <c r="E2537" s="2" t="s">
        <v>123</v>
      </c>
      <c r="F2537" s="2" t="e">
        <f>VLOOKUP(B2537,MSCI中国成分股!A:B,1,)</f>
        <v>#N/A</v>
      </c>
    </row>
    <row r="2538" spans="1:6" ht="20.25" hidden="1" customHeight="1" x14ac:dyDescent="0.15">
      <c r="A2538" s="2" t="s">
        <v>5326</v>
      </c>
      <c r="B2538" s="2" t="s">
        <v>5327</v>
      </c>
      <c r="C2538" s="2">
        <v>1.1299999999999999</v>
      </c>
      <c r="D2538" s="2">
        <v>11.908300000000001</v>
      </c>
      <c r="E2538" s="2" t="s">
        <v>123</v>
      </c>
      <c r="F2538" s="2" t="e">
        <f>VLOOKUP(B2538,MSCI中国成分股!A:B,1,)</f>
        <v>#N/A</v>
      </c>
    </row>
    <row r="2539" spans="1:6" ht="20.25" hidden="1" customHeight="1" x14ac:dyDescent="0.15">
      <c r="A2539" s="2" t="s">
        <v>5328</v>
      </c>
      <c r="B2539" s="2" t="s">
        <v>5329</v>
      </c>
      <c r="C2539" s="2">
        <v>0.92500000000000004</v>
      </c>
      <c r="D2539" s="2">
        <v>3.5771999999999999</v>
      </c>
      <c r="E2539" s="2" t="s">
        <v>299</v>
      </c>
      <c r="F2539" s="2" t="e">
        <f>VLOOKUP(B2539,MSCI中国成分股!A:B,1,)</f>
        <v>#N/A</v>
      </c>
    </row>
    <row r="2540" spans="1:6" ht="20.25" hidden="1" customHeight="1" x14ac:dyDescent="0.15">
      <c r="A2540" s="2" t="s">
        <v>5330</v>
      </c>
      <c r="B2540" s="2" t="s">
        <v>5331</v>
      </c>
      <c r="C2540" s="2">
        <v>1.67</v>
      </c>
      <c r="D2540" s="2">
        <v>2.3849999999999998</v>
      </c>
      <c r="E2540" s="2" t="s">
        <v>713</v>
      </c>
      <c r="F2540" s="2" t="e">
        <f>VLOOKUP(B2540,MSCI中国成分股!A:B,1,)</f>
        <v>#N/A</v>
      </c>
    </row>
    <row r="2541" spans="1:6" ht="20.25" hidden="1" customHeight="1" x14ac:dyDescent="0.15">
      <c r="A2541" s="2" t="s">
        <v>5332</v>
      </c>
      <c r="B2541" s="2" t="s">
        <v>5333</v>
      </c>
      <c r="C2541" s="2">
        <v>1.2</v>
      </c>
      <c r="D2541" s="2">
        <v>1.0446</v>
      </c>
      <c r="E2541" s="2" t="s">
        <v>299</v>
      </c>
      <c r="F2541" s="2" t="e">
        <f>VLOOKUP(B2541,MSCI中国成分股!A:B,1,)</f>
        <v>#N/A</v>
      </c>
    </row>
    <row r="2542" spans="1:6" ht="20.25" hidden="1" customHeight="1" x14ac:dyDescent="0.15">
      <c r="A2542" s="2" t="s">
        <v>5334</v>
      </c>
      <c r="B2542" s="2" t="s">
        <v>5335</v>
      </c>
      <c r="C2542" s="2">
        <v>0.6</v>
      </c>
      <c r="D2542" s="2">
        <v>0.53959999999999997</v>
      </c>
      <c r="E2542" s="2" t="s">
        <v>704</v>
      </c>
      <c r="F2542" s="2" t="e">
        <f>VLOOKUP(B2542,MSCI中国成分股!A:B,1,)</f>
        <v>#N/A</v>
      </c>
    </row>
    <row r="2543" spans="1:6" ht="20.25" hidden="1" customHeight="1" x14ac:dyDescent="0.15">
      <c r="A2543" s="2" t="s">
        <v>5336</v>
      </c>
      <c r="B2543" s="2" t="s">
        <v>5337</v>
      </c>
      <c r="C2543" s="2">
        <v>1.93</v>
      </c>
      <c r="D2543" s="2">
        <v>4.891</v>
      </c>
      <c r="E2543" s="2" t="s">
        <v>257</v>
      </c>
      <c r="F2543" s="2" t="e">
        <f>VLOOKUP(B2543,MSCI中国成分股!A:B,1,)</f>
        <v>#N/A</v>
      </c>
    </row>
    <row r="2544" spans="1:6" ht="20.25" hidden="1" customHeight="1" x14ac:dyDescent="0.15">
      <c r="A2544" s="2" t="s">
        <v>5338</v>
      </c>
      <c r="B2544" s="2" t="s">
        <v>5339</v>
      </c>
      <c r="C2544" s="2">
        <v>0.57999999999999996</v>
      </c>
      <c r="D2544" s="2">
        <v>7.0235000000000003</v>
      </c>
      <c r="E2544" s="2" t="s">
        <v>704</v>
      </c>
      <c r="F2544" s="2" t="e">
        <f>VLOOKUP(B2544,MSCI中国成分股!A:B,1,)</f>
        <v>#N/A</v>
      </c>
    </row>
    <row r="2545" spans="1:6" ht="20.25" hidden="1" customHeight="1" x14ac:dyDescent="0.15">
      <c r="A2545" s="2" t="s">
        <v>5340</v>
      </c>
      <c r="B2545" s="2" t="s">
        <v>5341</v>
      </c>
      <c r="C2545" s="2">
        <v>1.57</v>
      </c>
      <c r="D2545" s="2">
        <v>4.6037999999999997</v>
      </c>
      <c r="E2545" s="2" t="s">
        <v>4127</v>
      </c>
      <c r="F2545" s="2" t="e">
        <f>VLOOKUP(B2545,MSCI中国成分股!A:B,1,)</f>
        <v>#N/A</v>
      </c>
    </row>
    <row r="2546" spans="1:6" ht="20.25" hidden="1" customHeight="1" x14ac:dyDescent="0.15">
      <c r="A2546" s="2" t="s">
        <v>5342</v>
      </c>
      <c r="B2546" s="2" t="s">
        <v>5343</v>
      </c>
      <c r="C2546" s="2">
        <v>2.77</v>
      </c>
      <c r="D2546" s="2">
        <v>2.3100999999999998</v>
      </c>
      <c r="E2546" s="2" t="s">
        <v>1145</v>
      </c>
      <c r="F2546" s="2" t="e">
        <f>VLOOKUP(B2546,MSCI中国成分股!A:B,1,)</f>
        <v>#N/A</v>
      </c>
    </row>
    <row r="2547" spans="1:6" ht="20.25" hidden="1" customHeight="1" x14ac:dyDescent="0.15">
      <c r="A2547" s="2" t="s">
        <v>5344</v>
      </c>
      <c r="B2547" s="2" t="s">
        <v>5345</v>
      </c>
      <c r="C2547" s="2">
        <v>0.36</v>
      </c>
      <c r="D2547" s="2">
        <v>6.3899999999999998E-2</v>
      </c>
      <c r="E2547" s="2" t="s">
        <v>713</v>
      </c>
      <c r="F2547" s="2" t="e">
        <f>VLOOKUP(B2547,MSCI中国成分股!A:B,1,)</f>
        <v>#N/A</v>
      </c>
    </row>
    <row r="2548" spans="1:6" ht="20.25" hidden="1" customHeight="1" x14ac:dyDescent="0.15">
      <c r="A2548" s="2" t="s">
        <v>5346</v>
      </c>
      <c r="B2548" s="2" t="s">
        <v>5347</v>
      </c>
      <c r="C2548" s="2">
        <v>2.78</v>
      </c>
      <c r="D2548" s="2">
        <v>7.6878000000000002</v>
      </c>
      <c r="E2548" s="2" t="s">
        <v>371</v>
      </c>
      <c r="F2548" s="2" t="e">
        <f>VLOOKUP(B2548,MSCI中国成分股!A:B,1,)</f>
        <v>#N/A</v>
      </c>
    </row>
    <row r="2549" spans="1:6" ht="20.25" hidden="1" customHeight="1" x14ac:dyDescent="0.15">
      <c r="A2549" s="2" t="s">
        <v>5348</v>
      </c>
      <c r="B2549" s="2" t="s">
        <v>5349</v>
      </c>
      <c r="C2549" s="2">
        <v>0.28999999999999998</v>
      </c>
      <c r="D2549" s="2">
        <v>4.0159000000000002</v>
      </c>
      <c r="E2549" s="2" t="s">
        <v>171</v>
      </c>
      <c r="F2549" s="2" t="e">
        <f>VLOOKUP(B2549,MSCI中国成分股!A:B,1,)</f>
        <v>#N/A</v>
      </c>
    </row>
    <row r="2550" spans="1:6" ht="20.25" hidden="1" customHeight="1" x14ac:dyDescent="0.15">
      <c r="A2550" s="2" t="s">
        <v>5350</v>
      </c>
      <c r="B2550" s="2" t="s">
        <v>5351</v>
      </c>
      <c r="C2550" s="2">
        <v>2.06</v>
      </c>
      <c r="D2550" s="2">
        <v>11.9575</v>
      </c>
      <c r="E2550" s="2" t="s">
        <v>391</v>
      </c>
      <c r="F2550" s="2" t="e">
        <f>VLOOKUP(B2550,MSCI中国成分股!A:B,1,)</f>
        <v>#N/A</v>
      </c>
    </row>
    <row r="2551" spans="1:6" ht="20.25" hidden="1" customHeight="1" x14ac:dyDescent="0.15">
      <c r="A2551" s="2" t="s">
        <v>5352</v>
      </c>
      <c r="B2551" s="2" t="s">
        <v>5353</v>
      </c>
      <c r="C2551" s="2">
        <v>3.2349999999999999</v>
      </c>
      <c r="D2551" s="2">
        <v>2.0554000000000001</v>
      </c>
      <c r="E2551" s="2" t="s">
        <v>89</v>
      </c>
      <c r="F2551" s="2" t="e">
        <f>VLOOKUP(B2551,MSCI中国成分股!A:B,1,)</f>
        <v>#N/A</v>
      </c>
    </row>
    <row r="2552" spans="1:6" ht="20.25" hidden="1" customHeight="1" x14ac:dyDescent="0.15">
      <c r="A2552" s="2" t="s">
        <v>5354</v>
      </c>
      <c r="B2552" s="2" t="s">
        <v>5355</v>
      </c>
      <c r="C2552" s="2">
        <v>1.7250000000000001</v>
      </c>
      <c r="D2552" s="2">
        <v>0.40500000000000003</v>
      </c>
      <c r="E2552" s="2" t="s">
        <v>143</v>
      </c>
      <c r="F2552" s="2" t="e">
        <f>VLOOKUP(B2552,MSCI中国成分股!A:B,1,)</f>
        <v>#N/A</v>
      </c>
    </row>
    <row r="2553" spans="1:6" ht="20.25" hidden="1" customHeight="1" x14ac:dyDescent="0.15">
      <c r="A2553" s="2" t="s">
        <v>5356</v>
      </c>
      <c r="B2553" s="2" t="s">
        <v>5357</v>
      </c>
      <c r="C2553" s="2">
        <v>1.85</v>
      </c>
      <c r="D2553" s="2">
        <v>3.2589000000000001</v>
      </c>
      <c r="E2553" s="2" t="s">
        <v>299</v>
      </c>
      <c r="F2553" s="2" t="e">
        <f>VLOOKUP(B2553,MSCI中国成分股!A:B,1,)</f>
        <v>#N/A</v>
      </c>
    </row>
    <row r="2554" spans="1:6" ht="20.25" hidden="1" customHeight="1" x14ac:dyDescent="0.15">
      <c r="A2554" s="2" t="s">
        <v>5358</v>
      </c>
      <c r="B2554" s="2" t="s">
        <v>5359</v>
      </c>
      <c r="C2554" s="2">
        <v>-0.05</v>
      </c>
      <c r="D2554" s="2">
        <v>5.9172000000000002</v>
      </c>
      <c r="E2554" s="2" t="s">
        <v>1420</v>
      </c>
      <c r="F2554" s="2" t="e">
        <f>VLOOKUP(B2554,MSCI中国成分股!A:B,1,)</f>
        <v>#N/A</v>
      </c>
    </row>
    <row r="2555" spans="1:6" ht="20.25" hidden="1" customHeight="1" x14ac:dyDescent="0.15">
      <c r="A2555" s="2" t="s">
        <v>5360</v>
      </c>
      <c r="B2555" s="2" t="s">
        <v>5361</v>
      </c>
      <c r="C2555" s="2">
        <v>1.95</v>
      </c>
      <c r="D2555" s="2">
        <v>0.4884</v>
      </c>
      <c r="E2555" s="2" t="s">
        <v>339</v>
      </c>
      <c r="F2555" s="2" t="e">
        <f>VLOOKUP(B2555,MSCI中国成分股!A:B,1,)</f>
        <v>#N/A</v>
      </c>
    </row>
    <row r="2556" spans="1:6" ht="20.25" hidden="1" customHeight="1" x14ac:dyDescent="0.15">
      <c r="A2556" s="2" t="s">
        <v>5362</v>
      </c>
      <c r="B2556" s="2" t="s">
        <v>5363</v>
      </c>
      <c r="C2556" s="2">
        <v>0.03</v>
      </c>
      <c r="D2556" s="2">
        <v>7.6170999999999998</v>
      </c>
      <c r="E2556" s="2" t="s">
        <v>5364</v>
      </c>
      <c r="F2556" s="2" t="e">
        <f>VLOOKUP(B2556,MSCI中国成分股!A:B,1,)</f>
        <v>#N/A</v>
      </c>
    </row>
    <row r="2557" spans="1:6" ht="20.25" hidden="1" customHeight="1" x14ac:dyDescent="0.15">
      <c r="A2557" s="2" t="s">
        <v>5365</v>
      </c>
      <c r="B2557" s="2" t="s">
        <v>5366</v>
      </c>
      <c r="C2557" s="2">
        <v>1.18</v>
      </c>
      <c r="D2557" s="2">
        <v>0.52680000000000005</v>
      </c>
      <c r="E2557" s="2" t="s">
        <v>201</v>
      </c>
      <c r="F2557" s="2" t="e">
        <f>VLOOKUP(B2557,MSCI中国成分股!A:B,1,)</f>
        <v>#N/A</v>
      </c>
    </row>
    <row r="2558" spans="1:6" ht="20.25" hidden="1" customHeight="1" x14ac:dyDescent="0.15">
      <c r="A2558" s="2" t="s">
        <v>5367</v>
      </c>
      <c r="B2558" s="2" t="s">
        <v>5368</v>
      </c>
      <c r="C2558" s="2">
        <v>2.14</v>
      </c>
      <c r="D2558" s="2">
        <v>1.0488999999999999</v>
      </c>
      <c r="E2558" s="2" t="s">
        <v>699</v>
      </c>
      <c r="F2558" s="2" t="e">
        <f>VLOOKUP(B2558,MSCI中国成分股!A:B,1,)</f>
        <v>#N/A</v>
      </c>
    </row>
    <row r="2559" spans="1:6" ht="20.25" hidden="1" customHeight="1" x14ac:dyDescent="0.15">
      <c r="A2559" s="2" t="s">
        <v>5369</v>
      </c>
      <c r="B2559" s="2" t="s">
        <v>5370</v>
      </c>
      <c r="C2559" s="2">
        <v>1.48</v>
      </c>
      <c r="D2559" s="2">
        <v>22.331800000000001</v>
      </c>
      <c r="E2559" s="2" t="s">
        <v>630</v>
      </c>
      <c r="F2559" s="2" t="e">
        <f>VLOOKUP(B2559,MSCI中国成分股!A:B,1,)</f>
        <v>#N/A</v>
      </c>
    </row>
    <row r="2560" spans="1:6" ht="20.25" hidden="1" customHeight="1" x14ac:dyDescent="0.15">
      <c r="A2560" s="2" t="s">
        <v>5371</v>
      </c>
      <c r="B2560" s="2" t="s">
        <v>5372</v>
      </c>
      <c r="C2560" s="2">
        <v>3.7749999999999999</v>
      </c>
      <c r="D2560" s="2">
        <v>14.5032</v>
      </c>
      <c r="E2560" s="2" t="s">
        <v>574</v>
      </c>
      <c r="F2560" s="2" t="e">
        <f>VLOOKUP(B2560,MSCI中国成分股!A:B,1,)</f>
        <v>#N/A</v>
      </c>
    </row>
    <row r="2561" spans="1:6" ht="20.25" hidden="1" customHeight="1" x14ac:dyDescent="0.15">
      <c r="A2561" s="2" t="s">
        <v>5373</v>
      </c>
      <c r="B2561" s="2" t="s">
        <v>5374</v>
      </c>
      <c r="C2561" s="2">
        <v>0.94</v>
      </c>
      <c r="D2561" s="2">
        <v>0.69740000000000002</v>
      </c>
      <c r="E2561" s="2" t="s">
        <v>44</v>
      </c>
      <c r="F2561" s="2" t="e">
        <f>VLOOKUP(B2561,MSCI中国成分股!A:B,1,)</f>
        <v>#N/A</v>
      </c>
    </row>
    <row r="2562" spans="1:6" ht="20.25" hidden="1" customHeight="1" x14ac:dyDescent="0.15">
      <c r="A2562" s="2" t="s">
        <v>5375</v>
      </c>
      <c r="B2562" s="2" t="s">
        <v>5376</v>
      </c>
      <c r="C2562" s="2">
        <v>2.11</v>
      </c>
      <c r="D2562" s="2">
        <v>3.2183000000000002</v>
      </c>
      <c r="E2562" s="2" t="s">
        <v>406</v>
      </c>
      <c r="F2562" s="2" t="e">
        <f>VLOOKUP(B2562,MSCI中国成分股!A:B,1,)</f>
        <v>#N/A</v>
      </c>
    </row>
    <row r="2563" spans="1:6" ht="20.25" hidden="1" customHeight="1" x14ac:dyDescent="0.15">
      <c r="A2563" s="2" t="s">
        <v>5377</v>
      </c>
      <c r="B2563" s="2" t="s">
        <v>5378</v>
      </c>
      <c r="C2563" s="2">
        <v>3.5950000000000002</v>
      </c>
      <c r="D2563" s="2">
        <v>4.3083</v>
      </c>
      <c r="E2563" s="2" t="s">
        <v>35</v>
      </c>
      <c r="F2563" s="2" t="e">
        <f>VLOOKUP(B2563,MSCI中国成分股!A:B,1,)</f>
        <v>#N/A</v>
      </c>
    </row>
    <row r="2564" spans="1:6" ht="20.25" hidden="1" customHeight="1" x14ac:dyDescent="0.15">
      <c r="A2564" s="2" t="s">
        <v>5379</v>
      </c>
      <c r="B2564" s="2" t="s">
        <v>5380</v>
      </c>
      <c r="C2564" s="2">
        <v>0.83</v>
      </c>
      <c r="D2564" s="2">
        <v>0.24490000000000001</v>
      </c>
      <c r="E2564" s="2" t="s">
        <v>1173</v>
      </c>
      <c r="F2564" s="2" t="e">
        <f>VLOOKUP(B2564,MSCI中国成分股!A:B,1,)</f>
        <v>#N/A</v>
      </c>
    </row>
    <row r="2565" spans="1:6" ht="20.25" hidden="1" customHeight="1" x14ac:dyDescent="0.15">
      <c r="A2565" s="2" t="s">
        <v>5381</v>
      </c>
      <c r="B2565" s="2" t="s">
        <v>5382</v>
      </c>
      <c r="C2565" s="2">
        <v>2.12</v>
      </c>
      <c r="D2565" s="2">
        <v>1.6358999999999999</v>
      </c>
      <c r="E2565" s="2" t="s">
        <v>647</v>
      </c>
      <c r="F2565" s="2" t="e">
        <f>VLOOKUP(B2565,MSCI中国成分股!A:B,1,)</f>
        <v>#N/A</v>
      </c>
    </row>
    <row r="2566" spans="1:6" ht="20.25" hidden="1" customHeight="1" x14ac:dyDescent="0.15">
      <c r="A2566" s="2" t="s">
        <v>5383</v>
      </c>
      <c r="B2566" s="2" t="s">
        <v>5384</v>
      </c>
      <c r="C2566" s="2">
        <v>3.31</v>
      </c>
      <c r="D2566" s="2">
        <v>2.1059999999999999</v>
      </c>
      <c r="E2566" s="2" t="s">
        <v>638</v>
      </c>
      <c r="F2566" s="2" t="e">
        <f>VLOOKUP(B2566,MSCI中国成分股!A:B,1,)</f>
        <v>#N/A</v>
      </c>
    </row>
    <row r="2567" spans="1:6" ht="20.25" hidden="1" customHeight="1" x14ac:dyDescent="0.15">
      <c r="A2567" s="2" t="s">
        <v>5385</v>
      </c>
      <c r="B2567" s="2" t="s">
        <v>5386</v>
      </c>
      <c r="C2567" s="2">
        <v>1.425</v>
      </c>
      <c r="D2567" s="2">
        <v>2.5674999999999999</v>
      </c>
      <c r="E2567" s="2" t="s">
        <v>356</v>
      </c>
      <c r="F2567" s="2" t="e">
        <f>VLOOKUP(B2567,MSCI中国成分股!A:B,1,)</f>
        <v>#N/A</v>
      </c>
    </row>
    <row r="2568" spans="1:6" ht="20.25" hidden="1" customHeight="1" x14ac:dyDescent="0.15">
      <c r="A2568" s="2" t="s">
        <v>5387</v>
      </c>
      <c r="B2568" s="2" t="s">
        <v>5388</v>
      </c>
      <c r="C2568" s="2">
        <v>0.92</v>
      </c>
      <c r="D2568" s="2">
        <v>1.9791000000000001</v>
      </c>
      <c r="E2568" s="2" t="s">
        <v>704</v>
      </c>
      <c r="F2568" s="2" t="e">
        <f>VLOOKUP(B2568,MSCI中国成分股!A:B,1,)</f>
        <v>#N/A</v>
      </c>
    </row>
    <row r="2569" spans="1:6" ht="20.25" hidden="1" customHeight="1" x14ac:dyDescent="0.15">
      <c r="A2569" s="2" t="s">
        <v>5389</v>
      </c>
      <c r="B2569" s="2" t="s">
        <v>5390</v>
      </c>
      <c r="C2569" s="2">
        <v>0.63</v>
      </c>
      <c r="D2569" s="2">
        <v>0.90790000000000004</v>
      </c>
      <c r="E2569" s="2" t="s">
        <v>596</v>
      </c>
      <c r="F2569" s="2" t="e">
        <f>VLOOKUP(B2569,MSCI中国成分股!A:B,1,)</f>
        <v>#N/A</v>
      </c>
    </row>
    <row r="2570" spans="1:6" ht="20.25" hidden="1" customHeight="1" x14ac:dyDescent="0.15">
      <c r="A2570" s="2" t="s">
        <v>5391</v>
      </c>
      <c r="B2570" s="2" t="s">
        <v>5392</v>
      </c>
      <c r="C2570" s="2">
        <v>1.18</v>
      </c>
      <c r="D2570" s="2">
        <v>0.45960000000000001</v>
      </c>
      <c r="E2570" s="2" t="s">
        <v>201</v>
      </c>
      <c r="F2570" s="2" t="e">
        <f>VLOOKUP(B2570,MSCI中国成分股!A:B,1,)</f>
        <v>#N/A</v>
      </c>
    </row>
    <row r="2571" spans="1:6" ht="20.25" hidden="1" customHeight="1" x14ac:dyDescent="0.15">
      <c r="A2571" s="2" t="s">
        <v>5393</v>
      </c>
      <c r="B2571" s="2" t="s">
        <v>5394</v>
      </c>
      <c r="C2571" s="2">
        <v>3.03</v>
      </c>
      <c r="D2571" s="2">
        <v>3.1594000000000002</v>
      </c>
      <c r="E2571" s="2" t="s">
        <v>1608</v>
      </c>
      <c r="F2571" s="2" t="e">
        <f>VLOOKUP(B2571,MSCI中国成分股!A:B,1,)</f>
        <v>#N/A</v>
      </c>
    </row>
    <row r="2572" spans="1:6" ht="20.25" hidden="1" customHeight="1" x14ac:dyDescent="0.15">
      <c r="A2572" s="2" t="s">
        <v>5395</v>
      </c>
      <c r="B2572" s="2" t="s">
        <v>5396</v>
      </c>
      <c r="C2572" s="2">
        <v>0.54</v>
      </c>
      <c r="D2572" s="2">
        <v>50.517800000000001</v>
      </c>
      <c r="E2572" s="2" t="s">
        <v>1243</v>
      </c>
      <c r="F2572" s="2" t="e">
        <f>VLOOKUP(B2572,MSCI中国成分股!A:B,1,)</f>
        <v>#N/A</v>
      </c>
    </row>
    <row r="2573" spans="1:6" ht="20.25" hidden="1" customHeight="1" x14ac:dyDescent="0.15">
      <c r="A2573" s="2" t="s">
        <v>5397</v>
      </c>
      <c r="B2573" s="2" t="s">
        <v>5398</v>
      </c>
      <c r="C2573" s="2">
        <v>1.92</v>
      </c>
      <c r="D2573" s="2">
        <v>72.052300000000002</v>
      </c>
      <c r="E2573" s="2" t="s">
        <v>201</v>
      </c>
      <c r="F2573" s="2" t="e">
        <f>VLOOKUP(B2573,MSCI中国成分股!A:B,1,)</f>
        <v>#N/A</v>
      </c>
    </row>
    <row r="2574" spans="1:6" ht="20.25" hidden="1" customHeight="1" x14ac:dyDescent="0.15">
      <c r="A2574" s="2" t="s">
        <v>5399</v>
      </c>
      <c r="B2574" s="2" t="s">
        <v>5400</v>
      </c>
      <c r="C2574" s="2">
        <v>0.97</v>
      </c>
      <c r="D2574" s="2">
        <v>0.23330000000000001</v>
      </c>
      <c r="E2574" s="2" t="s">
        <v>406</v>
      </c>
      <c r="F2574" s="2" t="e">
        <f>VLOOKUP(B2574,MSCI中国成分股!A:B,1,)</f>
        <v>#N/A</v>
      </c>
    </row>
    <row r="2575" spans="1:6" ht="20.25" hidden="1" customHeight="1" x14ac:dyDescent="0.15">
      <c r="A2575" s="2" t="s">
        <v>5401</v>
      </c>
      <c r="B2575" s="2" t="s">
        <v>5402</v>
      </c>
      <c r="C2575" s="2">
        <v>0.47</v>
      </c>
      <c r="D2575" s="2">
        <v>0.24099999999999999</v>
      </c>
      <c r="E2575" s="2" t="s">
        <v>784</v>
      </c>
      <c r="F2575" s="2" t="e">
        <f>VLOOKUP(B2575,MSCI中国成分股!A:B,1,)</f>
        <v>#N/A</v>
      </c>
    </row>
    <row r="2576" spans="1:6" ht="20.25" hidden="1" customHeight="1" x14ac:dyDescent="0.15">
      <c r="A2576" s="2" t="s">
        <v>5403</v>
      </c>
      <c r="B2576" s="2" t="s">
        <v>5404</v>
      </c>
      <c r="C2576" s="2">
        <v>3.4</v>
      </c>
      <c r="D2576" s="2">
        <v>1.8635999999999999</v>
      </c>
      <c r="E2576" s="2" t="s">
        <v>1774</v>
      </c>
      <c r="F2576" s="2" t="e">
        <f>VLOOKUP(B2576,MSCI中国成分股!A:B,1,)</f>
        <v>#N/A</v>
      </c>
    </row>
    <row r="2577" spans="1:6" ht="20.25" hidden="1" customHeight="1" x14ac:dyDescent="0.15">
      <c r="A2577" s="2" t="s">
        <v>5405</v>
      </c>
      <c r="B2577" s="2" t="s">
        <v>5406</v>
      </c>
      <c r="C2577" s="2">
        <v>0.67500000000000004</v>
      </c>
      <c r="D2577" s="2">
        <v>0.95430000000000004</v>
      </c>
      <c r="E2577" s="2" t="s">
        <v>699</v>
      </c>
      <c r="F2577" s="2" t="e">
        <f>VLOOKUP(B2577,MSCI中国成分股!A:B,1,)</f>
        <v>#N/A</v>
      </c>
    </row>
    <row r="2578" spans="1:6" ht="20.25" hidden="1" customHeight="1" x14ac:dyDescent="0.15">
      <c r="A2578" s="2" t="s">
        <v>5407</v>
      </c>
      <c r="B2578" s="2" t="s">
        <v>5408</v>
      </c>
      <c r="C2578" s="2">
        <v>2.65</v>
      </c>
      <c r="D2578" s="2">
        <v>1.0928</v>
      </c>
      <c r="E2578" s="2" t="s">
        <v>713</v>
      </c>
      <c r="F2578" s="2" t="e">
        <f>VLOOKUP(B2578,MSCI中国成分股!A:B,1,)</f>
        <v>#N/A</v>
      </c>
    </row>
    <row r="2579" spans="1:6" ht="20.25" hidden="1" customHeight="1" x14ac:dyDescent="0.15">
      <c r="A2579" s="2" t="s">
        <v>5409</v>
      </c>
      <c r="B2579" s="2" t="s">
        <v>5410</v>
      </c>
      <c r="C2579" s="2">
        <v>0.31</v>
      </c>
      <c r="D2579" s="2">
        <v>0.1595</v>
      </c>
      <c r="E2579" s="2" t="s">
        <v>152</v>
      </c>
      <c r="F2579" s="2" t="e">
        <f>VLOOKUP(B2579,MSCI中国成分股!A:B,1,)</f>
        <v>#N/A</v>
      </c>
    </row>
    <row r="2580" spans="1:6" ht="20.25" hidden="1" customHeight="1" x14ac:dyDescent="0.15">
      <c r="A2580" s="2" t="s">
        <v>5411</v>
      </c>
      <c r="B2580" s="2" t="s">
        <v>5412</v>
      </c>
      <c r="C2580" s="2">
        <v>2.09</v>
      </c>
      <c r="D2580" s="2">
        <v>3.08</v>
      </c>
      <c r="E2580" s="2" t="s">
        <v>961</v>
      </c>
      <c r="F2580" s="2" t="e">
        <f>VLOOKUP(B2580,MSCI中国成分股!A:B,1,)</f>
        <v>#N/A</v>
      </c>
    </row>
    <row r="2581" spans="1:6" ht="20.25" hidden="1" customHeight="1" x14ac:dyDescent="0.15">
      <c r="A2581" s="2" t="s">
        <v>5413</v>
      </c>
      <c r="B2581" s="2" t="s">
        <v>5414</v>
      </c>
      <c r="C2581" s="2">
        <v>0.26</v>
      </c>
      <c r="D2581" s="2">
        <v>14.081099999999999</v>
      </c>
      <c r="E2581" s="2" t="s">
        <v>1285</v>
      </c>
      <c r="F2581" s="2" t="e">
        <f>VLOOKUP(B2581,MSCI中国成分股!A:B,1,)</f>
        <v>#N/A</v>
      </c>
    </row>
    <row r="2582" spans="1:6" ht="20.25" hidden="1" customHeight="1" x14ac:dyDescent="0.15">
      <c r="A2582" s="2" t="s">
        <v>5415</v>
      </c>
      <c r="B2582" s="2" t="s">
        <v>5416</v>
      </c>
      <c r="C2582" s="2">
        <v>0.77</v>
      </c>
      <c r="D2582" s="2">
        <v>19.032</v>
      </c>
      <c r="E2582" s="2" t="s">
        <v>260</v>
      </c>
      <c r="F2582" s="2" t="e">
        <f>VLOOKUP(B2582,MSCI中国成分股!A:B,1,)</f>
        <v>#N/A</v>
      </c>
    </row>
    <row r="2583" spans="1:6" ht="20.25" hidden="1" customHeight="1" x14ac:dyDescent="0.15">
      <c r="A2583" s="2" t="s">
        <v>5417</v>
      </c>
      <c r="B2583" s="2" t="s">
        <v>5418</v>
      </c>
      <c r="C2583" s="2">
        <v>1.81</v>
      </c>
      <c r="D2583" s="2">
        <v>38.069400000000002</v>
      </c>
      <c r="E2583" s="2" t="s">
        <v>385</v>
      </c>
      <c r="F2583" s="2" t="e">
        <f>VLOOKUP(B2583,MSCI中国成分股!A:B,1,)</f>
        <v>#N/A</v>
      </c>
    </row>
    <row r="2584" spans="1:6" ht="20.25" hidden="1" customHeight="1" x14ac:dyDescent="0.15">
      <c r="A2584" s="2" t="s">
        <v>5419</v>
      </c>
      <c r="B2584" s="2" t="s">
        <v>5420</v>
      </c>
      <c r="C2584" s="2">
        <v>1.02</v>
      </c>
      <c r="D2584" s="2">
        <v>8.48E-2</v>
      </c>
      <c r="E2584" s="2" t="s">
        <v>339</v>
      </c>
      <c r="F2584" s="2" t="e">
        <f>VLOOKUP(B2584,MSCI中国成分股!A:B,1,)</f>
        <v>#N/A</v>
      </c>
    </row>
    <row r="2585" spans="1:6" ht="20.25" hidden="1" customHeight="1" x14ac:dyDescent="0.15">
      <c r="A2585" s="2" t="s">
        <v>5421</v>
      </c>
      <c r="B2585" s="2" t="s">
        <v>5422</v>
      </c>
      <c r="C2585" s="2">
        <v>1.5</v>
      </c>
      <c r="D2585" s="2">
        <v>9.6689000000000007</v>
      </c>
      <c r="E2585" s="2" t="s">
        <v>677</v>
      </c>
      <c r="F2585" s="2" t="e">
        <f>VLOOKUP(B2585,MSCI中国成分股!A:B,1,)</f>
        <v>#N/A</v>
      </c>
    </row>
    <row r="2586" spans="1:6" ht="20.25" hidden="1" customHeight="1" x14ac:dyDescent="0.15">
      <c r="A2586" s="2" t="s">
        <v>5423</v>
      </c>
      <c r="B2586" s="2" t="s">
        <v>5424</v>
      </c>
      <c r="C2586" s="2">
        <v>1.46</v>
      </c>
      <c r="D2586" s="2">
        <v>4.1504000000000003</v>
      </c>
      <c r="E2586" s="2" t="s">
        <v>614</v>
      </c>
      <c r="F2586" s="2" t="e">
        <f>VLOOKUP(B2586,MSCI中国成分股!A:B,1,)</f>
        <v>#N/A</v>
      </c>
    </row>
    <row r="2587" spans="1:6" ht="20.25" hidden="1" customHeight="1" x14ac:dyDescent="0.15">
      <c r="A2587" s="2" t="s">
        <v>5425</v>
      </c>
      <c r="B2587" s="2" t="s">
        <v>5426</v>
      </c>
      <c r="C2587" s="2">
        <v>0.68</v>
      </c>
      <c r="D2587" s="2">
        <v>17.345099999999999</v>
      </c>
      <c r="E2587" s="2" t="s">
        <v>140</v>
      </c>
      <c r="F2587" s="2" t="e">
        <f>VLOOKUP(B2587,MSCI中国成分股!A:B,1,)</f>
        <v>#N/A</v>
      </c>
    </row>
    <row r="2588" spans="1:6" ht="20.25" hidden="1" customHeight="1" x14ac:dyDescent="0.15">
      <c r="A2588" s="2" t="s">
        <v>5427</v>
      </c>
      <c r="B2588" s="2" t="s">
        <v>5428</v>
      </c>
      <c r="C2588" s="2">
        <v>2.06</v>
      </c>
      <c r="D2588" s="2">
        <v>0.45939999999999998</v>
      </c>
      <c r="E2588" s="2" t="s">
        <v>38</v>
      </c>
      <c r="F2588" s="2" t="e">
        <f>VLOOKUP(B2588,MSCI中国成分股!A:B,1,)</f>
        <v>#N/A</v>
      </c>
    </row>
    <row r="2589" spans="1:6" ht="20.25" hidden="1" customHeight="1" x14ac:dyDescent="0.15">
      <c r="A2589" s="2" t="s">
        <v>5429</v>
      </c>
      <c r="B2589" s="2" t="s">
        <v>5430</v>
      </c>
      <c r="C2589" s="2">
        <v>-0.56999999999999995</v>
      </c>
      <c r="D2589" s="2">
        <v>21.962399999999999</v>
      </c>
      <c r="E2589" s="2" t="s">
        <v>225</v>
      </c>
      <c r="F2589" s="2" t="e">
        <f>VLOOKUP(B2589,MSCI中国成分股!A:B,1,)</f>
        <v>#N/A</v>
      </c>
    </row>
    <row r="2590" spans="1:6" ht="20.25" hidden="1" customHeight="1" x14ac:dyDescent="0.15">
      <c r="A2590" s="2" t="s">
        <v>5431</v>
      </c>
      <c r="B2590" s="2" t="s">
        <v>5432</v>
      </c>
      <c r="C2590" s="2">
        <v>1.68</v>
      </c>
      <c r="D2590" s="2">
        <v>139.63319999999999</v>
      </c>
      <c r="E2590" s="2" t="s">
        <v>260</v>
      </c>
      <c r="F2590" s="2" t="e">
        <f>VLOOKUP(B2590,MSCI中国成分股!A:B,1,)</f>
        <v>#N/A</v>
      </c>
    </row>
    <row r="2591" spans="1:6" ht="20.25" hidden="1" customHeight="1" x14ac:dyDescent="0.15">
      <c r="A2591" s="2" t="s">
        <v>5433</v>
      </c>
      <c r="B2591" s="2" t="s">
        <v>5434</v>
      </c>
      <c r="C2591" s="2">
        <v>0.73</v>
      </c>
      <c r="D2591" s="2">
        <v>1.5403</v>
      </c>
      <c r="E2591" s="2" t="s">
        <v>2063</v>
      </c>
      <c r="F2591" s="2" t="e">
        <f>VLOOKUP(B2591,MSCI中国成分股!A:B,1,)</f>
        <v>#N/A</v>
      </c>
    </row>
    <row r="2592" spans="1:6" ht="20.25" hidden="1" customHeight="1" x14ac:dyDescent="0.15">
      <c r="A2592" s="2" t="s">
        <v>5435</v>
      </c>
      <c r="B2592" s="2" t="s">
        <v>5436</v>
      </c>
      <c r="C2592" s="2">
        <v>-0.94</v>
      </c>
      <c r="D2592" s="2">
        <v>36.688600000000001</v>
      </c>
      <c r="E2592" s="2" t="s">
        <v>1099</v>
      </c>
      <c r="F2592" s="2" t="e">
        <f>VLOOKUP(B2592,MSCI中国成分股!A:B,1,)</f>
        <v>#N/A</v>
      </c>
    </row>
    <row r="2593" spans="1:6" ht="20.25" hidden="1" customHeight="1" x14ac:dyDescent="0.15">
      <c r="A2593" s="2" t="s">
        <v>5437</v>
      </c>
      <c r="B2593" s="2" t="s">
        <v>5438</v>
      </c>
      <c r="C2593" s="2">
        <v>0.56000000000000005</v>
      </c>
      <c r="D2593" s="2">
        <v>0.30480000000000002</v>
      </c>
      <c r="E2593" s="2" t="s">
        <v>713</v>
      </c>
      <c r="F2593" s="2" t="e">
        <f>VLOOKUP(B2593,MSCI中国成分股!A:B,1,)</f>
        <v>#N/A</v>
      </c>
    </row>
    <row r="2594" spans="1:6" ht="20.25" hidden="1" customHeight="1" x14ac:dyDescent="0.15">
      <c r="A2594" s="2" t="s">
        <v>5439</v>
      </c>
      <c r="B2594" s="2" t="s">
        <v>5440</v>
      </c>
      <c r="C2594" s="2">
        <v>2.57</v>
      </c>
      <c r="D2594" s="2">
        <v>15.202500000000001</v>
      </c>
      <c r="E2594" s="2" t="s">
        <v>2681</v>
      </c>
      <c r="F2594" s="2" t="e">
        <f>VLOOKUP(B2594,MSCI中国成分股!A:B,1,)</f>
        <v>#N/A</v>
      </c>
    </row>
    <row r="2595" spans="1:6" ht="20.25" hidden="1" customHeight="1" x14ac:dyDescent="0.15">
      <c r="A2595" s="2" t="s">
        <v>5441</v>
      </c>
      <c r="B2595" s="2" t="s">
        <v>5442</v>
      </c>
      <c r="C2595" s="2">
        <v>0.39</v>
      </c>
      <c r="D2595" s="2">
        <v>5.3900000000000003E-2</v>
      </c>
      <c r="E2595" s="2" t="s">
        <v>750</v>
      </c>
      <c r="F2595" s="2" t="e">
        <f>VLOOKUP(B2595,MSCI中国成分股!A:B,1,)</f>
        <v>#N/A</v>
      </c>
    </row>
    <row r="2596" spans="1:6" ht="20.25" hidden="1" customHeight="1" x14ac:dyDescent="0.15">
      <c r="A2596" s="2" t="s">
        <v>5443</v>
      </c>
      <c r="B2596" s="2" t="s">
        <v>5444</v>
      </c>
      <c r="C2596" s="2">
        <v>0.73</v>
      </c>
      <c r="D2596" s="2">
        <v>7.2446999999999999</v>
      </c>
      <c r="E2596" s="2" t="s">
        <v>2068</v>
      </c>
      <c r="F2596" s="2" t="e">
        <f>VLOOKUP(B2596,MSCI中国成分股!A:B,1,)</f>
        <v>#N/A</v>
      </c>
    </row>
    <row r="2597" spans="1:6" ht="20.25" hidden="1" customHeight="1" x14ac:dyDescent="0.15">
      <c r="A2597" s="2" t="s">
        <v>5445</v>
      </c>
      <c r="B2597" s="2" t="s">
        <v>5446</v>
      </c>
      <c r="C2597" s="2">
        <v>0.59</v>
      </c>
      <c r="D2597" s="2">
        <v>0.16539999999999999</v>
      </c>
      <c r="E2597" s="2" t="s">
        <v>621</v>
      </c>
      <c r="F2597" s="2" t="e">
        <f>VLOOKUP(B2597,MSCI中国成分股!A:B,1,)</f>
        <v>#N/A</v>
      </c>
    </row>
    <row r="2598" spans="1:6" ht="20.25" hidden="1" customHeight="1" x14ac:dyDescent="0.15">
      <c r="A2598" s="2" t="s">
        <v>5447</v>
      </c>
      <c r="B2598" s="2" t="s">
        <v>5448</v>
      </c>
      <c r="C2598" s="2">
        <v>0.39</v>
      </c>
      <c r="D2598" s="2">
        <v>15.0952</v>
      </c>
      <c r="E2598" s="2" t="s">
        <v>630</v>
      </c>
      <c r="F2598" s="2" t="e">
        <f>VLOOKUP(B2598,MSCI中国成分股!A:B,1,)</f>
        <v>#N/A</v>
      </c>
    </row>
    <row r="2599" spans="1:6" ht="20.25" hidden="1" customHeight="1" x14ac:dyDescent="0.15">
      <c r="A2599" s="2" t="s">
        <v>5449</v>
      </c>
      <c r="B2599" s="2" t="s">
        <v>5450</v>
      </c>
      <c r="C2599" s="2">
        <v>0.86</v>
      </c>
      <c r="D2599" s="2">
        <v>15.2128</v>
      </c>
      <c r="E2599" s="2" t="s">
        <v>713</v>
      </c>
      <c r="F2599" s="2" t="e">
        <f>VLOOKUP(B2599,MSCI中国成分股!A:B,1,)</f>
        <v>#N/A</v>
      </c>
    </row>
    <row r="2600" spans="1:6" ht="20.25" hidden="1" customHeight="1" x14ac:dyDescent="0.15">
      <c r="A2600" s="2" t="s">
        <v>5451</v>
      </c>
      <c r="B2600" s="2" t="s">
        <v>5452</v>
      </c>
      <c r="C2600" s="2">
        <v>1.3</v>
      </c>
      <c r="D2600" s="2">
        <v>0.4173</v>
      </c>
      <c r="E2600" s="2" t="s">
        <v>201</v>
      </c>
      <c r="F2600" s="2" t="e">
        <f>VLOOKUP(B2600,MSCI中国成分股!A:B,1,)</f>
        <v>#N/A</v>
      </c>
    </row>
    <row r="2601" spans="1:6" ht="20.25" hidden="1" customHeight="1" x14ac:dyDescent="0.15">
      <c r="A2601" s="2" t="s">
        <v>5453</v>
      </c>
      <c r="B2601" s="2" t="s">
        <v>5454</v>
      </c>
      <c r="C2601" s="2">
        <v>0.56999999999999995</v>
      </c>
      <c r="D2601" s="2">
        <v>0.6371</v>
      </c>
      <c r="E2601" s="2" t="s">
        <v>92</v>
      </c>
      <c r="F2601" s="2" t="e">
        <f>VLOOKUP(B2601,MSCI中国成分股!A:B,1,)</f>
        <v>#N/A</v>
      </c>
    </row>
    <row r="2602" spans="1:6" ht="20.25" hidden="1" customHeight="1" x14ac:dyDescent="0.15">
      <c r="A2602" s="2" t="s">
        <v>5455</v>
      </c>
      <c r="B2602" s="2" t="s">
        <v>5456</v>
      </c>
      <c r="C2602" s="2">
        <v>0.38</v>
      </c>
      <c r="D2602" s="2">
        <v>147.11150000000001</v>
      </c>
      <c r="E2602" s="2" t="s">
        <v>1997</v>
      </c>
      <c r="F2602" s="2" t="e">
        <f>VLOOKUP(B2602,MSCI中国成分股!A:B,1,)</f>
        <v>#N/A</v>
      </c>
    </row>
    <row r="2603" spans="1:6" ht="20.25" hidden="1" customHeight="1" x14ac:dyDescent="0.15">
      <c r="A2603" s="2" t="s">
        <v>5457</v>
      </c>
      <c r="B2603" s="2" t="s">
        <v>5458</v>
      </c>
      <c r="C2603" s="2">
        <v>0.23</v>
      </c>
      <c r="D2603" s="2">
        <v>5.4766000000000004</v>
      </c>
      <c r="E2603" s="2" t="s">
        <v>299</v>
      </c>
      <c r="F2603" s="2" t="e">
        <f>VLOOKUP(B2603,MSCI中国成分股!A:B,1,)</f>
        <v>#N/A</v>
      </c>
    </row>
    <row r="2604" spans="1:6" ht="20.25" hidden="1" customHeight="1" x14ac:dyDescent="0.15">
      <c r="A2604" s="2" t="s">
        <v>5459</v>
      </c>
      <c r="B2604" s="2" t="s">
        <v>5460</v>
      </c>
      <c r="C2604" s="2">
        <v>0.36</v>
      </c>
      <c r="D2604" s="2">
        <v>0.30919999999999997</v>
      </c>
      <c r="E2604" s="2" t="s">
        <v>371</v>
      </c>
      <c r="F2604" s="2" t="e">
        <f>VLOOKUP(B2604,MSCI中国成分股!A:B,1,)</f>
        <v>#N/A</v>
      </c>
    </row>
    <row r="2605" spans="1:6" ht="20.25" hidden="1" customHeight="1" x14ac:dyDescent="0.15">
      <c r="A2605" s="2" t="s">
        <v>5461</v>
      </c>
      <c r="B2605" s="2" t="s">
        <v>5462</v>
      </c>
      <c r="C2605" s="2">
        <v>-0.81</v>
      </c>
      <c r="D2605" s="2">
        <v>45.5608</v>
      </c>
      <c r="E2605" s="2" t="s">
        <v>299</v>
      </c>
      <c r="F2605" s="2" t="e">
        <f>VLOOKUP(B2605,MSCI中国成分股!A:B,1,)</f>
        <v>#N/A</v>
      </c>
    </row>
    <row r="2606" spans="1:6" ht="20.25" hidden="1" customHeight="1" x14ac:dyDescent="0.15">
      <c r="A2606" s="2" t="s">
        <v>5463</v>
      </c>
      <c r="B2606" s="2" t="s">
        <v>5464</v>
      </c>
      <c r="C2606" s="2">
        <v>0.04</v>
      </c>
      <c r="D2606" s="2">
        <v>1.5811999999999999</v>
      </c>
      <c r="E2606" s="2" t="s">
        <v>207</v>
      </c>
      <c r="F2606" s="2" t="e">
        <f>VLOOKUP(B2606,MSCI中国成分股!A:B,1,)</f>
        <v>#N/A</v>
      </c>
    </row>
    <row r="2607" spans="1:6" ht="20.25" hidden="1" customHeight="1" x14ac:dyDescent="0.15">
      <c r="A2607" s="2" t="s">
        <v>5465</v>
      </c>
      <c r="B2607" s="2" t="s">
        <v>5466</v>
      </c>
      <c r="C2607" s="2">
        <v>-0.25</v>
      </c>
      <c r="D2607" s="2">
        <v>55.294899999999998</v>
      </c>
      <c r="E2607" s="2" t="s">
        <v>690</v>
      </c>
      <c r="F2607" s="2" t="e">
        <f>VLOOKUP(B2607,MSCI中国成分股!A:B,1,)</f>
        <v>#N/A</v>
      </c>
    </row>
    <row r="2608" spans="1:6" ht="20.25" hidden="1" customHeight="1" x14ac:dyDescent="0.15">
      <c r="A2608" s="2" t="s">
        <v>5467</v>
      </c>
      <c r="B2608" s="2" t="s">
        <v>5468</v>
      </c>
      <c r="C2608" s="2">
        <v>-1.87</v>
      </c>
      <c r="D2608" s="2">
        <v>40.876399999999997</v>
      </c>
      <c r="E2608" s="2" t="s">
        <v>1403</v>
      </c>
      <c r="F2608" s="2" t="e">
        <f>VLOOKUP(B2608,MSCI中国成分股!A:B,1,)</f>
        <v>#N/A</v>
      </c>
    </row>
    <row r="2609" spans="1:6" ht="20.25" hidden="1" customHeight="1" x14ac:dyDescent="0.15">
      <c r="A2609" s="2" t="s">
        <v>5469</v>
      </c>
      <c r="B2609" s="2" t="s">
        <v>5470</v>
      </c>
      <c r="C2609" s="2">
        <v>-2.15</v>
      </c>
      <c r="D2609" s="2">
        <v>35.940800000000003</v>
      </c>
      <c r="E2609" s="2" t="s">
        <v>1248</v>
      </c>
      <c r="F2609" s="2" t="e">
        <f>VLOOKUP(B2609,MSCI中国成分股!A:B,1,)</f>
        <v>#N/A</v>
      </c>
    </row>
    <row r="2610" spans="1:6" ht="20.25" hidden="1" customHeight="1" x14ac:dyDescent="0.15">
      <c r="A2610" s="2" t="s">
        <v>5471</v>
      </c>
      <c r="B2610" s="2" t="s">
        <v>5472</v>
      </c>
      <c r="C2610" s="2">
        <v>1.47</v>
      </c>
      <c r="D2610" s="2">
        <v>1.4460999999999999</v>
      </c>
      <c r="E2610" s="2" t="s">
        <v>605</v>
      </c>
      <c r="F2610" s="2" t="e">
        <f>VLOOKUP(B2610,MSCI中国成分股!A:B,1,)</f>
        <v>#N/A</v>
      </c>
    </row>
    <row r="2611" spans="1:6" ht="20.25" hidden="1" customHeight="1" x14ac:dyDescent="0.15">
      <c r="A2611" s="2" t="s">
        <v>5473</v>
      </c>
      <c r="B2611" s="2" t="s">
        <v>5474</v>
      </c>
      <c r="C2611" s="2">
        <v>0.34</v>
      </c>
      <c r="D2611" s="2">
        <v>7.7617000000000003</v>
      </c>
      <c r="E2611" s="2" t="s">
        <v>630</v>
      </c>
      <c r="F2611" s="2" t="e">
        <f>VLOOKUP(B2611,MSCI中国成分股!A:B,1,)</f>
        <v>#N/A</v>
      </c>
    </row>
    <row r="2612" spans="1:6" ht="20.25" hidden="1" customHeight="1" x14ac:dyDescent="0.15">
      <c r="A2612" s="2" t="s">
        <v>5475</v>
      </c>
      <c r="B2612" s="2" t="s">
        <v>5476</v>
      </c>
      <c r="C2612" s="2">
        <v>0.31</v>
      </c>
      <c r="D2612" s="2">
        <v>0.1663</v>
      </c>
      <c r="E2612" s="2" t="s">
        <v>704</v>
      </c>
      <c r="F2612" s="2" t="e">
        <f>VLOOKUP(B2612,MSCI中国成分股!A:B,1,)</f>
        <v>#N/A</v>
      </c>
    </row>
    <row r="2613" spans="1:6" ht="20.25" hidden="1" customHeight="1" x14ac:dyDescent="0.15">
      <c r="A2613" s="2" t="s">
        <v>5477</v>
      </c>
      <c r="B2613" s="2" t="s">
        <v>5478</v>
      </c>
      <c r="C2613" s="2">
        <v>1.8</v>
      </c>
      <c r="D2613" s="2">
        <v>6.6966999999999999</v>
      </c>
      <c r="E2613" s="2" t="s">
        <v>152</v>
      </c>
      <c r="F2613" s="2" t="e">
        <f>VLOOKUP(B2613,MSCI中国成分股!A:B,1,)</f>
        <v>#N/A</v>
      </c>
    </row>
    <row r="2614" spans="1:6" ht="20.25" hidden="1" customHeight="1" x14ac:dyDescent="0.15">
      <c r="A2614" s="2" t="s">
        <v>5479</v>
      </c>
      <c r="B2614" s="2" t="s">
        <v>5480</v>
      </c>
      <c r="C2614" s="2">
        <v>0.85</v>
      </c>
      <c r="D2614" s="2">
        <v>5.1925999999999997</v>
      </c>
      <c r="E2614" s="2" t="s">
        <v>2681</v>
      </c>
      <c r="F2614" s="2" t="e">
        <f>VLOOKUP(B2614,MSCI中国成分股!A:B,1,)</f>
        <v>#N/A</v>
      </c>
    </row>
    <row r="2615" spans="1:6" ht="20.25" hidden="1" customHeight="1" x14ac:dyDescent="0.15">
      <c r="A2615" s="2" t="s">
        <v>5481</v>
      </c>
      <c r="B2615" s="2" t="s">
        <v>5482</v>
      </c>
      <c r="C2615" s="2">
        <v>-1.1599999999999999</v>
      </c>
      <c r="D2615" s="2">
        <v>8.1562999999999999</v>
      </c>
      <c r="E2615" s="2" t="s">
        <v>633</v>
      </c>
      <c r="F2615" s="2" t="e">
        <f>VLOOKUP(B2615,MSCI中国成分股!A:B,1,)</f>
        <v>#N/A</v>
      </c>
    </row>
    <row r="2616" spans="1:6" ht="20.25" hidden="1" customHeight="1" x14ac:dyDescent="0.15">
      <c r="A2616" s="2" t="s">
        <v>5483</v>
      </c>
      <c r="B2616" s="2" t="s">
        <v>5484</v>
      </c>
      <c r="C2616" s="2">
        <v>1.6</v>
      </c>
      <c r="D2616" s="2">
        <v>0.98619999999999997</v>
      </c>
      <c r="E2616" s="2" t="s">
        <v>1102</v>
      </c>
      <c r="F2616" s="2" t="e">
        <f>VLOOKUP(B2616,MSCI中国成分股!A:B,1,)</f>
        <v>#N/A</v>
      </c>
    </row>
    <row r="2617" spans="1:6" ht="20.25" hidden="1" customHeight="1" x14ac:dyDescent="0.15">
      <c r="A2617" s="2" t="s">
        <v>5485</v>
      </c>
      <c r="B2617" s="2" t="s">
        <v>5486</v>
      </c>
      <c r="C2617" s="2">
        <v>-1.03</v>
      </c>
      <c r="D2617" s="2">
        <v>58.140599999999999</v>
      </c>
      <c r="E2617" s="2" t="s">
        <v>1139</v>
      </c>
      <c r="F2617" s="2" t="e">
        <f>VLOOKUP(B2617,MSCI中国成分股!A:B,1,)</f>
        <v>#N/A</v>
      </c>
    </row>
    <row r="2618" spans="1:6" ht="20.25" hidden="1" customHeight="1" x14ac:dyDescent="0.15">
      <c r="A2618" s="2" t="s">
        <v>5487</v>
      </c>
      <c r="B2618" s="2" t="s">
        <v>5488</v>
      </c>
      <c r="C2618" s="2">
        <v>3.68</v>
      </c>
      <c r="D2618" s="2">
        <v>0.9204</v>
      </c>
      <c r="E2618" s="2" t="s">
        <v>201</v>
      </c>
      <c r="F2618" s="2" t="e">
        <f>VLOOKUP(B2618,MSCI中国成分股!A:B,1,)</f>
        <v>#N/A</v>
      </c>
    </row>
    <row r="2619" spans="1:6" ht="20.25" hidden="1" customHeight="1" x14ac:dyDescent="0.15">
      <c r="A2619" s="2" t="s">
        <v>5489</v>
      </c>
      <c r="B2619" s="2" t="s">
        <v>5490</v>
      </c>
      <c r="C2619" s="2">
        <v>1.345</v>
      </c>
      <c r="D2619" s="2">
        <v>9.8777000000000008</v>
      </c>
      <c r="E2619" s="2" t="s">
        <v>827</v>
      </c>
      <c r="F2619" s="2" t="e">
        <f>VLOOKUP(B2619,MSCI中国成分股!A:B,1,)</f>
        <v>#N/A</v>
      </c>
    </row>
    <row r="2620" spans="1:6" ht="20.25" hidden="1" customHeight="1" x14ac:dyDescent="0.15">
      <c r="A2620" s="2" t="s">
        <v>5491</v>
      </c>
      <c r="B2620" s="2" t="s">
        <v>5492</v>
      </c>
      <c r="C2620" s="2">
        <v>0.34</v>
      </c>
      <c r="D2620" s="2">
        <v>8.0753000000000004</v>
      </c>
      <c r="E2620" s="2" t="s">
        <v>44</v>
      </c>
      <c r="F2620" s="2" t="e">
        <f>VLOOKUP(B2620,MSCI中国成分股!A:B,1,)</f>
        <v>#N/A</v>
      </c>
    </row>
    <row r="2621" spans="1:6" ht="20.25" hidden="1" customHeight="1" x14ac:dyDescent="0.15">
      <c r="A2621" s="2" t="s">
        <v>5493</v>
      </c>
      <c r="B2621" s="2" t="s">
        <v>5494</v>
      </c>
      <c r="C2621" s="2">
        <v>1.41</v>
      </c>
      <c r="D2621" s="2">
        <v>0.1832</v>
      </c>
      <c r="E2621" s="2" t="s">
        <v>359</v>
      </c>
      <c r="F2621" s="2" t="e">
        <f>VLOOKUP(B2621,MSCI中国成分股!A:B,1,)</f>
        <v>#N/A</v>
      </c>
    </row>
    <row r="2622" spans="1:6" ht="20.25" hidden="1" customHeight="1" x14ac:dyDescent="0.15">
      <c r="A2622" s="2" t="s">
        <v>5495</v>
      </c>
      <c r="B2622" s="2" t="s">
        <v>5496</v>
      </c>
      <c r="C2622" s="2">
        <v>1.06</v>
      </c>
      <c r="D2622" s="2">
        <v>3.6374</v>
      </c>
      <c r="E2622" s="2" t="s">
        <v>1275</v>
      </c>
      <c r="F2622" s="2" t="e">
        <f>VLOOKUP(B2622,MSCI中国成分股!A:B,1,)</f>
        <v>#N/A</v>
      </c>
    </row>
    <row r="2623" spans="1:6" ht="20.25" hidden="1" customHeight="1" x14ac:dyDescent="0.15">
      <c r="A2623" s="2" t="s">
        <v>5497</v>
      </c>
      <c r="B2623" s="2" t="s">
        <v>5498</v>
      </c>
      <c r="C2623" s="2">
        <v>0.72499999999999998</v>
      </c>
      <c r="D2623" s="2">
        <v>2.8130999999999999</v>
      </c>
      <c r="E2623" s="2" t="s">
        <v>958</v>
      </c>
      <c r="F2623" s="2" t="e">
        <f>VLOOKUP(B2623,MSCI中国成分股!A:B,1,)</f>
        <v>#N/A</v>
      </c>
    </row>
    <row r="2624" spans="1:6" ht="20.25" hidden="1" customHeight="1" x14ac:dyDescent="0.15">
      <c r="A2624" s="2" t="s">
        <v>5499</v>
      </c>
      <c r="B2624" s="2" t="s">
        <v>5500</v>
      </c>
      <c r="C2624" s="2">
        <v>-1.03</v>
      </c>
      <c r="D2624" s="2">
        <v>1.6598999999999999</v>
      </c>
      <c r="E2624" s="2" t="s">
        <v>81</v>
      </c>
      <c r="F2624" s="2" t="e">
        <f>VLOOKUP(B2624,MSCI中国成分股!A:B,1,)</f>
        <v>#N/A</v>
      </c>
    </row>
    <row r="2625" spans="1:6" ht="20.25" hidden="1" customHeight="1" x14ac:dyDescent="0.15">
      <c r="A2625" s="2" t="s">
        <v>5501</v>
      </c>
      <c r="B2625" s="2" t="s">
        <v>5502</v>
      </c>
      <c r="C2625" s="2">
        <v>0.36</v>
      </c>
      <c r="D2625" s="2">
        <v>271.82589999999999</v>
      </c>
      <c r="E2625" s="2" t="s">
        <v>1593</v>
      </c>
      <c r="F2625" s="2" t="e">
        <f>VLOOKUP(B2625,MSCI中国成分股!A:B,1,)</f>
        <v>#N/A</v>
      </c>
    </row>
    <row r="2626" spans="1:6" ht="20.25" hidden="1" customHeight="1" x14ac:dyDescent="0.15">
      <c r="A2626" s="2" t="s">
        <v>5503</v>
      </c>
      <c r="B2626" s="2" t="s">
        <v>5504</v>
      </c>
      <c r="C2626" s="2">
        <v>-0.83</v>
      </c>
      <c r="D2626" s="2">
        <v>122.2351</v>
      </c>
      <c r="E2626" s="2" t="s">
        <v>1158</v>
      </c>
      <c r="F2626" s="2" t="e">
        <f>VLOOKUP(B2626,MSCI中国成分股!A:B,1,)</f>
        <v>#N/A</v>
      </c>
    </row>
    <row r="2627" spans="1:6" ht="20.25" hidden="1" customHeight="1" x14ac:dyDescent="0.15">
      <c r="A2627" s="2" t="s">
        <v>5505</v>
      </c>
      <c r="B2627" s="2" t="s">
        <v>5506</v>
      </c>
      <c r="C2627" s="2">
        <v>-2.64</v>
      </c>
      <c r="D2627" s="2">
        <v>29.995000000000001</v>
      </c>
      <c r="E2627" s="2" t="s">
        <v>245</v>
      </c>
      <c r="F2627" s="2" t="e">
        <f>VLOOKUP(B2627,MSCI中国成分股!A:B,1,)</f>
        <v>#N/A</v>
      </c>
    </row>
    <row r="2628" spans="1:6" ht="20.25" hidden="1" customHeight="1" x14ac:dyDescent="0.15">
      <c r="A2628" s="2" t="s">
        <v>5507</v>
      </c>
      <c r="B2628" s="2" t="s">
        <v>5508</v>
      </c>
      <c r="C2628" s="2">
        <v>-0.38</v>
      </c>
      <c r="D2628" s="2">
        <v>2.8643000000000001</v>
      </c>
      <c r="E2628" s="2" t="s">
        <v>344</v>
      </c>
      <c r="F2628" s="2" t="e">
        <f>VLOOKUP(B2628,MSCI中国成分股!A:B,1,)</f>
        <v>#N/A</v>
      </c>
    </row>
    <row r="2629" spans="1:6" ht="20.25" hidden="1" customHeight="1" x14ac:dyDescent="0.15">
      <c r="A2629" s="2" t="s">
        <v>5509</v>
      </c>
      <c r="B2629" s="2" t="s">
        <v>5510</v>
      </c>
      <c r="C2629" s="2">
        <v>1.92</v>
      </c>
      <c r="D2629" s="2">
        <v>6.5152000000000001</v>
      </c>
      <c r="E2629" s="2" t="s">
        <v>2724</v>
      </c>
      <c r="F2629" s="2" t="e">
        <f>VLOOKUP(B2629,MSCI中国成分股!A:B,1,)</f>
        <v>#N/A</v>
      </c>
    </row>
    <row r="2630" spans="1:6" ht="20.25" hidden="1" customHeight="1" x14ac:dyDescent="0.15">
      <c r="A2630" s="2" t="s">
        <v>5511</v>
      </c>
      <c r="B2630" s="2" t="s">
        <v>5512</v>
      </c>
      <c r="C2630" s="2">
        <v>1.83</v>
      </c>
      <c r="D2630" s="2">
        <v>0.72430000000000005</v>
      </c>
      <c r="E2630" s="2" t="s">
        <v>89</v>
      </c>
      <c r="F2630" s="2" t="e">
        <f>VLOOKUP(B2630,MSCI中国成分股!A:B,1,)</f>
        <v>#N/A</v>
      </c>
    </row>
    <row r="2631" spans="1:6" ht="20.25" hidden="1" customHeight="1" x14ac:dyDescent="0.15">
      <c r="A2631" s="2" t="s">
        <v>5513</v>
      </c>
      <c r="B2631" s="2" t="s">
        <v>5514</v>
      </c>
      <c r="C2631" s="2">
        <v>0.53</v>
      </c>
      <c r="D2631" s="2">
        <v>3.1166999999999998</v>
      </c>
      <c r="E2631" s="2" t="s">
        <v>2898</v>
      </c>
      <c r="F2631" s="2" t="e">
        <f>VLOOKUP(B2631,MSCI中国成分股!A:B,1,)</f>
        <v>#N/A</v>
      </c>
    </row>
    <row r="2632" spans="1:6" ht="20.25" hidden="1" customHeight="1" x14ac:dyDescent="0.15">
      <c r="A2632" s="2" t="s">
        <v>5515</v>
      </c>
      <c r="B2632" s="2" t="s">
        <v>5516</v>
      </c>
      <c r="C2632" s="2">
        <v>4.1900000000000004</v>
      </c>
      <c r="D2632" s="2">
        <v>2.5257999999999998</v>
      </c>
      <c r="E2632" s="2" t="s">
        <v>286</v>
      </c>
      <c r="F2632" s="2" t="e">
        <f>VLOOKUP(B2632,MSCI中国成分股!A:B,1,)</f>
        <v>#N/A</v>
      </c>
    </row>
    <row r="2633" spans="1:6" ht="20.25" hidden="1" customHeight="1" x14ac:dyDescent="0.15">
      <c r="A2633" s="2" t="s">
        <v>5517</v>
      </c>
      <c r="B2633" s="2" t="s">
        <v>5518</v>
      </c>
      <c r="C2633" s="2">
        <v>0.35</v>
      </c>
      <c r="D2633" s="2">
        <v>1.2330000000000001</v>
      </c>
      <c r="E2633" s="2" t="s">
        <v>44</v>
      </c>
      <c r="F2633" s="2" t="e">
        <f>VLOOKUP(B2633,MSCI中国成分股!A:B,1,)</f>
        <v>#N/A</v>
      </c>
    </row>
    <row r="2634" spans="1:6" ht="20.25" hidden="1" customHeight="1" x14ac:dyDescent="0.15">
      <c r="A2634" s="2" t="s">
        <v>5519</v>
      </c>
      <c r="B2634" s="2" t="s">
        <v>5520</v>
      </c>
      <c r="C2634" s="2">
        <v>1.3</v>
      </c>
      <c r="D2634" s="2">
        <v>1.3589</v>
      </c>
      <c r="E2634" s="2" t="s">
        <v>3203</v>
      </c>
      <c r="F2634" s="2" t="e">
        <f>VLOOKUP(B2634,MSCI中国成分股!A:B,1,)</f>
        <v>#N/A</v>
      </c>
    </row>
    <row r="2635" spans="1:6" ht="20.25" hidden="1" customHeight="1" x14ac:dyDescent="0.15">
      <c r="A2635" s="2" t="s">
        <v>5521</v>
      </c>
      <c r="B2635" s="2" t="s">
        <v>5522</v>
      </c>
      <c r="C2635" s="2">
        <v>0.24</v>
      </c>
      <c r="D2635" s="2">
        <v>20.224900000000002</v>
      </c>
      <c r="E2635" s="2" t="s">
        <v>747</v>
      </c>
      <c r="F2635" s="2" t="e">
        <f>VLOOKUP(B2635,MSCI中国成分股!A:B,1,)</f>
        <v>#N/A</v>
      </c>
    </row>
    <row r="2636" spans="1:6" ht="20.25" hidden="1" customHeight="1" x14ac:dyDescent="0.15">
      <c r="A2636" s="2" t="s">
        <v>5523</v>
      </c>
      <c r="B2636" s="2" t="s">
        <v>5524</v>
      </c>
      <c r="C2636" s="2">
        <v>-2.5299999999999998</v>
      </c>
      <c r="D2636" s="2">
        <v>16.661200000000001</v>
      </c>
      <c r="E2636" s="2" t="s">
        <v>44</v>
      </c>
      <c r="F2636" s="2" t="e">
        <f>VLOOKUP(B2636,MSCI中国成分股!A:B,1,)</f>
        <v>#N/A</v>
      </c>
    </row>
    <row r="2637" spans="1:6" ht="20.25" hidden="1" customHeight="1" x14ac:dyDescent="0.15">
      <c r="A2637" s="2" t="s">
        <v>5525</v>
      </c>
      <c r="B2637" s="2" t="s">
        <v>5526</v>
      </c>
      <c r="C2637" s="2">
        <v>0.67</v>
      </c>
      <c r="D2637" s="2">
        <v>3.8561999999999999</v>
      </c>
      <c r="E2637" s="2" t="s">
        <v>647</v>
      </c>
      <c r="F2637" s="2" t="e">
        <f>VLOOKUP(B2637,MSCI中国成分股!A:B,1,)</f>
        <v>#N/A</v>
      </c>
    </row>
    <row r="2638" spans="1:6" ht="20.25" hidden="1" customHeight="1" x14ac:dyDescent="0.15">
      <c r="A2638" s="2" t="s">
        <v>5527</v>
      </c>
      <c r="B2638" s="2" t="s">
        <v>5528</v>
      </c>
      <c r="C2638" s="2">
        <v>1.51</v>
      </c>
      <c r="D2638" s="2">
        <v>1.2454000000000001</v>
      </c>
      <c r="E2638" s="2" t="s">
        <v>699</v>
      </c>
      <c r="F2638" s="2" t="e">
        <f>VLOOKUP(B2638,MSCI中国成分股!A:B,1,)</f>
        <v>#N/A</v>
      </c>
    </row>
    <row r="2639" spans="1:6" ht="20.25" hidden="1" customHeight="1" x14ac:dyDescent="0.15">
      <c r="A2639" s="2" t="s">
        <v>5529</v>
      </c>
      <c r="B2639" s="2" t="s">
        <v>5530</v>
      </c>
      <c r="C2639" s="2">
        <v>0.71</v>
      </c>
      <c r="D2639" s="2">
        <v>0.5988</v>
      </c>
      <c r="E2639" s="2" t="s">
        <v>704</v>
      </c>
      <c r="F2639" s="2" t="e">
        <f>VLOOKUP(B2639,MSCI中国成分股!A:B,1,)</f>
        <v>#N/A</v>
      </c>
    </row>
    <row r="2640" spans="1:6" ht="20.25" hidden="1" customHeight="1" x14ac:dyDescent="0.15">
      <c r="A2640" s="2" t="s">
        <v>5531</v>
      </c>
      <c r="B2640" s="2" t="s">
        <v>5532</v>
      </c>
      <c r="C2640" s="2">
        <v>1.74</v>
      </c>
      <c r="D2640" s="2">
        <v>7.2739000000000003</v>
      </c>
      <c r="E2640" s="2" t="s">
        <v>1011</v>
      </c>
      <c r="F2640" s="2" t="e">
        <f>VLOOKUP(B2640,MSCI中国成分股!A:B,1,)</f>
        <v>#N/A</v>
      </c>
    </row>
    <row r="2641" spans="1:6" ht="20.25" hidden="1" customHeight="1" x14ac:dyDescent="0.15">
      <c r="A2641" s="2" t="s">
        <v>5533</v>
      </c>
      <c r="B2641" s="2" t="s">
        <v>5534</v>
      </c>
      <c r="C2641" s="2">
        <v>1.82</v>
      </c>
      <c r="D2641" s="2">
        <v>8.2369000000000003</v>
      </c>
      <c r="E2641" s="2" t="s">
        <v>511</v>
      </c>
      <c r="F2641" s="2" t="e">
        <f>VLOOKUP(B2641,MSCI中国成分股!A:B,1,)</f>
        <v>#N/A</v>
      </c>
    </row>
    <row r="2642" spans="1:6" ht="20.25" hidden="1" customHeight="1" x14ac:dyDescent="0.15">
      <c r="A2642" s="2" t="s">
        <v>5535</v>
      </c>
      <c r="B2642" s="2" t="s">
        <v>5536</v>
      </c>
      <c r="C2642" s="2">
        <v>3.03</v>
      </c>
      <c r="D2642" s="2">
        <v>1.6838</v>
      </c>
      <c r="E2642" s="2" t="s">
        <v>1243</v>
      </c>
      <c r="F2642" s="2" t="e">
        <f>VLOOKUP(B2642,MSCI中国成分股!A:B,1,)</f>
        <v>#N/A</v>
      </c>
    </row>
    <row r="2643" spans="1:6" ht="20.25" hidden="1" customHeight="1" x14ac:dyDescent="0.15">
      <c r="A2643" s="2" t="s">
        <v>5537</v>
      </c>
      <c r="B2643" s="2" t="s">
        <v>5538</v>
      </c>
      <c r="C2643" s="2">
        <v>-1.96</v>
      </c>
      <c r="D2643" s="2">
        <v>79.543899999999994</v>
      </c>
      <c r="E2643" s="2" t="s">
        <v>1099</v>
      </c>
      <c r="F2643" s="2" t="e">
        <f>VLOOKUP(B2643,MSCI中国成分股!A:B,1,)</f>
        <v>#N/A</v>
      </c>
    </row>
    <row r="2644" spans="1:6" ht="20.25" hidden="1" customHeight="1" x14ac:dyDescent="0.15">
      <c r="A2644" s="2" t="s">
        <v>5539</v>
      </c>
      <c r="B2644" s="2" t="s">
        <v>5540</v>
      </c>
      <c r="C2644" s="2">
        <v>0.40500000000000003</v>
      </c>
      <c r="D2644" s="2">
        <v>1.8593</v>
      </c>
      <c r="E2644" s="2" t="s">
        <v>704</v>
      </c>
      <c r="F2644" s="2" t="e">
        <f>VLOOKUP(B2644,MSCI中国成分股!A:B,1,)</f>
        <v>#N/A</v>
      </c>
    </row>
    <row r="2645" spans="1:6" ht="20.25" hidden="1" customHeight="1" x14ac:dyDescent="0.15">
      <c r="A2645" s="2" t="s">
        <v>5541</v>
      </c>
      <c r="B2645" s="2" t="s">
        <v>5542</v>
      </c>
      <c r="C2645" s="2">
        <v>-7.0000000000000007E-2</v>
      </c>
      <c r="D2645" s="2">
        <v>81.632099999999994</v>
      </c>
      <c r="E2645" s="2" t="s">
        <v>1224</v>
      </c>
      <c r="F2645" s="2" t="e">
        <f>VLOOKUP(B2645,MSCI中国成分股!A:B,1,)</f>
        <v>#N/A</v>
      </c>
    </row>
    <row r="2646" spans="1:6" ht="20.25" hidden="1" customHeight="1" x14ac:dyDescent="0.15">
      <c r="A2646" s="2" t="s">
        <v>5543</v>
      </c>
      <c r="B2646" s="2" t="s">
        <v>5544</v>
      </c>
      <c r="C2646" s="2">
        <v>0.87</v>
      </c>
      <c r="D2646" s="2">
        <v>3.5047000000000001</v>
      </c>
      <c r="E2646" s="2" t="s">
        <v>201</v>
      </c>
      <c r="F2646" s="2" t="e">
        <f>VLOOKUP(B2646,MSCI中国成分股!A:B,1,)</f>
        <v>#N/A</v>
      </c>
    </row>
    <row r="2647" spans="1:6" ht="20.25" hidden="1" customHeight="1" x14ac:dyDescent="0.15">
      <c r="A2647" s="2" t="s">
        <v>5545</v>
      </c>
      <c r="B2647" s="2" t="s">
        <v>5546</v>
      </c>
      <c r="C2647" s="2">
        <v>-1.31</v>
      </c>
      <c r="D2647" s="2">
        <v>5.6429</v>
      </c>
      <c r="E2647" s="2" t="s">
        <v>958</v>
      </c>
      <c r="F2647" s="2" t="e">
        <f>VLOOKUP(B2647,MSCI中国成分股!A:B,1,)</f>
        <v>#N/A</v>
      </c>
    </row>
    <row r="2648" spans="1:6" ht="20.25" hidden="1" customHeight="1" x14ac:dyDescent="0.15">
      <c r="A2648" s="2" t="s">
        <v>5547</v>
      </c>
      <c r="B2648" s="2" t="s">
        <v>5548</v>
      </c>
      <c r="C2648" s="2">
        <v>0.96</v>
      </c>
      <c r="D2648" s="2">
        <v>2.9091</v>
      </c>
      <c r="E2648" s="2" t="s">
        <v>605</v>
      </c>
      <c r="F2648" s="2" t="e">
        <f>VLOOKUP(B2648,MSCI中国成分股!A:B,1,)</f>
        <v>#N/A</v>
      </c>
    </row>
    <row r="2649" spans="1:6" ht="20.25" hidden="1" customHeight="1" x14ac:dyDescent="0.15">
      <c r="A2649" s="2" t="s">
        <v>5549</v>
      </c>
      <c r="B2649" s="2" t="s">
        <v>5550</v>
      </c>
      <c r="C2649" s="2">
        <v>0.57999999999999996</v>
      </c>
      <c r="D2649" s="2">
        <v>2.4613999999999998</v>
      </c>
      <c r="E2649" s="2" t="s">
        <v>204</v>
      </c>
      <c r="F2649" s="2" t="e">
        <f>VLOOKUP(B2649,MSCI中国成分股!A:B,1,)</f>
        <v>#N/A</v>
      </c>
    </row>
    <row r="2650" spans="1:6" ht="20.25" hidden="1" customHeight="1" x14ac:dyDescent="0.15">
      <c r="A2650" s="2" t="s">
        <v>5551</v>
      </c>
      <c r="B2650" s="2" t="s">
        <v>5552</v>
      </c>
      <c r="C2650" s="2">
        <v>2.3199999999999998</v>
      </c>
      <c r="D2650" s="2">
        <v>1.0073000000000001</v>
      </c>
      <c r="E2650" s="2" t="s">
        <v>2063</v>
      </c>
      <c r="F2650" s="2" t="e">
        <f>VLOOKUP(B2650,MSCI中国成分股!A:B,1,)</f>
        <v>#N/A</v>
      </c>
    </row>
    <row r="2651" spans="1:6" ht="20.25" hidden="1" customHeight="1" x14ac:dyDescent="0.15">
      <c r="A2651" s="2" t="s">
        <v>5553</v>
      </c>
      <c r="B2651" s="2" t="s">
        <v>5554</v>
      </c>
      <c r="C2651" s="2">
        <v>-1.31</v>
      </c>
      <c r="D2651" s="2">
        <v>5.1390000000000002</v>
      </c>
      <c r="E2651" s="2" t="s">
        <v>459</v>
      </c>
      <c r="F2651" s="2" t="e">
        <f>VLOOKUP(B2651,MSCI中国成分股!A:B,1,)</f>
        <v>#N/A</v>
      </c>
    </row>
    <row r="2652" spans="1:6" ht="20.25" hidden="1" customHeight="1" x14ac:dyDescent="0.15">
      <c r="A2652" s="2" t="s">
        <v>5555</v>
      </c>
      <c r="B2652" s="2" t="s">
        <v>5556</v>
      </c>
      <c r="C2652" s="2">
        <v>1.05</v>
      </c>
      <c r="D2652" s="2">
        <v>1.6907000000000001</v>
      </c>
      <c r="E2652" s="2" t="s">
        <v>741</v>
      </c>
      <c r="F2652" s="2" t="e">
        <f>VLOOKUP(B2652,MSCI中国成分股!A:B,1,)</f>
        <v>#N/A</v>
      </c>
    </row>
    <row r="2653" spans="1:6" ht="20.25" hidden="1" customHeight="1" x14ac:dyDescent="0.15">
      <c r="A2653" s="2" t="s">
        <v>5557</v>
      </c>
      <c r="B2653" s="2" t="s">
        <v>5558</v>
      </c>
      <c r="C2653" s="2">
        <v>1.02</v>
      </c>
      <c r="D2653" s="2">
        <v>0.6986</v>
      </c>
      <c r="E2653" s="2" t="s">
        <v>201</v>
      </c>
      <c r="F2653" s="2" t="e">
        <f>VLOOKUP(B2653,MSCI中国成分股!A:B,1,)</f>
        <v>#N/A</v>
      </c>
    </row>
    <row r="2654" spans="1:6" ht="20.25" hidden="1" customHeight="1" x14ac:dyDescent="0.15">
      <c r="A2654" s="2" t="s">
        <v>5559</v>
      </c>
      <c r="B2654" s="2" t="s">
        <v>5560</v>
      </c>
      <c r="C2654" s="2">
        <v>1.67</v>
      </c>
      <c r="D2654" s="2">
        <v>9.7545000000000002</v>
      </c>
      <c r="E2654" s="2" t="s">
        <v>647</v>
      </c>
      <c r="F2654" s="2" t="e">
        <f>VLOOKUP(B2654,MSCI中国成分股!A:B,1,)</f>
        <v>#N/A</v>
      </c>
    </row>
    <row r="2655" spans="1:6" ht="20.25" hidden="1" customHeight="1" x14ac:dyDescent="0.15">
      <c r="A2655" s="2" t="s">
        <v>5561</v>
      </c>
      <c r="B2655" s="2" t="s">
        <v>5562</v>
      </c>
      <c r="C2655" s="2">
        <v>-1.36</v>
      </c>
      <c r="D2655" s="2">
        <v>13.04</v>
      </c>
      <c r="E2655" s="2" t="s">
        <v>44</v>
      </c>
      <c r="F2655" s="2" t="e">
        <f>VLOOKUP(B2655,MSCI中国成分股!A:B,1,)</f>
        <v>#N/A</v>
      </c>
    </row>
    <row r="2656" spans="1:6" ht="20.25" hidden="1" customHeight="1" x14ac:dyDescent="0.15">
      <c r="A2656" s="2" t="s">
        <v>5563</v>
      </c>
      <c r="B2656" s="2" t="s">
        <v>5564</v>
      </c>
      <c r="C2656" s="2">
        <v>1.33</v>
      </c>
      <c r="D2656" s="2">
        <v>1.1277999999999999</v>
      </c>
      <c r="E2656" s="2" t="s">
        <v>1102</v>
      </c>
      <c r="F2656" s="2" t="e">
        <f>VLOOKUP(B2656,MSCI中国成分股!A:B,1,)</f>
        <v>#N/A</v>
      </c>
    </row>
    <row r="2657" spans="1:6" ht="20.25" hidden="1" customHeight="1" x14ac:dyDescent="0.15">
      <c r="A2657" s="2" t="s">
        <v>5565</v>
      </c>
      <c r="B2657" s="2" t="s">
        <v>5566</v>
      </c>
      <c r="C2657" s="2">
        <v>-1.1200000000000001</v>
      </c>
      <c r="D2657" s="2">
        <v>4.4246999999999996</v>
      </c>
      <c r="E2657" s="2" t="s">
        <v>403</v>
      </c>
      <c r="F2657" s="2" t="e">
        <f>VLOOKUP(B2657,MSCI中国成分股!A:B,1,)</f>
        <v>#N/A</v>
      </c>
    </row>
    <row r="2658" spans="1:6" ht="20.25" hidden="1" customHeight="1" x14ac:dyDescent="0.15">
      <c r="A2658" s="2" t="s">
        <v>5567</v>
      </c>
      <c r="B2658" s="2" t="s">
        <v>5568</v>
      </c>
      <c r="C2658" s="2">
        <v>1.7849999999999999</v>
      </c>
      <c r="D2658" s="2">
        <v>5.5922000000000001</v>
      </c>
      <c r="E2658" s="2" t="s">
        <v>630</v>
      </c>
      <c r="F2658" s="2" t="e">
        <f>VLOOKUP(B2658,MSCI中国成分股!A:B,1,)</f>
        <v>#N/A</v>
      </c>
    </row>
    <row r="2659" spans="1:6" ht="20.25" hidden="1" customHeight="1" x14ac:dyDescent="0.15">
      <c r="A2659" s="2" t="s">
        <v>5569</v>
      </c>
      <c r="B2659" s="2" t="s">
        <v>5570</v>
      </c>
      <c r="C2659" s="2">
        <v>1.68</v>
      </c>
      <c r="D2659" s="2">
        <v>2.8186</v>
      </c>
      <c r="E2659" s="2" t="s">
        <v>35</v>
      </c>
      <c r="F2659" s="2" t="e">
        <f>VLOOKUP(B2659,MSCI中国成分股!A:B,1,)</f>
        <v>#N/A</v>
      </c>
    </row>
    <row r="2660" spans="1:6" ht="20.25" hidden="1" customHeight="1" x14ac:dyDescent="0.15">
      <c r="A2660" s="2" t="s">
        <v>5571</v>
      </c>
      <c r="B2660" s="2" t="s">
        <v>5572</v>
      </c>
      <c r="C2660" s="2">
        <v>1.29</v>
      </c>
      <c r="D2660" s="2">
        <v>0.19109999999999999</v>
      </c>
      <c r="E2660" s="2" t="s">
        <v>713</v>
      </c>
      <c r="F2660" s="2" t="e">
        <f>VLOOKUP(B2660,MSCI中国成分股!A:B,1,)</f>
        <v>#N/A</v>
      </c>
    </row>
    <row r="2661" spans="1:6" ht="20.25" hidden="1" customHeight="1" x14ac:dyDescent="0.15">
      <c r="A2661" s="2" t="s">
        <v>5573</v>
      </c>
      <c r="B2661" s="2" t="s">
        <v>5574</v>
      </c>
      <c r="C2661" s="2">
        <v>0.69499999999999995</v>
      </c>
      <c r="D2661" s="2">
        <v>2.9651999999999998</v>
      </c>
      <c r="E2661" s="2" t="s">
        <v>630</v>
      </c>
      <c r="F2661" s="2" t="e">
        <f>VLOOKUP(B2661,MSCI中国成分股!A:B,1,)</f>
        <v>#N/A</v>
      </c>
    </row>
    <row r="2662" spans="1:6" ht="20.25" hidden="1" customHeight="1" x14ac:dyDescent="0.15">
      <c r="A2662" s="2" t="s">
        <v>5575</v>
      </c>
      <c r="B2662" s="2" t="s">
        <v>5576</v>
      </c>
      <c r="C2662" s="2">
        <v>0.13</v>
      </c>
      <c r="D2662" s="2">
        <v>2.5829</v>
      </c>
      <c r="E2662" s="2" t="s">
        <v>1248</v>
      </c>
      <c r="F2662" s="2" t="e">
        <f>VLOOKUP(B2662,MSCI中国成分股!A:B,1,)</f>
        <v>#N/A</v>
      </c>
    </row>
    <row r="2663" spans="1:6" ht="20.25" hidden="1" customHeight="1" x14ac:dyDescent="0.15">
      <c r="A2663" s="2" t="s">
        <v>5577</v>
      </c>
      <c r="B2663" s="2" t="s">
        <v>5578</v>
      </c>
      <c r="C2663" s="2">
        <v>-2.3450000000000002</v>
      </c>
      <c r="D2663" s="2">
        <v>1.7624</v>
      </c>
      <c r="E2663" s="2" t="s">
        <v>41</v>
      </c>
      <c r="F2663" s="2" t="e">
        <f>VLOOKUP(B2663,MSCI中国成分股!A:B,1,)</f>
        <v>#N/A</v>
      </c>
    </row>
    <row r="2664" spans="1:6" ht="20.25" hidden="1" customHeight="1" x14ac:dyDescent="0.15">
      <c r="A2664" s="2" t="s">
        <v>5579</v>
      </c>
      <c r="B2664" s="2" t="s">
        <v>5580</v>
      </c>
      <c r="C2664" s="2">
        <v>0.74</v>
      </c>
      <c r="D2664" s="2">
        <v>5.3517000000000001</v>
      </c>
      <c r="E2664" s="2" t="s">
        <v>574</v>
      </c>
      <c r="F2664" s="2" t="e">
        <f>VLOOKUP(B2664,MSCI中国成分股!A:B,1,)</f>
        <v>#N/A</v>
      </c>
    </row>
    <row r="2665" spans="1:6" ht="20.25" hidden="1" customHeight="1" x14ac:dyDescent="0.15">
      <c r="A2665" s="2" t="s">
        <v>5581</v>
      </c>
      <c r="B2665" s="2" t="s">
        <v>5582</v>
      </c>
      <c r="C2665" s="2">
        <v>0.42</v>
      </c>
      <c r="D2665" s="2">
        <v>1.6180000000000001</v>
      </c>
      <c r="E2665" s="2" t="s">
        <v>430</v>
      </c>
      <c r="F2665" s="2" t="e">
        <f>VLOOKUP(B2665,MSCI中国成分股!A:B,1,)</f>
        <v>#N/A</v>
      </c>
    </row>
    <row r="2666" spans="1:6" ht="20.25" hidden="1" customHeight="1" x14ac:dyDescent="0.15">
      <c r="A2666" s="2" t="s">
        <v>5583</v>
      </c>
      <c r="B2666" s="2" t="s">
        <v>5584</v>
      </c>
      <c r="C2666" s="2">
        <v>1.04</v>
      </c>
      <c r="D2666" s="2">
        <v>25.535799999999998</v>
      </c>
      <c r="E2666" s="2" t="s">
        <v>529</v>
      </c>
      <c r="F2666" s="2" t="e">
        <f>VLOOKUP(B2666,MSCI中国成分股!A:B,1,)</f>
        <v>#N/A</v>
      </c>
    </row>
    <row r="2667" spans="1:6" ht="20.25" hidden="1" customHeight="1" x14ac:dyDescent="0.15">
      <c r="A2667" s="2" t="s">
        <v>5585</v>
      </c>
      <c r="B2667" s="2" t="s">
        <v>5586</v>
      </c>
      <c r="C2667" s="2">
        <v>-0.43</v>
      </c>
      <c r="D2667" s="2">
        <v>7.4017999999999997</v>
      </c>
      <c r="E2667" s="2" t="s">
        <v>344</v>
      </c>
      <c r="F2667" s="2" t="e">
        <f>VLOOKUP(B2667,MSCI中国成分股!A:B,1,)</f>
        <v>#N/A</v>
      </c>
    </row>
    <row r="2668" spans="1:6" ht="20.25" hidden="1" customHeight="1" x14ac:dyDescent="0.15">
      <c r="A2668" s="2" t="s">
        <v>5587</v>
      </c>
      <c r="B2668" s="2" t="s">
        <v>5588</v>
      </c>
      <c r="C2668" s="2">
        <v>0.37</v>
      </c>
      <c r="D2668" s="2">
        <v>3.1442000000000001</v>
      </c>
      <c r="E2668" s="2" t="s">
        <v>704</v>
      </c>
      <c r="F2668" s="2" t="e">
        <f>VLOOKUP(B2668,MSCI中国成分股!A:B,1,)</f>
        <v>#N/A</v>
      </c>
    </row>
    <row r="2669" spans="1:6" ht="20.25" hidden="1" customHeight="1" x14ac:dyDescent="0.15">
      <c r="A2669" s="2" t="s">
        <v>5589</v>
      </c>
      <c r="B2669" s="2" t="s">
        <v>5590</v>
      </c>
      <c r="C2669" s="2">
        <v>5.55</v>
      </c>
      <c r="D2669" s="2">
        <v>49.356099999999998</v>
      </c>
      <c r="E2669" s="2" t="s">
        <v>1186</v>
      </c>
      <c r="F2669" s="2" t="e">
        <f>VLOOKUP(B2669,MSCI中国成分股!A:B,1,)</f>
        <v>#N/A</v>
      </c>
    </row>
    <row r="2670" spans="1:6" ht="20.25" hidden="1" customHeight="1" x14ac:dyDescent="0.15">
      <c r="A2670" s="2" t="s">
        <v>5591</v>
      </c>
      <c r="B2670" s="2" t="s">
        <v>5592</v>
      </c>
      <c r="C2670" s="2">
        <v>1.31</v>
      </c>
      <c r="D2670" s="2">
        <v>1.9823999999999999</v>
      </c>
      <c r="E2670" s="2" t="s">
        <v>3130</v>
      </c>
      <c r="F2670" s="2" t="e">
        <f>VLOOKUP(B2670,MSCI中国成分股!A:B,1,)</f>
        <v>#N/A</v>
      </c>
    </row>
    <row r="2671" spans="1:6" ht="20.25" hidden="1" customHeight="1" x14ac:dyDescent="0.15">
      <c r="A2671" s="2" t="s">
        <v>5593</v>
      </c>
      <c r="B2671" s="2" t="s">
        <v>5594</v>
      </c>
      <c r="C2671" s="2">
        <v>-0.94</v>
      </c>
      <c r="D2671" s="2">
        <v>13.7454</v>
      </c>
      <c r="E2671" s="2" t="s">
        <v>385</v>
      </c>
      <c r="F2671" s="2" t="e">
        <f>VLOOKUP(B2671,MSCI中国成分股!A:B,1,)</f>
        <v>#N/A</v>
      </c>
    </row>
    <row r="2672" spans="1:6" ht="20.25" hidden="1" customHeight="1" x14ac:dyDescent="0.15">
      <c r="A2672" s="2" t="s">
        <v>5595</v>
      </c>
      <c r="B2672" s="2" t="s">
        <v>5596</v>
      </c>
      <c r="C2672" s="2">
        <v>-1.95</v>
      </c>
      <c r="D2672" s="2">
        <v>215.80799999999999</v>
      </c>
      <c r="E2672" s="2" t="s">
        <v>1873</v>
      </c>
      <c r="F2672" s="2" t="e">
        <f>VLOOKUP(B2672,MSCI中国成分股!A:B,1,)</f>
        <v>#N/A</v>
      </c>
    </row>
    <row r="2673" spans="1:6" ht="20.25" hidden="1" customHeight="1" x14ac:dyDescent="0.15">
      <c r="A2673" s="2" t="s">
        <v>5597</v>
      </c>
      <c r="B2673" s="2" t="s">
        <v>5598</v>
      </c>
      <c r="C2673" s="2">
        <v>2.86</v>
      </c>
      <c r="D2673" s="2">
        <v>2.8327</v>
      </c>
      <c r="E2673" s="2" t="s">
        <v>1608</v>
      </c>
      <c r="F2673" s="2" t="e">
        <f>VLOOKUP(B2673,MSCI中国成分股!A:B,1,)</f>
        <v>#N/A</v>
      </c>
    </row>
    <row r="2674" spans="1:6" ht="20.25" hidden="1" customHeight="1" x14ac:dyDescent="0.15">
      <c r="A2674" s="2" t="s">
        <v>5599</v>
      </c>
      <c r="B2674" s="2" t="s">
        <v>5600</v>
      </c>
      <c r="C2674" s="2">
        <v>0.51</v>
      </c>
      <c r="D2674" s="2">
        <v>4.0735000000000001</v>
      </c>
      <c r="E2674" s="2" t="s">
        <v>245</v>
      </c>
      <c r="F2674" s="2" t="e">
        <f>VLOOKUP(B2674,MSCI中国成分股!A:B,1,)</f>
        <v>#N/A</v>
      </c>
    </row>
    <row r="2675" spans="1:6" ht="20.25" hidden="1" customHeight="1" x14ac:dyDescent="0.15">
      <c r="A2675" s="2" t="s">
        <v>5601</v>
      </c>
      <c r="B2675" s="2" t="s">
        <v>5602</v>
      </c>
      <c r="C2675" s="2">
        <v>2.7749999999999999</v>
      </c>
      <c r="D2675" s="2">
        <v>8.0365000000000002</v>
      </c>
      <c r="E2675" s="2" t="s">
        <v>1403</v>
      </c>
      <c r="F2675" s="2" t="e">
        <f>VLOOKUP(B2675,MSCI中国成分股!A:B,1,)</f>
        <v>#N/A</v>
      </c>
    </row>
    <row r="2676" spans="1:6" ht="20.25" hidden="1" customHeight="1" x14ac:dyDescent="0.15">
      <c r="A2676" s="2" t="s">
        <v>5603</v>
      </c>
      <c r="B2676" s="2" t="s">
        <v>5604</v>
      </c>
      <c r="C2676" s="2">
        <v>0.97</v>
      </c>
      <c r="D2676" s="2">
        <v>0.40179999999999999</v>
      </c>
      <c r="E2676" s="2" t="s">
        <v>1061</v>
      </c>
      <c r="F2676" s="2" t="e">
        <f>VLOOKUP(B2676,MSCI中国成分股!A:B,1,)</f>
        <v>#N/A</v>
      </c>
    </row>
    <row r="2677" spans="1:6" ht="20.25" hidden="1" customHeight="1" x14ac:dyDescent="0.15">
      <c r="A2677" s="2" t="s">
        <v>5605</v>
      </c>
      <c r="B2677" s="2" t="s">
        <v>5606</v>
      </c>
      <c r="C2677" s="2">
        <v>2.98</v>
      </c>
      <c r="D2677" s="2">
        <v>6.2511999999999999</v>
      </c>
      <c r="E2677" s="2" t="s">
        <v>1853</v>
      </c>
      <c r="F2677" s="2" t="e">
        <f>VLOOKUP(B2677,MSCI中国成分股!A:B,1,)</f>
        <v>#N/A</v>
      </c>
    </row>
    <row r="2678" spans="1:6" ht="20.25" hidden="1" customHeight="1" x14ac:dyDescent="0.15">
      <c r="A2678" s="2" t="s">
        <v>5607</v>
      </c>
      <c r="B2678" s="2" t="s">
        <v>5608</v>
      </c>
      <c r="C2678" s="2">
        <v>-1.02</v>
      </c>
      <c r="D2678" s="2">
        <v>23.888500000000001</v>
      </c>
      <c r="E2678" s="2" t="s">
        <v>385</v>
      </c>
      <c r="F2678" s="2" t="e">
        <f>VLOOKUP(B2678,MSCI中国成分股!A:B,1,)</f>
        <v>#N/A</v>
      </c>
    </row>
    <row r="2679" spans="1:6" ht="20.25" hidden="1" customHeight="1" x14ac:dyDescent="0.15">
      <c r="A2679" s="2" t="s">
        <v>5609</v>
      </c>
      <c r="B2679" s="2" t="s">
        <v>5610</v>
      </c>
      <c r="C2679" s="2">
        <v>0.55000000000000004</v>
      </c>
      <c r="D2679" s="2">
        <v>4.2748999999999997</v>
      </c>
      <c r="E2679" s="2" t="s">
        <v>123</v>
      </c>
      <c r="F2679" s="2" t="e">
        <f>VLOOKUP(B2679,MSCI中国成分股!A:B,1,)</f>
        <v>#N/A</v>
      </c>
    </row>
    <row r="2680" spans="1:6" ht="20.25" hidden="1" customHeight="1" x14ac:dyDescent="0.15">
      <c r="A2680" s="2" t="s">
        <v>5611</v>
      </c>
      <c r="B2680" s="2" t="s">
        <v>5612</v>
      </c>
      <c r="C2680" s="2">
        <v>0.67</v>
      </c>
      <c r="D2680" s="2">
        <v>0.32279999999999998</v>
      </c>
      <c r="E2680" s="2" t="s">
        <v>667</v>
      </c>
      <c r="F2680" s="2" t="e">
        <f>VLOOKUP(B2680,MSCI中国成分股!A:B,1,)</f>
        <v>#N/A</v>
      </c>
    </row>
    <row r="2681" spans="1:6" ht="20.25" hidden="1" customHeight="1" x14ac:dyDescent="0.15">
      <c r="A2681" s="2" t="s">
        <v>5613</v>
      </c>
      <c r="B2681" s="2" t="s">
        <v>5614</v>
      </c>
      <c r="C2681" s="2">
        <v>1</v>
      </c>
      <c r="D2681" s="2">
        <v>2.4832999999999998</v>
      </c>
      <c r="E2681" s="2" t="s">
        <v>741</v>
      </c>
      <c r="F2681" s="2" t="e">
        <f>VLOOKUP(B2681,MSCI中国成分股!A:B,1,)</f>
        <v>#N/A</v>
      </c>
    </row>
    <row r="2682" spans="1:6" ht="20.25" hidden="1" customHeight="1" x14ac:dyDescent="0.15">
      <c r="A2682" s="2" t="s">
        <v>5615</v>
      </c>
      <c r="B2682" s="2" t="s">
        <v>5616</v>
      </c>
      <c r="C2682" s="2">
        <v>1.22</v>
      </c>
      <c r="D2682" s="2">
        <v>7.1863999999999999</v>
      </c>
      <c r="E2682" s="2" t="s">
        <v>3190</v>
      </c>
      <c r="F2682" s="2" t="e">
        <f>VLOOKUP(B2682,MSCI中国成分股!A:B,1,)</f>
        <v>#N/A</v>
      </c>
    </row>
    <row r="2683" spans="1:6" ht="20.25" hidden="1" customHeight="1" x14ac:dyDescent="0.15">
      <c r="A2683" s="2" t="s">
        <v>5617</v>
      </c>
      <c r="B2683" s="2" t="s">
        <v>5618</v>
      </c>
      <c r="C2683" s="2">
        <v>1.59</v>
      </c>
      <c r="D2683" s="2">
        <v>7.1532999999999998</v>
      </c>
      <c r="E2683" s="2" t="s">
        <v>201</v>
      </c>
      <c r="F2683" s="2" t="e">
        <f>VLOOKUP(B2683,MSCI中国成分股!A:B,1,)</f>
        <v>#N/A</v>
      </c>
    </row>
    <row r="2684" spans="1:6" ht="20.25" hidden="1" customHeight="1" x14ac:dyDescent="0.15">
      <c r="A2684" s="2" t="s">
        <v>5619</v>
      </c>
      <c r="B2684" s="2" t="s">
        <v>5620</v>
      </c>
      <c r="C2684" s="2">
        <v>1.6850000000000001</v>
      </c>
      <c r="D2684" s="2">
        <v>1.8738999999999999</v>
      </c>
      <c r="E2684" s="2" t="s">
        <v>265</v>
      </c>
      <c r="F2684" s="2" t="e">
        <f>VLOOKUP(B2684,MSCI中国成分股!A:B,1,)</f>
        <v>#N/A</v>
      </c>
    </row>
    <row r="2685" spans="1:6" ht="20.25" hidden="1" customHeight="1" x14ac:dyDescent="0.15">
      <c r="A2685" s="2" t="s">
        <v>5621</v>
      </c>
      <c r="B2685" s="2" t="s">
        <v>5622</v>
      </c>
      <c r="C2685" s="2">
        <v>2.5</v>
      </c>
      <c r="D2685" s="2">
        <v>10.8489</v>
      </c>
      <c r="E2685" s="2" t="s">
        <v>268</v>
      </c>
      <c r="F2685" s="2" t="e">
        <f>VLOOKUP(B2685,MSCI中国成分股!A:B,1,)</f>
        <v>#N/A</v>
      </c>
    </row>
    <row r="2686" spans="1:6" ht="20.25" hidden="1" customHeight="1" x14ac:dyDescent="0.15">
      <c r="A2686" s="2" t="s">
        <v>5623</v>
      </c>
      <c r="B2686" s="2" t="s">
        <v>5624</v>
      </c>
      <c r="C2686" s="2">
        <v>3.05</v>
      </c>
      <c r="D2686" s="2">
        <v>0.99450000000000005</v>
      </c>
      <c r="E2686" s="2" t="s">
        <v>3249</v>
      </c>
      <c r="F2686" s="2" t="e">
        <f>VLOOKUP(B2686,MSCI中国成分股!A:B,1,)</f>
        <v>#N/A</v>
      </c>
    </row>
    <row r="2687" spans="1:6" ht="20.25" hidden="1" customHeight="1" x14ac:dyDescent="0.15">
      <c r="A2687" s="2" t="s">
        <v>5625</v>
      </c>
      <c r="B2687" s="2" t="s">
        <v>5626</v>
      </c>
      <c r="C2687" s="2">
        <v>1.2</v>
      </c>
      <c r="D2687" s="2">
        <v>0.90510000000000002</v>
      </c>
      <c r="E2687" s="2" t="s">
        <v>747</v>
      </c>
      <c r="F2687" s="2" t="e">
        <f>VLOOKUP(B2687,MSCI中国成分股!A:B,1,)</f>
        <v>#N/A</v>
      </c>
    </row>
    <row r="2688" spans="1:6" ht="20.25" hidden="1" customHeight="1" x14ac:dyDescent="0.15">
      <c r="A2688" s="2" t="s">
        <v>5627</v>
      </c>
      <c r="B2688" s="2" t="s">
        <v>5628</v>
      </c>
      <c r="C2688" s="2">
        <v>0.05</v>
      </c>
      <c r="D2688" s="2">
        <v>2.1764000000000001</v>
      </c>
      <c r="E2688" s="2" t="s">
        <v>704</v>
      </c>
      <c r="F2688" s="2" t="e">
        <f>VLOOKUP(B2688,MSCI中国成分股!A:B,1,)</f>
        <v>#N/A</v>
      </c>
    </row>
    <row r="2689" spans="1:6" ht="20.25" hidden="1" customHeight="1" x14ac:dyDescent="0.15">
      <c r="A2689" s="2" t="s">
        <v>5629</v>
      </c>
      <c r="B2689" s="2" t="s">
        <v>5630</v>
      </c>
      <c r="C2689" s="2">
        <v>1.5149999999999999</v>
      </c>
      <c r="D2689" s="2">
        <v>0.44529999999999997</v>
      </c>
      <c r="E2689" s="2" t="s">
        <v>787</v>
      </c>
      <c r="F2689" s="2" t="e">
        <f>VLOOKUP(B2689,MSCI中国成分股!A:B,1,)</f>
        <v>#N/A</v>
      </c>
    </row>
    <row r="2690" spans="1:6" ht="20.25" hidden="1" customHeight="1" x14ac:dyDescent="0.15">
      <c r="A2690" s="2" t="s">
        <v>5631</v>
      </c>
      <c r="B2690" s="2" t="s">
        <v>5632</v>
      </c>
      <c r="C2690" s="2">
        <v>1.4</v>
      </c>
      <c r="D2690" s="2">
        <v>1.9531000000000001</v>
      </c>
      <c r="E2690" s="2" t="s">
        <v>506</v>
      </c>
      <c r="F2690" s="2" t="e">
        <f>VLOOKUP(B2690,MSCI中国成分股!A:B,1,)</f>
        <v>#N/A</v>
      </c>
    </row>
    <row r="2691" spans="1:6" ht="20.25" hidden="1" customHeight="1" x14ac:dyDescent="0.15">
      <c r="A2691" s="2" t="s">
        <v>5633</v>
      </c>
      <c r="B2691" s="2" t="s">
        <v>5634</v>
      </c>
      <c r="C2691" s="2">
        <v>0.14000000000000001</v>
      </c>
      <c r="D2691" s="2">
        <v>35.821199999999997</v>
      </c>
      <c r="E2691" s="2" t="s">
        <v>421</v>
      </c>
      <c r="F2691" s="2" t="e">
        <f>VLOOKUP(B2691,MSCI中国成分股!A:B,1,)</f>
        <v>#N/A</v>
      </c>
    </row>
    <row r="2692" spans="1:6" ht="20.25" hidden="1" customHeight="1" x14ac:dyDescent="0.15">
      <c r="A2692" s="2" t="s">
        <v>5635</v>
      </c>
      <c r="B2692" s="2" t="s">
        <v>5636</v>
      </c>
      <c r="C2692" s="2">
        <v>1.48</v>
      </c>
      <c r="D2692" s="2">
        <v>0.57340000000000002</v>
      </c>
      <c r="E2692" s="2" t="s">
        <v>1853</v>
      </c>
      <c r="F2692" s="2" t="e">
        <f>VLOOKUP(B2692,MSCI中国成分股!A:B,1,)</f>
        <v>#N/A</v>
      </c>
    </row>
    <row r="2693" spans="1:6" ht="20.25" hidden="1" customHeight="1" x14ac:dyDescent="0.15">
      <c r="A2693" s="2" t="s">
        <v>5637</v>
      </c>
      <c r="B2693" s="2" t="s">
        <v>5638</v>
      </c>
      <c r="C2693" s="2">
        <v>0.42</v>
      </c>
      <c r="D2693" s="2">
        <v>0.96840000000000004</v>
      </c>
      <c r="E2693" s="2" t="s">
        <v>574</v>
      </c>
      <c r="F2693" s="2" t="e">
        <f>VLOOKUP(B2693,MSCI中国成分股!A:B,1,)</f>
        <v>#N/A</v>
      </c>
    </row>
    <row r="2694" spans="1:6" ht="20.25" hidden="1" customHeight="1" x14ac:dyDescent="0.15">
      <c r="A2694" s="2" t="s">
        <v>5639</v>
      </c>
      <c r="B2694" s="2" t="s">
        <v>5640</v>
      </c>
      <c r="C2694" s="2">
        <v>3.24</v>
      </c>
      <c r="D2694" s="2">
        <v>2.9095</v>
      </c>
      <c r="E2694" s="2" t="s">
        <v>52</v>
      </c>
      <c r="F2694" s="2" t="e">
        <f>VLOOKUP(B2694,MSCI中国成分股!A:B,1,)</f>
        <v>#N/A</v>
      </c>
    </row>
    <row r="2695" spans="1:6" ht="20.25" hidden="1" customHeight="1" x14ac:dyDescent="0.15">
      <c r="A2695" s="2" t="s">
        <v>5641</v>
      </c>
      <c r="B2695" s="2" t="s">
        <v>5642</v>
      </c>
      <c r="C2695" s="2">
        <v>2.0750000000000002</v>
      </c>
      <c r="D2695" s="2">
        <v>29.478899999999999</v>
      </c>
      <c r="E2695" s="2" t="s">
        <v>68</v>
      </c>
      <c r="F2695" s="2" t="e">
        <f>VLOOKUP(B2695,MSCI中国成分股!A:B,1,)</f>
        <v>#N/A</v>
      </c>
    </row>
    <row r="2696" spans="1:6" ht="20.25" hidden="1" customHeight="1" x14ac:dyDescent="0.15">
      <c r="A2696" s="2" t="s">
        <v>5643</v>
      </c>
      <c r="B2696" s="2" t="s">
        <v>5644</v>
      </c>
      <c r="C2696" s="2">
        <v>0.71</v>
      </c>
      <c r="D2696" s="2">
        <v>0.44779999999999998</v>
      </c>
      <c r="E2696" s="2" t="s">
        <v>1403</v>
      </c>
      <c r="F2696" s="2" t="e">
        <f>VLOOKUP(B2696,MSCI中国成分股!A:B,1,)</f>
        <v>#N/A</v>
      </c>
    </row>
    <row r="2697" spans="1:6" ht="20.25" hidden="1" customHeight="1" x14ac:dyDescent="0.15">
      <c r="A2697" s="2" t="s">
        <v>5645</v>
      </c>
      <c r="B2697" s="2" t="s">
        <v>5646</v>
      </c>
      <c r="C2697" s="2">
        <v>-0.28999999999999998</v>
      </c>
      <c r="D2697" s="2">
        <v>6.7766000000000002</v>
      </c>
      <c r="E2697" s="2" t="s">
        <v>2463</v>
      </c>
      <c r="F2697" s="2" t="e">
        <f>VLOOKUP(B2697,MSCI中国成分股!A:B,1,)</f>
        <v>#N/A</v>
      </c>
    </row>
    <row r="2698" spans="1:6" ht="20.25" hidden="1" customHeight="1" x14ac:dyDescent="0.15">
      <c r="A2698" s="2" t="s">
        <v>5647</v>
      </c>
      <c r="B2698" s="2" t="s">
        <v>5648</v>
      </c>
      <c r="C2698" s="2">
        <v>3.02</v>
      </c>
      <c r="D2698" s="2">
        <v>0.99529999999999996</v>
      </c>
      <c r="E2698" s="2" t="s">
        <v>1099</v>
      </c>
      <c r="F2698" s="2" t="e">
        <f>VLOOKUP(B2698,MSCI中国成分股!A:B,1,)</f>
        <v>#N/A</v>
      </c>
    </row>
    <row r="2699" spans="1:6" ht="20.25" hidden="1" customHeight="1" x14ac:dyDescent="0.15">
      <c r="A2699" s="2" t="s">
        <v>5649</v>
      </c>
      <c r="B2699" s="2" t="s">
        <v>5650</v>
      </c>
      <c r="C2699" s="2">
        <v>0.35</v>
      </c>
      <c r="D2699" s="2">
        <v>6.9099999999999995E-2</v>
      </c>
      <c r="E2699" s="2" t="s">
        <v>667</v>
      </c>
      <c r="F2699" s="2" t="e">
        <f>VLOOKUP(B2699,MSCI中国成分股!A:B,1,)</f>
        <v>#N/A</v>
      </c>
    </row>
    <row r="2700" spans="1:6" ht="20.25" hidden="1" customHeight="1" x14ac:dyDescent="0.15">
      <c r="A2700" s="2" t="s">
        <v>5651</v>
      </c>
      <c r="B2700" s="2" t="s">
        <v>5652</v>
      </c>
      <c r="C2700" s="2">
        <v>2.2799999999999998</v>
      </c>
      <c r="D2700" s="2">
        <v>0.60140000000000005</v>
      </c>
      <c r="E2700" s="2" t="s">
        <v>1608</v>
      </c>
      <c r="F2700" s="2" t="e">
        <f>VLOOKUP(B2700,MSCI中国成分股!A:B,1,)</f>
        <v>#N/A</v>
      </c>
    </row>
    <row r="2701" spans="1:6" ht="20.25" hidden="1" customHeight="1" x14ac:dyDescent="0.15">
      <c r="A2701" s="2" t="s">
        <v>5653</v>
      </c>
      <c r="B2701" s="2" t="s">
        <v>5654</v>
      </c>
      <c r="C2701" s="2">
        <v>3.4</v>
      </c>
      <c r="D2701" s="2">
        <v>34.886299999999999</v>
      </c>
      <c r="E2701" s="2" t="s">
        <v>68</v>
      </c>
      <c r="F2701" s="2" t="e">
        <f>VLOOKUP(B2701,MSCI中国成分股!A:B,1,)</f>
        <v>#N/A</v>
      </c>
    </row>
    <row r="2702" spans="1:6" ht="20.25" hidden="1" customHeight="1" x14ac:dyDescent="0.15">
      <c r="A2702" s="2" t="s">
        <v>5655</v>
      </c>
      <c r="B2702" s="2" t="s">
        <v>5656</v>
      </c>
      <c r="C2702" s="2">
        <v>-1.1200000000000001</v>
      </c>
      <c r="D2702" s="2">
        <v>9.5315999999999992</v>
      </c>
      <c r="E2702" s="2" t="s">
        <v>605</v>
      </c>
      <c r="F2702" s="2" t="e">
        <f>VLOOKUP(B2702,MSCI中国成分股!A:B,1,)</f>
        <v>#N/A</v>
      </c>
    </row>
    <row r="2703" spans="1:6" ht="20.25" hidden="1" customHeight="1" x14ac:dyDescent="0.15">
      <c r="A2703" s="2" t="s">
        <v>5657</v>
      </c>
      <c r="B2703" s="2" t="s">
        <v>5658</v>
      </c>
      <c r="C2703" s="2">
        <v>1.18</v>
      </c>
      <c r="D2703" s="2">
        <v>5.8342000000000001</v>
      </c>
      <c r="E2703" s="2" t="s">
        <v>362</v>
      </c>
      <c r="F2703" s="2" t="e">
        <f>VLOOKUP(B2703,MSCI中国成分股!A:B,1,)</f>
        <v>#N/A</v>
      </c>
    </row>
    <row r="2704" spans="1:6" ht="20.25" hidden="1" customHeight="1" x14ac:dyDescent="0.15">
      <c r="A2704" s="2" t="s">
        <v>5659</v>
      </c>
      <c r="B2704" s="2" t="s">
        <v>5660</v>
      </c>
      <c r="C2704" s="2">
        <v>1.61</v>
      </c>
      <c r="D2704" s="2">
        <v>0.8075</v>
      </c>
      <c r="E2704" s="2" t="s">
        <v>690</v>
      </c>
      <c r="F2704" s="2" t="e">
        <f>VLOOKUP(B2704,MSCI中国成分股!A:B,1,)</f>
        <v>#N/A</v>
      </c>
    </row>
    <row r="2705" spans="1:6" ht="20.25" hidden="1" customHeight="1" x14ac:dyDescent="0.15">
      <c r="A2705" s="2" t="s">
        <v>5661</v>
      </c>
      <c r="B2705" s="2" t="s">
        <v>5662</v>
      </c>
      <c r="C2705" s="2">
        <v>3.91</v>
      </c>
      <c r="D2705" s="2">
        <v>3.1789000000000001</v>
      </c>
      <c r="E2705" s="2" t="s">
        <v>359</v>
      </c>
      <c r="F2705" s="2" t="e">
        <f>VLOOKUP(B2705,MSCI中国成分股!A:B,1,)</f>
        <v>#N/A</v>
      </c>
    </row>
    <row r="2706" spans="1:6" ht="20.25" hidden="1" customHeight="1" x14ac:dyDescent="0.15">
      <c r="A2706" s="2" t="s">
        <v>5663</v>
      </c>
      <c r="B2706" s="2" t="s">
        <v>5664</v>
      </c>
      <c r="C2706" s="2">
        <v>1.65</v>
      </c>
      <c r="D2706" s="2">
        <v>0.78080000000000005</v>
      </c>
      <c r="E2706" s="2" t="s">
        <v>201</v>
      </c>
      <c r="F2706" s="2" t="e">
        <f>VLOOKUP(B2706,MSCI中国成分股!A:B,1,)</f>
        <v>#N/A</v>
      </c>
    </row>
    <row r="2707" spans="1:6" ht="20.25" hidden="1" customHeight="1" x14ac:dyDescent="0.15">
      <c r="A2707" s="2" t="s">
        <v>5665</v>
      </c>
      <c r="B2707" s="2" t="s">
        <v>5666</v>
      </c>
      <c r="C2707" s="2">
        <v>-0.15</v>
      </c>
      <c r="D2707" s="2">
        <v>0.67530000000000001</v>
      </c>
      <c r="E2707" s="2" t="s">
        <v>750</v>
      </c>
      <c r="F2707" s="2" t="e">
        <f>VLOOKUP(B2707,MSCI中国成分股!A:B,1,)</f>
        <v>#N/A</v>
      </c>
    </row>
    <row r="2708" spans="1:6" ht="20.25" hidden="1" customHeight="1" x14ac:dyDescent="0.15">
      <c r="A2708" s="2" t="s">
        <v>5667</v>
      </c>
      <c r="B2708" s="2" t="s">
        <v>5668</v>
      </c>
      <c r="C2708" s="2">
        <v>2.2200000000000002</v>
      </c>
      <c r="D2708" s="2">
        <v>3.2201</v>
      </c>
      <c r="E2708" s="2" t="s">
        <v>68</v>
      </c>
      <c r="F2708" s="2" t="e">
        <f>VLOOKUP(B2708,MSCI中国成分股!A:B,1,)</f>
        <v>#N/A</v>
      </c>
    </row>
    <row r="2709" spans="1:6" ht="20.25" hidden="1" customHeight="1" x14ac:dyDescent="0.15">
      <c r="A2709" s="2" t="s">
        <v>5669</v>
      </c>
      <c r="B2709" s="2" t="s">
        <v>5670</v>
      </c>
      <c r="C2709" s="2">
        <v>-0.55000000000000004</v>
      </c>
      <c r="D2709" s="2">
        <v>3.8835999999999999</v>
      </c>
      <c r="E2709" s="2" t="s">
        <v>3053</v>
      </c>
      <c r="F2709" s="2" t="e">
        <f>VLOOKUP(B2709,MSCI中国成分股!A:B,1,)</f>
        <v>#N/A</v>
      </c>
    </row>
    <row r="2710" spans="1:6" ht="20.25" hidden="1" customHeight="1" x14ac:dyDescent="0.15">
      <c r="A2710" s="2" t="s">
        <v>5671</v>
      </c>
      <c r="B2710" s="2" t="s">
        <v>5672</v>
      </c>
      <c r="C2710" s="2">
        <v>0.83</v>
      </c>
      <c r="D2710" s="2">
        <v>0.89570000000000005</v>
      </c>
      <c r="E2710" s="2" t="s">
        <v>799</v>
      </c>
      <c r="F2710" s="2" t="e">
        <f>VLOOKUP(B2710,MSCI中国成分股!A:B,1,)</f>
        <v>#N/A</v>
      </c>
    </row>
    <row r="2711" spans="1:6" ht="20.25" hidden="1" customHeight="1" x14ac:dyDescent="0.15">
      <c r="A2711" s="2" t="s">
        <v>5673</v>
      </c>
      <c r="B2711" s="2" t="s">
        <v>5674</v>
      </c>
      <c r="C2711" s="2">
        <v>1.05</v>
      </c>
      <c r="D2711" s="2">
        <v>0.30409999999999998</v>
      </c>
      <c r="E2711" s="2" t="s">
        <v>713</v>
      </c>
      <c r="F2711" s="2" t="e">
        <f>VLOOKUP(B2711,MSCI中国成分股!A:B,1,)</f>
        <v>#N/A</v>
      </c>
    </row>
    <row r="2712" spans="1:6" ht="20.25" hidden="1" customHeight="1" x14ac:dyDescent="0.15">
      <c r="A2712" s="2" t="s">
        <v>5675</v>
      </c>
      <c r="B2712" s="2" t="s">
        <v>5676</v>
      </c>
      <c r="C2712" s="2">
        <v>1.77</v>
      </c>
      <c r="D2712" s="2">
        <v>1.7421</v>
      </c>
      <c r="E2712" s="2" t="s">
        <v>1853</v>
      </c>
      <c r="F2712" s="2" t="e">
        <f>VLOOKUP(B2712,MSCI中国成分股!A:B,1,)</f>
        <v>#N/A</v>
      </c>
    </row>
    <row r="2713" spans="1:6" ht="20.25" hidden="1" customHeight="1" x14ac:dyDescent="0.15">
      <c r="A2713" s="2" t="s">
        <v>5677</v>
      </c>
      <c r="B2713" s="2" t="s">
        <v>5678</v>
      </c>
      <c r="C2713" s="2">
        <v>0.19</v>
      </c>
      <c r="D2713" s="2">
        <v>0.37969999999999998</v>
      </c>
      <c r="E2713" s="2" t="s">
        <v>1061</v>
      </c>
      <c r="F2713" s="2" t="e">
        <f>VLOOKUP(B2713,MSCI中国成分股!A:B,1,)</f>
        <v>#N/A</v>
      </c>
    </row>
    <row r="2714" spans="1:6" ht="20.25" hidden="1" customHeight="1" x14ac:dyDescent="0.15">
      <c r="A2714" s="2" t="s">
        <v>5679</v>
      </c>
      <c r="B2714" s="2" t="s">
        <v>5680</v>
      </c>
      <c r="C2714" s="2">
        <v>0.41</v>
      </c>
      <c r="D2714" s="2">
        <v>1.3987000000000001</v>
      </c>
      <c r="E2714" s="2" t="s">
        <v>201</v>
      </c>
      <c r="F2714" s="2" t="e">
        <f>VLOOKUP(B2714,MSCI中国成分股!A:B,1,)</f>
        <v>#N/A</v>
      </c>
    </row>
    <row r="2715" spans="1:6" ht="20.25" hidden="1" customHeight="1" x14ac:dyDescent="0.15">
      <c r="A2715" s="2" t="s">
        <v>5681</v>
      </c>
      <c r="B2715" s="2" t="s">
        <v>5682</v>
      </c>
      <c r="C2715" s="2">
        <v>0.7</v>
      </c>
      <c r="D2715" s="2">
        <v>0.3624</v>
      </c>
      <c r="E2715" s="2" t="s">
        <v>310</v>
      </c>
      <c r="F2715" s="2" t="e">
        <f>VLOOKUP(B2715,MSCI中国成分股!A:B,1,)</f>
        <v>#N/A</v>
      </c>
    </row>
    <row r="2716" spans="1:6" ht="20.25" hidden="1" customHeight="1" x14ac:dyDescent="0.15">
      <c r="A2716" s="2" t="s">
        <v>5683</v>
      </c>
      <c r="B2716" s="2" t="s">
        <v>5684</v>
      </c>
      <c r="C2716" s="2">
        <v>2.4900000000000002</v>
      </c>
      <c r="D2716" s="2">
        <v>3.2538</v>
      </c>
      <c r="E2716" s="2" t="s">
        <v>406</v>
      </c>
      <c r="F2716" s="2" t="e">
        <f>VLOOKUP(B2716,MSCI中国成分股!A:B,1,)</f>
        <v>#N/A</v>
      </c>
    </row>
    <row r="2717" spans="1:6" ht="20.25" hidden="1" customHeight="1" x14ac:dyDescent="0.15">
      <c r="A2717" s="2" t="s">
        <v>5685</v>
      </c>
      <c r="B2717" s="2" t="s">
        <v>5686</v>
      </c>
      <c r="C2717" s="2">
        <v>1.24</v>
      </c>
      <c r="D2717" s="2">
        <v>1.0681</v>
      </c>
      <c r="E2717" s="2" t="s">
        <v>1139</v>
      </c>
      <c r="F2717" s="2" t="e">
        <f>VLOOKUP(B2717,MSCI中国成分股!A:B,1,)</f>
        <v>#N/A</v>
      </c>
    </row>
    <row r="2718" spans="1:6" ht="20.25" hidden="1" customHeight="1" x14ac:dyDescent="0.15">
      <c r="A2718" s="2" t="s">
        <v>5687</v>
      </c>
      <c r="B2718" s="2" t="s">
        <v>5688</v>
      </c>
      <c r="C2718" s="2">
        <v>1.45</v>
      </c>
      <c r="D2718" s="2">
        <v>2.3079999999999998</v>
      </c>
      <c r="E2718" s="2" t="s">
        <v>1263</v>
      </c>
      <c r="F2718" s="2" t="e">
        <f>VLOOKUP(B2718,MSCI中国成分股!A:B,1,)</f>
        <v>#N/A</v>
      </c>
    </row>
    <row r="2719" spans="1:6" ht="20.25" hidden="1" customHeight="1" x14ac:dyDescent="0.15">
      <c r="A2719" s="2" t="s">
        <v>5689</v>
      </c>
      <c r="B2719" s="2" t="s">
        <v>5690</v>
      </c>
      <c r="C2719" s="2">
        <v>1.66</v>
      </c>
      <c r="D2719" s="2">
        <v>2.6200999999999999</v>
      </c>
      <c r="E2719" s="2" t="s">
        <v>3102</v>
      </c>
      <c r="F2719" s="2" t="e">
        <f>VLOOKUP(B2719,MSCI中国成分股!A:B,1,)</f>
        <v>#N/A</v>
      </c>
    </row>
    <row r="2720" spans="1:6" ht="20.25" hidden="1" customHeight="1" x14ac:dyDescent="0.15">
      <c r="A2720" s="2" t="s">
        <v>5691</v>
      </c>
      <c r="B2720" s="2" t="s">
        <v>5692</v>
      </c>
      <c r="C2720" s="2">
        <v>0.115</v>
      </c>
      <c r="D2720" s="2">
        <v>5.2782999999999998</v>
      </c>
      <c r="E2720" s="2" t="s">
        <v>265</v>
      </c>
      <c r="F2720" s="2" t="e">
        <f>VLOOKUP(B2720,MSCI中国成分股!A:B,1,)</f>
        <v>#N/A</v>
      </c>
    </row>
    <row r="2721" spans="1:6" ht="20.25" hidden="1" customHeight="1" x14ac:dyDescent="0.15">
      <c r="A2721" s="2" t="s">
        <v>5693</v>
      </c>
      <c r="B2721" s="2" t="s">
        <v>5694</v>
      </c>
      <c r="C2721" s="2">
        <v>2.92</v>
      </c>
      <c r="D2721" s="2">
        <v>3.1440000000000001</v>
      </c>
      <c r="E2721" s="2" t="s">
        <v>371</v>
      </c>
      <c r="F2721" s="2" t="e">
        <f>VLOOKUP(B2721,MSCI中国成分股!A:B,1,)</f>
        <v>#N/A</v>
      </c>
    </row>
    <row r="2722" spans="1:6" ht="20.25" hidden="1" customHeight="1" x14ac:dyDescent="0.15">
      <c r="A2722" s="2" t="s">
        <v>5695</v>
      </c>
      <c r="B2722" s="2" t="s">
        <v>5696</v>
      </c>
      <c r="C2722" s="2">
        <v>0.2</v>
      </c>
      <c r="D2722" s="2">
        <v>3.04E-2</v>
      </c>
      <c r="E2722" s="2" t="s">
        <v>220</v>
      </c>
      <c r="F2722" s="2" t="e">
        <f>VLOOKUP(B2722,MSCI中国成分股!A:B,1,)</f>
        <v>#N/A</v>
      </c>
    </row>
    <row r="2723" spans="1:6" ht="20.25" hidden="1" customHeight="1" x14ac:dyDescent="0.15">
      <c r="A2723" s="2" t="s">
        <v>5697</v>
      </c>
      <c r="B2723" s="2" t="s">
        <v>5698</v>
      </c>
      <c r="C2723" s="2">
        <v>0.15</v>
      </c>
      <c r="D2723" s="2">
        <v>3.7995999999999999</v>
      </c>
      <c r="E2723" s="2" t="s">
        <v>265</v>
      </c>
      <c r="F2723" s="2" t="e">
        <f>VLOOKUP(B2723,MSCI中国成分股!A:B,1,)</f>
        <v>#N/A</v>
      </c>
    </row>
    <row r="2724" spans="1:6" ht="20.25" hidden="1" customHeight="1" x14ac:dyDescent="0.15">
      <c r="A2724" s="2" t="s">
        <v>5699</v>
      </c>
      <c r="B2724" s="2" t="s">
        <v>5700</v>
      </c>
      <c r="C2724" s="2">
        <v>1.47</v>
      </c>
      <c r="D2724" s="2">
        <v>0.89080000000000004</v>
      </c>
      <c r="E2724" s="2" t="s">
        <v>149</v>
      </c>
      <c r="F2724" s="2" t="e">
        <f>VLOOKUP(B2724,MSCI中国成分股!A:B,1,)</f>
        <v>#N/A</v>
      </c>
    </row>
    <row r="2725" spans="1:6" ht="20.25" hidden="1" customHeight="1" x14ac:dyDescent="0.15">
      <c r="A2725" s="2" t="s">
        <v>5701</v>
      </c>
      <c r="B2725" s="2" t="s">
        <v>5702</v>
      </c>
      <c r="C2725" s="2">
        <v>0.09</v>
      </c>
      <c r="D2725" s="2">
        <v>24.064800000000002</v>
      </c>
      <c r="E2725" s="2" t="s">
        <v>5703</v>
      </c>
      <c r="F2725" s="2" t="e">
        <f>VLOOKUP(B2725,MSCI中国成分股!A:B,1,)</f>
        <v>#N/A</v>
      </c>
    </row>
    <row r="2726" spans="1:6" ht="20.25" hidden="1" customHeight="1" x14ac:dyDescent="0.15">
      <c r="A2726" s="2" t="s">
        <v>5704</v>
      </c>
      <c r="B2726" s="2" t="s">
        <v>5705</v>
      </c>
      <c r="C2726" s="2">
        <v>2.04</v>
      </c>
      <c r="D2726" s="2">
        <v>2.0282</v>
      </c>
      <c r="E2726" s="2" t="s">
        <v>157</v>
      </c>
      <c r="F2726" s="2" t="e">
        <f>VLOOKUP(B2726,MSCI中国成分股!A:B,1,)</f>
        <v>#N/A</v>
      </c>
    </row>
    <row r="2727" spans="1:6" ht="20.25" hidden="1" customHeight="1" x14ac:dyDescent="0.15">
      <c r="A2727" s="2" t="s">
        <v>5706</v>
      </c>
      <c r="B2727" s="2" t="s">
        <v>5707</v>
      </c>
      <c r="C2727" s="2">
        <v>1.45</v>
      </c>
      <c r="D2727" s="2">
        <v>1.135</v>
      </c>
      <c r="E2727" s="2" t="s">
        <v>690</v>
      </c>
      <c r="F2727" s="2" t="e">
        <f>VLOOKUP(B2727,MSCI中国成分股!A:B,1,)</f>
        <v>#N/A</v>
      </c>
    </row>
    <row r="2728" spans="1:6" ht="20.25" hidden="1" customHeight="1" x14ac:dyDescent="0.15">
      <c r="A2728" s="2" t="s">
        <v>5708</v>
      </c>
      <c r="B2728" s="2" t="s">
        <v>5709</v>
      </c>
      <c r="C2728" s="2">
        <v>0.16</v>
      </c>
      <c r="D2728" s="2">
        <v>4.6962999999999999</v>
      </c>
      <c r="E2728" s="2" t="s">
        <v>1870</v>
      </c>
      <c r="F2728" s="2" t="e">
        <f>VLOOKUP(B2728,MSCI中国成分股!A:B,1,)</f>
        <v>#N/A</v>
      </c>
    </row>
    <row r="2729" spans="1:6" ht="20.25" hidden="1" customHeight="1" x14ac:dyDescent="0.15">
      <c r="A2729" s="2" t="s">
        <v>5710</v>
      </c>
      <c r="B2729" s="2" t="s">
        <v>5711</v>
      </c>
      <c r="C2729" s="2">
        <v>2.2200000000000002</v>
      </c>
      <c r="D2729" s="2">
        <v>0.1633</v>
      </c>
      <c r="E2729" s="2" t="s">
        <v>143</v>
      </c>
      <c r="F2729" s="2" t="e">
        <f>VLOOKUP(B2729,MSCI中国成分股!A:B,1,)</f>
        <v>#N/A</v>
      </c>
    </row>
    <row r="2730" spans="1:6" ht="20.25" hidden="1" customHeight="1" x14ac:dyDescent="0.15">
      <c r="A2730" s="2" t="s">
        <v>5712</v>
      </c>
      <c r="B2730" s="2" t="s">
        <v>5713</v>
      </c>
      <c r="C2730" s="2">
        <v>1.23</v>
      </c>
      <c r="D2730" s="2">
        <v>3.0247999999999999</v>
      </c>
      <c r="E2730" s="2" t="s">
        <v>561</v>
      </c>
      <c r="F2730" s="2" t="e">
        <f>VLOOKUP(B2730,MSCI中国成分股!A:B,1,)</f>
        <v>#N/A</v>
      </c>
    </row>
    <row r="2731" spans="1:6" ht="20.25" hidden="1" customHeight="1" x14ac:dyDescent="0.15">
      <c r="A2731" s="2" t="s">
        <v>5714</v>
      </c>
      <c r="B2731" s="2" t="s">
        <v>5715</v>
      </c>
      <c r="C2731" s="2">
        <v>4.1349999999999998</v>
      </c>
      <c r="D2731" s="2">
        <v>4.2366000000000001</v>
      </c>
      <c r="E2731" s="2" t="s">
        <v>406</v>
      </c>
      <c r="F2731" s="2" t="e">
        <f>VLOOKUP(B2731,MSCI中国成分股!A:B,1,)</f>
        <v>#N/A</v>
      </c>
    </row>
    <row r="2732" spans="1:6" ht="20.25" hidden="1" customHeight="1" x14ac:dyDescent="0.15">
      <c r="A2732" s="2" t="s">
        <v>5716</v>
      </c>
      <c r="B2732" s="2" t="s">
        <v>5717</v>
      </c>
      <c r="C2732" s="2">
        <v>-0.87</v>
      </c>
      <c r="D2732" s="2">
        <v>20.3034</v>
      </c>
      <c r="E2732" s="2" t="s">
        <v>551</v>
      </c>
      <c r="F2732" s="2" t="e">
        <f>VLOOKUP(B2732,MSCI中国成分股!A:B,1,)</f>
        <v>#N/A</v>
      </c>
    </row>
    <row r="2733" spans="1:6" ht="20.25" hidden="1" customHeight="1" x14ac:dyDescent="0.15">
      <c r="A2733" s="2" t="s">
        <v>5718</v>
      </c>
      <c r="B2733" s="2" t="s">
        <v>5719</v>
      </c>
      <c r="C2733" s="2">
        <v>0.28000000000000003</v>
      </c>
      <c r="D2733" s="2">
        <v>0.40849999999999997</v>
      </c>
      <c r="E2733" s="2" t="s">
        <v>3130</v>
      </c>
      <c r="F2733" s="2" t="e">
        <f>VLOOKUP(B2733,MSCI中国成分股!A:B,1,)</f>
        <v>#N/A</v>
      </c>
    </row>
    <row r="2734" spans="1:6" ht="20.25" hidden="1" customHeight="1" x14ac:dyDescent="0.15">
      <c r="A2734" s="2" t="s">
        <v>5720</v>
      </c>
      <c r="B2734" s="2" t="s">
        <v>5721</v>
      </c>
      <c r="C2734" s="2">
        <v>0.83</v>
      </c>
      <c r="D2734" s="2">
        <v>9.3531999999999993</v>
      </c>
      <c r="E2734" s="2" t="s">
        <v>421</v>
      </c>
      <c r="F2734" s="2" t="e">
        <f>VLOOKUP(B2734,MSCI中国成分股!A:B,1,)</f>
        <v>#N/A</v>
      </c>
    </row>
    <row r="2735" spans="1:6" ht="20.25" hidden="1" customHeight="1" x14ac:dyDescent="0.15">
      <c r="A2735" s="2" t="s">
        <v>5722</v>
      </c>
      <c r="B2735" s="2" t="s">
        <v>5723</v>
      </c>
      <c r="C2735" s="2">
        <v>2.62</v>
      </c>
      <c r="D2735" s="2">
        <v>4.5842000000000001</v>
      </c>
      <c r="E2735" s="2" t="s">
        <v>1061</v>
      </c>
      <c r="F2735" s="2" t="e">
        <f>VLOOKUP(B2735,MSCI中国成分股!A:B,1,)</f>
        <v>#N/A</v>
      </c>
    </row>
    <row r="2736" spans="1:6" ht="20.25" hidden="1" customHeight="1" x14ac:dyDescent="0.15">
      <c r="A2736" s="2" t="s">
        <v>5724</v>
      </c>
      <c r="B2736" s="2" t="s">
        <v>5725</v>
      </c>
      <c r="C2736" s="2">
        <v>1.0900000000000001</v>
      </c>
      <c r="D2736" s="2">
        <v>8.6644000000000005</v>
      </c>
      <c r="E2736" s="2" t="s">
        <v>371</v>
      </c>
      <c r="F2736" s="2" t="e">
        <f>VLOOKUP(B2736,MSCI中国成分股!A:B,1,)</f>
        <v>#N/A</v>
      </c>
    </row>
    <row r="2737" spans="1:6" ht="20.25" hidden="1" customHeight="1" x14ac:dyDescent="0.15">
      <c r="A2737" s="2" t="s">
        <v>5726</v>
      </c>
      <c r="B2737" s="2" t="s">
        <v>5727</v>
      </c>
      <c r="C2737" s="2">
        <v>-0.71</v>
      </c>
      <c r="D2737" s="2">
        <v>4.4234999999999998</v>
      </c>
      <c r="E2737" s="2" t="s">
        <v>498</v>
      </c>
      <c r="F2737" s="2" t="e">
        <f>VLOOKUP(B2737,MSCI中国成分股!A:B,1,)</f>
        <v>#N/A</v>
      </c>
    </row>
    <row r="2738" spans="1:6" ht="20.25" hidden="1" customHeight="1" x14ac:dyDescent="0.15">
      <c r="A2738" s="2" t="s">
        <v>5728</v>
      </c>
      <c r="B2738" s="2" t="s">
        <v>5729</v>
      </c>
      <c r="C2738" s="2">
        <v>0.47</v>
      </c>
      <c r="D2738" s="2">
        <v>40.2941</v>
      </c>
      <c r="E2738" s="2" t="s">
        <v>1691</v>
      </c>
      <c r="F2738" s="2" t="e">
        <f>VLOOKUP(B2738,MSCI中国成分股!A:B,1,)</f>
        <v>#N/A</v>
      </c>
    </row>
    <row r="2739" spans="1:6" ht="20.25" hidden="1" customHeight="1" x14ac:dyDescent="0.15">
      <c r="A2739" s="2" t="s">
        <v>5730</v>
      </c>
      <c r="B2739" s="2" t="s">
        <v>5731</v>
      </c>
      <c r="C2739" s="2">
        <v>0.215</v>
      </c>
      <c r="D2739" s="2">
        <v>2.8498999999999999</v>
      </c>
      <c r="E2739" s="2" t="s">
        <v>677</v>
      </c>
      <c r="F2739" s="2" t="e">
        <f>VLOOKUP(B2739,MSCI中国成分股!A:B,1,)</f>
        <v>#N/A</v>
      </c>
    </row>
    <row r="2740" spans="1:6" ht="20.25" hidden="1" customHeight="1" x14ac:dyDescent="0.15">
      <c r="A2740" s="2" t="s">
        <v>5732</v>
      </c>
      <c r="B2740" s="2" t="s">
        <v>5733</v>
      </c>
      <c r="C2740" s="2">
        <v>3.41</v>
      </c>
      <c r="D2740" s="2">
        <v>26.024699999999999</v>
      </c>
      <c r="E2740" s="2" t="s">
        <v>827</v>
      </c>
      <c r="F2740" s="2" t="e">
        <f>VLOOKUP(B2740,MSCI中国成分股!A:B,1,)</f>
        <v>#N/A</v>
      </c>
    </row>
    <row r="2741" spans="1:6" ht="20.25" hidden="1" customHeight="1" x14ac:dyDescent="0.15">
      <c r="A2741" s="2" t="s">
        <v>5734</v>
      </c>
      <c r="B2741" s="2" t="s">
        <v>5735</v>
      </c>
      <c r="C2741" s="2">
        <v>0.57999999999999996</v>
      </c>
      <c r="D2741" s="2">
        <v>2.6671999999999998</v>
      </c>
      <c r="E2741" s="2" t="s">
        <v>68</v>
      </c>
      <c r="F2741" s="2" t="e">
        <f>VLOOKUP(B2741,MSCI中国成分股!A:B,1,)</f>
        <v>#N/A</v>
      </c>
    </row>
    <row r="2742" spans="1:6" ht="20.25" hidden="1" customHeight="1" x14ac:dyDescent="0.15">
      <c r="A2742" s="2" t="s">
        <v>5736</v>
      </c>
      <c r="B2742" s="2" t="s">
        <v>5737</v>
      </c>
      <c r="C2742" s="2">
        <v>2.71</v>
      </c>
      <c r="D2742" s="2">
        <v>1.4751000000000001</v>
      </c>
      <c r="E2742" s="2" t="s">
        <v>157</v>
      </c>
      <c r="F2742" s="2" t="e">
        <f>VLOOKUP(B2742,MSCI中国成分股!A:B,1,)</f>
        <v>#N/A</v>
      </c>
    </row>
    <row r="2743" spans="1:6" ht="20.25" hidden="1" customHeight="1" x14ac:dyDescent="0.15">
      <c r="A2743" s="2" t="s">
        <v>5738</v>
      </c>
      <c r="B2743" s="2" t="s">
        <v>5739</v>
      </c>
      <c r="C2743" s="2">
        <v>-1.4950000000000001</v>
      </c>
      <c r="D2743" s="2">
        <v>8.8260000000000005</v>
      </c>
      <c r="E2743" s="2" t="s">
        <v>2374</v>
      </c>
      <c r="F2743" s="2" t="e">
        <f>VLOOKUP(B2743,MSCI中国成分股!A:B,1,)</f>
        <v>#N/A</v>
      </c>
    </row>
    <row r="2744" spans="1:6" ht="20.25" hidden="1" customHeight="1" x14ac:dyDescent="0.15">
      <c r="A2744" s="2" t="s">
        <v>5740</v>
      </c>
      <c r="B2744" s="2" t="s">
        <v>5741</v>
      </c>
      <c r="C2744" s="2">
        <v>0.25</v>
      </c>
      <c r="D2744" s="2">
        <v>10.0892</v>
      </c>
      <c r="E2744" s="2" t="s">
        <v>371</v>
      </c>
      <c r="F2744" s="2" t="e">
        <f>VLOOKUP(B2744,MSCI中国成分股!A:B,1,)</f>
        <v>#N/A</v>
      </c>
    </row>
    <row r="2745" spans="1:6" ht="20.25" hidden="1" customHeight="1" x14ac:dyDescent="0.15">
      <c r="A2745" s="2" t="s">
        <v>5742</v>
      </c>
      <c r="B2745" s="2" t="s">
        <v>5743</v>
      </c>
      <c r="C2745" s="2">
        <v>1.01</v>
      </c>
      <c r="D2745" s="2">
        <v>0.3332</v>
      </c>
      <c r="E2745" s="2" t="s">
        <v>3971</v>
      </c>
      <c r="F2745" s="2" t="e">
        <f>VLOOKUP(B2745,MSCI中国成分股!A:B,1,)</f>
        <v>#N/A</v>
      </c>
    </row>
    <row r="2746" spans="1:6" ht="20.25" hidden="1" customHeight="1" x14ac:dyDescent="0.15">
      <c r="A2746" s="2" t="s">
        <v>5744</v>
      </c>
      <c r="B2746" s="2" t="s">
        <v>5745</v>
      </c>
      <c r="C2746" s="2">
        <v>0.08</v>
      </c>
      <c r="D2746" s="2">
        <v>15.4451</v>
      </c>
      <c r="E2746" s="2" t="s">
        <v>391</v>
      </c>
      <c r="F2746" s="2" t="e">
        <f>VLOOKUP(B2746,MSCI中国成分股!A:B,1,)</f>
        <v>#N/A</v>
      </c>
    </row>
    <row r="2747" spans="1:6" ht="20.25" hidden="1" customHeight="1" x14ac:dyDescent="0.15">
      <c r="A2747" s="2" t="s">
        <v>5746</v>
      </c>
      <c r="B2747" s="2" t="s">
        <v>5747</v>
      </c>
      <c r="C2747" s="2">
        <v>2.6</v>
      </c>
      <c r="D2747" s="2">
        <v>3.1829000000000001</v>
      </c>
      <c r="E2747" s="2" t="s">
        <v>41</v>
      </c>
      <c r="F2747" s="2" t="e">
        <f>VLOOKUP(B2747,MSCI中国成分股!A:B,1,)</f>
        <v>#N/A</v>
      </c>
    </row>
    <row r="2748" spans="1:6" ht="20.25" hidden="1" customHeight="1" x14ac:dyDescent="0.15">
      <c r="A2748" s="2" t="s">
        <v>5748</v>
      </c>
      <c r="B2748" s="2" t="s">
        <v>5749</v>
      </c>
      <c r="C2748" s="2">
        <v>0.5</v>
      </c>
      <c r="D2748" s="2">
        <v>0.76039999999999996</v>
      </c>
      <c r="E2748" s="2" t="s">
        <v>81</v>
      </c>
      <c r="F2748" s="2" t="e">
        <f>VLOOKUP(B2748,MSCI中国成分股!A:B,1,)</f>
        <v>#N/A</v>
      </c>
    </row>
    <row r="2749" spans="1:6" ht="20.25" hidden="1" customHeight="1" x14ac:dyDescent="0.15">
      <c r="A2749" s="2" t="s">
        <v>5750</v>
      </c>
      <c r="B2749" s="2" t="s">
        <v>5751</v>
      </c>
      <c r="C2749" s="2">
        <v>-1.81</v>
      </c>
      <c r="D2749" s="2">
        <v>20.3032</v>
      </c>
      <c r="E2749" s="2" t="s">
        <v>483</v>
      </c>
      <c r="F2749" s="2" t="e">
        <f>VLOOKUP(B2749,MSCI中国成分股!A:B,1,)</f>
        <v>#N/A</v>
      </c>
    </row>
    <row r="2750" spans="1:6" ht="20.25" hidden="1" customHeight="1" x14ac:dyDescent="0.15">
      <c r="A2750" s="2" t="s">
        <v>5752</v>
      </c>
      <c r="B2750" s="2" t="s">
        <v>5753</v>
      </c>
      <c r="C2750" s="2">
        <v>-0.33</v>
      </c>
      <c r="D2750" s="2">
        <v>9.5859000000000005</v>
      </c>
      <c r="E2750" s="2" t="s">
        <v>371</v>
      </c>
      <c r="F2750" s="2" t="e">
        <f>VLOOKUP(B2750,MSCI中国成分股!A:B,1,)</f>
        <v>#N/A</v>
      </c>
    </row>
    <row r="2751" spans="1:6" ht="20.25" hidden="1" customHeight="1" x14ac:dyDescent="0.15">
      <c r="A2751" s="2" t="s">
        <v>5754</v>
      </c>
      <c r="B2751" s="2" t="s">
        <v>5755</v>
      </c>
      <c r="C2751" s="2">
        <v>1.06</v>
      </c>
      <c r="D2751" s="2">
        <v>0.83320000000000005</v>
      </c>
      <c r="E2751" s="2" t="s">
        <v>2038</v>
      </c>
      <c r="F2751" s="2" t="e">
        <f>VLOOKUP(B2751,MSCI中国成分股!A:B,1,)</f>
        <v>#N/A</v>
      </c>
    </row>
    <row r="2752" spans="1:6" ht="20.25" hidden="1" customHeight="1" x14ac:dyDescent="0.15">
      <c r="A2752" s="2" t="s">
        <v>5756</v>
      </c>
      <c r="B2752" s="2" t="s">
        <v>5757</v>
      </c>
      <c r="C2752" s="2">
        <v>0.84</v>
      </c>
      <c r="D2752" s="2">
        <v>30.744499999999999</v>
      </c>
      <c r="E2752" s="2" t="s">
        <v>630</v>
      </c>
      <c r="F2752" s="2" t="e">
        <f>VLOOKUP(B2752,MSCI中国成分股!A:B,1,)</f>
        <v>#N/A</v>
      </c>
    </row>
    <row r="2753" spans="1:6" ht="20.25" hidden="1" customHeight="1" x14ac:dyDescent="0.15">
      <c r="A2753" s="2" t="s">
        <v>5758</v>
      </c>
      <c r="B2753" s="2" t="s">
        <v>5759</v>
      </c>
      <c r="C2753" s="2">
        <v>0.88</v>
      </c>
      <c r="D2753" s="2">
        <v>3.0787</v>
      </c>
      <c r="E2753" s="2" t="s">
        <v>750</v>
      </c>
      <c r="F2753" s="2" t="e">
        <f>VLOOKUP(B2753,MSCI中国成分股!A:B,1,)</f>
        <v>#N/A</v>
      </c>
    </row>
    <row r="2754" spans="1:6" ht="20.25" hidden="1" customHeight="1" x14ac:dyDescent="0.15">
      <c r="A2754" s="2" t="s">
        <v>5760</v>
      </c>
      <c r="B2754" s="2" t="s">
        <v>5761</v>
      </c>
      <c r="C2754" s="2">
        <v>3.8</v>
      </c>
      <c r="D2754" s="2">
        <v>7.1753</v>
      </c>
      <c r="E2754" s="2" t="s">
        <v>1275</v>
      </c>
      <c r="F2754" s="2" t="e">
        <f>VLOOKUP(B2754,MSCI中国成分股!A:B,1,)</f>
        <v>#N/A</v>
      </c>
    </row>
    <row r="2755" spans="1:6" ht="20.25" hidden="1" customHeight="1" x14ac:dyDescent="0.15">
      <c r="A2755" s="2" t="s">
        <v>5762</v>
      </c>
      <c r="B2755" s="2" t="s">
        <v>5763</v>
      </c>
      <c r="C2755" s="2">
        <v>7.0000000000000007E-2</v>
      </c>
      <c r="D2755" s="2">
        <v>3.1320999999999999</v>
      </c>
      <c r="E2755" s="2" t="s">
        <v>2930</v>
      </c>
      <c r="F2755" s="2" t="e">
        <f>VLOOKUP(B2755,MSCI中国成分股!A:B,1,)</f>
        <v>#N/A</v>
      </c>
    </row>
    <row r="2756" spans="1:6" ht="20.25" hidden="1" customHeight="1" x14ac:dyDescent="0.15">
      <c r="A2756" s="2" t="s">
        <v>5764</v>
      </c>
      <c r="B2756" s="2" t="s">
        <v>5765</v>
      </c>
      <c r="C2756" s="2">
        <v>-0.68</v>
      </c>
      <c r="D2756" s="2">
        <v>62.054299999999998</v>
      </c>
      <c r="E2756" s="2" t="s">
        <v>228</v>
      </c>
      <c r="F2756" s="2" t="e">
        <f>VLOOKUP(B2756,MSCI中国成分股!A:B,1,)</f>
        <v>#N/A</v>
      </c>
    </row>
    <row r="2757" spans="1:6" ht="20.25" hidden="1" customHeight="1" x14ac:dyDescent="0.15">
      <c r="A2757" s="2" t="s">
        <v>5766</v>
      </c>
      <c r="B2757" s="2" t="s">
        <v>5767</v>
      </c>
      <c r="C2757" s="2">
        <v>-0.52</v>
      </c>
      <c r="D2757" s="2">
        <v>5.4690000000000003</v>
      </c>
      <c r="E2757" s="2" t="s">
        <v>667</v>
      </c>
      <c r="F2757" s="2" t="e">
        <f>VLOOKUP(B2757,MSCI中国成分股!A:B,1,)</f>
        <v>#N/A</v>
      </c>
    </row>
    <row r="2758" spans="1:6" ht="20.25" hidden="1" customHeight="1" x14ac:dyDescent="0.15">
      <c r="A2758" s="2" t="s">
        <v>5768</v>
      </c>
      <c r="B2758" s="2" t="s">
        <v>5769</v>
      </c>
      <c r="C2758" s="2">
        <v>1.94</v>
      </c>
      <c r="D2758" s="2">
        <v>2.8397000000000001</v>
      </c>
      <c r="E2758" s="2" t="s">
        <v>35</v>
      </c>
      <c r="F2758" s="2" t="e">
        <f>VLOOKUP(B2758,MSCI中国成分股!A:B,1,)</f>
        <v>#N/A</v>
      </c>
    </row>
    <row r="2759" spans="1:6" ht="20.25" hidden="1" customHeight="1" x14ac:dyDescent="0.15">
      <c r="A2759" s="2" t="s">
        <v>5770</v>
      </c>
      <c r="B2759" s="2" t="s">
        <v>5771</v>
      </c>
      <c r="C2759" s="2">
        <v>1.88</v>
      </c>
      <c r="D2759" s="2">
        <v>9.2667999999999999</v>
      </c>
      <c r="E2759" s="2" t="s">
        <v>1757</v>
      </c>
      <c r="F2759" s="2" t="e">
        <f>VLOOKUP(B2759,MSCI中国成分股!A:B,1,)</f>
        <v>#N/A</v>
      </c>
    </row>
    <row r="2760" spans="1:6" ht="20.25" hidden="1" customHeight="1" x14ac:dyDescent="0.15">
      <c r="A2760" s="2" t="s">
        <v>5772</v>
      </c>
      <c r="B2760" s="2" t="s">
        <v>5773</v>
      </c>
      <c r="C2760" s="2">
        <v>2.21</v>
      </c>
      <c r="D2760" s="2">
        <v>2.5518999999999998</v>
      </c>
      <c r="E2760" s="2" t="s">
        <v>406</v>
      </c>
      <c r="F2760" s="2" t="e">
        <f>VLOOKUP(B2760,MSCI中国成分股!A:B,1,)</f>
        <v>#N/A</v>
      </c>
    </row>
    <row r="2761" spans="1:6" ht="20.25" hidden="1" customHeight="1" x14ac:dyDescent="0.15">
      <c r="A2761" s="2" t="s">
        <v>5774</v>
      </c>
      <c r="B2761" s="2" t="s">
        <v>5775</v>
      </c>
      <c r="C2761" s="2">
        <v>2.0099999999999998</v>
      </c>
      <c r="D2761" s="2">
        <v>2.8189000000000002</v>
      </c>
      <c r="E2761" s="2" t="s">
        <v>1145</v>
      </c>
      <c r="F2761" s="2" t="e">
        <f>VLOOKUP(B2761,MSCI中国成分股!A:B,1,)</f>
        <v>#N/A</v>
      </c>
    </row>
    <row r="2762" spans="1:6" ht="20.25" hidden="1" customHeight="1" x14ac:dyDescent="0.15">
      <c r="A2762" s="2" t="s">
        <v>5776</v>
      </c>
      <c r="B2762" s="2" t="s">
        <v>5777</v>
      </c>
      <c r="C2762" s="2">
        <v>1.51</v>
      </c>
      <c r="D2762" s="2">
        <v>0.33989999999999998</v>
      </c>
      <c r="E2762" s="2" t="s">
        <v>713</v>
      </c>
      <c r="F2762" s="2" t="e">
        <f>VLOOKUP(B2762,MSCI中国成分股!A:B,1,)</f>
        <v>#N/A</v>
      </c>
    </row>
    <row r="2763" spans="1:6" ht="20.25" hidden="1" customHeight="1" x14ac:dyDescent="0.15">
      <c r="A2763" s="2" t="s">
        <v>5778</v>
      </c>
      <c r="B2763" s="2" t="s">
        <v>5779</v>
      </c>
      <c r="C2763" s="2">
        <v>1.59</v>
      </c>
      <c r="D2763" s="2">
        <v>1.2829999999999999</v>
      </c>
      <c r="E2763" s="2" t="s">
        <v>406</v>
      </c>
      <c r="F2763" s="2" t="e">
        <f>VLOOKUP(B2763,MSCI中国成分股!A:B,1,)</f>
        <v>#N/A</v>
      </c>
    </row>
    <row r="2764" spans="1:6" ht="20.25" hidden="1" customHeight="1" x14ac:dyDescent="0.15">
      <c r="A2764" s="2" t="s">
        <v>5780</v>
      </c>
      <c r="B2764" s="2" t="s">
        <v>5781</v>
      </c>
      <c r="C2764" s="2">
        <v>1.03</v>
      </c>
      <c r="D2764" s="2">
        <v>1.7724</v>
      </c>
      <c r="E2764" s="2" t="s">
        <v>1041</v>
      </c>
      <c r="F2764" s="2" t="e">
        <f>VLOOKUP(B2764,MSCI中国成分股!A:B,1,)</f>
        <v>#N/A</v>
      </c>
    </row>
    <row r="2765" spans="1:6" ht="20.25" hidden="1" customHeight="1" x14ac:dyDescent="0.15">
      <c r="A2765" s="2" t="s">
        <v>5782</v>
      </c>
      <c r="B2765" s="2" t="s">
        <v>5783</v>
      </c>
      <c r="C2765" s="2">
        <v>2.2999999999999998</v>
      </c>
      <c r="D2765" s="2">
        <v>9.4100000000000003E-2</v>
      </c>
      <c r="E2765" s="2" t="s">
        <v>89</v>
      </c>
      <c r="F2765" s="2" t="e">
        <f>VLOOKUP(B2765,MSCI中国成分股!A:B,1,)</f>
        <v>#N/A</v>
      </c>
    </row>
    <row r="2766" spans="1:6" ht="20.25" hidden="1" customHeight="1" x14ac:dyDescent="0.15">
      <c r="A2766" s="2" t="s">
        <v>5784</v>
      </c>
      <c r="B2766" s="2" t="s">
        <v>5785</v>
      </c>
      <c r="C2766" s="2">
        <v>-0.56999999999999995</v>
      </c>
      <c r="D2766" s="2">
        <v>19.013000000000002</v>
      </c>
      <c r="E2766" s="2" t="s">
        <v>633</v>
      </c>
      <c r="F2766" s="2" t="e">
        <f>VLOOKUP(B2766,MSCI中国成分股!A:B,1,)</f>
        <v>#N/A</v>
      </c>
    </row>
    <row r="2767" spans="1:6" ht="20.25" hidden="1" customHeight="1" x14ac:dyDescent="0.15">
      <c r="A2767" s="2" t="s">
        <v>5786</v>
      </c>
      <c r="B2767" s="2" t="s">
        <v>5787</v>
      </c>
      <c r="C2767" s="2">
        <v>2.83</v>
      </c>
      <c r="D2767" s="2">
        <v>14.369899999999999</v>
      </c>
      <c r="E2767" s="2" t="s">
        <v>1034</v>
      </c>
      <c r="F2767" s="2" t="e">
        <f>VLOOKUP(B2767,MSCI中国成分股!A:B,1,)</f>
        <v>#N/A</v>
      </c>
    </row>
    <row r="2768" spans="1:6" ht="20.25" hidden="1" customHeight="1" x14ac:dyDescent="0.15">
      <c r="A2768" s="2" t="s">
        <v>5788</v>
      </c>
      <c r="B2768" s="2" t="s">
        <v>5789</v>
      </c>
      <c r="C2768" s="2">
        <v>0.34</v>
      </c>
      <c r="D2768" s="2">
        <v>1.6898</v>
      </c>
      <c r="E2768" s="2" t="s">
        <v>171</v>
      </c>
      <c r="F2768" s="2" t="e">
        <f>VLOOKUP(B2768,MSCI中国成分股!A:B,1,)</f>
        <v>#N/A</v>
      </c>
    </row>
    <row r="2769" spans="1:6" ht="20.25" hidden="1" customHeight="1" x14ac:dyDescent="0.15">
      <c r="A2769" s="2" t="s">
        <v>5790</v>
      </c>
      <c r="B2769" s="2" t="s">
        <v>5791</v>
      </c>
      <c r="C2769" s="2">
        <v>-5.49</v>
      </c>
      <c r="D2769" s="2">
        <v>9.9266000000000005</v>
      </c>
      <c r="E2769" s="2" t="s">
        <v>677</v>
      </c>
      <c r="F2769" s="2" t="e">
        <f>VLOOKUP(B2769,MSCI中国成分股!A:B,1,)</f>
        <v>#N/A</v>
      </c>
    </row>
    <row r="2770" spans="1:6" ht="20.25" hidden="1" customHeight="1" x14ac:dyDescent="0.15">
      <c r="A2770" s="2" t="s">
        <v>5792</v>
      </c>
      <c r="B2770" s="2" t="s">
        <v>5793</v>
      </c>
      <c r="C2770" s="2">
        <v>-0.7</v>
      </c>
      <c r="D2770" s="2">
        <v>2.8573</v>
      </c>
      <c r="E2770" s="2" t="s">
        <v>13</v>
      </c>
      <c r="F2770" s="2" t="e">
        <f>VLOOKUP(B2770,MSCI中国成分股!A:B,1,)</f>
        <v>#N/A</v>
      </c>
    </row>
    <row r="2771" spans="1:6" ht="20.25" hidden="1" customHeight="1" x14ac:dyDescent="0.15">
      <c r="A2771" s="2" t="s">
        <v>5794</v>
      </c>
      <c r="B2771" s="2" t="s">
        <v>5795</v>
      </c>
      <c r="C2771" s="2">
        <v>0.38</v>
      </c>
      <c r="D2771" s="2">
        <v>0.29170000000000001</v>
      </c>
      <c r="E2771" s="2" t="s">
        <v>450</v>
      </c>
      <c r="F2771" s="2" t="e">
        <f>VLOOKUP(B2771,MSCI中国成分股!A:B,1,)</f>
        <v>#N/A</v>
      </c>
    </row>
    <row r="2772" spans="1:6" ht="20.25" hidden="1" customHeight="1" x14ac:dyDescent="0.15">
      <c r="A2772" s="2" t="s">
        <v>5796</v>
      </c>
      <c r="B2772" s="2" t="s">
        <v>5797</v>
      </c>
      <c r="C2772" s="2">
        <v>2.41</v>
      </c>
      <c r="D2772" s="2">
        <v>5.6811999999999996</v>
      </c>
      <c r="E2772" s="2" t="s">
        <v>86</v>
      </c>
      <c r="F2772" s="2" t="e">
        <f>VLOOKUP(B2772,MSCI中国成分股!A:B,1,)</f>
        <v>#N/A</v>
      </c>
    </row>
    <row r="2773" spans="1:6" ht="20.25" hidden="1" customHeight="1" x14ac:dyDescent="0.15">
      <c r="A2773" s="2" t="s">
        <v>5798</v>
      </c>
      <c r="B2773" s="2" t="s">
        <v>5799</v>
      </c>
      <c r="C2773" s="2">
        <v>0.5</v>
      </c>
      <c r="D2773" s="2">
        <v>40.602499999999999</v>
      </c>
      <c r="E2773" s="2" t="s">
        <v>44</v>
      </c>
      <c r="F2773" s="2" t="e">
        <f>VLOOKUP(B2773,MSCI中国成分股!A:B,1,)</f>
        <v>#N/A</v>
      </c>
    </row>
    <row r="2774" spans="1:6" ht="20.25" hidden="1" customHeight="1" x14ac:dyDescent="0.15">
      <c r="A2774" s="2" t="s">
        <v>5800</v>
      </c>
      <c r="B2774" s="2" t="s">
        <v>5801</v>
      </c>
      <c r="C2774" s="2">
        <v>0.01</v>
      </c>
      <c r="D2774" s="2">
        <v>12.2117</v>
      </c>
      <c r="E2774" s="2" t="s">
        <v>542</v>
      </c>
      <c r="F2774" s="2" t="e">
        <f>VLOOKUP(B2774,MSCI中国成分股!A:B,1,)</f>
        <v>#N/A</v>
      </c>
    </row>
    <row r="2775" spans="1:6" ht="20.25" hidden="1" customHeight="1" x14ac:dyDescent="0.15">
      <c r="A2775" s="2" t="s">
        <v>5802</v>
      </c>
      <c r="B2775" s="2" t="s">
        <v>5803</v>
      </c>
      <c r="C2775" s="2">
        <v>0.7</v>
      </c>
      <c r="D2775" s="2">
        <v>1.3867</v>
      </c>
      <c r="E2775" s="2" t="s">
        <v>1608</v>
      </c>
      <c r="F2775" s="2" t="e">
        <f>VLOOKUP(B2775,MSCI中国成分股!A:B,1,)</f>
        <v>#N/A</v>
      </c>
    </row>
    <row r="2776" spans="1:6" ht="20.25" hidden="1" customHeight="1" x14ac:dyDescent="0.15">
      <c r="A2776" s="2" t="s">
        <v>5804</v>
      </c>
      <c r="B2776" s="2" t="s">
        <v>5805</v>
      </c>
      <c r="C2776" s="2">
        <v>0.98</v>
      </c>
      <c r="D2776" s="2">
        <v>1.4081999999999999</v>
      </c>
      <c r="E2776" s="2" t="s">
        <v>1139</v>
      </c>
      <c r="F2776" s="2" t="e">
        <f>VLOOKUP(B2776,MSCI中国成分股!A:B,1,)</f>
        <v>#N/A</v>
      </c>
    </row>
    <row r="2777" spans="1:6" ht="20.25" hidden="1" customHeight="1" x14ac:dyDescent="0.15">
      <c r="A2777" s="2" t="s">
        <v>5806</v>
      </c>
      <c r="B2777" s="2" t="s">
        <v>5807</v>
      </c>
      <c r="C2777" s="2">
        <v>0.43</v>
      </c>
      <c r="D2777" s="2">
        <v>0.1147</v>
      </c>
      <c r="E2777" s="2" t="s">
        <v>344</v>
      </c>
      <c r="F2777" s="2" t="e">
        <f>VLOOKUP(B2777,MSCI中国成分股!A:B,1,)</f>
        <v>#N/A</v>
      </c>
    </row>
    <row r="2778" spans="1:6" ht="20.25" hidden="1" customHeight="1" x14ac:dyDescent="0.15">
      <c r="A2778" s="2" t="s">
        <v>5808</v>
      </c>
      <c r="B2778" s="2" t="s">
        <v>5809</v>
      </c>
      <c r="C2778" s="2">
        <v>0.36</v>
      </c>
      <c r="D2778" s="2">
        <v>5.2492999999999999</v>
      </c>
      <c r="E2778" s="2" t="s">
        <v>713</v>
      </c>
      <c r="F2778" s="2" t="e">
        <f>VLOOKUP(B2778,MSCI中国成分股!A:B,1,)</f>
        <v>#N/A</v>
      </c>
    </row>
    <row r="2779" spans="1:6" ht="20.25" hidden="1" customHeight="1" x14ac:dyDescent="0.15">
      <c r="A2779" s="2" t="s">
        <v>5810</v>
      </c>
      <c r="B2779" s="2" t="s">
        <v>5811</v>
      </c>
      <c r="C2779" s="2">
        <v>0.32</v>
      </c>
      <c r="D2779" s="2">
        <v>6.4721000000000002</v>
      </c>
      <c r="E2779" s="2" t="s">
        <v>260</v>
      </c>
      <c r="F2779" s="2" t="e">
        <f>VLOOKUP(B2779,MSCI中国成分股!A:B,1,)</f>
        <v>#N/A</v>
      </c>
    </row>
    <row r="2780" spans="1:6" ht="20.25" hidden="1" customHeight="1" x14ac:dyDescent="0.15">
      <c r="A2780" s="2" t="s">
        <v>5812</v>
      </c>
      <c r="B2780" s="2" t="s">
        <v>5813</v>
      </c>
      <c r="C2780" s="2">
        <v>1.39</v>
      </c>
      <c r="D2780" s="2">
        <v>2.8241999999999998</v>
      </c>
      <c r="E2780" s="2" t="s">
        <v>421</v>
      </c>
      <c r="F2780" s="2" t="e">
        <f>VLOOKUP(B2780,MSCI中国成分股!A:B,1,)</f>
        <v>#N/A</v>
      </c>
    </row>
    <row r="2781" spans="1:6" ht="20.25" hidden="1" customHeight="1" x14ac:dyDescent="0.15">
      <c r="A2781" s="2" t="s">
        <v>5814</v>
      </c>
      <c r="B2781" s="2" t="s">
        <v>5815</v>
      </c>
      <c r="C2781" s="2">
        <v>1.0900000000000001</v>
      </c>
      <c r="D2781" s="2">
        <v>2.3169</v>
      </c>
      <c r="E2781" s="2" t="s">
        <v>704</v>
      </c>
      <c r="F2781" s="2" t="e">
        <f>VLOOKUP(B2781,MSCI中国成分股!A:B,1,)</f>
        <v>#N/A</v>
      </c>
    </row>
    <row r="2782" spans="1:6" ht="20.25" hidden="1" customHeight="1" x14ac:dyDescent="0.15">
      <c r="A2782" s="2" t="s">
        <v>5816</v>
      </c>
      <c r="B2782" s="2" t="s">
        <v>5817</v>
      </c>
      <c r="C2782" s="2">
        <v>1.08</v>
      </c>
      <c r="D2782" s="2">
        <v>125.66800000000001</v>
      </c>
      <c r="E2782" s="2" t="s">
        <v>633</v>
      </c>
      <c r="F2782" s="2" t="e">
        <f>VLOOKUP(B2782,MSCI中国成分股!A:B,1,)</f>
        <v>#N/A</v>
      </c>
    </row>
    <row r="2783" spans="1:6" ht="20.25" hidden="1" customHeight="1" x14ac:dyDescent="0.15">
      <c r="A2783" s="2" t="s">
        <v>5818</v>
      </c>
      <c r="B2783" s="2" t="s">
        <v>5819</v>
      </c>
      <c r="C2783" s="2">
        <v>-0.16</v>
      </c>
      <c r="D2783" s="2">
        <v>45.259</v>
      </c>
      <c r="E2783" s="2" t="s">
        <v>406</v>
      </c>
      <c r="F2783" s="2" t="e">
        <f>VLOOKUP(B2783,MSCI中国成分股!A:B,1,)</f>
        <v>#N/A</v>
      </c>
    </row>
    <row r="2784" spans="1:6" ht="20.25" hidden="1" customHeight="1" x14ac:dyDescent="0.15">
      <c r="A2784" s="2" t="s">
        <v>5820</v>
      </c>
      <c r="B2784" s="2" t="s">
        <v>5821</v>
      </c>
      <c r="C2784" s="2">
        <v>1.2250000000000001</v>
      </c>
      <c r="D2784" s="2">
        <v>1.42</v>
      </c>
      <c r="E2784" s="2" t="s">
        <v>931</v>
      </c>
      <c r="F2784" s="2" t="e">
        <f>VLOOKUP(B2784,MSCI中国成分股!A:B,1,)</f>
        <v>#N/A</v>
      </c>
    </row>
    <row r="2785" spans="1:6" ht="20.25" hidden="1" customHeight="1" x14ac:dyDescent="0.15">
      <c r="A2785" s="2" t="s">
        <v>5822</v>
      </c>
      <c r="B2785" s="2" t="s">
        <v>5823</v>
      </c>
      <c r="C2785" s="2">
        <v>-1.82</v>
      </c>
      <c r="D2785" s="2">
        <v>398.41359999999997</v>
      </c>
      <c r="E2785" s="2" t="s">
        <v>818</v>
      </c>
      <c r="F2785" s="2" t="e">
        <f>VLOOKUP(B2785,MSCI中国成分股!A:B,1,)</f>
        <v>#N/A</v>
      </c>
    </row>
    <row r="2786" spans="1:6" ht="20.25" hidden="1" customHeight="1" x14ac:dyDescent="0.15">
      <c r="A2786" s="2" t="s">
        <v>5824</v>
      </c>
      <c r="B2786" s="2" t="s">
        <v>5825</v>
      </c>
      <c r="C2786" s="2">
        <v>0.67</v>
      </c>
      <c r="D2786" s="2">
        <v>2.0663999999999998</v>
      </c>
      <c r="E2786" s="2" t="s">
        <v>359</v>
      </c>
      <c r="F2786" s="2" t="e">
        <f>VLOOKUP(B2786,MSCI中国成分股!A:B,1,)</f>
        <v>#N/A</v>
      </c>
    </row>
    <row r="2787" spans="1:6" ht="20.25" hidden="1" customHeight="1" x14ac:dyDescent="0.15">
      <c r="A2787" s="2" t="s">
        <v>5826</v>
      </c>
      <c r="B2787" s="2" t="s">
        <v>5827</v>
      </c>
      <c r="C2787" s="2">
        <v>0.3</v>
      </c>
      <c r="D2787" s="2">
        <v>32.240299999999998</v>
      </c>
      <c r="E2787" s="2" t="s">
        <v>362</v>
      </c>
      <c r="F2787" s="2" t="e">
        <f>VLOOKUP(B2787,MSCI中国成分股!A:B,1,)</f>
        <v>#N/A</v>
      </c>
    </row>
    <row r="2788" spans="1:6" ht="20.25" hidden="1" customHeight="1" x14ac:dyDescent="0.15">
      <c r="A2788" s="2" t="s">
        <v>5828</v>
      </c>
      <c r="B2788" s="2" t="s">
        <v>5829</v>
      </c>
      <c r="C2788" s="2">
        <v>1.155</v>
      </c>
      <c r="D2788" s="2">
        <v>2.1901999999999999</v>
      </c>
      <c r="E2788" s="2" t="s">
        <v>747</v>
      </c>
      <c r="F2788" s="2" t="e">
        <f>VLOOKUP(B2788,MSCI中国成分股!A:B,1,)</f>
        <v>#N/A</v>
      </c>
    </row>
    <row r="2789" spans="1:6" ht="20.25" hidden="1" customHeight="1" x14ac:dyDescent="0.15">
      <c r="A2789" s="2" t="s">
        <v>5830</v>
      </c>
      <c r="B2789" s="2" t="s">
        <v>5831</v>
      </c>
      <c r="C2789" s="2">
        <v>0.96</v>
      </c>
      <c r="D2789" s="2">
        <v>30.685300000000002</v>
      </c>
      <c r="E2789" s="2" t="s">
        <v>374</v>
      </c>
      <c r="F2789" s="2" t="e">
        <f>VLOOKUP(B2789,MSCI中国成分股!A:B,1,)</f>
        <v>#N/A</v>
      </c>
    </row>
    <row r="2790" spans="1:6" ht="20.25" hidden="1" customHeight="1" x14ac:dyDescent="0.15">
      <c r="A2790" s="2" t="s">
        <v>5832</v>
      </c>
      <c r="B2790" s="2" t="s">
        <v>5833</v>
      </c>
      <c r="C2790" s="2">
        <v>0.98</v>
      </c>
      <c r="D2790" s="2">
        <v>4.4755000000000003</v>
      </c>
      <c r="E2790" s="2" t="s">
        <v>459</v>
      </c>
      <c r="F2790" s="2" t="e">
        <f>VLOOKUP(B2790,MSCI中国成分股!A:B,1,)</f>
        <v>#N/A</v>
      </c>
    </row>
    <row r="2791" spans="1:6" ht="20.25" hidden="1" customHeight="1" x14ac:dyDescent="0.15">
      <c r="A2791" s="2" t="s">
        <v>5834</v>
      </c>
      <c r="B2791" s="2" t="s">
        <v>5835</v>
      </c>
      <c r="C2791" s="2">
        <v>1.415</v>
      </c>
      <c r="D2791" s="2">
        <v>6.7931999999999997</v>
      </c>
      <c r="E2791" s="2" t="s">
        <v>1997</v>
      </c>
      <c r="F2791" s="2" t="e">
        <f>VLOOKUP(B2791,MSCI中国成分股!A:B,1,)</f>
        <v>#N/A</v>
      </c>
    </row>
    <row r="2792" spans="1:6" ht="20.25" hidden="1" customHeight="1" x14ac:dyDescent="0.15">
      <c r="A2792" s="2" t="s">
        <v>5836</v>
      </c>
      <c r="B2792" s="2" t="s">
        <v>5837</v>
      </c>
      <c r="C2792" s="2">
        <v>-1.43</v>
      </c>
      <c r="D2792" s="2">
        <v>27.618600000000001</v>
      </c>
      <c r="E2792" s="2" t="s">
        <v>198</v>
      </c>
      <c r="F2792" s="2" t="e">
        <f>VLOOKUP(B2792,MSCI中国成分股!A:B,1,)</f>
        <v>#N/A</v>
      </c>
    </row>
    <row r="2793" spans="1:6" ht="20.25" hidden="1" customHeight="1" x14ac:dyDescent="0.15">
      <c r="A2793" s="2" t="s">
        <v>5838</v>
      </c>
      <c r="B2793" s="2" t="s">
        <v>5839</v>
      </c>
      <c r="C2793" s="2">
        <v>1.7250000000000001</v>
      </c>
      <c r="D2793" s="2">
        <v>29.0031</v>
      </c>
      <c r="E2793" s="2" t="s">
        <v>506</v>
      </c>
      <c r="F2793" s="2" t="e">
        <f>VLOOKUP(B2793,MSCI中国成分股!A:B,1,)</f>
        <v>#N/A</v>
      </c>
    </row>
    <row r="2794" spans="1:6" ht="20.25" hidden="1" customHeight="1" x14ac:dyDescent="0.15">
      <c r="A2794" s="2" t="s">
        <v>5840</v>
      </c>
      <c r="B2794" s="2" t="s">
        <v>5841</v>
      </c>
      <c r="C2794" s="2">
        <v>-0.28999999999999998</v>
      </c>
      <c r="D2794" s="2">
        <v>11.0936</v>
      </c>
      <c r="E2794" s="2" t="s">
        <v>44</v>
      </c>
      <c r="F2794" s="2" t="e">
        <f>VLOOKUP(B2794,MSCI中国成分股!A:B,1,)</f>
        <v>#N/A</v>
      </c>
    </row>
    <row r="2795" spans="1:6" ht="20.25" hidden="1" customHeight="1" x14ac:dyDescent="0.15">
      <c r="A2795" s="2" t="s">
        <v>5842</v>
      </c>
      <c r="B2795" s="2" t="s">
        <v>5843</v>
      </c>
      <c r="C2795" s="2">
        <v>-0.12</v>
      </c>
      <c r="D2795" s="2">
        <v>17.046399999999998</v>
      </c>
      <c r="E2795" s="2" t="s">
        <v>2681</v>
      </c>
      <c r="F2795" s="2" t="e">
        <f>VLOOKUP(B2795,MSCI中国成分股!A:B,1,)</f>
        <v>#N/A</v>
      </c>
    </row>
    <row r="2796" spans="1:6" ht="20.25" hidden="1" customHeight="1" x14ac:dyDescent="0.15">
      <c r="A2796" s="2" t="s">
        <v>5844</v>
      </c>
      <c r="B2796" s="2" t="s">
        <v>5845</v>
      </c>
      <c r="C2796" s="2">
        <v>-0.26</v>
      </c>
      <c r="D2796" s="2">
        <v>0.84570000000000001</v>
      </c>
      <c r="E2796" s="2" t="s">
        <v>176</v>
      </c>
      <c r="F2796" s="2" t="e">
        <f>VLOOKUP(B2796,MSCI中国成分股!A:B,1,)</f>
        <v>#N/A</v>
      </c>
    </row>
    <row r="2797" spans="1:6" ht="20.25" hidden="1" customHeight="1" x14ac:dyDescent="0.15">
      <c r="A2797" s="2" t="s">
        <v>5846</v>
      </c>
      <c r="B2797" s="2" t="s">
        <v>5847</v>
      </c>
      <c r="C2797" s="2">
        <v>1.81</v>
      </c>
      <c r="D2797" s="2">
        <v>5.4577</v>
      </c>
      <c r="E2797" s="2" t="s">
        <v>204</v>
      </c>
      <c r="F2797" s="2" t="e">
        <f>VLOOKUP(B2797,MSCI中国成分股!A:B,1,)</f>
        <v>#N/A</v>
      </c>
    </row>
    <row r="2798" spans="1:6" ht="20.25" hidden="1" customHeight="1" x14ac:dyDescent="0.15">
      <c r="A2798" s="2" t="s">
        <v>5848</v>
      </c>
      <c r="B2798" s="2" t="s">
        <v>5849</v>
      </c>
      <c r="C2798" s="2">
        <v>2.15</v>
      </c>
      <c r="D2798" s="2">
        <v>170.21530000000001</v>
      </c>
      <c r="E2798" s="2" t="s">
        <v>310</v>
      </c>
      <c r="F2798" s="2" t="e">
        <f>VLOOKUP(B2798,MSCI中国成分股!A:B,1,)</f>
        <v>#N/A</v>
      </c>
    </row>
    <row r="2799" spans="1:6" ht="20.25" hidden="1" customHeight="1" x14ac:dyDescent="0.15">
      <c r="A2799" s="2" t="s">
        <v>5850</v>
      </c>
      <c r="B2799" s="2" t="s">
        <v>5851</v>
      </c>
      <c r="C2799" s="2">
        <v>0.1</v>
      </c>
      <c r="D2799" s="2">
        <v>3.49E-2</v>
      </c>
      <c r="E2799" s="2" t="s">
        <v>713</v>
      </c>
      <c r="F2799" s="2" t="e">
        <f>VLOOKUP(B2799,MSCI中国成分股!A:B,1,)</f>
        <v>#N/A</v>
      </c>
    </row>
    <row r="2800" spans="1:6" ht="20.25" hidden="1" customHeight="1" x14ac:dyDescent="0.15">
      <c r="A2800" s="2" t="s">
        <v>5852</v>
      </c>
      <c r="B2800" s="2" t="s">
        <v>5853</v>
      </c>
      <c r="C2800" s="2">
        <v>3.09</v>
      </c>
      <c r="D2800" s="2">
        <v>1.5235000000000001</v>
      </c>
      <c r="E2800" s="2" t="s">
        <v>2930</v>
      </c>
      <c r="F2800" s="2" t="e">
        <f>VLOOKUP(B2800,MSCI中国成分股!A:B,1,)</f>
        <v>#N/A</v>
      </c>
    </row>
    <row r="2801" spans="1:6" ht="20.25" hidden="1" customHeight="1" x14ac:dyDescent="0.15">
      <c r="A2801" s="2" t="s">
        <v>5854</v>
      </c>
      <c r="B2801" s="2" t="s">
        <v>5855</v>
      </c>
      <c r="C2801" s="2">
        <v>1.01</v>
      </c>
      <c r="D2801" s="2">
        <v>0.71399999999999997</v>
      </c>
      <c r="E2801" s="2" t="s">
        <v>201</v>
      </c>
      <c r="F2801" s="2" t="e">
        <f>VLOOKUP(B2801,MSCI中国成分股!A:B,1,)</f>
        <v>#N/A</v>
      </c>
    </row>
    <row r="2802" spans="1:6" ht="20.25" hidden="1" customHeight="1" x14ac:dyDescent="0.15">
      <c r="A2802" s="2" t="s">
        <v>5856</v>
      </c>
      <c r="B2802" s="2" t="s">
        <v>5857</v>
      </c>
      <c r="C2802" s="2">
        <v>-0.42</v>
      </c>
      <c r="D2802" s="2">
        <v>12.4496</v>
      </c>
      <c r="E2802" s="2" t="s">
        <v>220</v>
      </c>
      <c r="F2802" s="2" t="e">
        <f>VLOOKUP(B2802,MSCI中国成分股!A:B,1,)</f>
        <v>#N/A</v>
      </c>
    </row>
    <row r="2803" spans="1:6" ht="20.25" hidden="1" customHeight="1" x14ac:dyDescent="0.15">
      <c r="A2803" s="2" t="s">
        <v>5858</v>
      </c>
      <c r="B2803" s="2" t="s">
        <v>5859</v>
      </c>
      <c r="C2803" s="2">
        <v>-0.52</v>
      </c>
      <c r="D2803" s="2">
        <v>14.273999999999999</v>
      </c>
      <c r="E2803" s="2" t="s">
        <v>1061</v>
      </c>
      <c r="F2803" s="2" t="e">
        <f>VLOOKUP(B2803,MSCI中国成分股!A:B,1,)</f>
        <v>#N/A</v>
      </c>
    </row>
    <row r="2804" spans="1:6" ht="20.25" hidden="1" customHeight="1" x14ac:dyDescent="0.15">
      <c r="A2804" s="2" t="s">
        <v>5860</v>
      </c>
      <c r="B2804" s="2" t="s">
        <v>5861</v>
      </c>
      <c r="C2804" s="2">
        <v>0.46</v>
      </c>
      <c r="D2804" s="2">
        <v>1.9017999999999999</v>
      </c>
      <c r="E2804" s="2" t="s">
        <v>344</v>
      </c>
      <c r="F2804" s="2" t="e">
        <f>VLOOKUP(B2804,MSCI中国成分股!A:B,1,)</f>
        <v>#N/A</v>
      </c>
    </row>
    <row r="2805" spans="1:6" ht="20.25" hidden="1" customHeight="1" x14ac:dyDescent="0.15">
      <c r="A2805" s="2" t="s">
        <v>5862</v>
      </c>
      <c r="B2805" s="2" t="s">
        <v>5863</v>
      </c>
      <c r="C2805" s="2">
        <v>2.16</v>
      </c>
      <c r="D2805" s="2">
        <v>37.512300000000003</v>
      </c>
      <c r="E2805" s="2" t="s">
        <v>55</v>
      </c>
      <c r="F2805" s="2" t="e">
        <f>VLOOKUP(B2805,MSCI中国成分股!A:B,1,)</f>
        <v>#N/A</v>
      </c>
    </row>
    <row r="2806" spans="1:6" ht="20.25" hidden="1" customHeight="1" x14ac:dyDescent="0.15">
      <c r="A2806" s="2" t="s">
        <v>5864</v>
      </c>
      <c r="B2806" s="2" t="s">
        <v>5865</v>
      </c>
      <c r="C2806" s="2">
        <v>0.22</v>
      </c>
      <c r="D2806" s="2">
        <v>3.2648000000000001</v>
      </c>
      <c r="E2806" s="2" t="s">
        <v>931</v>
      </c>
      <c r="F2806" s="2" t="e">
        <f>VLOOKUP(B2806,MSCI中国成分股!A:B,1,)</f>
        <v>#N/A</v>
      </c>
    </row>
    <row r="2807" spans="1:6" ht="20.25" hidden="1" customHeight="1" x14ac:dyDescent="0.15">
      <c r="A2807" s="2" t="s">
        <v>5866</v>
      </c>
      <c r="B2807" s="2" t="s">
        <v>5867</v>
      </c>
      <c r="C2807" s="2">
        <v>-0.03</v>
      </c>
      <c r="D2807" s="2">
        <v>29.648</v>
      </c>
      <c r="E2807" s="2" t="s">
        <v>421</v>
      </c>
      <c r="F2807" s="2" t="e">
        <f>VLOOKUP(B2807,MSCI中国成分股!A:B,1,)</f>
        <v>#N/A</v>
      </c>
    </row>
    <row r="2808" spans="1:6" ht="20.25" hidden="1" customHeight="1" x14ac:dyDescent="0.15">
      <c r="A2808" s="2" t="s">
        <v>5868</v>
      </c>
      <c r="B2808" s="2" t="s">
        <v>5869</v>
      </c>
      <c r="C2808" s="2">
        <v>0.47</v>
      </c>
      <c r="D2808" s="2">
        <v>5.2504</v>
      </c>
      <c r="E2808" s="2" t="s">
        <v>371</v>
      </c>
      <c r="F2808" s="2" t="e">
        <f>VLOOKUP(B2808,MSCI中国成分股!A:B,1,)</f>
        <v>#N/A</v>
      </c>
    </row>
    <row r="2809" spans="1:6" ht="20.25" hidden="1" customHeight="1" x14ac:dyDescent="0.15">
      <c r="A2809" s="2" t="s">
        <v>5870</v>
      </c>
      <c r="B2809" s="2" t="s">
        <v>5871</v>
      </c>
      <c r="C2809" s="2">
        <v>1.69</v>
      </c>
      <c r="D2809" s="2">
        <v>1.5550999999999999</v>
      </c>
      <c r="E2809" s="2" t="s">
        <v>862</v>
      </c>
      <c r="F2809" s="2" t="e">
        <f>VLOOKUP(B2809,MSCI中国成分股!A:B,1,)</f>
        <v>#N/A</v>
      </c>
    </row>
    <row r="2810" spans="1:6" ht="20.25" hidden="1" customHeight="1" x14ac:dyDescent="0.15">
      <c r="A2810" s="2" t="s">
        <v>5872</v>
      </c>
      <c r="B2810" s="2" t="s">
        <v>5873</v>
      </c>
      <c r="C2810" s="2">
        <v>0.33</v>
      </c>
      <c r="D2810" s="2">
        <v>0.97440000000000004</v>
      </c>
      <c r="E2810" s="2" t="s">
        <v>1061</v>
      </c>
      <c r="F2810" s="2" t="e">
        <f>VLOOKUP(B2810,MSCI中国成分股!A:B,1,)</f>
        <v>#N/A</v>
      </c>
    </row>
    <row r="2811" spans="1:6" ht="20.25" hidden="1" customHeight="1" x14ac:dyDescent="0.15">
      <c r="A2811" s="2" t="s">
        <v>5874</v>
      </c>
      <c r="B2811" s="2" t="s">
        <v>5875</v>
      </c>
      <c r="C2811" s="2">
        <v>0.73</v>
      </c>
      <c r="D2811" s="2">
        <v>1.0921000000000001</v>
      </c>
      <c r="E2811" s="2" t="s">
        <v>176</v>
      </c>
      <c r="F2811" s="2" t="e">
        <f>VLOOKUP(B2811,MSCI中国成分股!A:B,1,)</f>
        <v>#N/A</v>
      </c>
    </row>
    <row r="2812" spans="1:6" ht="20.25" hidden="1" customHeight="1" x14ac:dyDescent="0.15">
      <c r="A2812" s="2" t="s">
        <v>5876</v>
      </c>
      <c r="B2812" s="2" t="s">
        <v>5877</v>
      </c>
      <c r="C2812" s="2">
        <v>0.88</v>
      </c>
      <c r="D2812" s="2">
        <v>4.4800000000000004</v>
      </c>
      <c r="E2812" s="2" t="s">
        <v>621</v>
      </c>
      <c r="F2812" s="2" t="e">
        <f>VLOOKUP(B2812,MSCI中国成分股!A:B,1,)</f>
        <v>#N/A</v>
      </c>
    </row>
    <row r="2813" spans="1:6" ht="20.25" hidden="1" customHeight="1" x14ac:dyDescent="0.15">
      <c r="A2813" s="2" t="s">
        <v>5878</v>
      </c>
      <c r="B2813" s="2" t="s">
        <v>5879</v>
      </c>
      <c r="C2813" s="2">
        <v>2.335</v>
      </c>
      <c r="D2813" s="2">
        <v>4.5297999999999998</v>
      </c>
      <c r="E2813" s="2" t="s">
        <v>86</v>
      </c>
      <c r="F2813" s="2" t="e">
        <f>VLOOKUP(B2813,MSCI中国成分股!A:B,1,)</f>
        <v>#N/A</v>
      </c>
    </row>
    <row r="2814" spans="1:6" ht="20.25" hidden="1" customHeight="1" x14ac:dyDescent="0.15">
      <c r="A2814" s="2" t="s">
        <v>5880</v>
      </c>
      <c r="B2814" s="2" t="s">
        <v>5881</v>
      </c>
      <c r="C2814" s="2">
        <v>0.7</v>
      </c>
      <c r="D2814" s="2">
        <v>12.861800000000001</v>
      </c>
      <c r="E2814" s="2" t="s">
        <v>385</v>
      </c>
      <c r="F2814" s="2" t="e">
        <f>VLOOKUP(B2814,MSCI中国成分股!A:B,1,)</f>
        <v>#N/A</v>
      </c>
    </row>
    <row r="2815" spans="1:6" ht="20.25" hidden="1" customHeight="1" x14ac:dyDescent="0.15">
      <c r="A2815" s="2" t="s">
        <v>5882</v>
      </c>
      <c r="B2815" s="2" t="s">
        <v>5883</v>
      </c>
      <c r="C2815" s="2">
        <v>0.68</v>
      </c>
      <c r="D2815" s="2">
        <v>489.13350000000003</v>
      </c>
      <c r="E2815" s="2" t="s">
        <v>1056</v>
      </c>
      <c r="F2815" s="2" t="e">
        <f>VLOOKUP(B2815,MSCI中国成分股!A:B,1,)</f>
        <v>#N/A</v>
      </c>
    </row>
    <row r="2816" spans="1:6" ht="20.25" hidden="1" customHeight="1" x14ac:dyDescent="0.15">
      <c r="A2816" s="2" t="s">
        <v>5884</v>
      </c>
      <c r="B2816" s="2" t="s">
        <v>5885</v>
      </c>
      <c r="C2816" s="2">
        <v>1.51</v>
      </c>
      <c r="D2816" s="2">
        <v>1.2068000000000001</v>
      </c>
      <c r="E2816" s="2" t="s">
        <v>299</v>
      </c>
      <c r="F2816" s="2" t="e">
        <f>VLOOKUP(B2816,MSCI中国成分股!A:B,1,)</f>
        <v>#N/A</v>
      </c>
    </row>
    <row r="2817" spans="1:6" ht="20.25" hidden="1" customHeight="1" x14ac:dyDescent="0.15">
      <c r="A2817" s="2" t="s">
        <v>5886</v>
      </c>
      <c r="B2817" s="2" t="s">
        <v>5887</v>
      </c>
      <c r="C2817" s="2">
        <v>-1.74</v>
      </c>
      <c r="D2817" s="2">
        <v>41.8735</v>
      </c>
      <c r="E2817" s="2" t="s">
        <v>542</v>
      </c>
      <c r="F2817" s="2" t="e">
        <f>VLOOKUP(B2817,MSCI中国成分股!A:B,1,)</f>
        <v>#N/A</v>
      </c>
    </row>
    <row r="2818" spans="1:6" ht="20.25" hidden="1" customHeight="1" x14ac:dyDescent="0.15">
      <c r="A2818" s="2" t="s">
        <v>5888</v>
      </c>
      <c r="B2818" s="2" t="s">
        <v>5889</v>
      </c>
      <c r="C2818" s="2">
        <v>0.14000000000000001</v>
      </c>
      <c r="D2818" s="2">
        <v>3.1412</v>
      </c>
      <c r="E2818" s="2" t="s">
        <v>220</v>
      </c>
      <c r="F2818" s="2" t="e">
        <f>VLOOKUP(B2818,MSCI中国成分股!A:B,1,)</f>
        <v>#N/A</v>
      </c>
    </row>
    <row r="2819" spans="1:6" ht="20.25" hidden="1" customHeight="1" x14ac:dyDescent="0.15">
      <c r="A2819" s="2" t="s">
        <v>5890</v>
      </c>
      <c r="B2819" s="2" t="s">
        <v>5891</v>
      </c>
      <c r="C2819" s="2">
        <v>2.2999999999999998</v>
      </c>
      <c r="D2819" s="2">
        <v>1.3027</v>
      </c>
      <c r="E2819" s="2" t="s">
        <v>44</v>
      </c>
      <c r="F2819" s="2" t="e">
        <f>VLOOKUP(B2819,MSCI中国成分股!A:B,1,)</f>
        <v>#N/A</v>
      </c>
    </row>
    <row r="2820" spans="1:6" ht="20.25" hidden="1" customHeight="1" x14ac:dyDescent="0.15">
      <c r="A2820" s="2" t="s">
        <v>5892</v>
      </c>
      <c r="B2820" s="2" t="s">
        <v>5893</v>
      </c>
      <c r="C2820" s="2">
        <v>1.1599999999999999</v>
      </c>
      <c r="D2820" s="2">
        <v>2.8199999999999999E-2</v>
      </c>
      <c r="E2820" s="2" t="s">
        <v>339</v>
      </c>
      <c r="F2820" s="2" t="e">
        <f>VLOOKUP(B2820,MSCI中国成分股!A:B,1,)</f>
        <v>#N/A</v>
      </c>
    </row>
    <row r="2821" spans="1:6" ht="20.25" hidden="1" customHeight="1" x14ac:dyDescent="0.15">
      <c r="A2821" s="2" t="s">
        <v>5894</v>
      </c>
      <c r="B2821" s="2" t="s">
        <v>5895</v>
      </c>
      <c r="C2821" s="2">
        <v>-0.78</v>
      </c>
      <c r="D2821" s="2">
        <v>86.099599999999995</v>
      </c>
      <c r="E2821" s="2" t="s">
        <v>596</v>
      </c>
      <c r="F2821" s="2" t="e">
        <f>VLOOKUP(B2821,MSCI中国成分股!A:B,1,)</f>
        <v>#N/A</v>
      </c>
    </row>
    <row r="2822" spans="1:6" ht="20.25" hidden="1" customHeight="1" x14ac:dyDescent="0.15">
      <c r="A2822" s="2" t="s">
        <v>5896</v>
      </c>
      <c r="B2822" s="2" t="s">
        <v>5897</v>
      </c>
      <c r="C2822" s="2">
        <v>0.79</v>
      </c>
      <c r="D2822" s="2">
        <v>6.8148999999999997</v>
      </c>
      <c r="E2822" s="2" t="s">
        <v>1691</v>
      </c>
      <c r="F2822" s="2" t="e">
        <f>VLOOKUP(B2822,MSCI中国成分股!A:B,1,)</f>
        <v>#N/A</v>
      </c>
    </row>
    <row r="2823" spans="1:6" ht="20.25" hidden="1" customHeight="1" x14ac:dyDescent="0.15">
      <c r="A2823" s="2" t="s">
        <v>5898</v>
      </c>
      <c r="B2823" s="2" t="s">
        <v>5899</v>
      </c>
      <c r="C2823" s="2">
        <v>0.84499999999999997</v>
      </c>
      <c r="D2823" s="2">
        <v>5.8772000000000002</v>
      </c>
      <c r="E2823" s="2" t="s">
        <v>418</v>
      </c>
      <c r="F2823" s="2" t="e">
        <f>VLOOKUP(B2823,MSCI中国成分股!A:B,1,)</f>
        <v>#N/A</v>
      </c>
    </row>
    <row r="2824" spans="1:6" ht="20.25" hidden="1" customHeight="1" x14ac:dyDescent="0.15">
      <c r="A2824" s="2" t="s">
        <v>5900</v>
      </c>
      <c r="B2824" s="2" t="s">
        <v>5901</v>
      </c>
      <c r="C2824" s="2">
        <v>2.68</v>
      </c>
      <c r="D2824" s="2">
        <v>3.0308000000000002</v>
      </c>
      <c r="E2824" s="2" t="s">
        <v>1390</v>
      </c>
      <c r="F2824" s="2" t="e">
        <f>VLOOKUP(B2824,MSCI中国成分股!A:B,1,)</f>
        <v>#N/A</v>
      </c>
    </row>
    <row r="2825" spans="1:6" ht="20.25" hidden="1" customHeight="1" x14ac:dyDescent="0.15">
      <c r="A2825" s="2" t="s">
        <v>5902</v>
      </c>
      <c r="B2825" s="2" t="s">
        <v>5903</v>
      </c>
      <c r="C2825" s="2">
        <v>0.36</v>
      </c>
      <c r="D2825" s="2">
        <v>8.0702999999999996</v>
      </c>
      <c r="E2825" s="2" t="s">
        <v>1243</v>
      </c>
      <c r="F2825" s="2" t="e">
        <f>VLOOKUP(B2825,MSCI中国成分股!A:B,1,)</f>
        <v>#N/A</v>
      </c>
    </row>
    <row r="2826" spans="1:6" ht="20.25" hidden="1" customHeight="1" x14ac:dyDescent="0.15">
      <c r="A2826" s="2" t="s">
        <v>5904</v>
      </c>
      <c r="B2826" s="2" t="s">
        <v>5905</v>
      </c>
      <c r="C2826" s="2">
        <v>0.15</v>
      </c>
      <c r="D2826" s="2">
        <v>98.976100000000002</v>
      </c>
      <c r="E2826" s="2" t="s">
        <v>44</v>
      </c>
      <c r="F2826" s="2" t="e">
        <f>VLOOKUP(B2826,MSCI中国成分股!A:B,1,)</f>
        <v>#N/A</v>
      </c>
    </row>
    <row r="2827" spans="1:6" ht="20.25" hidden="1" customHeight="1" x14ac:dyDescent="0.15">
      <c r="A2827" s="2" t="s">
        <v>5906</v>
      </c>
      <c r="B2827" s="2" t="s">
        <v>5907</v>
      </c>
      <c r="C2827" s="2">
        <v>3.95</v>
      </c>
      <c r="D2827" s="2">
        <v>119.4736</v>
      </c>
      <c r="E2827" s="2" t="s">
        <v>374</v>
      </c>
      <c r="F2827" s="2" t="e">
        <f>VLOOKUP(B2827,MSCI中国成分股!A:B,1,)</f>
        <v>#N/A</v>
      </c>
    </row>
    <row r="2828" spans="1:6" ht="20.25" hidden="1" customHeight="1" x14ac:dyDescent="0.15">
      <c r="A2828" s="2" t="s">
        <v>5908</v>
      </c>
      <c r="B2828" s="2" t="s">
        <v>5909</v>
      </c>
      <c r="C2828" s="2">
        <v>0.15</v>
      </c>
      <c r="D2828" s="2">
        <v>52.547800000000002</v>
      </c>
      <c r="E2828" s="2" t="s">
        <v>89</v>
      </c>
      <c r="F2828" s="2" t="e">
        <f>VLOOKUP(B2828,MSCI中国成分股!A:B,1,)</f>
        <v>#N/A</v>
      </c>
    </row>
    <row r="2829" spans="1:6" ht="20.25" hidden="1" customHeight="1" x14ac:dyDescent="0.15">
      <c r="A2829" s="2" t="s">
        <v>5910</v>
      </c>
      <c r="B2829" s="2" t="s">
        <v>5911</v>
      </c>
      <c r="C2829" s="2">
        <v>1.9</v>
      </c>
      <c r="D2829" s="2">
        <v>0.1515</v>
      </c>
      <c r="E2829" s="2" t="s">
        <v>89</v>
      </c>
      <c r="F2829" s="2" t="e">
        <f>VLOOKUP(B2829,MSCI中国成分股!A:B,1,)</f>
        <v>#N/A</v>
      </c>
    </row>
    <row r="2830" spans="1:6" ht="20.25" hidden="1" customHeight="1" x14ac:dyDescent="0.15">
      <c r="A2830" s="2" t="s">
        <v>5912</v>
      </c>
      <c r="B2830" s="2" t="s">
        <v>5913</v>
      </c>
      <c r="C2830" s="2">
        <v>0.41</v>
      </c>
      <c r="D2830" s="2">
        <v>7.6487999999999996</v>
      </c>
      <c r="E2830" s="2" t="s">
        <v>421</v>
      </c>
      <c r="F2830" s="2" t="e">
        <f>VLOOKUP(B2830,MSCI中国成分股!A:B,1,)</f>
        <v>#N/A</v>
      </c>
    </row>
    <row r="2831" spans="1:6" ht="20.25" hidden="1" customHeight="1" x14ac:dyDescent="0.15">
      <c r="A2831" s="2" t="s">
        <v>5914</v>
      </c>
      <c r="B2831" s="2" t="s">
        <v>5915</v>
      </c>
      <c r="C2831" s="2">
        <v>0.73</v>
      </c>
      <c r="D2831" s="2">
        <v>15.743399999999999</v>
      </c>
      <c r="E2831" s="2" t="s">
        <v>1099</v>
      </c>
      <c r="F2831" s="2" t="e">
        <f>VLOOKUP(B2831,MSCI中国成分股!A:B,1,)</f>
        <v>#N/A</v>
      </c>
    </row>
    <row r="2832" spans="1:6" ht="20.25" hidden="1" customHeight="1" x14ac:dyDescent="0.15">
      <c r="A2832" s="2" t="s">
        <v>5916</v>
      </c>
      <c r="B2832" s="2" t="s">
        <v>5917</v>
      </c>
      <c r="C2832" s="2">
        <v>-7.0000000000000007E-2</v>
      </c>
      <c r="D2832" s="2">
        <v>1.7024999999999999</v>
      </c>
      <c r="E2832" s="2" t="s">
        <v>137</v>
      </c>
      <c r="F2832" s="2" t="e">
        <f>VLOOKUP(B2832,MSCI中国成分股!A:B,1,)</f>
        <v>#N/A</v>
      </c>
    </row>
    <row r="2833" spans="1:6" ht="20.25" hidden="1" customHeight="1" x14ac:dyDescent="0.15">
      <c r="A2833" s="2" t="s">
        <v>5918</v>
      </c>
      <c r="B2833" s="2" t="s">
        <v>5919</v>
      </c>
      <c r="C2833" s="2">
        <v>0.33</v>
      </c>
      <c r="D2833" s="2">
        <v>2.1625999999999999</v>
      </c>
      <c r="E2833" s="2" t="s">
        <v>220</v>
      </c>
      <c r="F2833" s="2" t="e">
        <f>VLOOKUP(B2833,MSCI中国成分股!A:B,1,)</f>
        <v>#N/A</v>
      </c>
    </row>
    <row r="2834" spans="1:6" ht="20.25" hidden="1" customHeight="1" x14ac:dyDescent="0.15">
      <c r="A2834" s="2" t="s">
        <v>5920</v>
      </c>
      <c r="B2834" s="2" t="s">
        <v>5921</v>
      </c>
      <c r="C2834" s="2">
        <v>1.1499999999999999</v>
      </c>
      <c r="D2834" s="2">
        <v>0.30099999999999999</v>
      </c>
      <c r="E2834" s="2" t="s">
        <v>704</v>
      </c>
      <c r="F2834" s="2" t="e">
        <f>VLOOKUP(B2834,MSCI中国成分股!A:B,1,)</f>
        <v>#N/A</v>
      </c>
    </row>
    <row r="2835" spans="1:6" ht="20.25" hidden="1" customHeight="1" x14ac:dyDescent="0.15">
      <c r="A2835" s="2" t="s">
        <v>5922</v>
      </c>
      <c r="B2835" s="2" t="s">
        <v>5923</v>
      </c>
      <c r="C2835" s="2">
        <v>2.06</v>
      </c>
      <c r="D2835" s="2">
        <v>4.0922999999999998</v>
      </c>
      <c r="E2835" s="2" t="s">
        <v>596</v>
      </c>
      <c r="F2835" s="2" t="e">
        <f>VLOOKUP(B2835,MSCI中国成分股!A:B,1,)</f>
        <v>#N/A</v>
      </c>
    </row>
    <row r="2836" spans="1:6" ht="20.25" hidden="1" customHeight="1" x14ac:dyDescent="0.15">
      <c r="A2836" s="2" t="s">
        <v>5924</v>
      </c>
      <c r="B2836" s="2" t="s">
        <v>5925</v>
      </c>
      <c r="C2836" s="2">
        <v>0.8</v>
      </c>
      <c r="D2836" s="2">
        <v>0.33679999999999999</v>
      </c>
      <c r="E2836" s="2" t="s">
        <v>529</v>
      </c>
      <c r="F2836" s="2" t="e">
        <f>VLOOKUP(B2836,MSCI中国成分股!A:B,1,)</f>
        <v>#N/A</v>
      </c>
    </row>
    <row r="2837" spans="1:6" ht="20.25" hidden="1" customHeight="1" x14ac:dyDescent="0.15">
      <c r="A2837" s="2" t="s">
        <v>5926</v>
      </c>
      <c r="B2837" s="2" t="s">
        <v>5927</v>
      </c>
      <c r="C2837" s="2">
        <v>0.38</v>
      </c>
      <c r="D2837" s="2">
        <v>0.19040000000000001</v>
      </c>
      <c r="E2837" s="2" t="s">
        <v>1061</v>
      </c>
      <c r="F2837" s="2" t="e">
        <f>VLOOKUP(B2837,MSCI中国成分股!A:B,1,)</f>
        <v>#N/A</v>
      </c>
    </row>
    <row r="2838" spans="1:6" ht="20.25" hidden="1" customHeight="1" x14ac:dyDescent="0.15">
      <c r="A2838" s="2" t="s">
        <v>5928</v>
      </c>
      <c r="B2838" s="2" t="s">
        <v>5929</v>
      </c>
      <c r="C2838" s="2">
        <v>1.27</v>
      </c>
      <c r="D2838" s="2">
        <v>0.29730000000000001</v>
      </c>
      <c r="E2838" s="2" t="s">
        <v>741</v>
      </c>
      <c r="F2838" s="2" t="e">
        <f>VLOOKUP(B2838,MSCI中国成分股!A:B,1,)</f>
        <v>#N/A</v>
      </c>
    </row>
    <row r="2839" spans="1:6" ht="20.25" hidden="1" customHeight="1" x14ac:dyDescent="0.15">
      <c r="A2839" s="2" t="s">
        <v>5930</v>
      </c>
      <c r="B2839" s="2" t="s">
        <v>5931</v>
      </c>
      <c r="C2839" s="2">
        <v>-4.71</v>
      </c>
      <c r="D2839" s="2">
        <v>10.734</v>
      </c>
      <c r="E2839" s="2" t="s">
        <v>13</v>
      </c>
      <c r="F2839" s="2" t="e">
        <f>VLOOKUP(B2839,MSCI中国成分股!A:B,1,)</f>
        <v>#N/A</v>
      </c>
    </row>
    <row r="2840" spans="1:6" ht="20.25" hidden="1" customHeight="1" x14ac:dyDescent="0.15">
      <c r="A2840" s="2" t="s">
        <v>5932</v>
      </c>
      <c r="B2840" s="2" t="s">
        <v>5933</v>
      </c>
      <c r="C2840" s="2">
        <v>0.64</v>
      </c>
      <c r="D2840" s="2">
        <v>22.540500000000002</v>
      </c>
      <c r="E2840" s="2" t="s">
        <v>862</v>
      </c>
      <c r="F2840" s="2" t="e">
        <f>VLOOKUP(B2840,MSCI中国成分股!A:B,1,)</f>
        <v>#N/A</v>
      </c>
    </row>
    <row r="2841" spans="1:6" ht="20.25" hidden="1" customHeight="1" x14ac:dyDescent="0.15">
      <c r="A2841" s="2" t="s">
        <v>5934</v>
      </c>
      <c r="B2841" s="2" t="s">
        <v>5935</v>
      </c>
      <c r="C2841" s="2">
        <v>1.99</v>
      </c>
      <c r="D2841" s="2">
        <v>11.3813</v>
      </c>
      <c r="E2841" s="2" t="s">
        <v>157</v>
      </c>
      <c r="F2841" s="2" t="e">
        <f>VLOOKUP(B2841,MSCI中国成分股!A:B,1,)</f>
        <v>#N/A</v>
      </c>
    </row>
    <row r="2842" spans="1:6" ht="20.25" hidden="1" customHeight="1" x14ac:dyDescent="0.15">
      <c r="A2842" s="2" t="s">
        <v>5936</v>
      </c>
      <c r="B2842" s="2" t="s">
        <v>5937</v>
      </c>
      <c r="C2842" s="2">
        <v>0.08</v>
      </c>
      <c r="D2842" s="2">
        <v>37.646000000000001</v>
      </c>
      <c r="E2842" s="2" t="s">
        <v>1403</v>
      </c>
      <c r="F2842" s="2" t="e">
        <f>VLOOKUP(B2842,MSCI中国成分股!A:B,1,)</f>
        <v>#N/A</v>
      </c>
    </row>
    <row r="2843" spans="1:6" ht="20.25" hidden="1" customHeight="1" x14ac:dyDescent="0.15">
      <c r="A2843" s="2" t="s">
        <v>5938</v>
      </c>
      <c r="B2843" s="2" t="s">
        <v>5939</v>
      </c>
      <c r="C2843" s="2">
        <v>0.4</v>
      </c>
      <c r="D2843" s="2">
        <v>0.29399999999999998</v>
      </c>
      <c r="E2843" s="2" t="s">
        <v>4261</v>
      </c>
      <c r="F2843" s="2" t="e">
        <f>VLOOKUP(B2843,MSCI中国成分股!A:B,1,)</f>
        <v>#N/A</v>
      </c>
    </row>
    <row r="2844" spans="1:6" ht="20.25" hidden="1" customHeight="1" x14ac:dyDescent="0.15">
      <c r="A2844" s="2" t="s">
        <v>5940</v>
      </c>
      <c r="B2844" s="2" t="s">
        <v>5941</v>
      </c>
      <c r="C2844" s="2">
        <v>2.97</v>
      </c>
      <c r="D2844" s="2">
        <v>0.9304</v>
      </c>
      <c r="E2844" s="2" t="s">
        <v>664</v>
      </c>
      <c r="F2844" s="2" t="e">
        <f>VLOOKUP(B2844,MSCI中国成分股!A:B,1,)</f>
        <v>#N/A</v>
      </c>
    </row>
    <row r="2845" spans="1:6" ht="20.25" hidden="1" customHeight="1" x14ac:dyDescent="0.15">
      <c r="A2845" s="2" t="s">
        <v>5942</v>
      </c>
      <c r="B2845" s="2" t="s">
        <v>5943</v>
      </c>
      <c r="C2845" s="2">
        <v>0.1</v>
      </c>
      <c r="D2845" s="2">
        <v>1.5524</v>
      </c>
      <c r="E2845" s="2" t="s">
        <v>396</v>
      </c>
      <c r="F2845" s="2" t="e">
        <f>VLOOKUP(B2845,MSCI中国成分股!A:B,1,)</f>
        <v>#N/A</v>
      </c>
    </row>
    <row r="2846" spans="1:6" ht="20.25" hidden="1" customHeight="1" x14ac:dyDescent="0.15">
      <c r="A2846" s="2" t="s">
        <v>5944</v>
      </c>
      <c r="B2846" s="2" t="s">
        <v>5945</v>
      </c>
      <c r="C2846" s="2">
        <v>1.1499999999999999</v>
      </c>
      <c r="D2846" s="2">
        <v>0.33279999999999998</v>
      </c>
      <c r="E2846" s="2" t="s">
        <v>3130</v>
      </c>
      <c r="F2846" s="2" t="e">
        <f>VLOOKUP(B2846,MSCI中国成分股!A:B,1,)</f>
        <v>#N/A</v>
      </c>
    </row>
    <row r="2847" spans="1:6" ht="20.25" hidden="1" customHeight="1" x14ac:dyDescent="0.15">
      <c r="A2847" s="2" t="s">
        <v>5946</v>
      </c>
      <c r="B2847" s="2" t="s">
        <v>5947</v>
      </c>
      <c r="C2847" s="2">
        <v>1.67</v>
      </c>
      <c r="D2847" s="2">
        <v>0.14990000000000001</v>
      </c>
      <c r="E2847" s="2" t="s">
        <v>359</v>
      </c>
      <c r="F2847" s="2" t="e">
        <f>VLOOKUP(B2847,MSCI中国成分股!A:B,1,)</f>
        <v>#N/A</v>
      </c>
    </row>
    <row r="2848" spans="1:6" ht="20.25" hidden="1" customHeight="1" x14ac:dyDescent="0.15">
      <c r="A2848" s="2" t="s">
        <v>5948</v>
      </c>
      <c r="B2848" s="2" t="s">
        <v>5949</v>
      </c>
      <c r="C2848" s="2">
        <v>2.04</v>
      </c>
      <c r="D2848" s="2">
        <v>0.57679999999999998</v>
      </c>
      <c r="E2848" s="2" t="s">
        <v>257</v>
      </c>
      <c r="F2848" s="2" t="e">
        <f>VLOOKUP(B2848,MSCI中国成分股!A:B,1,)</f>
        <v>#N/A</v>
      </c>
    </row>
    <row r="2849" spans="1:6" ht="20.25" hidden="1" customHeight="1" x14ac:dyDescent="0.15">
      <c r="A2849" s="2" t="s">
        <v>5950</v>
      </c>
      <c r="B2849" s="2" t="s">
        <v>5951</v>
      </c>
      <c r="C2849" s="2">
        <v>0.67</v>
      </c>
      <c r="D2849" s="2">
        <v>1.7827999999999999</v>
      </c>
      <c r="E2849" s="2" t="s">
        <v>630</v>
      </c>
      <c r="F2849" s="2" t="e">
        <f>VLOOKUP(B2849,MSCI中国成分股!A:B,1,)</f>
        <v>#N/A</v>
      </c>
    </row>
    <row r="2850" spans="1:6" ht="20.25" hidden="1" customHeight="1" x14ac:dyDescent="0.15">
      <c r="A2850" s="2" t="s">
        <v>5952</v>
      </c>
      <c r="B2850" s="2" t="s">
        <v>5953</v>
      </c>
      <c r="C2850" s="2">
        <v>0.92</v>
      </c>
      <c r="D2850" s="2">
        <v>0.58340000000000003</v>
      </c>
      <c r="E2850" s="2" t="s">
        <v>3048</v>
      </c>
      <c r="F2850" s="2" t="e">
        <f>VLOOKUP(B2850,MSCI中国成分股!A:B,1,)</f>
        <v>#N/A</v>
      </c>
    </row>
    <row r="2851" spans="1:6" ht="20.25" hidden="1" customHeight="1" x14ac:dyDescent="0.15">
      <c r="A2851" s="2" t="s">
        <v>5954</v>
      </c>
      <c r="B2851" s="2" t="s">
        <v>5955</v>
      </c>
      <c r="C2851" s="2">
        <v>-5.18</v>
      </c>
      <c r="D2851" s="2">
        <v>131.7585</v>
      </c>
      <c r="E2851" s="2" t="s">
        <v>1608</v>
      </c>
      <c r="F2851" s="2" t="e">
        <f>VLOOKUP(B2851,MSCI中国成分股!A:B,1,)</f>
        <v>#N/A</v>
      </c>
    </row>
    <row r="2852" spans="1:6" ht="20.25" hidden="1" customHeight="1" x14ac:dyDescent="0.15">
      <c r="A2852" s="2" t="s">
        <v>5956</v>
      </c>
      <c r="B2852" s="2" t="s">
        <v>5957</v>
      </c>
      <c r="C2852" s="2">
        <v>0.04</v>
      </c>
      <c r="D2852" s="2">
        <v>1.2843</v>
      </c>
      <c r="E2852" s="2" t="s">
        <v>299</v>
      </c>
      <c r="F2852" s="2" t="e">
        <f>VLOOKUP(B2852,MSCI中国成分股!A:B,1,)</f>
        <v>#N/A</v>
      </c>
    </row>
    <row r="2853" spans="1:6" ht="20.25" hidden="1" customHeight="1" x14ac:dyDescent="0.15">
      <c r="A2853" s="2" t="s">
        <v>5958</v>
      </c>
      <c r="B2853" s="2" t="s">
        <v>5959</v>
      </c>
      <c r="C2853" s="2">
        <v>2.4550000000000001</v>
      </c>
      <c r="D2853" s="2">
        <v>1.0289999999999999</v>
      </c>
      <c r="E2853" s="2" t="s">
        <v>1243</v>
      </c>
      <c r="F2853" s="2" t="e">
        <f>VLOOKUP(B2853,MSCI中国成分股!A:B,1,)</f>
        <v>#N/A</v>
      </c>
    </row>
    <row r="2854" spans="1:6" ht="20.25" hidden="1" customHeight="1" x14ac:dyDescent="0.15">
      <c r="A2854" s="2" t="s">
        <v>5960</v>
      </c>
      <c r="B2854" s="2" t="s">
        <v>5961</v>
      </c>
      <c r="C2854" s="2">
        <v>0.85</v>
      </c>
      <c r="D2854" s="2">
        <v>3.9384000000000001</v>
      </c>
      <c r="E2854" s="2" t="s">
        <v>286</v>
      </c>
      <c r="F2854" s="2" t="e">
        <f>VLOOKUP(B2854,MSCI中国成分股!A:B,1,)</f>
        <v>#N/A</v>
      </c>
    </row>
    <row r="2855" spans="1:6" ht="20.25" hidden="1" customHeight="1" x14ac:dyDescent="0.15">
      <c r="A2855" s="2" t="s">
        <v>5962</v>
      </c>
      <c r="B2855" s="2" t="s">
        <v>5963</v>
      </c>
      <c r="C2855" s="2">
        <v>0.66</v>
      </c>
      <c r="D2855" s="2">
        <v>22.090499999999999</v>
      </c>
      <c r="E2855" s="2" t="s">
        <v>391</v>
      </c>
      <c r="F2855" s="2" t="e">
        <f>VLOOKUP(B2855,MSCI中国成分股!A:B,1,)</f>
        <v>#N/A</v>
      </c>
    </row>
    <row r="2856" spans="1:6" ht="20.25" hidden="1" customHeight="1" x14ac:dyDescent="0.15">
      <c r="A2856" s="2" t="s">
        <v>5964</v>
      </c>
      <c r="B2856" s="2" t="s">
        <v>5965</v>
      </c>
      <c r="C2856" s="2">
        <v>2.2200000000000002</v>
      </c>
      <c r="D2856" s="2">
        <v>0.48139999999999999</v>
      </c>
      <c r="E2856" s="2" t="s">
        <v>146</v>
      </c>
      <c r="F2856" s="2" t="e">
        <f>VLOOKUP(B2856,MSCI中国成分股!A:B,1,)</f>
        <v>#N/A</v>
      </c>
    </row>
    <row r="2857" spans="1:6" ht="20.25" hidden="1" customHeight="1" x14ac:dyDescent="0.15">
      <c r="A2857" s="2" t="s">
        <v>5966</v>
      </c>
      <c r="B2857" s="2" t="s">
        <v>5967</v>
      </c>
      <c r="C2857" s="2">
        <v>7.0000000000000007E-2</v>
      </c>
      <c r="D2857" s="2">
        <v>7.2481</v>
      </c>
      <c r="E2857" s="2" t="s">
        <v>657</v>
      </c>
      <c r="F2857" s="2" t="e">
        <f>VLOOKUP(B2857,MSCI中国成分股!A:B,1,)</f>
        <v>#N/A</v>
      </c>
    </row>
    <row r="2858" spans="1:6" ht="20.25" hidden="1" customHeight="1" x14ac:dyDescent="0.15">
      <c r="A2858" s="2" t="s">
        <v>5968</v>
      </c>
      <c r="B2858" s="2" t="s">
        <v>5969</v>
      </c>
      <c r="C2858" s="2">
        <v>0.08</v>
      </c>
      <c r="D2858" s="2">
        <v>5.8516000000000004</v>
      </c>
      <c r="E2858" s="2" t="s">
        <v>322</v>
      </c>
      <c r="F2858" s="2" t="e">
        <f>VLOOKUP(B2858,MSCI中国成分股!A:B,1,)</f>
        <v>#N/A</v>
      </c>
    </row>
    <row r="2859" spans="1:6" ht="20.25" hidden="1" customHeight="1" x14ac:dyDescent="0.15">
      <c r="A2859" s="2" t="s">
        <v>5970</v>
      </c>
      <c r="B2859" s="2" t="s">
        <v>5971</v>
      </c>
      <c r="C2859" s="2">
        <v>2.35</v>
      </c>
      <c r="D2859" s="2">
        <v>6.0313999999999997</v>
      </c>
      <c r="E2859" s="2" t="s">
        <v>260</v>
      </c>
      <c r="F2859" s="2" t="e">
        <f>VLOOKUP(B2859,MSCI中国成分股!A:B,1,)</f>
        <v>#N/A</v>
      </c>
    </row>
    <row r="2860" spans="1:6" ht="20.25" hidden="1" customHeight="1" x14ac:dyDescent="0.15">
      <c r="A2860" s="2" t="s">
        <v>5972</v>
      </c>
      <c r="B2860" s="2" t="s">
        <v>5973</v>
      </c>
      <c r="C2860" s="2">
        <v>-1.7</v>
      </c>
      <c r="D2860" s="2">
        <v>7.6303000000000001</v>
      </c>
      <c r="E2860" s="2" t="s">
        <v>3246</v>
      </c>
      <c r="F2860" s="2" t="e">
        <f>VLOOKUP(B2860,MSCI中国成分股!A:B,1,)</f>
        <v>#N/A</v>
      </c>
    </row>
    <row r="2861" spans="1:6" ht="20.25" hidden="1" customHeight="1" x14ac:dyDescent="0.15">
      <c r="A2861" s="2" t="s">
        <v>5974</v>
      </c>
      <c r="B2861" s="2" t="s">
        <v>5975</v>
      </c>
      <c r="C2861" s="2">
        <v>4.04</v>
      </c>
      <c r="D2861" s="2">
        <v>0.54900000000000004</v>
      </c>
      <c r="E2861" s="2" t="s">
        <v>201</v>
      </c>
      <c r="F2861" s="2" t="e">
        <f>VLOOKUP(B2861,MSCI中国成分股!A:B,1,)</f>
        <v>#N/A</v>
      </c>
    </row>
    <row r="2862" spans="1:6" ht="20.25" hidden="1" customHeight="1" x14ac:dyDescent="0.15">
      <c r="A2862" s="2" t="s">
        <v>5976</v>
      </c>
      <c r="B2862" s="2" t="s">
        <v>5977</v>
      </c>
      <c r="C2862" s="2">
        <v>0.74</v>
      </c>
      <c r="D2862" s="2">
        <v>0.73660000000000003</v>
      </c>
      <c r="E2862" s="2" t="s">
        <v>667</v>
      </c>
      <c r="F2862" s="2" t="e">
        <f>VLOOKUP(B2862,MSCI中国成分股!A:B,1,)</f>
        <v>#N/A</v>
      </c>
    </row>
    <row r="2863" spans="1:6" ht="20.25" hidden="1" customHeight="1" x14ac:dyDescent="0.15">
      <c r="A2863" s="2" t="s">
        <v>5978</v>
      </c>
      <c r="B2863" s="2" t="s">
        <v>5979</v>
      </c>
      <c r="C2863" s="2">
        <v>-0.04</v>
      </c>
      <c r="D2863" s="2">
        <v>3.8788</v>
      </c>
      <c r="E2863" s="2" t="s">
        <v>68</v>
      </c>
      <c r="F2863" s="2" t="e">
        <f>VLOOKUP(B2863,MSCI中国成分股!A:B,1,)</f>
        <v>#N/A</v>
      </c>
    </row>
    <row r="2864" spans="1:6" ht="20.25" hidden="1" customHeight="1" x14ac:dyDescent="0.15">
      <c r="A2864" s="2" t="s">
        <v>5980</v>
      </c>
      <c r="B2864" s="2" t="s">
        <v>5981</v>
      </c>
      <c r="C2864" s="2">
        <v>2.15</v>
      </c>
      <c r="D2864" s="2">
        <v>4.9119999999999999</v>
      </c>
      <c r="E2864" s="2" t="s">
        <v>365</v>
      </c>
      <c r="F2864" s="2" t="e">
        <f>VLOOKUP(B2864,MSCI中国成分股!A:B,1,)</f>
        <v>#N/A</v>
      </c>
    </row>
    <row r="2865" spans="1:6" ht="20.25" hidden="1" customHeight="1" x14ac:dyDescent="0.15">
      <c r="A2865" s="2" t="s">
        <v>5982</v>
      </c>
      <c r="B2865" s="2" t="s">
        <v>5983</v>
      </c>
      <c r="C2865" s="2">
        <v>2.04</v>
      </c>
      <c r="D2865" s="2">
        <v>1.0589999999999999</v>
      </c>
      <c r="E2865" s="2" t="s">
        <v>89</v>
      </c>
      <c r="F2865" s="2" t="e">
        <f>VLOOKUP(B2865,MSCI中国成分股!A:B,1,)</f>
        <v>#N/A</v>
      </c>
    </row>
    <row r="2866" spans="1:6" ht="20.25" hidden="1" customHeight="1" x14ac:dyDescent="0.15">
      <c r="A2866" s="2" t="s">
        <v>5984</v>
      </c>
      <c r="B2866" s="2" t="s">
        <v>5985</v>
      </c>
      <c r="C2866" s="2">
        <v>0.48</v>
      </c>
      <c r="D2866" s="2">
        <v>1.0697000000000001</v>
      </c>
      <c r="E2866" s="2" t="s">
        <v>430</v>
      </c>
      <c r="F2866" s="2" t="e">
        <f>VLOOKUP(B2866,MSCI中国成分股!A:B,1,)</f>
        <v>#N/A</v>
      </c>
    </row>
    <row r="2867" spans="1:6" ht="20.25" hidden="1" customHeight="1" x14ac:dyDescent="0.15">
      <c r="A2867" s="2" t="s">
        <v>5986</v>
      </c>
      <c r="B2867" s="2" t="s">
        <v>5987</v>
      </c>
      <c r="C2867" s="2">
        <v>2.2650000000000001</v>
      </c>
      <c r="D2867" s="2">
        <v>0.78500000000000003</v>
      </c>
      <c r="E2867" s="2" t="s">
        <v>713</v>
      </c>
      <c r="F2867" s="2" t="e">
        <f>VLOOKUP(B2867,MSCI中国成分股!A:B,1,)</f>
        <v>#N/A</v>
      </c>
    </row>
    <row r="2868" spans="1:6" ht="20.25" hidden="1" customHeight="1" x14ac:dyDescent="0.15">
      <c r="A2868" s="2" t="s">
        <v>5988</v>
      </c>
      <c r="B2868" s="2" t="s">
        <v>5989</v>
      </c>
      <c r="C2868" s="2">
        <v>-1.39</v>
      </c>
      <c r="D2868" s="2">
        <v>13.241300000000001</v>
      </c>
      <c r="E2868" s="2" t="s">
        <v>2678</v>
      </c>
      <c r="F2868" s="2" t="e">
        <f>VLOOKUP(B2868,MSCI中国成分股!A:B,1,)</f>
        <v>#N/A</v>
      </c>
    </row>
    <row r="2869" spans="1:6" ht="20.25" hidden="1" customHeight="1" x14ac:dyDescent="0.15">
      <c r="A2869" s="2" t="s">
        <v>5990</v>
      </c>
      <c r="B2869" s="2" t="s">
        <v>5991</v>
      </c>
      <c r="C2869" s="2">
        <v>0.81</v>
      </c>
      <c r="D2869" s="2">
        <v>1.738</v>
      </c>
      <c r="E2869" s="2" t="s">
        <v>1969</v>
      </c>
      <c r="F2869" s="2" t="e">
        <f>VLOOKUP(B2869,MSCI中国成分股!A:B,1,)</f>
        <v>#N/A</v>
      </c>
    </row>
    <row r="2870" spans="1:6" ht="20.25" hidden="1" customHeight="1" x14ac:dyDescent="0.15">
      <c r="A2870" s="2" t="s">
        <v>5992</v>
      </c>
      <c r="B2870" s="2" t="s">
        <v>5993</v>
      </c>
      <c r="C2870" s="2">
        <v>1.26</v>
      </c>
      <c r="D2870" s="2">
        <v>5.3197000000000001</v>
      </c>
      <c r="E2870" s="2" t="s">
        <v>421</v>
      </c>
      <c r="F2870" s="2" t="e">
        <f>VLOOKUP(B2870,MSCI中国成分股!A:B,1,)</f>
        <v>#N/A</v>
      </c>
    </row>
    <row r="2871" spans="1:6" ht="20.25" hidden="1" customHeight="1" x14ac:dyDescent="0.15">
      <c r="A2871" s="2" t="s">
        <v>5994</v>
      </c>
      <c r="B2871" s="2" t="s">
        <v>5995</v>
      </c>
      <c r="C2871" s="2">
        <v>1.33</v>
      </c>
      <c r="D2871" s="2">
        <v>0.53580000000000005</v>
      </c>
      <c r="E2871" s="2" t="s">
        <v>784</v>
      </c>
      <c r="F2871" s="2" t="e">
        <f>VLOOKUP(B2871,MSCI中国成分股!A:B,1,)</f>
        <v>#N/A</v>
      </c>
    </row>
    <row r="2872" spans="1:6" ht="20.25" hidden="1" customHeight="1" x14ac:dyDescent="0.15">
      <c r="A2872" s="2" t="s">
        <v>5996</v>
      </c>
      <c r="B2872" s="2" t="s">
        <v>5997</v>
      </c>
      <c r="C2872" s="2">
        <v>0.28999999999999998</v>
      </c>
      <c r="D2872" s="2">
        <v>2.6177000000000001</v>
      </c>
      <c r="E2872" s="2" t="s">
        <v>1094</v>
      </c>
      <c r="F2872" s="2" t="e">
        <f>VLOOKUP(B2872,MSCI中国成分股!A:B,1,)</f>
        <v>#N/A</v>
      </c>
    </row>
    <row r="2873" spans="1:6" ht="20.25" hidden="1" customHeight="1" x14ac:dyDescent="0.15">
      <c r="A2873" s="2" t="s">
        <v>5998</v>
      </c>
      <c r="B2873" s="2" t="s">
        <v>5999</v>
      </c>
      <c r="C2873" s="2">
        <v>0.53</v>
      </c>
      <c r="D2873" s="2">
        <v>4.8594999999999997</v>
      </c>
      <c r="E2873" s="2" t="s">
        <v>44</v>
      </c>
      <c r="F2873" s="2" t="e">
        <f>VLOOKUP(B2873,MSCI中国成分股!A:B,1,)</f>
        <v>#N/A</v>
      </c>
    </row>
    <row r="2874" spans="1:6" ht="20.25" hidden="1" customHeight="1" x14ac:dyDescent="0.15">
      <c r="A2874" s="2" t="s">
        <v>6000</v>
      </c>
      <c r="B2874" s="2" t="s">
        <v>6001</v>
      </c>
      <c r="C2874" s="2">
        <v>0.38</v>
      </c>
      <c r="D2874" s="2">
        <v>17.856999999999999</v>
      </c>
      <c r="E2874" s="2" t="s">
        <v>171</v>
      </c>
      <c r="F2874" s="2" t="e">
        <f>VLOOKUP(B2874,MSCI中国成分股!A:B,1,)</f>
        <v>#N/A</v>
      </c>
    </row>
    <row r="2875" spans="1:6" ht="20.25" hidden="1" customHeight="1" x14ac:dyDescent="0.15">
      <c r="A2875" s="2" t="s">
        <v>6002</v>
      </c>
      <c r="B2875" s="2" t="s">
        <v>6003</v>
      </c>
      <c r="C2875" s="2">
        <v>2.23</v>
      </c>
      <c r="D2875" s="2">
        <v>0.70760000000000001</v>
      </c>
      <c r="E2875" s="2" t="s">
        <v>784</v>
      </c>
      <c r="F2875" s="2" t="e">
        <f>VLOOKUP(B2875,MSCI中国成分股!A:B,1,)</f>
        <v>#N/A</v>
      </c>
    </row>
    <row r="2876" spans="1:6" ht="20.25" hidden="1" customHeight="1" x14ac:dyDescent="0.15">
      <c r="A2876" s="2" t="s">
        <v>6004</v>
      </c>
      <c r="B2876" s="2" t="s">
        <v>6005</v>
      </c>
      <c r="C2876" s="2">
        <v>-0.42</v>
      </c>
      <c r="D2876" s="2">
        <v>5.4390999999999998</v>
      </c>
      <c r="E2876" s="2" t="s">
        <v>982</v>
      </c>
      <c r="F2876" s="2" t="e">
        <f>VLOOKUP(B2876,MSCI中国成分股!A:B,1,)</f>
        <v>#N/A</v>
      </c>
    </row>
    <row r="2877" spans="1:6" ht="20.25" hidden="1" customHeight="1" x14ac:dyDescent="0.15">
      <c r="A2877" s="2" t="s">
        <v>6006</v>
      </c>
      <c r="B2877" s="2" t="s">
        <v>6007</v>
      </c>
      <c r="C2877" s="2">
        <v>1.55</v>
      </c>
      <c r="D2877" s="2">
        <v>1.3791</v>
      </c>
      <c r="E2877" s="2" t="s">
        <v>4720</v>
      </c>
      <c r="F2877" s="2" t="e">
        <f>VLOOKUP(B2877,MSCI中国成分股!A:B,1,)</f>
        <v>#N/A</v>
      </c>
    </row>
    <row r="2878" spans="1:6" ht="20.25" hidden="1" customHeight="1" x14ac:dyDescent="0.15">
      <c r="A2878" s="2" t="s">
        <v>6008</v>
      </c>
      <c r="B2878" s="2" t="s">
        <v>6009</v>
      </c>
      <c r="C2878" s="2">
        <v>0.91</v>
      </c>
      <c r="D2878" s="2">
        <v>0.182</v>
      </c>
      <c r="E2878" s="2" t="s">
        <v>157</v>
      </c>
      <c r="F2878" s="2" t="e">
        <f>VLOOKUP(B2878,MSCI中国成分股!A:B,1,)</f>
        <v>#N/A</v>
      </c>
    </row>
    <row r="2879" spans="1:6" ht="20.25" hidden="1" customHeight="1" x14ac:dyDescent="0.15">
      <c r="A2879" s="2" t="s">
        <v>6010</v>
      </c>
      <c r="B2879" s="2" t="s">
        <v>6011</v>
      </c>
      <c r="C2879" s="2">
        <v>-0.04</v>
      </c>
      <c r="D2879" s="2">
        <v>10.6812</v>
      </c>
      <c r="E2879" s="2" t="s">
        <v>2151</v>
      </c>
      <c r="F2879" s="2" t="e">
        <f>VLOOKUP(B2879,MSCI中国成分股!A:B,1,)</f>
        <v>#N/A</v>
      </c>
    </row>
    <row r="2880" spans="1:6" ht="20.25" hidden="1" customHeight="1" x14ac:dyDescent="0.15">
      <c r="A2880" s="2" t="s">
        <v>6012</v>
      </c>
      <c r="B2880" s="2" t="s">
        <v>6013</v>
      </c>
      <c r="C2880" s="2">
        <v>-0.5</v>
      </c>
      <c r="D2880" s="2">
        <v>14.075799999999999</v>
      </c>
      <c r="E2880" s="2" t="s">
        <v>225</v>
      </c>
      <c r="F2880" s="2" t="e">
        <f>VLOOKUP(B2880,MSCI中国成分股!A:B,1,)</f>
        <v>#N/A</v>
      </c>
    </row>
    <row r="2881" spans="1:6" ht="20.25" hidden="1" customHeight="1" x14ac:dyDescent="0.15">
      <c r="A2881" s="2" t="s">
        <v>6014</v>
      </c>
      <c r="B2881" s="2" t="s">
        <v>6015</v>
      </c>
      <c r="C2881" s="2">
        <v>0.33</v>
      </c>
      <c r="D2881" s="2">
        <v>0.1285</v>
      </c>
      <c r="E2881" s="2" t="s">
        <v>571</v>
      </c>
      <c r="F2881" s="2" t="e">
        <f>VLOOKUP(B2881,MSCI中国成分股!A:B,1,)</f>
        <v>#N/A</v>
      </c>
    </row>
    <row r="2882" spans="1:6" ht="20.25" hidden="1" customHeight="1" x14ac:dyDescent="0.15">
      <c r="A2882" s="2" t="s">
        <v>6016</v>
      </c>
      <c r="B2882" s="2" t="s">
        <v>6017</v>
      </c>
      <c r="C2882" s="2">
        <v>2.44</v>
      </c>
      <c r="D2882" s="2">
        <v>0.45929999999999999</v>
      </c>
      <c r="E2882" s="2" t="s">
        <v>647</v>
      </c>
      <c r="F2882" s="2" t="e">
        <f>VLOOKUP(B2882,MSCI中国成分股!A:B,1,)</f>
        <v>#N/A</v>
      </c>
    </row>
    <row r="2883" spans="1:6" ht="20.25" hidden="1" customHeight="1" x14ac:dyDescent="0.15">
      <c r="A2883" s="2" t="s">
        <v>6018</v>
      </c>
      <c r="B2883" s="2" t="s">
        <v>6019</v>
      </c>
      <c r="C2883" s="2">
        <v>0.2</v>
      </c>
      <c r="D2883" s="2">
        <v>3.1516999999999999</v>
      </c>
      <c r="E2883" s="2" t="s">
        <v>403</v>
      </c>
      <c r="F2883" s="2" t="e">
        <f>VLOOKUP(B2883,MSCI中国成分股!A:B,1,)</f>
        <v>#N/A</v>
      </c>
    </row>
    <row r="2884" spans="1:6" ht="20.25" hidden="1" customHeight="1" x14ac:dyDescent="0.15">
      <c r="A2884" s="2" t="s">
        <v>6020</v>
      </c>
      <c r="B2884" s="2" t="s">
        <v>6021</v>
      </c>
      <c r="C2884" s="2">
        <v>0.61</v>
      </c>
      <c r="D2884" s="2">
        <v>0.66700000000000004</v>
      </c>
      <c r="E2884" s="2" t="s">
        <v>391</v>
      </c>
      <c r="F2884" s="2" t="e">
        <f>VLOOKUP(B2884,MSCI中国成分股!A:B,1,)</f>
        <v>#N/A</v>
      </c>
    </row>
    <row r="2885" spans="1:6" ht="20.25" hidden="1" customHeight="1" x14ac:dyDescent="0.15">
      <c r="A2885" s="2" t="s">
        <v>6022</v>
      </c>
      <c r="B2885" s="2" t="s">
        <v>6023</v>
      </c>
      <c r="C2885" s="2">
        <v>1.07</v>
      </c>
      <c r="D2885" s="2">
        <v>1.2119</v>
      </c>
      <c r="E2885" s="2" t="s">
        <v>1420</v>
      </c>
      <c r="F2885" s="2" t="e">
        <f>VLOOKUP(B2885,MSCI中国成分股!A:B,1,)</f>
        <v>#N/A</v>
      </c>
    </row>
    <row r="2886" spans="1:6" ht="20.25" hidden="1" customHeight="1" x14ac:dyDescent="0.15">
      <c r="A2886" s="2" t="s">
        <v>6024</v>
      </c>
      <c r="B2886" s="2" t="s">
        <v>6025</v>
      </c>
      <c r="C2886" s="2">
        <v>2.06</v>
      </c>
      <c r="D2886" s="2">
        <v>0.96299999999999997</v>
      </c>
      <c r="E2886" s="2" t="s">
        <v>356</v>
      </c>
      <c r="F2886" s="2" t="e">
        <f>VLOOKUP(B2886,MSCI中国成分股!A:B,1,)</f>
        <v>#N/A</v>
      </c>
    </row>
    <row r="2887" spans="1:6" ht="20.25" hidden="1" customHeight="1" x14ac:dyDescent="0.15">
      <c r="A2887" s="2" t="s">
        <v>6026</v>
      </c>
      <c r="B2887" s="2" t="s">
        <v>6027</v>
      </c>
      <c r="C2887" s="2">
        <v>1.6950000000000001</v>
      </c>
      <c r="D2887" s="2">
        <v>1.3459000000000001</v>
      </c>
      <c r="E2887" s="2" t="s">
        <v>391</v>
      </c>
      <c r="F2887" s="2" t="e">
        <f>VLOOKUP(B2887,MSCI中国成分股!A:B,1,)</f>
        <v>#N/A</v>
      </c>
    </row>
    <row r="2888" spans="1:6" ht="20.25" hidden="1" customHeight="1" x14ac:dyDescent="0.15">
      <c r="A2888" s="2" t="s">
        <v>6028</v>
      </c>
      <c r="B2888" s="2" t="s">
        <v>6029</v>
      </c>
      <c r="C2888" s="2">
        <v>0.83499999999999996</v>
      </c>
      <c r="D2888" s="2">
        <v>47.322299999999998</v>
      </c>
      <c r="E2888" s="2" t="s">
        <v>657</v>
      </c>
      <c r="F2888" s="2" t="e">
        <f>VLOOKUP(B2888,MSCI中国成分股!A:B,1,)</f>
        <v>#N/A</v>
      </c>
    </row>
    <row r="2889" spans="1:6" ht="20.25" hidden="1" customHeight="1" x14ac:dyDescent="0.15">
      <c r="A2889" s="2" t="s">
        <v>6030</v>
      </c>
      <c r="B2889" s="2" t="s">
        <v>6031</v>
      </c>
      <c r="C2889" s="2">
        <v>1.33</v>
      </c>
      <c r="D2889" s="2">
        <v>3.7995999999999999</v>
      </c>
      <c r="E2889" s="2" t="s">
        <v>3053</v>
      </c>
      <c r="F2889" s="2" t="e">
        <f>VLOOKUP(B2889,MSCI中国成分股!A:B,1,)</f>
        <v>#N/A</v>
      </c>
    </row>
    <row r="2890" spans="1:6" ht="20.25" hidden="1" customHeight="1" x14ac:dyDescent="0.15">
      <c r="A2890" s="2" t="s">
        <v>6032</v>
      </c>
      <c r="B2890" s="2" t="s">
        <v>6033</v>
      </c>
      <c r="C2890" s="2">
        <v>0.53</v>
      </c>
      <c r="D2890" s="2">
        <v>2.4262000000000001</v>
      </c>
      <c r="E2890" s="2" t="s">
        <v>201</v>
      </c>
      <c r="F2890" s="2" t="e">
        <f>VLOOKUP(B2890,MSCI中国成分股!A:B,1,)</f>
        <v>#N/A</v>
      </c>
    </row>
    <row r="2891" spans="1:6" ht="20.25" hidden="1" customHeight="1" x14ac:dyDescent="0.15">
      <c r="A2891" s="2" t="s">
        <v>6034</v>
      </c>
      <c r="B2891" s="2" t="s">
        <v>6035</v>
      </c>
      <c r="C2891" s="2">
        <v>0.19</v>
      </c>
      <c r="D2891" s="2">
        <v>0.37269999999999998</v>
      </c>
      <c r="E2891" s="2" t="s">
        <v>220</v>
      </c>
      <c r="F2891" s="2" t="e">
        <f>VLOOKUP(B2891,MSCI中国成分股!A:B,1,)</f>
        <v>#N/A</v>
      </c>
    </row>
    <row r="2892" spans="1:6" ht="20.25" hidden="1" customHeight="1" x14ac:dyDescent="0.15">
      <c r="A2892" s="2" t="s">
        <v>6036</v>
      </c>
      <c r="B2892" s="2" t="s">
        <v>6037</v>
      </c>
      <c r="C2892" s="2">
        <v>-3.24</v>
      </c>
      <c r="D2892" s="2">
        <v>184.7627</v>
      </c>
      <c r="E2892" s="2" t="s">
        <v>1094</v>
      </c>
      <c r="F2892" s="2" t="e">
        <f>VLOOKUP(B2892,MSCI中国成分股!A:B,1,)</f>
        <v>#N/A</v>
      </c>
    </row>
    <row r="2893" spans="1:6" ht="20.25" hidden="1" customHeight="1" x14ac:dyDescent="0.15">
      <c r="A2893" s="2" t="s">
        <v>6038</v>
      </c>
      <c r="B2893" s="2" t="s">
        <v>6039</v>
      </c>
      <c r="C2893" s="2">
        <v>2.09</v>
      </c>
      <c r="D2893" s="2">
        <v>3.0446</v>
      </c>
      <c r="E2893" s="2" t="s">
        <v>596</v>
      </c>
      <c r="F2893" s="2" t="e">
        <f>VLOOKUP(B2893,MSCI中国成分股!A:B,1,)</f>
        <v>#N/A</v>
      </c>
    </row>
    <row r="2894" spans="1:6" ht="20.25" hidden="1" customHeight="1" x14ac:dyDescent="0.15">
      <c r="A2894" s="2" t="s">
        <v>6040</v>
      </c>
      <c r="B2894" s="2" t="s">
        <v>6041</v>
      </c>
      <c r="C2894" s="2">
        <v>0.36</v>
      </c>
      <c r="D2894" s="2">
        <v>154.5061</v>
      </c>
      <c r="E2894" s="2" t="s">
        <v>1873</v>
      </c>
      <c r="F2894" s="2" t="e">
        <f>VLOOKUP(B2894,MSCI中国成分股!A:B,1,)</f>
        <v>#N/A</v>
      </c>
    </row>
    <row r="2895" spans="1:6" ht="20.25" hidden="1" customHeight="1" x14ac:dyDescent="0.15">
      <c r="A2895" s="2" t="s">
        <v>6042</v>
      </c>
      <c r="B2895" s="2" t="s">
        <v>6043</v>
      </c>
      <c r="C2895" s="2">
        <v>0.49</v>
      </c>
      <c r="D2895" s="2">
        <v>8.7400000000000005E-2</v>
      </c>
      <c r="E2895" s="2" t="s">
        <v>596</v>
      </c>
      <c r="F2895" s="2" t="e">
        <f>VLOOKUP(B2895,MSCI中国成分股!A:B,1,)</f>
        <v>#N/A</v>
      </c>
    </row>
    <row r="2896" spans="1:6" ht="20.25" hidden="1" customHeight="1" x14ac:dyDescent="0.15">
      <c r="A2896" s="2" t="s">
        <v>6044</v>
      </c>
      <c r="B2896" s="2" t="s">
        <v>6045</v>
      </c>
      <c r="C2896" s="2">
        <v>-0.79</v>
      </c>
      <c r="D2896" s="2">
        <v>1.3472999999999999</v>
      </c>
      <c r="E2896" s="2" t="s">
        <v>483</v>
      </c>
      <c r="F2896" s="2" t="e">
        <f>VLOOKUP(B2896,MSCI中国成分股!A:B,1,)</f>
        <v>#N/A</v>
      </c>
    </row>
    <row r="2897" spans="1:6" ht="20.25" hidden="1" customHeight="1" x14ac:dyDescent="0.15">
      <c r="A2897" s="2" t="s">
        <v>6046</v>
      </c>
      <c r="B2897" s="2" t="s">
        <v>6047</v>
      </c>
      <c r="C2897" s="2">
        <v>1.1000000000000001</v>
      </c>
      <c r="D2897" s="2">
        <v>3.0344000000000002</v>
      </c>
      <c r="E2897" s="2" t="s">
        <v>574</v>
      </c>
      <c r="F2897" s="2" t="e">
        <f>VLOOKUP(B2897,MSCI中国成分股!A:B,1,)</f>
        <v>#N/A</v>
      </c>
    </row>
    <row r="2898" spans="1:6" ht="20.25" hidden="1" customHeight="1" x14ac:dyDescent="0.15">
      <c r="A2898" s="2" t="s">
        <v>6048</v>
      </c>
      <c r="B2898" s="2" t="s">
        <v>6049</v>
      </c>
      <c r="C2898" s="2">
        <v>0.03</v>
      </c>
      <c r="D2898" s="2">
        <v>10.409599999999999</v>
      </c>
      <c r="E2898" s="2" t="s">
        <v>667</v>
      </c>
      <c r="F2898" s="2" t="e">
        <f>VLOOKUP(B2898,MSCI中国成分股!A:B,1,)</f>
        <v>#N/A</v>
      </c>
    </row>
    <row r="2899" spans="1:6" ht="20.25" hidden="1" customHeight="1" x14ac:dyDescent="0.15">
      <c r="A2899" s="2" t="s">
        <v>6050</v>
      </c>
      <c r="B2899" s="2" t="s">
        <v>6051</v>
      </c>
      <c r="C2899" s="2">
        <v>0.47</v>
      </c>
      <c r="D2899" s="2">
        <v>113.39870000000001</v>
      </c>
      <c r="E2899" s="2" t="s">
        <v>299</v>
      </c>
      <c r="F2899" s="2" t="e">
        <f>VLOOKUP(B2899,MSCI中国成分股!A:B,1,)</f>
        <v>#N/A</v>
      </c>
    </row>
    <row r="2900" spans="1:6" ht="20.25" hidden="1" customHeight="1" x14ac:dyDescent="0.15">
      <c r="A2900" s="2" t="s">
        <v>6052</v>
      </c>
      <c r="B2900" s="2" t="s">
        <v>6053</v>
      </c>
      <c r="C2900" s="2">
        <v>0.25</v>
      </c>
      <c r="D2900" s="2">
        <v>124.57810000000001</v>
      </c>
      <c r="E2900" s="2" t="s">
        <v>1853</v>
      </c>
      <c r="F2900" s="2" t="e">
        <f>VLOOKUP(B2900,MSCI中国成分股!A:B,1,)</f>
        <v>#N/A</v>
      </c>
    </row>
    <row r="2901" spans="1:6" ht="20.25" hidden="1" customHeight="1" x14ac:dyDescent="0.15">
      <c r="A2901" s="2" t="s">
        <v>6054</v>
      </c>
      <c r="B2901" s="2" t="s">
        <v>6055</v>
      </c>
      <c r="C2901" s="2">
        <v>0.48</v>
      </c>
      <c r="D2901" s="2">
        <v>5.9393000000000002</v>
      </c>
      <c r="E2901" s="2" t="s">
        <v>299</v>
      </c>
      <c r="F2901" s="2" t="e">
        <f>VLOOKUP(B2901,MSCI中国成分股!A:B,1,)</f>
        <v>#N/A</v>
      </c>
    </row>
    <row r="2902" spans="1:6" ht="20.25" hidden="1" customHeight="1" x14ac:dyDescent="0.15">
      <c r="A2902" s="2" t="s">
        <v>6056</v>
      </c>
      <c r="B2902" s="2" t="s">
        <v>6057</v>
      </c>
      <c r="C2902" s="2">
        <v>2.0449999999999999</v>
      </c>
      <c r="D2902" s="2">
        <v>0.79330000000000001</v>
      </c>
      <c r="E2902" s="2" t="s">
        <v>1680</v>
      </c>
      <c r="F2902" s="2" t="e">
        <f>VLOOKUP(B2902,MSCI中国成分股!A:B,1,)</f>
        <v>#N/A</v>
      </c>
    </row>
    <row r="2903" spans="1:6" ht="20.25" hidden="1" customHeight="1" x14ac:dyDescent="0.15">
      <c r="A2903" s="2" t="s">
        <v>6058</v>
      </c>
      <c r="B2903" s="2" t="s">
        <v>6059</v>
      </c>
      <c r="C2903" s="2">
        <v>2.0350000000000001</v>
      </c>
      <c r="D2903" s="2">
        <v>0.64</v>
      </c>
      <c r="E2903" s="2" t="s">
        <v>647</v>
      </c>
      <c r="F2903" s="2" t="e">
        <f>VLOOKUP(B2903,MSCI中国成分股!A:B,1,)</f>
        <v>#N/A</v>
      </c>
    </row>
    <row r="2904" spans="1:6" ht="20.25" hidden="1" customHeight="1" x14ac:dyDescent="0.15">
      <c r="A2904" s="2" t="s">
        <v>6060</v>
      </c>
      <c r="B2904" s="2" t="s">
        <v>6061</v>
      </c>
      <c r="C2904" s="2">
        <v>1.47</v>
      </c>
      <c r="D2904" s="2">
        <v>0.4158</v>
      </c>
      <c r="E2904" s="2" t="s">
        <v>35</v>
      </c>
      <c r="F2904" s="2" t="e">
        <f>VLOOKUP(B2904,MSCI中国成分股!A:B,1,)</f>
        <v>#N/A</v>
      </c>
    </row>
    <row r="2905" spans="1:6" ht="20.25" hidden="1" customHeight="1" x14ac:dyDescent="0.15">
      <c r="A2905" s="2" t="s">
        <v>6062</v>
      </c>
      <c r="B2905" s="2" t="s">
        <v>6063</v>
      </c>
      <c r="C2905" s="2">
        <v>0.05</v>
      </c>
      <c r="D2905" s="2">
        <v>63.817700000000002</v>
      </c>
      <c r="E2905" s="2" t="s">
        <v>35</v>
      </c>
      <c r="F2905" s="2" t="e">
        <f>VLOOKUP(B2905,MSCI中国成分股!A:B,1,)</f>
        <v>#N/A</v>
      </c>
    </row>
    <row r="2906" spans="1:6" ht="20.25" hidden="1" customHeight="1" x14ac:dyDescent="0.15">
      <c r="A2906" s="2" t="s">
        <v>6064</v>
      </c>
      <c r="B2906" s="2" t="s">
        <v>6065</v>
      </c>
      <c r="C2906" s="2">
        <v>0.68</v>
      </c>
      <c r="D2906" s="2">
        <v>0.82889999999999997</v>
      </c>
      <c r="E2906" s="2" t="s">
        <v>406</v>
      </c>
      <c r="F2906" s="2" t="e">
        <f>VLOOKUP(B2906,MSCI中国成分股!A:B,1,)</f>
        <v>#N/A</v>
      </c>
    </row>
    <row r="2907" spans="1:6" ht="20.25" hidden="1" customHeight="1" x14ac:dyDescent="0.15">
      <c r="A2907" s="2" t="s">
        <v>6066</v>
      </c>
      <c r="B2907" s="2" t="s">
        <v>6067</v>
      </c>
      <c r="C2907" s="2">
        <v>0.435</v>
      </c>
      <c r="D2907" s="2">
        <v>3.0219999999999998</v>
      </c>
      <c r="E2907" s="2" t="s">
        <v>35</v>
      </c>
      <c r="F2907" s="2" t="e">
        <f>VLOOKUP(B2907,MSCI中国成分股!A:B,1,)</f>
        <v>#N/A</v>
      </c>
    </row>
    <row r="2908" spans="1:6" ht="20.25" hidden="1" customHeight="1" x14ac:dyDescent="0.15">
      <c r="A2908" s="2" t="s">
        <v>6068</v>
      </c>
      <c r="B2908" s="2" t="s">
        <v>6069</v>
      </c>
      <c r="C2908" s="2">
        <v>1.48</v>
      </c>
      <c r="D2908" s="2">
        <v>140.0335</v>
      </c>
      <c r="E2908" s="2" t="s">
        <v>647</v>
      </c>
      <c r="F2908" s="2" t="e">
        <f>VLOOKUP(B2908,MSCI中国成分股!A:B,1,)</f>
        <v>#N/A</v>
      </c>
    </row>
    <row r="2909" spans="1:6" ht="20.25" hidden="1" customHeight="1" x14ac:dyDescent="0.15">
      <c r="A2909" s="2" t="s">
        <v>6070</v>
      </c>
      <c r="B2909" s="2" t="s">
        <v>6071</v>
      </c>
      <c r="C2909" s="2">
        <v>1.05</v>
      </c>
      <c r="D2909" s="2">
        <v>0.81540000000000001</v>
      </c>
      <c r="E2909" s="2" t="s">
        <v>794</v>
      </c>
      <c r="F2909" s="2" t="e">
        <f>VLOOKUP(B2909,MSCI中国成分股!A:B,1,)</f>
        <v>#N/A</v>
      </c>
    </row>
    <row r="2910" spans="1:6" ht="20.25" hidden="1" customHeight="1" x14ac:dyDescent="0.15">
      <c r="A2910" s="2" t="s">
        <v>6072</v>
      </c>
      <c r="B2910" s="2" t="s">
        <v>6073</v>
      </c>
      <c r="C2910" s="2">
        <v>0.09</v>
      </c>
      <c r="D2910" s="2">
        <v>13402.2423</v>
      </c>
      <c r="E2910" s="2" t="s">
        <v>123</v>
      </c>
      <c r="F2910" s="2" t="e">
        <f>VLOOKUP(B2910,MSCI中国成分股!A:B,1,)</f>
        <v>#N/A</v>
      </c>
    </row>
    <row r="2911" spans="1:6" ht="20.25" hidden="1" customHeight="1" x14ac:dyDescent="0.15">
      <c r="A2911" s="2" t="s">
        <v>6074</v>
      </c>
      <c r="B2911" s="2" t="s">
        <v>6075</v>
      </c>
      <c r="C2911" s="2">
        <v>0.06</v>
      </c>
      <c r="D2911" s="2">
        <v>1.1373</v>
      </c>
      <c r="E2911" s="2" t="s">
        <v>1691</v>
      </c>
      <c r="F2911" s="2" t="e">
        <f>VLOOKUP(B2911,MSCI中国成分股!A:B,1,)</f>
        <v>#N/A</v>
      </c>
    </row>
    <row r="2912" spans="1:6" ht="20.25" hidden="1" customHeight="1" x14ac:dyDescent="0.15">
      <c r="A2912" s="2" t="s">
        <v>6076</v>
      </c>
      <c r="B2912" s="2" t="s">
        <v>6077</v>
      </c>
      <c r="C2912" s="2">
        <v>2.08</v>
      </c>
      <c r="D2912" s="2">
        <v>1.7887999999999999</v>
      </c>
      <c r="E2912" s="2" t="s">
        <v>406</v>
      </c>
      <c r="F2912" s="2" t="e">
        <f>VLOOKUP(B2912,MSCI中国成分股!A:B,1,)</f>
        <v>#N/A</v>
      </c>
    </row>
    <row r="2913" spans="1:6" ht="20.25" hidden="1" customHeight="1" x14ac:dyDescent="0.15">
      <c r="A2913" s="2" t="s">
        <v>6078</v>
      </c>
      <c r="B2913" s="2" t="s">
        <v>6079</v>
      </c>
      <c r="C2913" s="2">
        <v>-0.54</v>
      </c>
      <c r="D2913" s="2">
        <v>1.974</v>
      </c>
      <c r="E2913" s="2" t="s">
        <v>299</v>
      </c>
      <c r="F2913" s="2" t="e">
        <f>VLOOKUP(B2913,MSCI中国成分股!A:B,1,)</f>
        <v>#N/A</v>
      </c>
    </row>
    <row r="2914" spans="1:6" ht="20.25" hidden="1" customHeight="1" x14ac:dyDescent="0.15">
      <c r="A2914" s="2" t="s">
        <v>6080</v>
      </c>
      <c r="B2914" s="2" t="s">
        <v>6081</v>
      </c>
      <c r="C2914" s="2">
        <v>-0.1</v>
      </c>
      <c r="D2914" s="2">
        <v>52.384300000000003</v>
      </c>
      <c r="E2914" s="2" t="s">
        <v>81</v>
      </c>
      <c r="F2914" s="2" t="e">
        <f>VLOOKUP(B2914,MSCI中国成分股!A:B,1,)</f>
        <v>#N/A</v>
      </c>
    </row>
    <row r="2915" spans="1:6" ht="20.25" hidden="1" customHeight="1" x14ac:dyDescent="0.15">
      <c r="A2915" s="2" t="s">
        <v>6082</v>
      </c>
      <c r="B2915" s="2" t="s">
        <v>6083</v>
      </c>
      <c r="C2915" s="2">
        <v>1.9450000000000001</v>
      </c>
      <c r="D2915" s="2">
        <v>8.5528999999999993</v>
      </c>
      <c r="E2915" s="2" t="s">
        <v>1712</v>
      </c>
      <c r="F2915" s="2" t="e">
        <f>VLOOKUP(B2915,MSCI中国成分股!A:B,1,)</f>
        <v>#N/A</v>
      </c>
    </row>
    <row r="2916" spans="1:6" ht="20.25" hidden="1" customHeight="1" x14ac:dyDescent="0.15">
      <c r="A2916" s="2" t="s">
        <v>6084</v>
      </c>
      <c r="B2916" s="2" t="s">
        <v>6085</v>
      </c>
      <c r="C2916" s="2">
        <v>-0.43</v>
      </c>
      <c r="D2916" s="2">
        <v>9.6762999999999995</v>
      </c>
      <c r="E2916" s="2" t="s">
        <v>299</v>
      </c>
      <c r="F2916" s="2" t="e">
        <f>VLOOKUP(B2916,MSCI中国成分股!A:B,1,)</f>
        <v>#N/A</v>
      </c>
    </row>
    <row r="2917" spans="1:6" ht="20.25" hidden="1" customHeight="1" x14ac:dyDescent="0.15">
      <c r="A2917" s="2" t="s">
        <v>6086</v>
      </c>
      <c r="B2917" s="2" t="s">
        <v>6087</v>
      </c>
      <c r="C2917" s="2">
        <v>0.8</v>
      </c>
      <c r="D2917" s="2">
        <v>59.438299999999998</v>
      </c>
      <c r="E2917" s="2" t="s">
        <v>1608</v>
      </c>
      <c r="F2917" s="2" t="e">
        <f>VLOOKUP(B2917,MSCI中国成分股!A:B,1,)</f>
        <v>#N/A</v>
      </c>
    </row>
    <row r="2918" spans="1:6" ht="20.25" hidden="1" customHeight="1" x14ac:dyDescent="0.15">
      <c r="A2918" s="2" t="s">
        <v>6088</v>
      </c>
      <c r="B2918" s="2" t="s">
        <v>6089</v>
      </c>
      <c r="C2918" s="2">
        <v>1.1599999999999999</v>
      </c>
      <c r="D2918" s="2">
        <v>2.1076000000000001</v>
      </c>
      <c r="E2918" s="2" t="s">
        <v>1102</v>
      </c>
      <c r="F2918" s="2" t="e">
        <f>VLOOKUP(B2918,MSCI中国成分股!A:B,1,)</f>
        <v>#N/A</v>
      </c>
    </row>
    <row r="2919" spans="1:6" ht="20.25" hidden="1" customHeight="1" x14ac:dyDescent="0.15">
      <c r="A2919" s="2" t="s">
        <v>6090</v>
      </c>
      <c r="B2919" s="2" t="s">
        <v>6091</v>
      </c>
      <c r="C2919" s="2">
        <v>1.19</v>
      </c>
      <c r="D2919" s="2">
        <v>191.8527</v>
      </c>
      <c r="E2919" s="2" t="s">
        <v>391</v>
      </c>
      <c r="F2919" s="2" t="e">
        <f>VLOOKUP(B2919,MSCI中国成分股!A:B,1,)</f>
        <v>#N/A</v>
      </c>
    </row>
    <row r="2920" spans="1:6" ht="20.25" hidden="1" customHeight="1" x14ac:dyDescent="0.15">
      <c r="A2920" s="2" t="s">
        <v>6092</v>
      </c>
      <c r="B2920" s="2" t="s">
        <v>6093</v>
      </c>
      <c r="C2920" s="2">
        <v>0.75</v>
      </c>
      <c r="D2920" s="2">
        <v>74.601900000000001</v>
      </c>
      <c r="E2920" s="2" t="s">
        <v>542</v>
      </c>
      <c r="F2920" s="2" t="e">
        <f>VLOOKUP(B2920,MSCI中国成分股!A:B,1,)</f>
        <v>#N/A</v>
      </c>
    </row>
    <row r="2921" spans="1:6" ht="20.25" hidden="1" customHeight="1" x14ac:dyDescent="0.15">
      <c r="A2921" s="2" t="s">
        <v>6094</v>
      </c>
      <c r="B2921" s="2" t="s">
        <v>6095</v>
      </c>
      <c r="C2921" s="2">
        <v>-1.43</v>
      </c>
      <c r="D2921" s="2">
        <v>3.5276000000000001</v>
      </c>
      <c r="E2921" s="2" t="s">
        <v>3053</v>
      </c>
      <c r="F2921" s="2" t="e">
        <f>VLOOKUP(B2921,MSCI中国成分股!A:B,1,)</f>
        <v>#N/A</v>
      </c>
    </row>
    <row r="2922" spans="1:6" ht="20.25" hidden="1" customHeight="1" x14ac:dyDescent="0.15">
      <c r="A2922" s="2" t="s">
        <v>6096</v>
      </c>
      <c r="B2922" s="2" t="s">
        <v>6097</v>
      </c>
      <c r="C2922" s="2">
        <v>0.87</v>
      </c>
      <c r="D2922" s="2">
        <v>2.7942999999999998</v>
      </c>
      <c r="E2922" s="2" t="s">
        <v>35</v>
      </c>
      <c r="F2922" s="2" t="e">
        <f>VLOOKUP(B2922,MSCI中国成分股!A:B,1,)</f>
        <v>#N/A</v>
      </c>
    </row>
    <row r="2923" spans="1:6" ht="20.25" hidden="1" customHeight="1" x14ac:dyDescent="0.15">
      <c r="A2923" s="2" t="s">
        <v>6098</v>
      </c>
      <c r="B2923" s="2" t="s">
        <v>6099</v>
      </c>
      <c r="C2923" s="2">
        <v>-1.02</v>
      </c>
      <c r="D2923" s="2">
        <v>19.085699999999999</v>
      </c>
      <c r="E2923" s="2" t="s">
        <v>1459</v>
      </c>
      <c r="F2923" s="2" t="e">
        <f>VLOOKUP(B2923,MSCI中国成分股!A:B,1,)</f>
        <v>#N/A</v>
      </c>
    </row>
    <row r="2924" spans="1:6" ht="20.25" hidden="1" customHeight="1" x14ac:dyDescent="0.15">
      <c r="A2924" s="2" t="s">
        <v>6100</v>
      </c>
      <c r="B2924" s="2" t="s">
        <v>6101</v>
      </c>
      <c r="C2924" s="2">
        <v>1.7150000000000001</v>
      </c>
      <c r="D2924" s="2">
        <v>9.0101999999999993</v>
      </c>
      <c r="E2924" s="2" t="s">
        <v>418</v>
      </c>
      <c r="F2924" s="2" t="e">
        <f>VLOOKUP(B2924,MSCI中国成分股!A:B,1,)</f>
        <v>#N/A</v>
      </c>
    </row>
    <row r="2925" spans="1:6" ht="20.25" hidden="1" customHeight="1" x14ac:dyDescent="0.15">
      <c r="A2925" s="2" t="s">
        <v>6102</v>
      </c>
      <c r="B2925" s="2" t="s">
        <v>6103</v>
      </c>
      <c r="C2925" s="2">
        <v>0.88</v>
      </c>
      <c r="D2925" s="2">
        <v>1.5358000000000001</v>
      </c>
      <c r="E2925" s="2" t="s">
        <v>388</v>
      </c>
      <c r="F2925" s="2" t="e">
        <f>VLOOKUP(B2925,MSCI中国成分股!A:B,1,)</f>
        <v>#N/A</v>
      </c>
    </row>
    <row r="2926" spans="1:6" ht="20.25" hidden="1" customHeight="1" x14ac:dyDescent="0.15">
      <c r="A2926" s="2" t="s">
        <v>6104</v>
      </c>
      <c r="B2926" s="2" t="s">
        <v>6105</v>
      </c>
      <c r="C2926" s="2">
        <v>3.72</v>
      </c>
      <c r="D2926" s="2">
        <v>0.86980000000000002</v>
      </c>
      <c r="E2926" s="2" t="s">
        <v>359</v>
      </c>
      <c r="F2926" s="2" t="e">
        <f>VLOOKUP(B2926,MSCI中国成分股!A:B,1,)</f>
        <v>#N/A</v>
      </c>
    </row>
    <row r="2927" spans="1:6" ht="20.25" hidden="1" customHeight="1" x14ac:dyDescent="0.15">
      <c r="A2927" s="2" t="s">
        <v>6106</v>
      </c>
      <c r="B2927" s="2" t="s">
        <v>6107</v>
      </c>
      <c r="C2927" s="2">
        <v>1.17</v>
      </c>
      <c r="D2927" s="2">
        <v>0.25659999999999999</v>
      </c>
      <c r="E2927" s="2" t="s">
        <v>310</v>
      </c>
      <c r="F2927" s="2" t="e">
        <f>VLOOKUP(B2927,MSCI中国成分股!A:B,1,)</f>
        <v>#N/A</v>
      </c>
    </row>
    <row r="2928" spans="1:6" ht="20.25" hidden="1" customHeight="1" x14ac:dyDescent="0.15">
      <c r="A2928" s="2" t="s">
        <v>6108</v>
      </c>
      <c r="B2928" s="2" t="s">
        <v>6109</v>
      </c>
      <c r="C2928" s="2">
        <v>1.88</v>
      </c>
      <c r="D2928" s="2">
        <v>3.9754</v>
      </c>
      <c r="E2928" s="2" t="s">
        <v>421</v>
      </c>
      <c r="F2928" s="2" t="e">
        <f>VLOOKUP(B2928,MSCI中国成分股!A:B,1,)</f>
        <v>#N/A</v>
      </c>
    </row>
    <row r="2929" spans="1:6" ht="20.25" hidden="1" customHeight="1" x14ac:dyDescent="0.15">
      <c r="A2929" s="2" t="s">
        <v>6110</v>
      </c>
      <c r="B2929" s="2" t="s">
        <v>6111</v>
      </c>
      <c r="C2929" s="2">
        <v>0.06</v>
      </c>
      <c r="D2929" s="2">
        <v>6.3190999999999997</v>
      </c>
      <c r="E2929" s="2" t="s">
        <v>1061</v>
      </c>
      <c r="F2929" s="2" t="e">
        <f>VLOOKUP(B2929,MSCI中国成分股!A:B,1,)</f>
        <v>#N/A</v>
      </c>
    </row>
    <row r="2930" spans="1:6" ht="20.25" hidden="1" customHeight="1" x14ac:dyDescent="0.15">
      <c r="A2930" s="2" t="s">
        <v>6112</v>
      </c>
      <c r="B2930" s="2" t="s">
        <v>6113</v>
      </c>
      <c r="C2930" s="2">
        <v>1.61</v>
      </c>
      <c r="D2930" s="2">
        <v>0.44009999999999999</v>
      </c>
      <c r="E2930" s="2" t="s">
        <v>690</v>
      </c>
      <c r="F2930" s="2" t="e">
        <f>VLOOKUP(B2930,MSCI中国成分股!A:B,1,)</f>
        <v>#N/A</v>
      </c>
    </row>
    <row r="2931" spans="1:6" ht="20.25" hidden="1" customHeight="1" x14ac:dyDescent="0.15">
      <c r="A2931" s="2" t="s">
        <v>6114</v>
      </c>
      <c r="B2931" s="2" t="s">
        <v>6115</v>
      </c>
      <c r="C2931" s="2">
        <v>2.88</v>
      </c>
      <c r="D2931" s="2">
        <v>1.5101</v>
      </c>
      <c r="E2931" s="2" t="s">
        <v>1139</v>
      </c>
      <c r="F2931" s="2" t="e">
        <f>VLOOKUP(B2931,MSCI中国成分股!A:B,1,)</f>
        <v>#N/A</v>
      </c>
    </row>
    <row r="2932" spans="1:6" ht="20.25" hidden="1" customHeight="1" x14ac:dyDescent="0.15">
      <c r="A2932" s="2" t="s">
        <v>6116</v>
      </c>
      <c r="B2932" s="2" t="s">
        <v>6117</v>
      </c>
      <c r="C2932" s="2">
        <v>-1.01</v>
      </c>
      <c r="D2932" s="2">
        <v>29.569400000000002</v>
      </c>
      <c r="E2932" s="2" t="s">
        <v>391</v>
      </c>
      <c r="F2932" s="2" t="e">
        <f>VLOOKUP(B2932,MSCI中国成分股!A:B,1,)</f>
        <v>#N/A</v>
      </c>
    </row>
    <row r="2933" spans="1:6" ht="20.25" hidden="1" customHeight="1" x14ac:dyDescent="0.15">
      <c r="A2933" s="2" t="s">
        <v>6118</v>
      </c>
      <c r="B2933" s="2" t="s">
        <v>6119</v>
      </c>
      <c r="C2933" s="2">
        <v>2.5000000000000001E-2</v>
      </c>
      <c r="D2933" s="2">
        <v>8.4350000000000005</v>
      </c>
      <c r="E2933" s="2" t="s">
        <v>1224</v>
      </c>
      <c r="F2933" s="2" t="e">
        <f>VLOOKUP(B2933,MSCI中国成分股!A:B,1,)</f>
        <v>#N/A</v>
      </c>
    </row>
    <row r="2934" spans="1:6" ht="20.25" hidden="1" customHeight="1" x14ac:dyDescent="0.15">
      <c r="A2934" s="2" t="s">
        <v>6120</v>
      </c>
      <c r="B2934" s="2" t="s">
        <v>6121</v>
      </c>
      <c r="C2934" s="2">
        <v>0.45</v>
      </c>
      <c r="D2934" s="2">
        <v>11.1355</v>
      </c>
      <c r="E2934" s="2" t="s">
        <v>120</v>
      </c>
      <c r="F2934" s="2" t="e">
        <f>VLOOKUP(B2934,MSCI中国成分股!A:B,1,)</f>
        <v>#N/A</v>
      </c>
    </row>
    <row r="2935" spans="1:6" ht="20.25" hidden="1" customHeight="1" x14ac:dyDescent="0.15">
      <c r="A2935" s="2" t="s">
        <v>6122</v>
      </c>
      <c r="B2935" s="2" t="s">
        <v>6123</v>
      </c>
      <c r="C2935" s="2">
        <v>2.29</v>
      </c>
      <c r="D2935" s="2">
        <v>0.71919999999999995</v>
      </c>
      <c r="E2935" s="2" t="s">
        <v>391</v>
      </c>
      <c r="F2935" s="2" t="e">
        <f>VLOOKUP(B2935,MSCI中国成分股!A:B,1,)</f>
        <v>#N/A</v>
      </c>
    </row>
    <row r="2936" spans="1:6" ht="20.25" hidden="1" customHeight="1" x14ac:dyDescent="0.15">
      <c r="A2936" s="2" t="s">
        <v>6124</v>
      </c>
      <c r="B2936" s="2" t="s">
        <v>6125</v>
      </c>
      <c r="C2936" s="2">
        <v>4.59</v>
      </c>
      <c r="D2936" s="2">
        <v>2.4169</v>
      </c>
      <c r="E2936" s="2" t="s">
        <v>1774</v>
      </c>
      <c r="F2936" s="2" t="e">
        <f>VLOOKUP(B2936,MSCI中国成分股!A:B,1,)</f>
        <v>#N/A</v>
      </c>
    </row>
    <row r="2937" spans="1:6" ht="20.25" hidden="1" customHeight="1" x14ac:dyDescent="0.15">
      <c r="A2937" s="2" t="s">
        <v>6126</v>
      </c>
      <c r="B2937" s="2" t="s">
        <v>6127</v>
      </c>
      <c r="C2937" s="2">
        <v>2.5</v>
      </c>
      <c r="D2937" s="2">
        <v>1.2999000000000001</v>
      </c>
      <c r="E2937" s="2" t="s">
        <v>44</v>
      </c>
      <c r="F2937" s="2" t="e">
        <f>VLOOKUP(B2937,MSCI中国成分股!A:B,1,)</f>
        <v>#N/A</v>
      </c>
    </row>
    <row r="2938" spans="1:6" ht="20.25" hidden="1" customHeight="1" x14ac:dyDescent="0.15">
      <c r="A2938" s="2" t="s">
        <v>6128</v>
      </c>
      <c r="B2938" s="2" t="s">
        <v>6129</v>
      </c>
      <c r="C2938" s="2">
        <v>1.37</v>
      </c>
      <c r="D2938" s="2">
        <v>29.374700000000001</v>
      </c>
      <c r="E2938" s="2" t="s">
        <v>374</v>
      </c>
      <c r="F2938" s="2" t="e">
        <f>VLOOKUP(B2938,MSCI中国成分股!A:B,1,)</f>
        <v>#N/A</v>
      </c>
    </row>
    <row r="2939" spans="1:6" ht="20.25" hidden="1" customHeight="1" x14ac:dyDescent="0.15">
      <c r="A2939" s="2" t="s">
        <v>6130</v>
      </c>
      <c r="B2939" s="2" t="s">
        <v>6131</v>
      </c>
      <c r="C2939" s="2">
        <v>0.52</v>
      </c>
      <c r="D2939" s="2">
        <v>7.5843999999999996</v>
      </c>
      <c r="E2939" s="2" t="s">
        <v>371</v>
      </c>
      <c r="F2939" s="2" t="e">
        <f>VLOOKUP(B2939,MSCI中国成分股!A:B,1,)</f>
        <v>#N/A</v>
      </c>
    </row>
    <row r="2940" spans="1:6" ht="20.25" hidden="1" customHeight="1" x14ac:dyDescent="0.15">
      <c r="A2940" s="2" t="s">
        <v>6132</v>
      </c>
      <c r="B2940" s="2" t="s">
        <v>6133</v>
      </c>
      <c r="C2940" s="2">
        <v>2.7749999999999999</v>
      </c>
      <c r="D2940" s="2">
        <v>4.4187000000000003</v>
      </c>
      <c r="E2940" s="2" t="s">
        <v>784</v>
      </c>
      <c r="F2940" s="2" t="e">
        <f>VLOOKUP(B2940,MSCI中国成分股!A:B,1,)</f>
        <v>#N/A</v>
      </c>
    </row>
    <row r="2941" spans="1:6" ht="20.25" hidden="1" customHeight="1" x14ac:dyDescent="0.15">
      <c r="A2941" s="2" t="s">
        <v>6134</v>
      </c>
      <c r="B2941" s="2" t="s">
        <v>6135</v>
      </c>
      <c r="C2941" s="2">
        <v>-0.64</v>
      </c>
      <c r="D2941" s="2">
        <v>8.2859999999999996</v>
      </c>
      <c r="E2941" s="2" t="s">
        <v>418</v>
      </c>
      <c r="F2941" s="2" t="e">
        <f>VLOOKUP(B2941,MSCI中国成分股!A:B,1,)</f>
        <v>#N/A</v>
      </c>
    </row>
    <row r="2942" spans="1:6" ht="20.25" hidden="1" customHeight="1" x14ac:dyDescent="0.15">
      <c r="A2942" s="2" t="s">
        <v>6136</v>
      </c>
      <c r="B2942" s="2" t="s">
        <v>6137</v>
      </c>
      <c r="C2942" s="2">
        <v>1.17</v>
      </c>
      <c r="D2942" s="2">
        <v>0.36209999999999998</v>
      </c>
      <c r="E2942" s="2" t="s">
        <v>1757</v>
      </c>
      <c r="F2942" s="2" t="e">
        <f>VLOOKUP(B2942,MSCI中国成分股!A:B,1,)</f>
        <v>#N/A</v>
      </c>
    </row>
    <row r="2943" spans="1:6" ht="20.25" hidden="1" customHeight="1" x14ac:dyDescent="0.15">
      <c r="A2943" s="2" t="s">
        <v>6138</v>
      </c>
      <c r="B2943" s="2" t="s">
        <v>6139</v>
      </c>
      <c r="C2943" s="2">
        <v>0.72</v>
      </c>
      <c r="D2943" s="2">
        <v>3.2728000000000002</v>
      </c>
      <c r="E2943" s="2" t="s">
        <v>371</v>
      </c>
      <c r="F2943" s="2" t="e">
        <f>VLOOKUP(B2943,MSCI中国成分股!A:B,1,)</f>
        <v>#N/A</v>
      </c>
    </row>
    <row r="2944" spans="1:6" ht="20.25" hidden="1" customHeight="1" x14ac:dyDescent="0.15">
      <c r="A2944" s="2" t="s">
        <v>6140</v>
      </c>
      <c r="B2944" s="2" t="s">
        <v>6141</v>
      </c>
      <c r="C2944" s="2">
        <v>-0.22</v>
      </c>
      <c r="D2944" s="2">
        <v>7.1398000000000001</v>
      </c>
      <c r="E2944" s="2" t="s">
        <v>982</v>
      </c>
      <c r="F2944" s="2" t="e">
        <f>VLOOKUP(B2944,MSCI中国成分股!A:B,1,)</f>
        <v>#N/A</v>
      </c>
    </row>
    <row r="2945" spans="1:6" ht="20.25" hidden="1" customHeight="1" x14ac:dyDescent="0.15">
      <c r="A2945" s="2" t="s">
        <v>6142</v>
      </c>
      <c r="B2945" s="2" t="s">
        <v>6143</v>
      </c>
      <c r="C2945" s="2">
        <v>0.44</v>
      </c>
      <c r="D2945" s="2">
        <v>5.6787000000000001</v>
      </c>
      <c r="E2945" s="2" t="s">
        <v>391</v>
      </c>
      <c r="F2945" s="2" t="e">
        <f>VLOOKUP(B2945,MSCI中国成分股!A:B,1,)</f>
        <v>#N/A</v>
      </c>
    </row>
    <row r="2946" spans="1:6" ht="20.25" hidden="1" customHeight="1" x14ac:dyDescent="0.15">
      <c r="A2946" s="2" t="s">
        <v>6144</v>
      </c>
      <c r="B2946" s="2" t="s">
        <v>6145</v>
      </c>
      <c r="C2946" s="2">
        <v>2.16</v>
      </c>
      <c r="D2946" s="2">
        <v>1.8328</v>
      </c>
      <c r="E2946" s="2" t="s">
        <v>368</v>
      </c>
      <c r="F2946" s="2" t="e">
        <f>VLOOKUP(B2946,MSCI中国成分股!A:B,1,)</f>
        <v>#N/A</v>
      </c>
    </row>
    <row r="2947" spans="1:6" ht="20.25" hidden="1" customHeight="1" x14ac:dyDescent="0.15">
      <c r="A2947" s="2" t="s">
        <v>6146</v>
      </c>
      <c r="B2947" s="2" t="s">
        <v>6147</v>
      </c>
      <c r="C2947" s="2">
        <v>1.1399999999999999</v>
      </c>
      <c r="D2947" s="2">
        <v>0.36809999999999998</v>
      </c>
      <c r="E2947" s="2" t="s">
        <v>677</v>
      </c>
      <c r="F2947" s="2" t="e">
        <f>VLOOKUP(B2947,MSCI中国成分股!A:B,1,)</f>
        <v>#N/A</v>
      </c>
    </row>
    <row r="2948" spans="1:6" ht="20.25" hidden="1" customHeight="1" x14ac:dyDescent="0.15">
      <c r="A2948" s="2" t="s">
        <v>6148</v>
      </c>
      <c r="B2948" s="2" t="s">
        <v>6149</v>
      </c>
      <c r="C2948" s="2">
        <v>0.99</v>
      </c>
      <c r="D2948" s="2">
        <v>6.3E-2</v>
      </c>
      <c r="E2948" s="2" t="s">
        <v>134</v>
      </c>
      <c r="F2948" s="2" t="e">
        <f>VLOOKUP(B2948,MSCI中国成分股!A:B,1,)</f>
        <v>#N/A</v>
      </c>
    </row>
    <row r="2949" spans="1:6" ht="20.25" hidden="1" customHeight="1" x14ac:dyDescent="0.15">
      <c r="A2949" s="2" t="s">
        <v>6150</v>
      </c>
      <c r="B2949" s="2" t="s">
        <v>6151</v>
      </c>
      <c r="C2949" s="2">
        <v>0.78</v>
      </c>
      <c r="D2949" s="2">
        <v>2.1985000000000001</v>
      </c>
      <c r="E2949" s="2" t="s">
        <v>1139</v>
      </c>
      <c r="F2949" s="2" t="e">
        <f>VLOOKUP(B2949,MSCI中国成分股!A:B,1,)</f>
        <v>#N/A</v>
      </c>
    </row>
    <row r="2950" spans="1:6" ht="20.25" hidden="1" customHeight="1" x14ac:dyDescent="0.15">
      <c r="A2950" s="2" t="s">
        <v>6152</v>
      </c>
      <c r="B2950" s="2" t="s">
        <v>6153</v>
      </c>
      <c r="C2950" s="2">
        <v>0.5</v>
      </c>
      <c r="D2950" s="2">
        <v>0.38490000000000002</v>
      </c>
      <c r="E2950" s="2" t="s">
        <v>1282</v>
      </c>
      <c r="F2950" s="2" t="e">
        <f>VLOOKUP(B2950,MSCI中国成分股!A:B,1,)</f>
        <v>#N/A</v>
      </c>
    </row>
    <row r="2951" spans="1:6" ht="20.25" hidden="1" customHeight="1" x14ac:dyDescent="0.15">
      <c r="A2951" s="2" t="s">
        <v>6154</v>
      </c>
      <c r="B2951" s="2" t="s">
        <v>6155</v>
      </c>
      <c r="C2951" s="2">
        <v>2.4</v>
      </c>
      <c r="D2951" s="2">
        <v>1.5895999999999999</v>
      </c>
      <c r="E2951" s="2" t="s">
        <v>1224</v>
      </c>
      <c r="F2951" s="2" t="e">
        <f>VLOOKUP(B2951,MSCI中国成分股!A:B,1,)</f>
        <v>#N/A</v>
      </c>
    </row>
    <row r="2952" spans="1:6" ht="20.25" hidden="1" customHeight="1" x14ac:dyDescent="0.15">
      <c r="A2952" s="2" t="s">
        <v>6156</v>
      </c>
      <c r="B2952" s="2" t="s">
        <v>6157</v>
      </c>
      <c r="C2952" s="2">
        <v>0.01</v>
      </c>
      <c r="D2952" s="2">
        <v>2.4845999999999999</v>
      </c>
      <c r="E2952" s="2" t="s">
        <v>368</v>
      </c>
      <c r="F2952" s="2" t="e">
        <f>VLOOKUP(B2952,MSCI中国成分股!A:B,1,)</f>
        <v>#N/A</v>
      </c>
    </row>
    <row r="2953" spans="1:6" ht="20.25" hidden="1" customHeight="1" x14ac:dyDescent="0.15">
      <c r="A2953" s="2" t="s">
        <v>6158</v>
      </c>
      <c r="B2953" s="2" t="s">
        <v>6159</v>
      </c>
      <c r="C2953" s="2">
        <v>-0.84</v>
      </c>
      <c r="D2953" s="2">
        <v>64.736800000000002</v>
      </c>
      <c r="E2953" s="2" t="s">
        <v>1248</v>
      </c>
      <c r="F2953" s="2" t="e">
        <f>VLOOKUP(B2953,MSCI中国成分股!A:B,1,)</f>
        <v>#N/A</v>
      </c>
    </row>
    <row r="2954" spans="1:6" ht="20.25" hidden="1" customHeight="1" x14ac:dyDescent="0.15">
      <c r="A2954" s="2" t="s">
        <v>6160</v>
      </c>
      <c r="B2954" s="2" t="s">
        <v>6161</v>
      </c>
      <c r="C2954" s="2">
        <v>-0.66</v>
      </c>
      <c r="D2954" s="2">
        <v>3.9470999999999998</v>
      </c>
      <c r="E2954" s="2" t="s">
        <v>1403</v>
      </c>
      <c r="F2954" s="2" t="e">
        <f>VLOOKUP(B2954,MSCI中国成分股!A:B,1,)</f>
        <v>#N/A</v>
      </c>
    </row>
    <row r="2955" spans="1:6" ht="20.25" hidden="1" customHeight="1" x14ac:dyDescent="0.15">
      <c r="A2955" s="2" t="s">
        <v>6162</v>
      </c>
      <c r="B2955" s="2" t="s">
        <v>6163</v>
      </c>
      <c r="C2955" s="2">
        <v>0.83</v>
      </c>
      <c r="D2955" s="2">
        <v>3.9E-2</v>
      </c>
      <c r="E2955" s="2" t="s">
        <v>396</v>
      </c>
      <c r="F2955" s="2" t="e">
        <f>VLOOKUP(B2955,MSCI中国成分股!A:B,1,)</f>
        <v>#N/A</v>
      </c>
    </row>
    <row r="2956" spans="1:6" ht="20.25" hidden="1" customHeight="1" x14ac:dyDescent="0.15">
      <c r="A2956" s="2" t="s">
        <v>6164</v>
      </c>
      <c r="B2956" s="2" t="s">
        <v>6165</v>
      </c>
      <c r="C2956" s="2">
        <v>0.77</v>
      </c>
      <c r="D2956" s="2">
        <v>1.5238</v>
      </c>
      <c r="E2956" s="2" t="s">
        <v>68</v>
      </c>
      <c r="F2956" s="2" t="e">
        <f>VLOOKUP(B2956,MSCI中国成分股!A:B,1,)</f>
        <v>#N/A</v>
      </c>
    </row>
    <row r="2957" spans="1:6" ht="20.25" hidden="1" customHeight="1" x14ac:dyDescent="0.15">
      <c r="A2957" s="2" t="s">
        <v>6166</v>
      </c>
      <c r="B2957" s="2" t="s">
        <v>6167</v>
      </c>
      <c r="C2957" s="2">
        <v>0.88</v>
      </c>
      <c r="D2957" s="2">
        <v>1.6306</v>
      </c>
      <c r="E2957" s="2" t="s">
        <v>406</v>
      </c>
      <c r="F2957" s="2" t="e">
        <f>VLOOKUP(B2957,MSCI中国成分股!A:B,1,)</f>
        <v>#N/A</v>
      </c>
    </row>
    <row r="2958" spans="1:6" ht="20.25" hidden="1" customHeight="1" x14ac:dyDescent="0.15">
      <c r="A2958" s="2" t="s">
        <v>6168</v>
      </c>
      <c r="B2958" s="2" t="s">
        <v>6169</v>
      </c>
      <c r="C2958" s="2">
        <v>-2.66</v>
      </c>
      <c r="D2958" s="2">
        <v>7.4295</v>
      </c>
      <c r="E2958" s="2" t="s">
        <v>149</v>
      </c>
      <c r="F2958" s="2" t="e">
        <f>VLOOKUP(B2958,MSCI中国成分股!A:B,1,)</f>
        <v>#N/A</v>
      </c>
    </row>
    <row r="2959" spans="1:6" ht="20.25" hidden="1" customHeight="1" x14ac:dyDescent="0.15">
      <c r="A2959" s="2" t="s">
        <v>6170</v>
      </c>
      <c r="B2959" s="2" t="s">
        <v>6171</v>
      </c>
      <c r="C2959" s="2">
        <v>2.5099999999999998</v>
      </c>
      <c r="D2959" s="2">
        <v>1.1552</v>
      </c>
      <c r="E2959" s="2" t="s">
        <v>1403</v>
      </c>
      <c r="F2959" s="2" t="e">
        <f>VLOOKUP(B2959,MSCI中国成分股!A:B,1,)</f>
        <v>#N/A</v>
      </c>
    </row>
    <row r="2960" spans="1:6" ht="20.25" hidden="1" customHeight="1" x14ac:dyDescent="0.15">
      <c r="A2960" s="2" t="s">
        <v>6172</v>
      </c>
      <c r="B2960" s="2" t="s">
        <v>6173</v>
      </c>
      <c r="C2960" s="2">
        <v>2.58</v>
      </c>
      <c r="D2960" s="2">
        <v>3.2111000000000001</v>
      </c>
      <c r="E2960" s="2" t="s">
        <v>1102</v>
      </c>
      <c r="F2960" s="2" t="e">
        <f>VLOOKUP(B2960,MSCI中国成分股!A:B,1,)</f>
        <v>#N/A</v>
      </c>
    </row>
    <row r="2961" spans="1:6" ht="20.25" hidden="1" customHeight="1" x14ac:dyDescent="0.15">
      <c r="A2961" s="2" t="s">
        <v>6174</v>
      </c>
      <c r="B2961" s="2" t="s">
        <v>6175</v>
      </c>
      <c r="C2961" s="2">
        <v>1.1100000000000001</v>
      </c>
      <c r="D2961" s="2">
        <v>7.3228999999999997</v>
      </c>
      <c r="E2961" s="2" t="s">
        <v>286</v>
      </c>
      <c r="F2961" s="2" t="e">
        <f>VLOOKUP(B2961,MSCI中国成分股!A:B,1,)</f>
        <v>#N/A</v>
      </c>
    </row>
    <row r="2962" spans="1:6" ht="20.25" hidden="1" customHeight="1" x14ac:dyDescent="0.15">
      <c r="A2962" s="2" t="s">
        <v>6176</v>
      </c>
      <c r="B2962" s="2" t="s">
        <v>6177</v>
      </c>
      <c r="C2962" s="2">
        <v>0.12</v>
      </c>
      <c r="D2962" s="2">
        <v>14.044600000000001</v>
      </c>
      <c r="E2962" s="2" t="s">
        <v>1268</v>
      </c>
      <c r="F2962" s="2" t="e">
        <f>VLOOKUP(B2962,MSCI中国成分股!A:B,1,)</f>
        <v>#N/A</v>
      </c>
    </row>
    <row r="2963" spans="1:6" ht="20.25" hidden="1" customHeight="1" x14ac:dyDescent="0.15">
      <c r="A2963" s="2" t="s">
        <v>6178</v>
      </c>
      <c r="B2963" s="2" t="s">
        <v>6179</v>
      </c>
      <c r="C2963" s="2">
        <v>0.96</v>
      </c>
      <c r="D2963" s="2">
        <v>0.60150000000000003</v>
      </c>
      <c r="E2963" s="2" t="s">
        <v>605</v>
      </c>
      <c r="F2963" s="2" t="e">
        <f>VLOOKUP(B2963,MSCI中国成分股!A:B,1,)</f>
        <v>#N/A</v>
      </c>
    </row>
    <row r="2964" spans="1:6" ht="20.25" hidden="1" customHeight="1" x14ac:dyDescent="0.15">
      <c r="A2964" s="2" t="s">
        <v>6180</v>
      </c>
      <c r="B2964" s="2" t="s">
        <v>6181</v>
      </c>
      <c r="C2964" s="2">
        <v>-2.09</v>
      </c>
      <c r="D2964" s="2">
        <v>14.335699999999999</v>
      </c>
      <c r="E2964" s="2" t="s">
        <v>4246</v>
      </c>
      <c r="F2964" s="2" t="e">
        <f>VLOOKUP(B2964,MSCI中国成分股!A:B,1,)</f>
        <v>#N/A</v>
      </c>
    </row>
    <row r="2965" spans="1:6" ht="20.25" hidden="1" customHeight="1" x14ac:dyDescent="0.15">
      <c r="A2965" s="2" t="s">
        <v>6182</v>
      </c>
      <c r="B2965" s="2" t="s">
        <v>6183</v>
      </c>
      <c r="C2965" s="2">
        <v>-1.82</v>
      </c>
      <c r="D2965" s="2">
        <v>180.2704</v>
      </c>
      <c r="E2965" s="2" t="s">
        <v>1528</v>
      </c>
      <c r="F2965" s="2" t="e">
        <f>VLOOKUP(B2965,MSCI中国成分股!A:B,1,)</f>
        <v>#N/A</v>
      </c>
    </row>
    <row r="2966" spans="1:6" ht="20.25" hidden="1" customHeight="1" x14ac:dyDescent="0.15">
      <c r="A2966" s="2" t="s">
        <v>6184</v>
      </c>
      <c r="B2966" s="2" t="s">
        <v>6185</v>
      </c>
      <c r="C2966" s="2">
        <v>-1.76</v>
      </c>
      <c r="D2966" s="2">
        <v>8.6754999999999995</v>
      </c>
      <c r="E2966" s="2" t="s">
        <v>271</v>
      </c>
      <c r="F2966" s="2" t="e">
        <f>VLOOKUP(B2966,MSCI中国成分股!A:B,1,)</f>
        <v>#N/A</v>
      </c>
    </row>
    <row r="2967" spans="1:6" ht="20.25" hidden="1" customHeight="1" x14ac:dyDescent="0.15">
      <c r="A2967" s="2" t="s">
        <v>6186</v>
      </c>
      <c r="B2967" s="2" t="s">
        <v>6187</v>
      </c>
      <c r="C2967" s="2">
        <v>-0.5</v>
      </c>
      <c r="D2967" s="2">
        <v>20.858599999999999</v>
      </c>
      <c r="E2967" s="2" t="s">
        <v>633</v>
      </c>
      <c r="F2967" s="2" t="e">
        <f>VLOOKUP(B2967,MSCI中国成分股!A:B,1,)</f>
        <v>#N/A</v>
      </c>
    </row>
    <row r="2968" spans="1:6" ht="20.25" hidden="1" customHeight="1" x14ac:dyDescent="0.15">
      <c r="A2968" s="2" t="s">
        <v>6188</v>
      </c>
      <c r="B2968" s="2" t="s">
        <v>6189</v>
      </c>
      <c r="C2968" s="2">
        <v>2.395</v>
      </c>
      <c r="D2968" s="2">
        <v>5.9020000000000001</v>
      </c>
      <c r="E2968" s="2" t="s">
        <v>391</v>
      </c>
      <c r="F2968" s="2" t="e">
        <f>VLOOKUP(B2968,MSCI中国成分股!A:B,1,)</f>
        <v>#N/A</v>
      </c>
    </row>
    <row r="2969" spans="1:6" ht="20.25" hidden="1" customHeight="1" x14ac:dyDescent="0.15">
      <c r="A2969" s="2" t="s">
        <v>6190</v>
      </c>
      <c r="B2969" s="2" t="s">
        <v>6191</v>
      </c>
      <c r="C2969" s="2">
        <v>0.01</v>
      </c>
      <c r="D2969" s="2">
        <v>3.6227999999999998</v>
      </c>
      <c r="E2969" s="2" t="s">
        <v>220</v>
      </c>
      <c r="F2969" s="2" t="e">
        <f>VLOOKUP(B2969,MSCI中国成分股!A:B,1,)</f>
        <v>#N/A</v>
      </c>
    </row>
    <row r="2970" spans="1:6" ht="20.25" hidden="1" customHeight="1" x14ac:dyDescent="0.15">
      <c r="A2970" s="2" t="s">
        <v>6192</v>
      </c>
      <c r="B2970" s="2" t="s">
        <v>6193</v>
      </c>
      <c r="C2970" s="2">
        <v>1.97</v>
      </c>
      <c r="D2970" s="2">
        <v>0.83979999999999999</v>
      </c>
      <c r="E2970" s="2" t="s">
        <v>140</v>
      </c>
      <c r="F2970" s="2" t="e">
        <f>VLOOKUP(B2970,MSCI中国成分股!A:B,1,)</f>
        <v>#N/A</v>
      </c>
    </row>
    <row r="2971" spans="1:6" ht="20.25" hidden="1" customHeight="1" x14ac:dyDescent="0.15">
      <c r="A2971" s="2" t="s">
        <v>6194</v>
      </c>
      <c r="B2971" s="2" t="s">
        <v>6195</v>
      </c>
      <c r="C2971" s="2">
        <v>-4.72</v>
      </c>
      <c r="D2971" s="2">
        <v>40.9315</v>
      </c>
      <c r="E2971" s="2" t="s">
        <v>198</v>
      </c>
      <c r="F2971" s="2" t="e">
        <f>VLOOKUP(B2971,MSCI中国成分股!A:B,1,)</f>
        <v>#N/A</v>
      </c>
    </row>
    <row r="2972" spans="1:6" ht="20.25" hidden="1" customHeight="1" x14ac:dyDescent="0.15">
      <c r="A2972" s="2" t="s">
        <v>6196</v>
      </c>
      <c r="B2972" s="2" t="s">
        <v>6197</v>
      </c>
      <c r="C2972" s="2">
        <v>0.72</v>
      </c>
      <c r="D2972" s="2">
        <v>1.2849999999999999</v>
      </c>
      <c r="E2972" s="2" t="s">
        <v>1061</v>
      </c>
      <c r="F2972" s="2" t="e">
        <f>VLOOKUP(B2972,MSCI中国成分股!A:B,1,)</f>
        <v>#N/A</v>
      </c>
    </row>
    <row r="2973" spans="1:6" ht="20.25" hidden="1" customHeight="1" x14ac:dyDescent="0.15">
      <c r="A2973" s="2" t="s">
        <v>6198</v>
      </c>
      <c r="B2973" s="2" t="s">
        <v>6199</v>
      </c>
      <c r="C2973" s="2">
        <v>1.3</v>
      </c>
      <c r="D2973" s="2">
        <v>0.58550000000000002</v>
      </c>
      <c r="E2973" s="2" t="s">
        <v>1608</v>
      </c>
      <c r="F2973" s="2" t="e">
        <f>VLOOKUP(B2973,MSCI中国成分股!A:B,1,)</f>
        <v>#N/A</v>
      </c>
    </row>
    <row r="2974" spans="1:6" ht="20.25" hidden="1" customHeight="1" x14ac:dyDescent="0.15">
      <c r="A2974" s="2" t="s">
        <v>6200</v>
      </c>
      <c r="B2974" s="2" t="s">
        <v>6201</v>
      </c>
      <c r="C2974" s="2">
        <v>1.68</v>
      </c>
      <c r="D2974" s="2">
        <v>32.611899999999999</v>
      </c>
      <c r="E2974" s="2" t="s">
        <v>2724</v>
      </c>
      <c r="F2974" s="2" t="e">
        <f>VLOOKUP(B2974,MSCI中国成分股!A:B,1,)</f>
        <v>#N/A</v>
      </c>
    </row>
    <row r="2975" spans="1:6" ht="20.25" hidden="1" customHeight="1" x14ac:dyDescent="0.15">
      <c r="A2975" s="2" t="s">
        <v>6202</v>
      </c>
      <c r="B2975" s="2" t="s">
        <v>6203</v>
      </c>
      <c r="C2975" s="2">
        <v>0.23</v>
      </c>
      <c r="D2975" s="2">
        <v>44.338700000000003</v>
      </c>
      <c r="E2975" s="2" t="s">
        <v>638</v>
      </c>
      <c r="F2975" s="2" t="e">
        <f>VLOOKUP(B2975,MSCI中国成分股!A:B,1,)</f>
        <v>#N/A</v>
      </c>
    </row>
    <row r="2976" spans="1:6" ht="20.25" hidden="1" customHeight="1" x14ac:dyDescent="0.15">
      <c r="A2976" s="2" t="s">
        <v>6204</v>
      </c>
      <c r="B2976" s="2" t="s">
        <v>6205</v>
      </c>
      <c r="C2976" s="2">
        <v>0.83499999999999996</v>
      </c>
      <c r="D2976" s="2">
        <v>2.9428999999999998</v>
      </c>
      <c r="E2976" s="2" t="s">
        <v>744</v>
      </c>
      <c r="F2976" s="2" t="e">
        <f>VLOOKUP(B2976,MSCI中国成分股!A:B,1,)</f>
        <v>#N/A</v>
      </c>
    </row>
    <row r="2977" spans="1:6" ht="20.25" hidden="1" customHeight="1" x14ac:dyDescent="0.15">
      <c r="A2977" s="2" t="s">
        <v>6206</v>
      </c>
      <c r="B2977" s="2" t="s">
        <v>6207</v>
      </c>
      <c r="C2977" s="2">
        <v>1.37</v>
      </c>
      <c r="D2977" s="2">
        <v>0.27350000000000002</v>
      </c>
      <c r="E2977" s="2" t="s">
        <v>784</v>
      </c>
      <c r="F2977" s="2" t="e">
        <f>VLOOKUP(B2977,MSCI中国成分股!A:B,1,)</f>
        <v>#N/A</v>
      </c>
    </row>
    <row r="2978" spans="1:6" ht="20.25" hidden="1" customHeight="1" x14ac:dyDescent="0.15">
      <c r="A2978" s="2" t="s">
        <v>6208</v>
      </c>
      <c r="B2978" s="2" t="s">
        <v>6209</v>
      </c>
      <c r="C2978" s="2">
        <v>0.5</v>
      </c>
      <c r="D2978" s="2">
        <v>1.4950000000000001</v>
      </c>
      <c r="E2978" s="2" t="s">
        <v>1173</v>
      </c>
      <c r="F2978" s="2" t="e">
        <f>VLOOKUP(B2978,MSCI中国成分股!A:B,1,)</f>
        <v>#N/A</v>
      </c>
    </row>
    <row r="2979" spans="1:6" ht="20.25" hidden="1" customHeight="1" x14ac:dyDescent="0.15">
      <c r="A2979" s="2" t="s">
        <v>6210</v>
      </c>
      <c r="B2979" s="2" t="s">
        <v>6211</v>
      </c>
      <c r="C2979" s="2">
        <v>0.14000000000000001</v>
      </c>
      <c r="D2979" s="2">
        <v>14.2317</v>
      </c>
      <c r="E2979" s="2" t="s">
        <v>3190</v>
      </c>
      <c r="F2979" s="2" t="e">
        <f>VLOOKUP(B2979,MSCI中国成分股!A:B,1,)</f>
        <v>#N/A</v>
      </c>
    </row>
    <row r="2980" spans="1:6" ht="20.25" hidden="1" customHeight="1" x14ac:dyDescent="0.15">
      <c r="A2980" s="2" t="s">
        <v>6212</v>
      </c>
      <c r="B2980" s="2" t="s">
        <v>6213</v>
      </c>
      <c r="C2980" s="2">
        <v>2.0699999999999998</v>
      </c>
      <c r="D2980" s="2">
        <v>0.3034</v>
      </c>
      <c r="E2980" s="2" t="s">
        <v>201</v>
      </c>
      <c r="F2980" s="2" t="e">
        <f>VLOOKUP(B2980,MSCI中国成分股!A:B,1,)</f>
        <v>#N/A</v>
      </c>
    </row>
    <row r="2981" spans="1:6" ht="20.25" hidden="1" customHeight="1" x14ac:dyDescent="0.15">
      <c r="A2981" s="2" t="s">
        <v>6214</v>
      </c>
      <c r="B2981" s="2" t="s">
        <v>6215</v>
      </c>
      <c r="C2981" s="2">
        <v>0.35</v>
      </c>
      <c r="D2981" s="2">
        <v>31.628799999999998</v>
      </c>
      <c r="E2981" s="2" t="s">
        <v>44</v>
      </c>
      <c r="F2981" s="2" t="e">
        <f>VLOOKUP(B2981,MSCI中国成分股!A:B,1,)</f>
        <v>#N/A</v>
      </c>
    </row>
    <row r="2982" spans="1:6" ht="20.25" hidden="1" customHeight="1" x14ac:dyDescent="0.15">
      <c r="A2982" s="2" t="s">
        <v>6216</v>
      </c>
      <c r="B2982" s="2" t="s">
        <v>6217</v>
      </c>
      <c r="C2982" s="2">
        <v>-0.01</v>
      </c>
      <c r="D2982" s="2">
        <v>1.1152</v>
      </c>
      <c r="E2982" s="2" t="s">
        <v>421</v>
      </c>
      <c r="F2982" s="2" t="e">
        <f>VLOOKUP(B2982,MSCI中国成分股!A:B,1,)</f>
        <v>#N/A</v>
      </c>
    </row>
    <row r="2983" spans="1:6" ht="20.25" hidden="1" customHeight="1" x14ac:dyDescent="0.15">
      <c r="A2983" s="2" t="s">
        <v>6218</v>
      </c>
      <c r="B2983" s="2" t="s">
        <v>6219</v>
      </c>
      <c r="C2983" s="2">
        <v>0.24</v>
      </c>
      <c r="D2983" s="2">
        <v>25.1431</v>
      </c>
      <c r="E2983" s="2" t="s">
        <v>4122</v>
      </c>
      <c r="F2983" s="2" t="e">
        <f>VLOOKUP(B2983,MSCI中国成分股!A:B,1,)</f>
        <v>#N/A</v>
      </c>
    </row>
    <row r="2984" spans="1:6" ht="20.25" hidden="1" customHeight="1" x14ac:dyDescent="0.15">
      <c r="A2984" s="2" t="s">
        <v>6220</v>
      </c>
      <c r="B2984" s="2" t="s">
        <v>6221</v>
      </c>
      <c r="C2984" s="2">
        <v>1.02</v>
      </c>
      <c r="D2984" s="2">
        <v>0.96599999999999997</v>
      </c>
      <c r="E2984" s="2" t="s">
        <v>744</v>
      </c>
      <c r="F2984" s="2" t="e">
        <f>VLOOKUP(B2984,MSCI中国成分股!A:B,1,)</f>
        <v>#N/A</v>
      </c>
    </row>
    <row r="2985" spans="1:6" ht="20.25" hidden="1" customHeight="1" x14ac:dyDescent="0.15">
      <c r="A2985" s="2" t="s">
        <v>6222</v>
      </c>
      <c r="B2985" s="2" t="s">
        <v>6223</v>
      </c>
      <c r="C2985" s="2">
        <v>2.0099999999999998</v>
      </c>
      <c r="D2985" s="2">
        <v>0.8377</v>
      </c>
      <c r="E2985" s="2" t="s">
        <v>794</v>
      </c>
      <c r="F2985" s="2" t="e">
        <f>VLOOKUP(B2985,MSCI中国成分股!A:B,1,)</f>
        <v>#N/A</v>
      </c>
    </row>
    <row r="2986" spans="1:6" ht="20.25" hidden="1" customHeight="1" x14ac:dyDescent="0.15">
      <c r="A2986" s="2" t="s">
        <v>6224</v>
      </c>
      <c r="B2986" s="2" t="s">
        <v>6225</v>
      </c>
      <c r="C2986" s="2">
        <v>0.45</v>
      </c>
      <c r="D2986" s="2">
        <v>1.0192000000000001</v>
      </c>
      <c r="E2986" s="2" t="s">
        <v>542</v>
      </c>
      <c r="F2986" s="2" t="e">
        <f>VLOOKUP(B2986,MSCI中国成分股!A:B,1,)</f>
        <v>#N/A</v>
      </c>
    </row>
    <row r="2987" spans="1:6" ht="20.25" hidden="1" customHeight="1" x14ac:dyDescent="0.15">
      <c r="A2987" s="2" t="s">
        <v>6226</v>
      </c>
      <c r="B2987" s="2" t="s">
        <v>6227</v>
      </c>
      <c r="C2987" s="2">
        <v>1.85</v>
      </c>
      <c r="D2987" s="2">
        <v>2.6187</v>
      </c>
      <c r="E2987" s="2" t="s">
        <v>1263</v>
      </c>
      <c r="F2987" s="2" t="e">
        <f>VLOOKUP(B2987,MSCI中国成分股!A:B,1,)</f>
        <v>#N/A</v>
      </c>
    </row>
    <row r="2988" spans="1:6" ht="20.25" hidden="1" customHeight="1" x14ac:dyDescent="0.15">
      <c r="A2988" s="2" t="s">
        <v>6228</v>
      </c>
      <c r="B2988" s="2" t="s">
        <v>6229</v>
      </c>
      <c r="C2988" s="2">
        <v>0.53</v>
      </c>
      <c r="D2988" s="2">
        <v>154.39160000000001</v>
      </c>
      <c r="E2988" s="2" t="s">
        <v>784</v>
      </c>
      <c r="F2988" s="2" t="e">
        <f>VLOOKUP(B2988,MSCI中国成分股!A:B,1,)</f>
        <v>#N/A</v>
      </c>
    </row>
    <row r="2989" spans="1:6" ht="20.25" hidden="1" customHeight="1" x14ac:dyDescent="0.15">
      <c r="A2989" s="2" t="s">
        <v>6230</v>
      </c>
      <c r="B2989" s="2" t="s">
        <v>6231</v>
      </c>
      <c r="C2989" s="2">
        <v>0.87</v>
      </c>
      <c r="D2989" s="2">
        <v>287.6651</v>
      </c>
      <c r="E2989" s="2" t="s">
        <v>633</v>
      </c>
      <c r="F2989" s="2" t="e">
        <f>VLOOKUP(B2989,MSCI中国成分股!A:B,1,)</f>
        <v>#N/A</v>
      </c>
    </row>
    <row r="2990" spans="1:6" ht="20.25" hidden="1" customHeight="1" x14ac:dyDescent="0.15">
      <c r="A2990" s="2" t="s">
        <v>6232</v>
      </c>
      <c r="B2990" s="2" t="s">
        <v>6233</v>
      </c>
      <c r="C2990" s="2">
        <v>0.05</v>
      </c>
      <c r="D2990" s="2">
        <v>14.264699999999999</v>
      </c>
      <c r="E2990" s="2" t="s">
        <v>1528</v>
      </c>
      <c r="F2990" s="2" t="e">
        <f>VLOOKUP(B2990,MSCI中国成分股!A:B,1,)</f>
        <v>#N/A</v>
      </c>
    </row>
    <row r="2991" spans="1:6" ht="20.25" hidden="1" customHeight="1" x14ac:dyDescent="0.15">
      <c r="A2991" s="2" t="s">
        <v>6234</v>
      </c>
      <c r="B2991" s="2" t="s">
        <v>6235</v>
      </c>
      <c r="C2991" s="2">
        <v>0.51</v>
      </c>
      <c r="D2991" s="2">
        <v>1.0883</v>
      </c>
      <c r="E2991" s="2" t="s">
        <v>368</v>
      </c>
      <c r="F2991" s="2" t="e">
        <f>VLOOKUP(B2991,MSCI中国成分股!A:B,1,)</f>
        <v>#N/A</v>
      </c>
    </row>
    <row r="2992" spans="1:6" ht="20.25" hidden="1" customHeight="1" x14ac:dyDescent="0.15">
      <c r="A2992" s="2" t="s">
        <v>6236</v>
      </c>
      <c r="B2992" s="2" t="s">
        <v>6237</v>
      </c>
      <c r="C2992" s="2">
        <v>2.35</v>
      </c>
      <c r="D2992" s="2">
        <v>2.0242</v>
      </c>
      <c r="E2992" s="2" t="s">
        <v>1139</v>
      </c>
      <c r="F2992" s="2" t="e">
        <f>VLOOKUP(B2992,MSCI中国成分股!A:B,1,)</f>
        <v>#N/A</v>
      </c>
    </row>
    <row r="2993" spans="1:6" ht="20.25" hidden="1" customHeight="1" x14ac:dyDescent="0.15">
      <c r="A2993" s="2" t="s">
        <v>6238</v>
      </c>
      <c r="B2993" s="2" t="s">
        <v>6239</v>
      </c>
      <c r="C2993" s="2">
        <v>0.2</v>
      </c>
      <c r="D2993" s="2">
        <v>2.3494000000000002</v>
      </c>
      <c r="E2993" s="2" t="s">
        <v>1873</v>
      </c>
      <c r="F2993" s="2" t="e">
        <f>VLOOKUP(B2993,MSCI中国成分股!A:B,1,)</f>
        <v>#N/A</v>
      </c>
    </row>
    <row r="2994" spans="1:6" ht="20.25" hidden="1" customHeight="1" x14ac:dyDescent="0.15">
      <c r="A2994" s="2" t="s">
        <v>6240</v>
      </c>
      <c r="B2994" s="2" t="s">
        <v>6241</v>
      </c>
      <c r="C2994" s="2">
        <v>1.1399999999999999</v>
      </c>
      <c r="D2994" s="2">
        <v>4.8723000000000001</v>
      </c>
      <c r="E2994" s="2" t="s">
        <v>2463</v>
      </c>
      <c r="F2994" s="2" t="e">
        <f>VLOOKUP(B2994,MSCI中国成分股!A:B,1,)</f>
        <v>#N/A</v>
      </c>
    </row>
    <row r="2995" spans="1:6" ht="20.25" hidden="1" customHeight="1" x14ac:dyDescent="0.15">
      <c r="A2995" s="2" t="s">
        <v>6242</v>
      </c>
      <c r="B2995" s="2" t="s">
        <v>6243</v>
      </c>
      <c r="C2995" s="2">
        <v>1.55</v>
      </c>
      <c r="D2995" s="2">
        <v>3.9727000000000001</v>
      </c>
      <c r="E2995" s="2" t="s">
        <v>1011</v>
      </c>
      <c r="F2995" s="2" t="e">
        <f>VLOOKUP(B2995,MSCI中国成分股!A:B,1,)</f>
        <v>#N/A</v>
      </c>
    </row>
    <row r="2996" spans="1:6" ht="20.25" hidden="1" customHeight="1" x14ac:dyDescent="0.15">
      <c r="A2996" s="2" t="s">
        <v>6244</v>
      </c>
      <c r="B2996" s="2" t="s">
        <v>6245</v>
      </c>
      <c r="C2996" s="2">
        <v>-1.04</v>
      </c>
      <c r="D2996" s="2">
        <v>46.985900000000001</v>
      </c>
      <c r="E2996" s="2" t="s">
        <v>198</v>
      </c>
      <c r="F2996" s="2" t="e">
        <f>VLOOKUP(B2996,MSCI中国成分股!A:B,1,)</f>
        <v>#N/A</v>
      </c>
    </row>
    <row r="2997" spans="1:6" ht="20.25" hidden="1" customHeight="1" x14ac:dyDescent="0.15">
      <c r="A2997" s="2" t="s">
        <v>6246</v>
      </c>
      <c r="B2997" s="2" t="s">
        <v>6247</v>
      </c>
      <c r="C2997" s="2">
        <v>1.885</v>
      </c>
      <c r="D2997" s="2">
        <v>2.0221</v>
      </c>
      <c r="E2997" s="2" t="s">
        <v>664</v>
      </c>
      <c r="F2997" s="2" t="e">
        <f>VLOOKUP(B2997,MSCI中国成分股!A:B,1,)</f>
        <v>#N/A</v>
      </c>
    </row>
    <row r="2998" spans="1:6" ht="20.25" hidden="1" customHeight="1" x14ac:dyDescent="0.15">
      <c r="A2998" s="2" t="s">
        <v>6248</v>
      </c>
      <c r="B2998" s="2" t="s">
        <v>6249</v>
      </c>
      <c r="C2998" s="2">
        <v>3.99</v>
      </c>
      <c r="D2998" s="2">
        <v>2.4165000000000001</v>
      </c>
      <c r="E2998" s="2" t="s">
        <v>713</v>
      </c>
      <c r="F2998" s="2" t="e">
        <f>VLOOKUP(B2998,MSCI中国成分股!A:B,1,)</f>
        <v>#N/A</v>
      </c>
    </row>
    <row r="2999" spans="1:6" ht="20.25" hidden="1" customHeight="1" x14ac:dyDescent="0.15">
      <c r="A2999" s="2" t="s">
        <v>6250</v>
      </c>
      <c r="B2999" s="2" t="s">
        <v>6251</v>
      </c>
      <c r="C2999" s="2">
        <v>-3.1</v>
      </c>
      <c r="D2999" s="2">
        <v>514.68089999999995</v>
      </c>
      <c r="E2999" s="2" t="s">
        <v>1263</v>
      </c>
      <c r="F2999" s="2" t="e">
        <f>VLOOKUP(B2999,MSCI中国成分股!A:B,1,)</f>
        <v>#N/A</v>
      </c>
    </row>
    <row r="3000" spans="1:6" ht="20.25" hidden="1" customHeight="1" x14ac:dyDescent="0.15">
      <c r="A3000" s="2" t="s">
        <v>6252</v>
      </c>
      <c r="B3000" s="2" t="s">
        <v>6253</v>
      </c>
      <c r="C3000" s="2">
        <v>3.6349999999999998</v>
      </c>
      <c r="D3000" s="2">
        <v>2.8954</v>
      </c>
      <c r="E3000" s="2" t="s">
        <v>406</v>
      </c>
      <c r="F3000" s="2" t="e">
        <f>VLOOKUP(B3000,MSCI中国成分股!A:B,1,)</f>
        <v>#N/A</v>
      </c>
    </row>
    <row r="3001" spans="1:6" ht="20.25" hidden="1" customHeight="1" x14ac:dyDescent="0.15">
      <c r="A3001" s="2" t="s">
        <v>6254</v>
      </c>
      <c r="B3001" s="2" t="s">
        <v>6255</v>
      </c>
      <c r="C3001" s="2">
        <v>0.98</v>
      </c>
      <c r="D3001" s="2">
        <v>4.1158000000000001</v>
      </c>
      <c r="E3001" s="2" t="s">
        <v>35</v>
      </c>
      <c r="F3001" s="2" t="e">
        <f>VLOOKUP(B3001,MSCI中国成分股!A:B,1,)</f>
        <v>#N/A</v>
      </c>
    </row>
    <row r="3002" spans="1:6" ht="20.25" hidden="1" customHeight="1" x14ac:dyDescent="0.15">
      <c r="A3002" s="2" t="s">
        <v>6256</v>
      </c>
      <c r="B3002" s="2" t="s">
        <v>6257</v>
      </c>
      <c r="C3002" s="2">
        <v>0.34</v>
      </c>
      <c r="D3002" s="2">
        <v>67.223100000000002</v>
      </c>
      <c r="E3002" s="2" t="s">
        <v>371</v>
      </c>
      <c r="F3002" s="2" t="e">
        <f>VLOOKUP(B3002,MSCI中国成分股!A:B,1,)</f>
        <v>#N/A</v>
      </c>
    </row>
    <row r="3003" spans="1:6" ht="20.25" hidden="1" customHeight="1" x14ac:dyDescent="0.15">
      <c r="A3003" s="2" t="s">
        <v>6258</v>
      </c>
      <c r="B3003" s="2" t="s">
        <v>6259</v>
      </c>
      <c r="C3003" s="2">
        <v>1.84</v>
      </c>
      <c r="D3003" s="2">
        <v>18.769300000000001</v>
      </c>
      <c r="E3003" s="2" t="s">
        <v>571</v>
      </c>
      <c r="F3003" s="2" t="e">
        <f>VLOOKUP(B3003,MSCI中国成分股!A:B,1,)</f>
        <v>#N/A</v>
      </c>
    </row>
    <row r="3004" spans="1:6" ht="20.25" hidden="1" customHeight="1" x14ac:dyDescent="0.15">
      <c r="A3004" s="2" t="s">
        <v>6260</v>
      </c>
      <c r="B3004" s="2" t="s">
        <v>6261</v>
      </c>
      <c r="C3004" s="2">
        <v>-2.61</v>
      </c>
      <c r="D3004" s="2">
        <v>67.402799999999999</v>
      </c>
      <c r="E3004" s="2" t="s">
        <v>21</v>
      </c>
      <c r="F3004" s="2" t="e">
        <f>VLOOKUP(B3004,MSCI中国成分股!A:B,1,)</f>
        <v>#N/A</v>
      </c>
    </row>
    <row r="3005" spans="1:6" ht="20.25" hidden="1" customHeight="1" x14ac:dyDescent="0.15">
      <c r="A3005" s="2" t="s">
        <v>6262</v>
      </c>
      <c r="B3005" s="2" t="s">
        <v>6263</v>
      </c>
      <c r="C3005" s="2">
        <v>1.1950000000000001</v>
      </c>
      <c r="D3005" s="2">
        <v>6.7348999999999997</v>
      </c>
      <c r="E3005" s="2" t="s">
        <v>299</v>
      </c>
      <c r="F3005" s="2" t="e">
        <f>VLOOKUP(B3005,MSCI中国成分股!A:B,1,)</f>
        <v>#N/A</v>
      </c>
    </row>
    <row r="3006" spans="1:6" ht="20.25" hidden="1" customHeight="1" x14ac:dyDescent="0.15">
      <c r="A3006" s="2" t="s">
        <v>6264</v>
      </c>
      <c r="B3006" s="2" t="s">
        <v>6265</v>
      </c>
      <c r="C3006" s="2">
        <v>0.27</v>
      </c>
      <c r="D3006" s="2">
        <v>7.4215999999999998</v>
      </c>
      <c r="E3006" s="2" t="s">
        <v>4127</v>
      </c>
      <c r="F3006" s="2" t="e">
        <f>VLOOKUP(B3006,MSCI中国成分股!A:B,1,)</f>
        <v>#N/A</v>
      </c>
    </row>
    <row r="3007" spans="1:6" ht="20.25" hidden="1" customHeight="1" x14ac:dyDescent="0.15">
      <c r="A3007" s="2" t="s">
        <v>6266</v>
      </c>
      <c r="B3007" s="2" t="s">
        <v>6267</v>
      </c>
      <c r="C3007" s="2">
        <v>0.78</v>
      </c>
      <c r="D3007" s="2">
        <v>1.8019000000000001</v>
      </c>
      <c r="E3007" s="2" t="s">
        <v>140</v>
      </c>
      <c r="F3007" s="2" t="e">
        <f>VLOOKUP(B3007,MSCI中国成分股!A:B,1,)</f>
        <v>#N/A</v>
      </c>
    </row>
    <row r="3008" spans="1:6" ht="20.25" hidden="1" customHeight="1" x14ac:dyDescent="0.15">
      <c r="A3008" s="2" t="s">
        <v>6268</v>
      </c>
      <c r="B3008" s="2" t="s">
        <v>6269</v>
      </c>
      <c r="C3008" s="2">
        <v>0.505</v>
      </c>
      <c r="D3008" s="2">
        <v>3.1511999999999998</v>
      </c>
      <c r="E3008" s="2" t="s">
        <v>787</v>
      </c>
      <c r="F3008" s="2" t="e">
        <f>VLOOKUP(B3008,MSCI中国成分股!A:B,1,)</f>
        <v>#N/A</v>
      </c>
    </row>
    <row r="3009" spans="1:6" ht="20.25" hidden="1" customHeight="1" x14ac:dyDescent="0.15">
      <c r="A3009" s="2" t="s">
        <v>6270</v>
      </c>
      <c r="B3009" s="2" t="s">
        <v>6271</v>
      </c>
      <c r="C3009" s="2">
        <v>1.9750000000000001</v>
      </c>
      <c r="D3009" s="2">
        <v>0.56100000000000005</v>
      </c>
      <c r="E3009" s="2" t="s">
        <v>92</v>
      </c>
      <c r="F3009" s="2" t="e">
        <f>VLOOKUP(B3009,MSCI中国成分股!A:B,1,)</f>
        <v>#N/A</v>
      </c>
    </row>
    <row r="3010" spans="1:6" ht="20.25" hidden="1" customHeight="1" x14ac:dyDescent="0.15">
      <c r="A3010" s="2" t="s">
        <v>6272</v>
      </c>
      <c r="B3010" s="2" t="s">
        <v>6273</v>
      </c>
      <c r="C3010" s="2">
        <v>0.09</v>
      </c>
      <c r="D3010" s="2">
        <v>4.0526999999999997</v>
      </c>
      <c r="E3010" s="2" t="s">
        <v>220</v>
      </c>
      <c r="F3010" s="2" t="e">
        <f>VLOOKUP(B3010,MSCI中国成分股!A:B,1,)</f>
        <v>#N/A</v>
      </c>
    </row>
    <row r="3011" spans="1:6" ht="20.25" hidden="1" customHeight="1" x14ac:dyDescent="0.15">
      <c r="A3011" s="2" t="s">
        <v>6274</v>
      </c>
      <c r="B3011" s="2" t="s">
        <v>6275</v>
      </c>
      <c r="C3011" s="2">
        <v>0.57999999999999996</v>
      </c>
      <c r="D3011" s="2">
        <v>1.6193</v>
      </c>
      <c r="E3011" s="2" t="s">
        <v>1969</v>
      </c>
      <c r="F3011" s="2" t="e">
        <f>VLOOKUP(B3011,MSCI中国成分股!A:B,1,)</f>
        <v>#N/A</v>
      </c>
    </row>
    <row r="3012" spans="1:6" ht="20.25" hidden="1" customHeight="1" x14ac:dyDescent="0.15">
      <c r="A3012" s="2" t="s">
        <v>6276</v>
      </c>
      <c r="B3012" s="2" t="s">
        <v>6277</v>
      </c>
      <c r="C3012" s="2">
        <v>0.875</v>
      </c>
      <c r="D3012" s="2">
        <v>0.18179999999999999</v>
      </c>
      <c r="E3012" s="2" t="s">
        <v>667</v>
      </c>
      <c r="F3012" s="2" t="e">
        <f>VLOOKUP(B3012,MSCI中国成分股!A:B,1,)</f>
        <v>#N/A</v>
      </c>
    </row>
    <row r="3013" spans="1:6" ht="20.25" hidden="1" customHeight="1" x14ac:dyDescent="0.15">
      <c r="A3013" s="2" t="s">
        <v>6278</v>
      </c>
      <c r="B3013" s="2" t="s">
        <v>6279</v>
      </c>
      <c r="C3013" s="2">
        <v>3.06</v>
      </c>
      <c r="D3013" s="2">
        <v>3.1829000000000001</v>
      </c>
      <c r="E3013" s="2" t="s">
        <v>1420</v>
      </c>
      <c r="F3013" s="2" t="e">
        <f>VLOOKUP(B3013,MSCI中国成分股!A:B,1,)</f>
        <v>#N/A</v>
      </c>
    </row>
    <row r="3014" spans="1:6" ht="20.25" hidden="1" customHeight="1" x14ac:dyDescent="0.15">
      <c r="A3014" s="2" t="s">
        <v>6280</v>
      </c>
      <c r="B3014" s="2" t="s">
        <v>6281</v>
      </c>
      <c r="C3014" s="2">
        <v>0.72</v>
      </c>
      <c r="D3014" s="2">
        <v>0.92259999999999998</v>
      </c>
      <c r="E3014" s="2" t="s">
        <v>1515</v>
      </c>
      <c r="F3014" s="2" t="e">
        <f>VLOOKUP(B3014,MSCI中国成分股!A:B,1,)</f>
        <v>#N/A</v>
      </c>
    </row>
    <row r="3015" spans="1:6" ht="20.25" hidden="1" customHeight="1" x14ac:dyDescent="0.15">
      <c r="A3015" s="2" t="s">
        <v>6282</v>
      </c>
      <c r="B3015" s="2" t="s">
        <v>6283</v>
      </c>
      <c r="C3015" s="2">
        <v>2.15</v>
      </c>
      <c r="D3015" s="2">
        <v>1.5342</v>
      </c>
      <c r="E3015" s="2" t="s">
        <v>1390</v>
      </c>
      <c r="F3015" s="2" t="e">
        <f>VLOOKUP(B3015,MSCI中国成分股!A:B,1,)</f>
        <v>#N/A</v>
      </c>
    </row>
    <row r="3016" spans="1:6" ht="20.25" hidden="1" customHeight="1" x14ac:dyDescent="0.15">
      <c r="A3016" s="2" t="s">
        <v>6284</v>
      </c>
      <c r="B3016" s="2" t="s">
        <v>6285</v>
      </c>
      <c r="C3016" s="2">
        <v>1.9750000000000001</v>
      </c>
      <c r="D3016" s="2">
        <v>0.69069999999999998</v>
      </c>
      <c r="E3016" s="2" t="s">
        <v>365</v>
      </c>
      <c r="F3016" s="2" t="e">
        <f>VLOOKUP(B3016,MSCI中国成分股!A:B,1,)</f>
        <v>#N/A</v>
      </c>
    </row>
    <row r="3017" spans="1:6" ht="20.25" hidden="1" customHeight="1" x14ac:dyDescent="0.15">
      <c r="A3017" s="2" t="s">
        <v>6286</v>
      </c>
      <c r="B3017" s="2" t="s">
        <v>6287</v>
      </c>
      <c r="C3017" s="2">
        <v>-0.12</v>
      </c>
      <c r="D3017" s="2">
        <v>97.061000000000007</v>
      </c>
      <c r="E3017" s="2" t="s">
        <v>1094</v>
      </c>
      <c r="F3017" s="2" t="e">
        <f>VLOOKUP(B3017,MSCI中国成分股!A:B,1,)</f>
        <v>#N/A</v>
      </c>
    </row>
    <row r="3018" spans="1:6" ht="20.25" hidden="1" customHeight="1" x14ac:dyDescent="0.15">
      <c r="A3018" s="2" t="s">
        <v>6288</v>
      </c>
      <c r="B3018" s="2" t="s">
        <v>6289</v>
      </c>
      <c r="C3018" s="2">
        <v>0.16</v>
      </c>
      <c r="D3018" s="2">
        <v>0.93620000000000003</v>
      </c>
      <c r="E3018" s="2" t="s">
        <v>827</v>
      </c>
      <c r="F3018" s="2" t="e">
        <f>VLOOKUP(B3018,MSCI中国成分股!A:B,1,)</f>
        <v>#N/A</v>
      </c>
    </row>
    <row r="3019" spans="1:6" ht="20.25" hidden="1" customHeight="1" x14ac:dyDescent="0.15">
      <c r="A3019" s="2" t="s">
        <v>6290</v>
      </c>
      <c r="B3019" s="2" t="s">
        <v>6291</v>
      </c>
      <c r="C3019" s="2">
        <v>2.0099999999999998</v>
      </c>
      <c r="D3019" s="2">
        <v>0.60560000000000003</v>
      </c>
      <c r="E3019" s="2" t="s">
        <v>140</v>
      </c>
      <c r="F3019" s="2" t="e">
        <f>VLOOKUP(B3019,MSCI中国成分股!A:B,1,)</f>
        <v>#N/A</v>
      </c>
    </row>
    <row r="3020" spans="1:6" ht="20.25" hidden="1" customHeight="1" x14ac:dyDescent="0.15">
      <c r="A3020" s="2" t="s">
        <v>6292</v>
      </c>
      <c r="B3020" s="2" t="s">
        <v>6293</v>
      </c>
      <c r="C3020" s="2">
        <v>1.22</v>
      </c>
      <c r="D3020" s="2">
        <v>2.8176000000000001</v>
      </c>
      <c r="E3020" s="2" t="s">
        <v>68</v>
      </c>
      <c r="F3020" s="2" t="e">
        <f>VLOOKUP(B3020,MSCI中国成分股!A:B,1,)</f>
        <v>#N/A</v>
      </c>
    </row>
    <row r="3021" spans="1:6" ht="20.25" hidden="1" customHeight="1" x14ac:dyDescent="0.15">
      <c r="A3021" s="2" t="s">
        <v>6294</v>
      </c>
      <c r="B3021" s="2" t="s">
        <v>6295</v>
      </c>
      <c r="C3021" s="2">
        <v>0.63</v>
      </c>
      <c r="D3021" s="2">
        <v>2.3929</v>
      </c>
      <c r="E3021" s="2" t="s">
        <v>214</v>
      </c>
      <c r="F3021" s="2" t="e">
        <f>VLOOKUP(B3021,MSCI中国成分股!A:B,1,)</f>
        <v>#N/A</v>
      </c>
    </row>
    <row r="3022" spans="1:6" ht="20.25" hidden="1" customHeight="1" x14ac:dyDescent="0.15">
      <c r="A3022" s="2" t="s">
        <v>6296</v>
      </c>
      <c r="B3022" s="2" t="s">
        <v>6297</v>
      </c>
      <c r="C3022" s="2">
        <v>0.16</v>
      </c>
      <c r="D3022" s="2">
        <v>3.7934000000000001</v>
      </c>
      <c r="E3022" s="2" t="s">
        <v>220</v>
      </c>
      <c r="F3022" s="2" t="e">
        <f>VLOOKUP(B3022,MSCI中国成分股!A:B,1,)</f>
        <v>#N/A</v>
      </c>
    </row>
    <row r="3023" spans="1:6" ht="20.25" hidden="1" customHeight="1" x14ac:dyDescent="0.15">
      <c r="A3023" s="2" t="s">
        <v>6298</v>
      </c>
      <c r="B3023" s="2" t="s">
        <v>6299</v>
      </c>
      <c r="C3023" s="2">
        <v>1.01</v>
      </c>
      <c r="D3023" s="2">
        <v>0.1676</v>
      </c>
      <c r="E3023" s="2" t="s">
        <v>188</v>
      </c>
      <c r="F3023" s="2" t="e">
        <f>VLOOKUP(B3023,MSCI中国成分股!A:B,1,)</f>
        <v>#N/A</v>
      </c>
    </row>
    <row r="3024" spans="1:6" ht="20.25" hidden="1" customHeight="1" x14ac:dyDescent="0.15">
      <c r="A3024" s="2" t="s">
        <v>6300</v>
      </c>
      <c r="B3024" s="2" t="s">
        <v>6301</v>
      </c>
      <c r="C3024" s="2">
        <v>-1.77</v>
      </c>
      <c r="D3024" s="2">
        <v>33.766399999999997</v>
      </c>
      <c r="E3024" s="2" t="s">
        <v>371</v>
      </c>
      <c r="F3024" s="2" t="e">
        <f>VLOOKUP(B3024,MSCI中国成分股!A:B,1,)</f>
        <v>#N/A</v>
      </c>
    </row>
    <row r="3025" spans="1:6" ht="20.25" hidden="1" customHeight="1" x14ac:dyDescent="0.15">
      <c r="A3025" s="2" t="s">
        <v>6302</v>
      </c>
      <c r="B3025" s="2" t="s">
        <v>6303</v>
      </c>
      <c r="C3025" s="2">
        <v>-1.3</v>
      </c>
      <c r="D3025" s="2">
        <v>15.997299999999999</v>
      </c>
      <c r="E3025" s="2" t="s">
        <v>630</v>
      </c>
      <c r="F3025" s="2" t="e">
        <f>VLOOKUP(B3025,MSCI中国成分股!A:B,1,)</f>
        <v>#N/A</v>
      </c>
    </row>
    <row r="3026" spans="1:6" ht="20.25" hidden="1" customHeight="1" x14ac:dyDescent="0.15">
      <c r="A3026" s="2" t="s">
        <v>6304</v>
      </c>
      <c r="B3026" s="2" t="s">
        <v>6305</v>
      </c>
      <c r="C3026" s="2">
        <v>1.22</v>
      </c>
      <c r="D3026" s="2">
        <v>0.42320000000000002</v>
      </c>
      <c r="E3026" s="2" t="s">
        <v>713</v>
      </c>
      <c r="F3026" s="2" t="e">
        <f>VLOOKUP(B3026,MSCI中国成分股!A:B,1,)</f>
        <v>#N/A</v>
      </c>
    </row>
    <row r="3027" spans="1:6" ht="20.25" hidden="1" customHeight="1" x14ac:dyDescent="0.15">
      <c r="A3027" s="2" t="s">
        <v>6306</v>
      </c>
      <c r="B3027" s="2" t="s">
        <v>6307</v>
      </c>
      <c r="C3027" s="2">
        <v>2.6150000000000002</v>
      </c>
      <c r="D3027" s="2">
        <v>0.57450000000000001</v>
      </c>
      <c r="E3027" s="2" t="s">
        <v>286</v>
      </c>
      <c r="F3027" s="2" t="e">
        <f>VLOOKUP(B3027,MSCI中国成分股!A:B,1,)</f>
        <v>#N/A</v>
      </c>
    </row>
    <row r="3028" spans="1:6" ht="20.25" hidden="1" customHeight="1" x14ac:dyDescent="0.15">
      <c r="A3028" s="2" t="s">
        <v>6308</v>
      </c>
      <c r="B3028" s="2" t="s">
        <v>6309</v>
      </c>
      <c r="C3028" s="2">
        <v>0.34</v>
      </c>
      <c r="D3028" s="2">
        <v>2.6147999999999998</v>
      </c>
      <c r="E3028" s="2" t="s">
        <v>2063</v>
      </c>
      <c r="F3028" s="2" t="e">
        <f>VLOOKUP(B3028,MSCI中国成分股!A:B,1,)</f>
        <v>#N/A</v>
      </c>
    </row>
    <row r="3029" spans="1:6" ht="20.25" hidden="1" customHeight="1" x14ac:dyDescent="0.15">
      <c r="A3029" s="2" t="s">
        <v>6310</v>
      </c>
      <c r="B3029" s="2" t="s">
        <v>6311</v>
      </c>
      <c r="C3029" s="2">
        <v>4.1100000000000003</v>
      </c>
      <c r="D3029" s="2">
        <v>0.73089999999999999</v>
      </c>
      <c r="E3029" s="2" t="s">
        <v>359</v>
      </c>
      <c r="F3029" s="2" t="e">
        <f>VLOOKUP(B3029,MSCI中国成分股!A:B,1,)</f>
        <v>#N/A</v>
      </c>
    </row>
    <row r="3030" spans="1:6" ht="20.25" hidden="1" customHeight="1" x14ac:dyDescent="0.15">
      <c r="A3030" s="2" t="s">
        <v>6312</v>
      </c>
      <c r="B3030" s="2" t="s">
        <v>6313</v>
      </c>
      <c r="C3030" s="2">
        <v>0.11</v>
      </c>
      <c r="D3030" s="2">
        <v>2.0367000000000002</v>
      </c>
      <c r="E3030" s="2" t="s">
        <v>359</v>
      </c>
      <c r="F3030" s="2" t="e">
        <f>VLOOKUP(B3030,MSCI中国成分股!A:B,1,)</f>
        <v>#N/A</v>
      </c>
    </row>
    <row r="3031" spans="1:6" ht="20.25" hidden="1" customHeight="1" x14ac:dyDescent="0.15">
      <c r="A3031" s="2" t="s">
        <v>6314</v>
      </c>
      <c r="B3031" s="2" t="s">
        <v>6315</v>
      </c>
      <c r="C3031" s="2">
        <v>1.65</v>
      </c>
      <c r="D3031" s="2">
        <v>5.3033999999999999</v>
      </c>
      <c r="E3031" s="2" t="s">
        <v>1533</v>
      </c>
      <c r="F3031" s="2" t="e">
        <f>VLOOKUP(B3031,MSCI中国成分股!A:B,1,)</f>
        <v>#N/A</v>
      </c>
    </row>
    <row r="3032" spans="1:6" ht="20.25" hidden="1" customHeight="1" x14ac:dyDescent="0.15">
      <c r="A3032" s="2" t="s">
        <v>6316</v>
      </c>
      <c r="B3032" s="2" t="s">
        <v>6317</v>
      </c>
      <c r="C3032" s="2">
        <v>0.32</v>
      </c>
      <c r="D3032" s="2">
        <v>0.56000000000000005</v>
      </c>
      <c r="E3032" s="2" t="s">
        <v>704</v>
      </c>
      <c r="F3032" s="2" t="e">
        <f>VLOOKUP(B3032,MSCI中国成分股!A:B,1,)</f>
        <v>#N/A</v>
      </c>
    </row>
    <row r="3033" spans="1:6" ht="20.25" hidden="1" customHeight="1" x14ac:dyDescent="0.15">
      <c r="A3033" s="2" t="s">
        <v>6318</v>
      </c>
      <c r="B3033" s="2" t="s">
        <v>6319</v>
      </c>
      <c r="C3033" s="2">
        <v>1.52</v>
      </c>
      <c r="D3033" s="2">
        <v>4.1196000000000002</v>
      </c>
      <c r="E3033" s="2" t="s">
        <v>571</v>
      </c>
      <c r="F3033" s="2" t="e">
        <f>VLOOKUP(B3033,MSCI中国成分股!A:B,1,)</f>
        <v>#N/A</v>
      </c>
    </row>
    <row r="3034" spans="1:6" ht="20.25" hidden="1" customHeight="1" x14ac:dyDescent="0.15">
      <c r="A3034" s="2" t="s">
        <v>6320</v>
      </c>
      <c r="B3034" s="2" t="s">
        <v>6321</v>
      </c>
      <c r="C3034" s="2">
        <v>1.67</v>
      </c>
      <c r="D3034" s="2">
        <v>8.2723999999999993</v>
      </c>
      <c r="E3034" s="2" t="s">
        <v>2063</v>
      </c>
      <c r="F3034" s="2" t="e">
        <f>VLOOKUP(B3034,MSCI中国成分股!A:B,1,)</f>
        <v>#N/A</v>
      </c>
    </row>
    <row r="3035" spans="1:6" ht="20.25" hidden="1" customHeight="1" x14ac:dyDescent="0.15">
      <c r="A3035" s="2" t="s">
        <v>6322</v>
      </c>
      <c r="B3035" s="2" t="s">
        <v>6323</v>
      </c>
      <c r="C3035" s="2">
        <v>-0.56999999999999995</v>
      </c>
      <c r="D3035" s="2">
        <v>10.9046</v>
      </c>
      <c r="E3035" s="2" t="s">
        <v>1712</v>
      </c>
      <c r="F3035" s="2" t="e">
        <f>VLOOKUP(B3035,MSCI中国成分股!A:B,1,)</f>
        <v>#N/A</v>
      </c>
    </row>
    <row r="3036" spans="1:6" ht="20.25" hidden="1" customHeight="1" x14ac:dyDescent="0.15">
      <c r="A3036" s="2" t="s">
        <v>6324</v>
      </c>
      <c r="B3036" s="2" t="s">
        <v>6325</v>
      </c>
      <c r="C3036" s="2">
        <v>0.31</v>
      </c>
      <c r="D3036" s="2">
        <v>39.3797</v>
      </c>
      <c r="E3036" s="2" t="s">
        <v>982</v>
      </c>
      <c r="F3036" s="2" t="e">
        <f>VLOOKUP(B3036,MSCI中国成分股!A:B,1,)</f>
        <v>#N/A</v>
      </c>
    </row>
    <row r="3037" spans="1:6" ht="20.25" hidden="1" customHeight="1" x14ac:dyDescent="0.15">
      <c r="A3037" s="2" t="s">
        <v>6326</v>
      </c>
      <c r="B3037" s="2" t="s">
        <v>6327</v>
      </c>
      <c r="C3037" s="2">
        <v>-0.16</v>
      </c>
      <c r="D3037" s="2">
        <v>0.36749999999999999</v>
      </c>
      <c r="E3037" s="2" t="s">
        <v>201</v>
      </c>
      <c r="F3037" s="2" t="e">
        <f>VLOOKUP(B3037,MSCI中国成分股!A:B,1,)</f>
        <v>#N/A</v>
      </c>
    </row>
    <row r="3038" spans="1:6" ht="20.25" hidden="1" customHeight="1" x14ac:dyDescent="0.15">
      <c r="A3038" s="2" t="s">
        <v>6328</v>
      </c>
      <c r="B3038" s="2" t="s">
        <v>6329</v>
      </c>
      <c r="C3038" s="2">
        <v>-2.92</v>
      </c>
      <c r="D3038" s="2">
        <v>26.557500000000001</v>
      </c>
      <c r="E3038" s="2" t="s">
        <v>322</v>
      </c>
      <c r="F3038" s="2" t="e">
        <f>VLOOKUP(B3038,MSCI中国成分股!A:B,1,)</f>
        <v>#N/A</v>
      </c>
    </row>
    <row r="3039" spans="1:6" ht="20.25" hidden="1" customHeight="1" x14ac:dyDescent="0.15">
      <c r="A3039" s="2" t="s">
        <v>6330</v>
      </c>
      <c r="B3039" s="2" t="s">
        <v>6331</v>
      </c>
      <c r="C3039" s="2">
        <v>0.3</v>
      </c>
      <c r="D3039" s="2">
        <v>6.0972</v>
      </c>
      <c r="E3039" s="2" t="s">
        <v>371</v>
      </c>
      <c r="F3039" s="2" t="e">
        <f>VLOOKUP(B3039,MSCI中国成分股!A:B,1,)</f>
        <v>#N/A</v>
      </c>
    </row>
    <row r="3040" spans="1:6" ht="20.25" hidden="1" customHeight="1" x14ac:dyDescent="0.15">
      <c r="A3040" s="2" t="s">
        <v>6332</v>
      </c>
      <c r="B3040" s="2" t="s">
        <v>6333</v>
      </c>
      <c r="C3040" s="2">
        <v>3.0249999999999999</v>
      </c>
      <c r="D3040" s="2">
        <v>4.0282999999999998</v>
      </c>
      <c r="E3040" s="2" t="s">
        <v>1853</v>
      </c>
      <c r="F3040" s="2" t="e">
        <f>VLOOKUP(B3040,MSCI中国成分股!A:B,1,)</f>
        <v>#N/A</v>
      </c>
    </row>
    <row r="3041" spans="1:6" ht="20.25" hidden="1" customHeight="1" x14ac:dyDescent="0.15">
      <c r="A3041" s="2" t="s">
        <v>6334</v>
      </c>
      <c r="B3041" s="2" t="s">
        <v>6335</v>
      </c>
      <c r="C3041" s="2">
        <v>0.31</v>
      </c>
      <c r="D3041" s="2">
        <v>3.4443999999999999</v>
      </c>
      <c r="E3041" s="2" t="s">
        <v>459</v>
      </c>
      <c r="F3041" s="2" t="e">
        <f>VLOOKUP(B3041,MSCI中国成分股!A:B,1,)</f>
        <v>#N/A</v>
      </c>
    </row>
    <row r="3042" spans="1:6" ht="20.25" hidden="1" customHeight="1" x14ac:dyDescent="0.15">
      <c r="A3042" s="2" t="s">
        <v>6336</v>
      </c>
      <c r="B3042" s="2" t="s">
        <v>6337</v>
      </c>
      <c r="C3042" s="2">
        <v>0.08</v>
      </c>
      <c r="D3042" s="2">
        <v>1.0406</v>
      </c>
      <c r="E3042" s="2" t="s">
        <v>140</v>
      </c>
      <c r="F3042" s="2" t="e">
        <f>VLOOKUP(B3042,MSCI中国成分股!A:B,1,)</f>
        <v>#N/A</v>
      </c>
    </row>
    <row r="3043" spans="1:6" ht="20.25" hidden="1" customHeight="1" x14ac:dyDescent="0.15">
      <c r="A3043" s="2" t="s">
        <v>6338</v>
      </c>
      <c r="B3043" s="2" t="s">
        <v>6339</v>
      </c>
      <c r="C3043" s="2">
        <v>-0.11</v>
      </c>
      <c r="D3043" s="2">
        <v>207.6002</v>
      </c>
      <c r="E3043" s="2" t="s">
        <v>89</v>
      </c>
      <c r="F3043" s="2" t="e">
        <f>VLOOKUP(B3043,MSCI中国成分股!A:B,1,)</f>
        <v>#N/A</v>
      </c>
    </row>
    <row r="3044" spans="1:6" ht="20.25" hidden="1" customHeight="1" x14ac:dyDescent="0.15">
      <c r="A3044" s="2" t="s">
        <v>6340</v>
      </c>
      <c r="B3044" s="2" t="s">
        <v>6341</v>
      </c>
      <c r="C3044" s="2">
        <v>-2.75</v>
      </c>
      <c r="D3044" s="2">
        <v>20.545999999999999</v>
      </c>
      <c r="E3044" s="2" t="s">
        <v>385</v>
      </c>
      <c r="F3044" s="2" t="e">
        <f>VLOOKUP(B3044,MSCI中国成分股!A:B,1,)</f>
        <v>#N/A</v>
      </c>
    </row>
    <row r="3045" spans="1:6" ht="20.25" hidden="1" customHeight="1" x14ac:dyDescent="0.15">
      <c r="A3045" s="2" t="s">
        <v>6342</v>
      </c>
      <c r="B3045" s="2" t="s">
        <v>6343</v>
      </c>
      <c r="C3045" s="2">
        <v>2.23</v>
      </c>
      <c r="D3045" s="2">
        <v>5.1375999999999999</v>
      </c>
      <c r="E3045" s="2" t="s">
        <v>827</v>
      </c>
      <c r="F3045" s="2" t="e">
        <f>VLOOKUP(B3045,MSCI中国成分股!A:B,1,)</f>
        <v>#N/A</v>
      </c>
    </row>
    <row r="3046" spans="1:6" ht="20.25" hidden="1" customHeight="1" x14ac:dyDescent="0.15">
      <c r="A3046" s="2" t="s">
        <v>6344</v>
      </c>
      <c r="B3046" s="2" t="s">
        <v>6345</v>
      </c>
      <c r="C3046" s="2">
        <v>0.17</v>
      </c>
      <c r="D3046" s="2">
        <v>78.709400000000002</v>
      </c>
      <c r="E3046" s="2" t="s">
        <v>421</v>
      </c>
      <c r="F3046" s="2" t="e">
        <f>VLOOKUP(B3046,MSCI中国成分股!A:B,1,)</f>
        <v>#N/A</v>
      </c>
    </row>
    <row r="3047" spans="1:6" ht="20.25" hidden="1" customHeight="1" x14ac:dyDescent="0.15">
      <c r="A3047" s="2" t="s">
        <v>6346</v>
      </c>
      <c r="B3047" s="2" t="s">
        <v>6347</v>
      </c>
      <c r="C3047" s="2">
        <v>-0.27</v>
      </c>
      <c r="D3047" s="2">
        <v>3.5169999999999999</v>
      </c>
      <c r="E3047" s="2" t="s">
        <v>220</v>
      </c>
      <c r="F3047" s="2" t="e">
        <f>VLOOKUP(B3047,MSCI中国成分股!A:B,1,)</f>
        <v>#N/A</v>
      </c>
    </row>
    <row r="3048" spans="1:6" ht="20.25" hidden="1" customHeight="1" x14ac:dyDescent="0.15">
      <c r="A3048" s="2" t="s">
        <v>6348</v>
      </c>
      <c r="B3048" s="2" t="s">
        <v>6349</v>
      </c>
      <c r="C3048" s="2">
        <v>-2.52</v>
      </c>
      <c r="D3048" s="2">
        <v>42.804000000000002</v>
      </c>
      <c r="E3048" s="2" t="s">
        <v>35</v>
      </c>
      <c r="F3048" s="2" t="e">
        <f>VLOOKUP(B3048,MSCI中国成分股!A:B,1,)</f>
        <v>#N/A</v>
      </c>
    </row>
    <row r="3049" spans="1:6" ht="20.25" hidden="1" customHeight="1" x14ac:dyDescent="0.15">
      <c r="A3049" s="2" t="s">
        <v>6350</v>
      </c>
      <c r="B3049" s="2" t="s">
        <v>6351</v>
      </c>
      <c r="C3049" s="2">
        <v>-1.1000000000000001</v>
      </c>
      <c r="D3049" s="2">
        <v>18.735199999999999</v>
      </c>
      <c r="E3049" s="2" t="s">
        <v>787</v>
      </c>
      <c r="F3049" s="2" t="e">
        <f>VLOOKUP(B3049,MSCI中国成分股!A:B,1,)</f>
        <v>#N/A</v>
      </c>
    </row>
    <row r="3050" spans="1:6" ht="20.25" hidden="1" customHeight="1" x14ac:dyDescent="0.15">
      <c r="A3050" s="2" t="s">
        <v>6352</v>
      </c>
      <c r="B3050" s="2" t="s">
        <v>6353</v>
      </c>
      <c r="C3050" s="2">
        <v>2.0699999999999998</v>
      </c>
      <c r="D3050" s="2">
        <v>7.2538999999999998</v>
      </c>
      <c r="E3050" s="2" t="s">
        <v>220</v>
      </c>
      <c r="F3050" s="2" t="e">
        <f>VLOOKUP(B3050,MSCI中国成分股!A:B,1,)</f>
        <v>#N/A</v>
      </c>
    </row>
    <row r="3051" spans="1:6" ht="20.25" hidden="1" customHeight="1" x14ac:dyDescent="0.15">
      <c r="A3051" s="2" t="s">
        <v>6354</v>
      </c>
      <c r="B3051" s="2" t="s">
        <v>6355</v>
      </c>
      <c r="C3051" s="2">
        <v>3.15</v>
      </c>
      <c r="D3051" s="2">
        <v>0.97419999999999995</v>
      </c>
      <c r="E3051" s="2" t="s">
        <v>784</v>
      </c>
      <c r="F3051" s="2" t="e">
        <f>VLOOKUP(B3051,MSCI中国成分股!A:B,1,)</f>
        <v>#N/A</v>
      </c>
    </row>
    <row r="3052" spans="1:6" ht="20.25" hidden="1" customHeight="1" x14ac:dyDescent="0.15">
      <c r="A3052" s="2" t="s">
        <v>6356</v>
      </c>
      <c r="B3052" s="2" t="s">
        <v>6357</v>
      </c>
      <c r="C3052" s="2">
        <v>-0.67</v>
      </c>
      <c r="D3052" s="2">
        <v>22.516200000000001</v>
      </c>
      <c r="E3052" s="2" t="s">
        <v>421</v>
      </c>
      <c r="F3052" s="2" t="e">
        <f>VLOOKUP(B3052,MSCI中国成分股!A:B,1,)</f>
        <v>#N/A</v>
      </c>
    </row>
    <row r="3053" spans="1:6" ht="20.25" hidden="1" customHeight="1" x14ac:dyDescent="0.15">
      <c r="A3053" s="2" t="s">
        <v>6358</v>
      </c>
      <c r="B3053" s="2" t="s">
        <v>6359</v>
      </c>
      <c r="C3053" s="2">
        <v>-1.74</v>
      </c>
      <c r="D3053" s="2">
        <v>6.8105000000000002</v>
      </c>
      <c r="E3053" s="2" t="s">
        <v>690</v>
      </c>
      <c r="F3053" s="2" t="e">
        <f>VLOOKUP(B3053,MSCI中国成分股!A:B,1,)</f>
        <v>#N/A</v>
      </c>
    </row>
    <row r="3054" spans="1:6" ht="20.25" hidden="1" customHeight="1" x14ac:dyDescent="0.15">
      <c r="A3054" s="2" t="s">
        <v>6360</v>
      </c>
      <c r="B3054" s="2" t="s">
        <v>6361</v>
      </c>
      <c r="C3054" s="2">
        <v>0.47</v>
      </c>
      <c r="D3054" s="2">
        <v>0.3125</v>
      </c>
      <c r="E3054" s="2" t="s">
        <v>123</v>
      </c>
      <c r="F3054" s="2" t="e">
        <f>VLOOKUP(B3054,MSCI中国成分股!A:B,1,)</f>
        <v>#N/A</v>
      </c>
    </row>
    <row r="3055" spans="1:6" ht="20.25" hidden="1" customHeight="1" x14ac:dyDescent="0.15">
      <c r="A3055" s="2" t="s">
        <v>6362</v>
      </c>
      <c r="B3055" s="2" t="s">
        <v>6363</v>
      </c>
      <c r="C3055" s="2">
        <v>2.1</v>
      </c>
      <c r="D3055" s="2">
        <v>0.36020000000000002</v>
      </c>
      <c r="E3055" s="2" t="s">
        <v>784</v>
      </c>
      <c r="F3055" s="2" t="e">
        <f>VLOOKUP(B3055,MSCI中国成分股!A:B,1,)</f>
        <v>#N/A</v>
      </c>
    </row>
    <row r="3056" spans="1:6" ht="20.25" hidden="1" customHeight="1" x14ac:dyDescent="0.15">
      <c r="A3056" s="2" t="s">
        <v>6364</v>
      </c>
      <c r="B3056" s="2" t="s">
        <v>6365</v>
      </c>
      <c r="C3056" s="2">
        <v>2.15</v>
      </c>
      <c r="D3056" s="2">
        <v>0.54910000000000003</v>
      </c>
      <c r="E3056" s="2" t="s">
        <v>741</v>
      </c>
      <c r="F3056" s="2" t="e">
        <f>VLOOKUP(B3056,MSCI中国成分股!A:B,1,)</f>
        <v>#N/A</v>
      </c>
    </row>
    <row r="3057" spans="1:6" ht="20.25" hidden="1" customHeight="1" x14ac:dyDescent="0.15">
      <c r="A3057" s="2" t="s">
        <v>6366</v>
      </c>
      <c r="B3057" s="2" t="s">
        <v>6367</v>
      </c>
      <c r="C3057" s="2">
        <v>0.82</v>
      </c>
      <c r="D3057" s="2">
        <v>14.610900000000001</v>
      </c>
      <c r="E3057" s="2" t="s">
        <v>7</v>
      </c>
      <c r="F3057" s="2" t="e">
        <f>VLOOKUP(B3057,MSCI中国成分股!A:B,1,)</f>
        <v>#N/A</v>
      </c>
    </row>
    <row r="3058" spans="1:6" ht="20.25" hidden="1" customHeight="1" x14ac:dyDescent="0.15">
      <c r="A3058" s="2" t="s">
        <v>6368</v>
      </c>
      <c r="B3058" s="2" t="s">
        <v>6369</v>
      </c>
      <c r="C3058" s="2">
        <v>0.53</v>
      </c>
      <c r="D3058" s="2">
        <v>10.029</v>
      </c>
      <c r="E3058" s="2" t="s">
        <v>44</v>
      </c>
      <c r="F3058" s="2" t="e">
        <f>VLOOKUP(B3058,MSCI中国成分股!A:B,1,)</f>
        <v>#N/A</v>
      </c>
    </row>
    <row r="3059" spans="1:6" ht="20.25" hidden="1" customHeight="1" x14ac:dyDescent="0.15">
      <c r="A3059" s="2" t="s">
        <v>6370</v>
      </c>
      <c r="B3059" s="2" t="s">
        <v>6371</v>
      </c>
      <c r="C3059" s="2">
        <v>1.5649999999999999</v>
      </c>
      <c r="D3059" s="2">
        <v>0.95050000000000001</v>
      </c>
      <c r="E3059" s="2" t="s">
        <v>794</v>
      </c>
      <c r="F3059" s="2" t="e">
        <f>VLOOKUP(B3059,MSCI中国成分股!A:B,1,)</f>
        <v>#N/A</v>
      </c>
    </row>
    <row r="3060" spans="1:6" ht="20.25" hidden="1" customHeight="1" x14ac:dyDescent="0.15">
      <c r="A3060" s="2" t="s">
        <v>6372</v>
      </c>
      <c r="B3060" s="2" t="s">
        <v>6373</v>
      </c>
      <c r="C3060" s="2">
        <v>1.38</v>
      </c>
      <c r="D3060" s="2">
        <v>2.3538999999999999</v>
      </c>
      <c r="E3060" s="2" t="s">
        <v>403</v>
      </c>
      <c r="F3060" s="2" t="e">
        <f>VLOOKUP(B3060,MSCI中国成分股!A:B,1,)</f>
        <v>#N/A</v>
      </c>
    </row>
    <row r="3061" spans="1:6" ht="20.25" hidden="1" customHeight="1" x14ac:dyDescent="0.15">
      <c r="A3061" s="2" t="s">
        <v>6374</v>
      </c>
      <c r="B3061" s="2" t="s">
        <v>6375</v>
      </c>
      <c r="C3061" s="2">
        <v>0.84</v>
      </c>
      <c r="D3061" s="2">
        <v>23.5961</v>
      </c>
      <c r="E3061" s="2" t="s">
        <v>1436</v>
      </c>
      <c r="F3061" s="2" t="e">
        <f>VLOOKUP(B3061,MSCI中国成分股!A:B,1,)</f>
        <v>#N/A</v>
      </c>
    </row>
    <row r="3062" spans="1:6" ht="20.25" hidden="1" customHeight="1" x14ac:dyDescent="0.15">
      <c r="A3062" s="2" t="s">
        <v>6376</v>
      </c>
      <c r="B3062" s="2" t="s">
        <v>6377</v>
      </c>
      <c r="C3062" s="2">
        <v>1.63</v>
      </c>
      <c r="D3062" s="2">
        <v>2.0112000000000001</v>
      </c>
      <c r="E3062" s="2" t="s">
        <v>1403</v>
      </c>
      <c r="F3062" s="2" t="e">
        <f>VLOOKUP(B3062,MSCI中国成分股!A:B,1,)</f>
        <v>#N/A</v>
      </c>
    </row>
    <row r="3063" spans="1:6" ht="20.25" hidden="1" customHeight="1" x14ac:dyDescent="0.15">
      <c r="A3063" s="2" t="s">
        <v>6378</v>
      </c>
      <c r="B3063" s="2" t="s">
        <v>6379</v>
      </c>
      <c r="C3063" s="2">
        <v>1.03</v>
      </c>
      <c r="D3063" s="2">
        <v>1.1819</v>
      </c>
      <c r="E3063" s="2" t="s">
        <v>704</v>
      </c>
      <c r="F3063" s="2" t="e">
        <f>VLOOKUP(B3063,MSCI中国成分股!A:B,1,)</f>
        <v>#N/A</v>
      </c>
    </row>
    <row r="3064" spans="1:6" ht="20.25" hidden="1" customHeight="1" x14ac:dyDescent="0.15">
      <c r="A3064" s="2" t="s">
        <v>6380</v>
      </c>
      <c r="B3064" s="2" t="s">
        <v>6381</v>
      </c>
      <c r="C3064" s="2">
        <v>2.76</v>
      </c>
      <c r="D3064" s="2">
        <v>0.75860000000000005</v>
      </c>
      <c r="E3064" s="2" t="s">
        <v>1061</v>
      </c>
      <c r="F3064" s="2" t="e">
        <f>VLOOKUP(B3064,MSCI中国成分股!A:B,1,)</f>
        <v>#N/A</v>
      </c>
    </row>
    <row r="3065" spans="1:6" ht="20.25" hidden="1" customHeight="1" x14ac:dyDescent="0.15">
      <c r="A3065" s="2" t="s">
        <v>6382</v>
      </c>
      <c r="B3065" s="2" t="s">
        <v>6383</v>
      </c>
      <c r="C3065" s="2">
        <v>0.99</v>
      </c>
      <c r="D3065" s="2">
        <v>4.8899999999999999E-2</v>
      </c>
      <c r="E3065" s="2" t="s">
        <v>1102</v>
      </c>
      <c r="F3065" s="2" t="e">
        <f>VLOOKUP(B3065,MSCI中国成分股!A:B,1,)</f>
        <v>#N/A</v>
      </c>
    </row>
    <row r="3066" spans="1:6" ht="20.25" hidden="1" customHeight="1" x14ac:dyDescent="0.15">
      <c r="A3066" s="2" t="s">
        <v>6384</v>
      </c>
      <c r="B3066" s="2" t="s">
        <v>6385</v>
      </c>
      <c r="C3066" s="2">
        <v>0.62</v>
      </c>
      <c r="D3066" s="2">
        <v>3.9003000000000001</v>
      </c>
      <c r="E3066" s="2" t="s">
        <v>667</v>
      </c>
      <c r="F3066" s="2" t="e">
        <f>VLOOKUP(B3066,MSCI中国成分股!A:B,1,)</f>
        <v>#N/A</v>
      </c>
    </row>
    <row r="3067" spans="1:6" ht="20.25" hidden="1" customHeight="1" x14ac:dyDescent="0.15">
      <c r="A3067" s="2" t="s">
        <v>6386</v>
      </c>
      <c r="B3067" s="2" t="s">
        <v>6387</v>
      </c>
      <c r="C3067" s="2">
        <v>0.41</v>
      </c>
      <c r="D3067" s="2">
        <v>4.8082000000000003</v>
      </c>
      <c r="E3067" s="2" t="s">
        <v>529</v>
      </c>
      <c r="F3067" s="2" t="e">
        <f>VLOOKUP(B3067,MSCI中国成分股!A:B,1,)</f>
        <v>#N/A</v>
      </c>
    </row>
    <row r="3068" spans="1:6" ht="20.25" hidden="1" customHeight="1" x14ac:dyDescent="0.15">
      <c r="A3068" s="2" t="s">
        <v>6388</v>
      </c>
      <c r="B3068" s="2" t="s">
        <v>6389</v>
      </c>
      <c r="C3068" s="2">
        <v>0.47</v>
      </c>
      <c r="D3068" s="2">
        <v>0.1072</v>
      </c>
      <c r="E3068" s="2" t="s">
        <v>201</v>
      </c>
      <c r="F3068" s="2" t="e">
        <f>VLOOKUP(B3068,MSCI中国成分股!A:B,1,)</f>
        <v>#N/A</v>
      </c>
    </row>
    <row r="3069" spans="1:6" ht="20.25" hidden="1" customHeight="1" x14ac:dyDescent="0.15">
      <c r="A3069" s="2" t="s">
        <v>6390</v>
      </c>
      <c r="B3069" s="2" t="s">
        <v>6391</v>
      </c>
      <c r="C3069" s="2">
        <v>-0.12</v>
      </c>
      <c r="D3069" s="2">
        <v>37.1494</v>
      </c>
      <c r="E3069" s="2" t="s">
        <v>1094</v>
      </c>
      <c r="F3069" s="2" t="e">
        <f>VLOOKUP(B3069,MSCI中国成分股!A:B,1,)</f>
        <v>#N/A</v>
      </c>
    </row>
    <row r="3070" spans="1:6" ht="20.25" hidden="1" customHeight="1" x14ac:dyDescent="0.15">
      <c r="A3070" s="2" t="s">
        <v>6392</v>
      </c>
      <c r="B3070" s="2" t="s">
        <v>6393</v>
      </c>
      <c r="C3070" s="2">
        <v>2.0299999999999998</v>
      </c>
      <c r="D3070" s="2">
        <v>4.9663000000000004</v>
      </c>
      <c r="E3070" s="2" t="s">
        <v>690</v>
      </c>
      <c r="F3070" s="2" t="e">
        <f>VLOOKUP(B3070,MSCI中国成分股!A:B,1,)</f>
        <v>#N/A</v>
      </c>
    </row>
    <row r="3071" spans="1:6" ht="20.25" hidden="1" customHeight="1" x14ac:dyDescent="0.15">
      <c r="A3071" s="2" t="s">
        <v>6394</v>
      </c>
      <c r="B3071" s="2" t="s">
        <v>6395</v>
      </c>
      <c r="C3071" s="2">
        <v>-0.38500000000000001</v>
      </c>
      <c r="D3071" s="2">
        <v>16.993400000000001</v>
      </c>
      <c r="E3071" s="2" t="s">
        <v>299</v>
      </c>
      <c r="F3071" s="2" t="e">
        <f>VLOOKUP(B3071,MSCI中国成分股!A:B,1,)</f>
        <v>#N/A</v>
      </c>
    </row>
    <row r="3072" spans="1:6" ht="20.25" hidden="1" customHeight="1" x14ac:dyDescent="0.15">
      <c r="A3072" s="2" t="s">
        <v>6396</v>
      </c>
      <c r="B3072" s="2" t="s">
        <v>6397</v>
      </c>
      <c r="C3072" s="2">
        <v>0.1</v>
      </c>
      <c r="D3072" s="2">
        <v>18.417899999999999</v>
      </c>
      <c r="E3072" s="2" t="s">
        <v>1199</v>
      </c>
      <c r="F3072" s="2" t="e">
        <f>VLOOKUP(B3072,MSCI中国成分股!A:B,1,)</f>
        <v>#N/A</v>
      </c>
    </row>
    <row r="3073" spans="1:6" ht="20.25" hidden="1" customHeight="1" x14ac:dyDescent="0.15">
      <c r="A3073" s="2" t="s">
        <v>6398</v>
      </c>
      <c r="B3073" s="2" t="s">
        <v>6399</v>
      </c>
      <c r="C3073" s="2">
        <v>0.04</v>
      </c>
      <c r="D3073" s="2">
        <v>7.7065000000000001</v>
      </c>
      <c r="E3073" s="2" t="s">
        <v>630</v>
      </c>
      <c r="F3073" s="2" t="e">
        <f>VLOOKUP(B3073,MSCI中国成分股!A:B,1,)</f>
        <v>#N/A</v>
      </c>
    </row>
    <row r="3074" spans="1:6" ht="20.25" hidden="1" customHeight="1" x14ac:dyDescent="0.15">
      <c r="A3074" s="2" t="s">
        <v>6400</v>
      </c>
      <c r="B3074" s="2" t="s">
        <v>6401</v>
      </c>
      <c r="C3074" s="2">
        <v>3.57</v>
      </c>
      <c r="D3074" s="2">
        <v>72.074799999999996</v>
      </c>
      <c r="E3074" s="2" t="s">
        <v>310</v>
      </c>
      <c r="F3074" s="2" t="e">
        <f>VLOOKUP(B3074,MSCI中国成分股!A:B,1,)</f>
        <v>#N/A</v>
      </c>
    </row>
    <row r="3075" spans="1:6" ht="20.25" hidden="1" customHeight="1" x14ac:dyDescent="0.15">
      <c r="A3075" s="2" t="s">
        <v>6402</v>
      </c>
      <c r="B3075" s="2" t="s">
        <v>6403</v>
      </c>
      <c r="C3075" s="2">
        <v>0.73</v>
      </c>
      <c r="D3075" s="2">
        <v>31.649899999999999</v>
      </c>
      <c r="E3075" s="2" t="s">
        <v>260</v>
      </c>
      <c r="F3075" s="2" t="e">
        <f>VLOOKUP(B3075,MSCI中国成分股!A:B,1,)</f>
        <v>#N/A</v>
      </c>
    </row>
    <row r="3076" spans="1:6" ht="20.25" hidden="1" customHeight="1" x14ac:dyDescent="0.15">
      <c r="A3076" s="2" t="s">
        <v>6404</v>
      </c>
      <c r="B3076" s="2" t="s">
        <v>6405</v>
      </c>
      <c r="C3076" s="2">
        <v>1.85</v>
      </c>
      <c r="D3076" s="2">
        <v>0.45450000000000002</v>
      </c>
      <c r="E3076" s="2" t="s">
        <v>483</v>
      </c>
      <c r="F3076" s="2" t="e">
        <f>VLOOKUP(B3076,MSCI中国成分股!A:B,1,)</f>
        <v>#N/A</v>
      </c>
    </row>
    <row r="3077" spans="1:6" ht="20.25" hidden="1" customHeight="1" x14ac:dyDescent="0.15">
      <c r="A3077" s="2" t="s">
        <v>6406</v>
      </c>
      <c r="B3077" s="2" t="s">
        <v>6407</v>
      </c>
      <c r="C3077" s="2">
        <v>2.42</v>
      </c>
      <c r="D3077" s="2">
        <v>1.7717000000000001</v>
      </c>
      <c r="E3077" s="2" t="s">
        <v>1608</v>
      </c>
      <c r="F3077" s="2" t="e">
        <f>VLOOKUP(B3077,MSCI中国成分股!A:B,1,)</f>
        <v>#N/A</v>
      </c>
    </row>
    <row r="3078" spans="1:6" ht="20.25" hidden="1" customHeight="1" x14ac:dyDescent="0.15">
      <c r="A3078" s="2" t="s">
        <v>6408</v>
      </c>
      <c r="B3078" s="2" t="s">
        <v>6409</v>
      </c>
      <c r="C3078" s="2">
        <v>-0.5</v>
      </c>
      <c r="D3078" s="2">
        <v>1.7289000000000001</v>
      </c>
      <c r="E3078" s="2" t="s">
        <v>769</v>
      </c>
      <c r="F3078" s="2" t="e">
        <f>VLOOKUP(B3078,MSCI中国成分股!A:B,1,)</f>
        <v>#N/A</v>
      </c>
    </row>
    <row r="3079" spans="1:6" ht="20.25" hidden="1" customHeight="1" x14ac:dyDescent="0.15">
      <c r="A3079" s="2" t="s">
        <v>6410</v>
      </c>
      <c r="B3079" s="2" t="s">
        <v>6411</v>
      </c>
      <c r="C3079" s="2">
        <v>2.33</v>
      </c>
      <c r="D3079" s="2">
        <v>4.5462999999999996</v>
      </c>
      <c r="E3079" s="2" t="s">
        <v>406</v>
      </c>
      <c r="F3079" s="2" t="e">
        <f>VLOOKUP(B3079,MSCI中国成分股!A:B,1,)</f>
        <v>#N/A</v>
      </c>
    </row>
    <row r="3080" spans="1:6" ht="20.25" hidden="1" customHeight="1" x14ac:dyDescent="0.15">
      <c r="A3080" s="2" t="s">
        <v>6412</v>
      </c>
      <c r="B3080" s="2" t="s">
        <v>6413</v>
      </c>
      <c r="C3080" s="2">
        <v>2.36</v>
      </c>
      <c r="D3080" s="2">
        <v>1.4226000000000001</v>
      </c>
      <c r="E3080" s="2" t="s">
        <v>784</v>
      </c>
      <c r="F3080" s="2" t="e">
        <f>VLOOKUP(B3080,MSCI中国成分股!A:B,1,)</f>
        <v>#N/A</v>
      </c>
    </row>
    <row r="3081" spans="1:6" ht="20.25" hidden="1" customHeight="1" x14ac:dyDescent="0.15">
      <c r="A3081" s="2" t="s">
        <v>6414</v>
      </c>
      <c r="B3081" s="2" t="s">
        <v>6415</v>
      </c>
      <c r="C3081" s="2">
        <v>2.14</v>
      </c>
      <c r="D3081" s="2">
        <v>0.7722</v>
      </c>
      <c r="E3081" s="2" t="s">
        <v>310</v>
      </c>
      <c r="F3081" s="2" t="e">
        <f>VLOOKUP(B3081,MSCI中国成分股!A:B,1,)</f>
        <v>#N/A</v>
      </c>
    </row>
    <row r="3082" spans="1:6" ht="20.25" hidden="1" customHeight="1" x14ac:dyDescent="0.15">
      <c r="A3082" s="2" t="s">
        <v>6416</v>
      </c>
      <c r="B3082" s="2" t="s">
        <v>6417</v>
      </c>
      <c r="C3082" s="2">
        <v>4.4550000000000001</v>
      </c>
      <c r="D3082" s="2">
        <v>16.264900000000001</v>
      </c>
      <c r="E3082" s="2" t="s">
        <v>1608</v>
      </c>
      <c r="F3082" s="2" t="e">
        <f>VLOOKUP(B3082,MSCI中国成分股!A:B,1,)</f>
        <v>#N/A</v>
      </c>
    </row>
    <row r="3083" spans="1:6" ht="20.25" hidden="1" customHeight="1" x14ac:dyDescent="0.15">
      <c r="A3083" s="2" t="s">
        <v>6418</v>
      </c>
      <c r="B3083" s="2" t="s">
        <v>6419</v>
      </c>
      <c r="C3083" s="2">
        <v>0.26</v>
      </c>
      <c r="D3083" s="2">
        <v>88.673299999999998</v>
      </c>
      <c r="E3083" s="2" t="s">
        <v>664</v>
      </c>
      <c r="F3083" s="2" t="e">
        <f>VLOOKUP(B3083,MSCI中国成分股!A:B,1,)</f>
        <v>#N/A</v>
      </c>
    </row>
    <row r="3084" spans="1:6" ht="20.25" hidden="1" customHeight="1" x14ac:dyDescent="0.15">
      <c r="A3084" s="2" t="s">
        <v>6420</v>
      </c>
      <c r="B3084" s="2" t="s">
        <v>6421</v>
      </c>
      <c r="C3084" s="2">
        <v>1.37</v>
      </c>
      <c r="D3084" s="2">
        <v>0.7258</v>
      </c>
      <c r="E3084" s="2" t="s">
        <v>794</v>
      </c>
      <c r="F3084" s="2" t="e">
        <f>VLOOKUP(B3084,MSCI中国成分股!A:B,1,)</f>
        <v>#N/A</v>
      </c>
    </row>
    <row r="3085" spans="1:6" ht="20.25" hidden="1" customHeight="1" x14ac:dyDescent="0.15">
      <c r="A3085" s="2" t="s">
        <v>6422</v>
      </c>
      <c r="B3085" s="2" t="s">
        <v>6423</v>
      </c>
      <c r="C3085" s="2">
        <v>3.0950000000000002</v>
      </c>
      <c r="D3085" s="2">
        <v>1.6880999999999999</v>
      </c>
      <c r="E3085" s="2" t="s">
        <v>713</v>
      </c>
      <c r="F3085" s="2" t="e">
        <f>VLOOKUP(B3085,MSCI中国成分股!A:B,1,)</f>
        <v>#N/A</v>
      </c>
    </row>
    <row r="3086" spans="1:6" ht="20.25" hidden="1" customHeight="1" x14ac:dyDescent="0.15">
      <c r="A3086" s="2" t="s">
        <v>6424</v>
      </c>
      <c r="B3086" s="2" t="s">
        <v>6425</v>
      </c>
      <c r="C3086" s="2">
        <v>1.7050000000000001</v>
      </c>
      <c r="D3086" s="2">
        <v>14.1896</v>
      </c>
      <c r="E3086" s="2" t="s">
        <v>690</v>
      </c>
      <c r="F3086" s="2" t="e">
        <f>VLOOKUP(B3086,MSCI中国成分股!A:B,1,)</f>
        <v>#N/A</v>
      </c>
    </row>
    <row r="3087" spans="1:6" ht="20.25" hidden="1" customHeight="1" x14ac:dyDescent="0.15">
      <c r="A3087" s="2" t="s">
        <v>6426</v>
      </c>
      <c r="B3087" s="2" t="s">
        <v>6427</v>
      </c>
      <c r="C3087" s="2">
        <v>2.0499999999999998</v>
      </c>
      <c r="D3087" s="2">
        <v>2.4096000000000002</v>
      </c>
      <c r="E3087" s="2" t="s">
        <v>961</v>
      </c>
      <c r="F3087" s="2" t="e">
        <f>VLOOKUP(B3087,MSCI中国成分股!A:B,1,)</f>
        <v>#N/A</v>
      </c>
    </row>
    <row r="3088" spans="1:6" ht="20.25" hidden="1" customHeight="1" x14ac:dyDescent="0.15">
      <c r="A3088" s="2" t="s">
        <v>6428</v>
      </c>
      <c r="B3088" s="2" t="s">
        <v>6429</v>
      </c>
      <c r="C3088" s="2">
        <v>3.63</v>
      </c>
      <c r="D3088" s="2">
        <v>1.6967000000000001</v>
      </c>
      <c r="E3088" s="2" t="s">
        <v>1102</v>
      </c>
      <c r="F3088" s="2" t="e">
        <f>VLOOKUP(B3088,MSCI中国成分股!A:B,1,)</f>
        <v>#N/A</v>
      </c>
    </row>
    <row r="3089" spans="1:6" ht="20.25" hidden="1" customHeight="1" x14ac:dyDescent="0.15">
      <c r="A3089" s="2" t="s">
        <v>6430</v>
      </c>
      <c r="B3089" s="2" t="s">
        <v>6431</v>
      </c>
      <c r="C3089" s="2">
        <v>3.4950000000000001</v>
      </c>
      <c r="D3089" s="2">
        <v>0.8125</v>
      </c>
      <c r="E3089" s="2" t="s">
        <v>68</v>
      </c>
      <c r="F3089" s="2" t="e">
        <f>VLOOKUP(B3089,MSCI中国成分股!A:B,1,)</f>
        <v>#N/A</v>
      </c>
    </row>
    <row r="3090" spans="1:6" ht="20.25" hidden="1" customHeight="1" x14ac:dyDescent="0.15">
      <c r="A3090" s="2" t="s">
        <v>6432</v>
      </c>
      <c r="B3090" s="2" t="s">
        <v>6433</v>
      </c>
      <c r="C3090" s="2">
        <v>-0.69</v>
      </c>
      <c r="D3090" s="2">
        <v>14.0326</v>
      </c>
      <c r="E3090" s="2" t="s">
        <v>1801</v>
      </c>
      <c r="F3090" s="2" t="e">
        <f>VLOOKUP(B3090,MSCI中国成分股!A:B,1,)</f>
        <v>#N/A</v>
      </c>
    </row>
    <row r="3091" spans="1:6" ht="20.25" hidden="1" customHeight="1" x14ac:dyDescent="0.15">
      <c r="A3091" s="2" t="s">
        <v>6434</v>
      </c>
      <c r="B3091" s="2" t="s">
        <v>6435</v>
      </c>
      <c r="C3091" s="2">
        <v>0.08</v>
      </c>
      <c r="D3091" s="2">
        <v>17.846</v>
      </c>
      <c r="E3091" s="2" t="s">
        <v>371</v>
      </c>
      <c r="F3091" s="2" t="e">
        <f>VLOOKUP(B3091,MSCI中国成分股!A:B,1,)</f>
        <v>#N/A</v>
      </c>
    </row>
    <row r="3092" spans="1:6" ht="20.25" hidden="1" customHeight="1" x14ac:dyDescent="0.15">
      <c r="A3092" s="2" t="s">
        <v>6436</v>
      </c>
      <c r="B3092" s="2" t="s">
        <v>6437</v>
      </c>
      <c r="C3092" s="2">
        <v>0.98</v>
      </c>
      <c r="D3092" s="2">
        <v>3.1526000000000001</v>
      </c>
      <c r="E3092" s="2" t="s">
        <v>41</v>
      </c>
      <c r="F3092" s="2" t="e">
        <f>VLOOKUP(B3092,MSCI中国成分股!A:B,1,)</f>
        <v>#N/A</v>
      </c>
    </row>
    <row r="3093" spans="1:6" ht="20.25" hidden="1" customHeight="1" x14ac:dyDescent="0.15">
      <c r="A3093" s="2" t="s">
        <v>6438</v>
      </c>
      <c r="B3093" s="2" t="s">
        <v>6439</v>
      </c>
      <c r="C3093" s="2">
        <v>2.7450000000000001</v>
      </c>
      <c r="D3093" s="2">
        <v>1.2568999999999999</v>
      </c>
      <c r="E3093" s="2" t="s">
        <v>368</v>
      </c>
      <c r="F3093" s="2" t="e">
        <f>VLOOKUP(B3093,MSCI中国成分股!A:B,1,)</f>
        <v>#N/A</v>
      </c>
    </row>
    <row r="3094" spans="1:6" ht="20.25" hidden="1" customHeight="1" x14ac:dyDescent="0.15">
      <c r="A3094" s="2" t="s">
        <v>6440</v>
      </c>
      <c r="B3094" s="2" t="s">
        <v>6441</v>
      </c>
      <c r="C3094" s="2">
        <v>0.52</v>
      </c>
      <c r="D3094" s="2">
        <v>0.39560000000000001</v>
      </c>
      <c r="E3094" s="2" t="s">
        <v>55</v>
      </c>
      <c r="F3094" s="2" t="e">
        <f>VLOOKUP(B3094,MSCI中国成分股!A:B,1,)</f>
        <v>#N/A</v>
      </c>
    </row>
    <row r="3095" spans="1:6" ht="20.25" hidden="1" customHeight="1" x14ac:dyDescent="0.15">
      <c r="A3095" s="2" t="s">
        <v>6442</v>
      </c>
      <c r="B3095" s="2" t="s">
        <v>6443</v>
      </c>
      <c r="C3095" s="2">
        <v>-3</v>
      </c>
      <c r="D3095" s="2">
        <v>19.897400000000001</v>
      </c>
      <c r="E3095" s="2" t="s">
        <v>1094</v>
      </c>
      <c r="F3095" s="2" t="e">
        <f>VLOOKUP(B3095,MSCI中国成分股!A:B,1,)</f>
        <v>#N/A</v>
      </c>
    </row>
    <row r="3096" spans="1:6" ht="20.25" hidden="1" customHeight="1" x14ac:dyDescent="0.15">
      <c r="A3096" s="2" t="s">
        <v>6444</v>
      </c>
      <c r="B3096" s="2" t="s">
        <v>6445</v>
      </c>
      <c r="C3096" s="2">
        <v>2.4700000000000002</v>
      </c>
      <c r="D3096" s="2">
        <v>1.5028999999999999</v>
      </c>
      <c r="E3096" s="2" t="s">
        <v>4939</v>
      </c>
      <c r="F3096" s="2" t="e">
        <f>VLOOKUP(B3096,MSCI中国成分股!A:B,1,)</f>
        <v>#N/A</v>
      </c>
    </row>
    <row r="3097" spans="1:6" ht="20.25" hidden="1" customHeight="1" x14ac:dyDescent="0.15">
      <c r="A3097" s="2" t="s">
        <v>6446</v>
      </c>
      <c r="B3097" s="2" t="s">
        <v>6447</v>
      </c>
      <c r="C3097" s="2">
        <v>1.1499999999999999</v>
      </c>
      <c r="D3097" s="2">
        <v>12.599299999999999</v>
      </c>
      <c r="E3097" s="2" t="s">
        <v>140</v>
      </c>
      <c r="F3097" s="2" t="e">
        <f>VLOOKUP(B3097,MSCI中国成分股!A:B,1,)</f>
        <v>#N/A</v>
      </c>
    </row>
    <row r="3098" spans="1:6" ht="20.25" hidden="1" customHeight="1" x14ac:dyDescent="0.15">
      <c r="A3098" s="2" t="s">
        <v>6448</v>
      </c>
      <c r="B3098" s="2" t="s">
        <v>6449</v>
      </c>
      <c r="C3098" s="2">
        <v>2.39</v>
      </c>
      <c r="D3098" s="2">
        <v>1.0656000000000001</v>
      </c>
      <c r="E3098" s="2" t="s">
        <v>1691</v>
      </c>
      <c r="F3098" s="2" t="e">
        <f>VLOOKUP(B3098,MSCI中国成分股!A:B,1,)</f>
        <v>#N/A</v>
      </c>
    </row>
    <row r="3099" spans="1:6" ht="20.25" hidden="1" customHeight="1" x14ac:dyDescent="0.15">
      <c r="A3099" s="2" t="s">
        <v>6450</v>
      </c>
      <c r="B3099" s="2" t="s">
        <v>6451</v>
      </c>
      <c r="C3099" s="2">
        <v>-0.67</v>
      </c>
      <c r="D3099" s="2">
        <v>4.7521000000000004</v>
      </c>
      <c r="E3099" s="2" t="s">
        <v>2355</v>
      </c>
      <c r="F3099" s="2" t="e">
        <f>VLOOKUP(B3099,MSCI中国成分股!A:B,1,)</f>
        <v>#N/A</v>
      </c>
    </row>
    <row r="3100" spans="1:6" ht="20.25" hidden="1" customHeight="1" x14ac:dyDescent="0.15">
      <c r="A3100" s="2" t="s">
        <v>6452</v>
      </c>
      <c r="B3100" s="2" t="s">
        <v>6453</v>
      </c>
      <c r="C3100" s="2">
        <v>-0.48</v>
      </c>
      <c r="D3100" s="2">
        <v>83.632400000000004</v>
      </c>
      <c r="E3100" s="2" t="s">
        <v>299</v>
      </c>
      <c r="F3100" s="2" t="e">
        <f>VLOOKUP(B3100,MSCI中国成分股!A:B,1,)</f>
        <v>#N/A</v>
      </c>
    </row>
    <row r="3101" spans="1:6" ht="20.25" hidden="1" customHeight="1" x14ac:dyDescent="0.15">
      <c r="A3101" s="2" t="s">
        <v>6454</v>
      </c>
      <c r="B3101" s="2" t="s">
        <v>6455</v>
      </c>
      <c r="C3101" s="2">
        <v>1.2</v>
      </c>
      <c r="D3101" s="2">
        <v>1.6327</v>
      </c>
      <c r="E3101" s="2" t="s">
        <v>359</v>
      </c>
      <c r="F3101" s="2" t="e">
        <f>VLOOKUP(B3101,MSCI中国成分股!A:B,1,)</f>
        <v>#N/A</v>
      </c>
    </row>
    <row r="3102" spans="1:6" ht="20.25" hidden="1" customHeight="1" x14ac:dyDescent="0.15">
      <c r="A3102" s="2" t="s">
        <v>6456</v>
      </c>
      <c r="B3102" s="2" t="s">
        <v>6457</v>
      </c>
      <c r="C3102" s="2">
        <v>-0.04</v>
      </c>
      <c r="D3102" s="2">
        <v>1.5652999999999999</v>
      </c>
      <c r="E3102" s="2" t="s">
        <v>406</v>
      </c>
      <c r="F3102" s="2" t="e">
        <f>VLOOKUP(B3102,MSCI中国成分股!A:B,1,)</f>
        <v>#N/A</v>
      </c>
    </row>
    <row r="3103" spans="1:6" ht="20.25" hidden="1" customHeight="1" x14ac:dyDescent="0.15">
      <c r="A3103" s="2" t="s">
        <v>6458</v>
      </c>
      <c r="B3103" s="2" t="s">
        <v>6459</v>
      </c>
      <c r="C3103" s="2">
        <v>-0.85</v>
      </c>
      <c r="D3103" s="2">
        <v>64.062100000000001</v>
      </c>
      <c r="E3103" s="2" t="s">
        <v>741</v>
      </c>
      <c r="F3103" s="2" t="e">
        <f>VLOOKUP(B3103,MSCI中国成分股!A:B,1,)</f>
        <v>#N/A</v>
      </c>
    </row>
    <row r="3104" spans="1:6" ht="20.25" hidden="1" customHeight="1" x14ac:dyDescent="0.15">
      <c r="A3104" s="2" t="s">
        <v>6460</v>
      </c>
      <c r="B3104" s="2" t="s">
        <v>6461</v>
      </c>
      <c r="C3104" s="2">
        <v>0.19</v>
      </c>
      <c r="D3104" s="2">
        <v>2.8329</v>
      </c>
      <c r="E3104" s="2" t="s">
        <v>220</v>
      </c>
      <c r="F3104" s="2" t="e">
        <f>VLOOKUP(B3104,MSCI中国成分股!A:B,1,)</f>
        <v>#N/A</v>
      </c>
    </row>
    <row r="3105" spans="1:6" ht="20.25" hidden="1" customHeight="1" x14ac:dyDescent="0.15">
      <c r="A3105" s="2" t="s">
        <v>6462</v>
      </c>
      <c r="B3105" s="2" t="s">
        <v>6463</v>
      </c>
      <c r="C3105" s="2">
        <v>1.69</v>
      </c>
      <c r="D3105" s="2">
        <v>0.57620000000000005</v>
      </c>
      <c r="E3105" s="2" t="s">
        <v>2151</v>
      </c>
      <c r="F3105" s="2" t="e">
        <f>VLOOKUP(B3105,MSCI中国成分股!A:B,1,)</f>
        <v>#N/A</v>
      </c>
    </row>
    <row r="3106" spans="1:6" ht="20.25" hidden="1" customHeight="1" x14ac:dyDescent="0.15">
      <c r="A3106" s="2" t="s">
        <v>6464</v>
      </c>
      <c r="B3106" s="2" t="s">
        <v>6465</v>
      </c>
      <c r="C3106" s="2">
        <v>0.84</v>
      </c>
      <c r="D3106" s="2">
        <v>4.5732999999999997</v>
      </c>
      <c r="E3106" s="2" t="s">
        <v>630</v>
      </c>
      <c r="F3106" s="2" t="e">
        <f>VLOOKUP(B3106,MSCI中国成分股!A:B,1,)</f>
        <v>#N/A</v>
      </c>
    </row>
    <row r="3107" spans="1:6" ht="20.25" hidden="1" customHeight="1" x14ac:dyDescent="0.15">
      <c r="A3107" s="2" t="s">
        <v>6466</v>
      </c>
      <c r="B3107" s="2" t="s">
        <v>6467</v>
      </c>
      <c r="C3107" s="2">
        <v>0.33</v>
      </c>
      <c r="D3107" s="2">
        <v>2.0021</v>
      </c>
      <c r="E3107" s="2" t="s">
        <v>1173</v>
      </c>
      <c r="F3107" s="2" t="e">
        <f>VLOOKUP(B3107,MSCI中国成分股!A:B,1,)</f>
        <v>#N/A</v>
      </c>
    </row>
    <row r="3108" spans="1:6" ht="20.25" hidden="1" customHeight="1" x14ac:dyDescent="0.15">
      <c r="A3108" s="2" t="s">
        <v>6468</v>
      </c>
      <c r="B3108" s="2" t="s">
        <v>6469</v>
      </c>
      <c r="C3108" s="2">
        <v>-0.53</v>
      </c>
      <c r="D3108" s="2">
        <v>17.832899999999999</v>
      </c>
      <c r="E3108" s="2" t="s">
        <v>1282</v>
      </c>
      <c r="F3108" s="2" t="e">
        <f>VLOOKUP(B3108,MSCI中国成分股!A:B,1,)</f>
        <v>#N/A</v>
      </c>
    </row>
    <row r="3109" spans="1:6" ht="20.25" hidden="1" customHeight="1" x14ac:dyDescent="0.15">
      <c r="A3109" s="2" t="s">
        <v>6470</v>
      </c>
      <c r="B3109" s="2" t="s">
        <v>6471</v>
      </c>
      <c r="C3109" s="2">
        <v>-1.48</v>
      </c>
      <c r="D3109" s="2">
        <v>10.094099999999999</v>
      </c>
      <c r="E3109" s="2" t="s">
        <v>299</v>
      </c>
      <c r="F3109" s="2" t="e">
        <f>VLOOKUP(B3109,MSCI中国成分股!A:B,1,)</f>
        <v>#N/A</v>
      </c>
    </row>
    <row r="3110" spans="1:6" ht="20.25" hidden="1" customHeight="1" x14ac:dyDescent="0.15">
      <c r="A3110" s="2" t="s">
        <v>6472</v>
      </c>
      <c r="B3110" s="2" t="s">
        <v>6473</v>
      </c>
      <c r="C3110" s="2">
        <v>3.49</v>
      </c>
      <c r="D3110" s="2">
        <v>2.0169000000000001</v>
      </c>
      <c r="E3110" s="2" t="s">
        <v>1997</v>
      </c>
      <c r="F3110" s="2" t="e">
        <f>VLOOKUP(B3110,MSCI中国成分股!A:B,1,)</f>
        <v>#N/A</v>
      </c>
    </row>
    <row r="3111" spans="1:6" ht="20.25" hidden="1" customHeight="1" x14ac:dyDescent="0.15">
      <c r="A3111" s="2" t="s">
        <v>6474</v>
      </c>
      <c r="B3111" s="2" t="s">
        <v>6475</v>
      </c>
      <c r="C3111" s="2">
        <v>1.05</v>
      </c>
      <c r="D3111" s="2">
        <v>1.0903</v>
      </c>
      <c r="E3111" s="2" t="s">
        <v>3102</v>
      </c>
      <c r="F3111" s="2" t="e">
        <f>VLOOKUP(B3111,MSCI中国成分股!A:B,1,)</f>
        <v>#N/A</v>
      </c>
    </row>
    <row r="3112" spans="1:6" ht="20.25" hidden="1" customHeight="1" x14ac:dyDescent="0.15">
      <c r="A3112" s="2" t="s">
        <v>6476</v>
      </c>
      <c r="B3112" s="2" t="s">
        <v>6477</v>
      </c>
      <c r="C3112" s="2">
        <v>0.45</v>
      </c>
      <c r="D3112" s="2">
        <v>0.87719999999999998</v>
      </c>
      <c r="E3112" s="2" t="s">
        <v>35</v>
      </c>
      <c r="F3112" s="2" t="e">
        <f>VLOOKUP(B3112,MSCI中国成分股!A:B,1,)</f>
        <v>#N/A</v>
      </c>
    </row>
    <row r="3113" spans="1:6" ht="20.25" hidden="1" customHeight="1" x14ac:dyDescent="0.15">
      <c r="A3113" s="2" t="s">
        <v>6478</v>
      </c>
      <c r="B3113" s="2" t="s">
        <v>6479</v>
      </c>
      <c r="C3113" s="2">
        <v>0.87</v>
      </c>
      <c r="D3113" s="2">
        <v>105.48090000000001</v>
      </c>
      <c r="E3113" s="2" t="s">
        <v>1381</v>
      </c>
      <c r="F3113" s="2" t="e">
        <f>VLOOKUP(B3113,MSCI中国成分股!A:B,1,)</f>
        <v>#N/A</v>
      </c>
    </row>
    <row r="3114" spans="1:6" ht="20.25" hidden="1" customHeight="1" x14ac:dyDescent="0.15">
      <c r="A3114" s="2" t="s">
        <v>6480</v>
      </c>
      <c r="B3114" s="2" t="s">
        <v>6481</v>
      </c>
      <c r="C3114" s="2">
        <v>0.64</v>
      </c>
      <c r="D3114" s="2">
        <v>0.53029999999999999</v>
      </c>
      <c r="E3114" s="2" t="s">
        <v>958</v>
      </c>
      <c r="F3114" s="2" t="e">
        <f>VLOOKUP(B3114,MSCI中国成分股!A:B,1,)</f>
        <v>#N/A</v>
      </c>
    </row>
    <row r="3115" spans="1:6" ht="20.25" hidden="1" customHeight="1" x14ac:dyDescent="0.15">
      <c r="A3115" s="2" t="s">
        <v>6482</v>
      </c>
      <c r="B3115" s="2" t="s">
        <v>6483</v>
      </c>
      <c r="C3115" s="2">
        <v>3.32</v>
      </c>
      <c r="D3115" s="2">
        <v>8.6715999999999998</v>
      </c>
      <c r="E3115" s="2" t="s">
        <v>68</v>
      </c>
      <c r="F3115" s="2" t="e">
        <f>VLOOKUP(B3115,MSCI中国成分股!A:B,1,)</f>
        <v>#N/A</v>
      </c>
    </row>
    <row r="3116" spans="1:6" ht="20.25" hidden="1" customHeight="1" x14ac:dyDescent="0.15">
      <c r="A3116" s="2" t="s">
        <v>6484</v>
      </c>
      <c r="B3116" s="2" t="s">
        <v>6485</v>
      </c>
      <c r="C3116" s="2">
        <v>1.4450000000000001</v>
      </c>
      <c r="D3116" s="2">
        <v>4.4610000000000003</v>
      </c>
      <c r="E3116" s="2" t="s">
        <v>529</v>
      </c>
      <c r="F3116" s="2" t="e">
        <f>VLOOKUP(B3116,MSCI中国成分股!A:B,1,)</f>
        <v>#N/A</v>
      </c>
    </row>
    <row r="3117" spans="1:6" ht="20.25" hidden="1" customHeight="1" x14ac:dyDescent="0.15">
      <c r="A3117" s="2" t="s">
        <v>6486</v>
      </c>
      <c r="B3117" s="2" t="s">
        <v>6487</v>
      </c>
      <c r="C3117" s="2">
        <v>0.23</v>
      </c>
      <c r="D3117" s="2">
        <v>7.8463000000000003</v>
      </c>
      <c r="E3117" s="2" t="s">
        <v>44</v>
      </c>
      <c r="F3117" s="2" t="e">
        <f>VLOOKUP(B3117,MSCI中国成分股!A:B,1,)</f>
        <v>#N/A</v>
      </c>
    </row>
    <row r="3118" spans="1:6" ht="20.25" hidden="1" customHeight="1" x14ac:dyDescent="0.15">
      <c r="A3118" s="2" t="s">
        <v>6488</v>
      </c>
      <c r="B3118" s="2" t="s">
        <v>6489</v>
      </c>
      <c r="C3118" s="2">
        <v>-0.23</v>
      </c>
      <c r="D3118" s="2">
        <v>6.1212</v>
      </c>
      <c r="E3118" s="2" t="s">
        <v>220</v>
      </c>
      <c r="F3118" s="2" t="e">
        <f>VLOOKUP(B3118,MSCI中国成分股!A:B,1,)</f>
        <v>#N/A</v>
      </c>
    </row>
    <row r="3119" spans="1:6" ht="20.25" hidden="1" customHeight="1" x14ac:dyDescent="0.15">
      <c r="A3119" s="2" t="s">
        <v>6490</v>
      </c>
      <c r="B3119" s="2" t="s">
        <v>6491</v>
      </c>
      <c r="C3119" s="2">
        <v>1.93</v>
      </c>
      <c r="D3119" s="2">
        <v>0.68689999999999996</v>
      </c>
      <c r="E3119" s="2" t="s">
        <v>1691</v>
      </c>
      <c r="F3119" s="2" t="e">
        <f>VLOOKUP(B3119,MSCI中国成分股!A:B,1,)</f>
        <v>#N/A</v>
      </c>
    </row>
    <row r="3120" spans="1:6" ht="20.25" hidden="1" customHeight="1" x14ac:dyDescent="0.15">
      <c r="A3120" s="2" t="s">
        <v>6492</v>
      </c>
      <c r="B3120" s="2" t="s">
        <v>6493</v>
      </c>
      <c r="C3120" s="2">
        <v>2.27</v>
      </c>
      <c r="D3120" s="2">
        <v>2.0394000000000001</v>
      </c>
      <c r="E3120" s="2" t="s">
        <v>391</v>
      </c>
      <c r="F3120" s="2" t="e">
        <f>VLOOKUP(B3120,MSCI中国成分股!A:B,1,)</f>
        <v>#N/A</v>
      </c>
    </row>
    <row r="3121" spans="1:6" ht="20.25" hidden="1" customHeight="1" x14ac:dyDescent="0.15">
      <c r="A3121" s="2" t="s">
        <v>6494</v>
      </c>
      <c r="B3121" s="2" t="s">
        <v>6495</v>
      </c>
      <c r="C3121" s="2">
        <v>1.62</v>
      </c>
      <c r="D3121" s="2">
        <v>0.32929999999999998</v>
      </c>
      <c r="E3121" s="2" t="s">
        <v>44</v>
      </c>
      <c r="F3121" s="2" t="e">
        <f>VLOOKUP(B3121,MSCI中国成分股!A:B,1,)</f>
        <v>#N/A</v>
      </c>
    </row>
    <row r="3122" spans="1:6" ht="20.25" hidden="1" customHeight="1" x14ac:dyDescent="0.15">
      <c r="A3122" s="2" t="s">
        <v>6496</v>
      </c>
      <c r="B3122" s="2" t="s">
        <v>6497</v>
      </c>
      <c r="C3122" s="2">
        <v>0.54500000000000004</v>
      </c>
      <c r="D3122" s="2">
        <v>4.9588000000000001</v>
      </c>
      <c r="E3122" s="2" t="s">
        <v>260</v>
      </c>
      <c r="F3122" s="2" t="e">
        <f>VLOOKUP(B3122,MSCI中国成分股!A:B,1,)</f>
        <v>#N/A</v>
      </c>
    </row>
    <row r="3123" spans="1:6" ht="20.25" hidden="1" customHeight="1" x14ac:dyDescent="0.15">
      <c r="A3123" s="2" t="s">
        <v>6498</v>
      </c>
      <c r="B3123" s="2" t="s">
        <v>6499</v>
      </c>
      <c r="C3123" s="2">
        <v>0.47</v>
      </c>
      <c r="D3123" s="2">
        <v>8.2920999999999996</v>
      </c>
      <c r="E3123" s="2" t="s">
        <v>1593</v>
      </c>
      <c r="F3123" s="2" t="e">
        <f>VLOOKUP(B3123,MSCI中国成分股!A:B,1,)</f>
        <v>#N/A</v>
      </c>
    </row>
    <row r="3124" spans="1:6" ht="20.25" hidden="1" customHeight="1" x14ac:dyDescent="0.15">
      <c r="A3124" s="2" t="s">
        <v>6500</v>
      </c>
      <c r="B3124" s="2" t="s">
        <v>6501</v>
      </c>
      <c r="C3124" s="2">
        <v>-0.71</v>
      </c>
      <c r="D3124" s="2">
        <v>6.9047999999999998</v>
      </c>
      <c r="E3124" s="2" t="s">
        <v>677</v>
      </c>
      <c r="F3124" s="2" t="e">
        <f>VLOOKUP(B3124,MSCI中国成分股!A:B,1,)</f>
        <v>#N/A</v>
      </c>
    </row>
    <row r="3125" spans="1:6" ht="20.25" hidden="1" customHeight="1" x14ac:dyDescent="0.15">
      <c r="A3125" s="2" t="s">
        <v>6502</v>
      </c>
      <c r="B3125" s="2" t="s">
        <v>6503</v>
      </c>
      <c r="C3125" s="2">
        <v>0.2</v>
      </c>
      <c r="D3125" s="2">
        <v>4.2599999999999999E-2</v>
      </c>
      <c r="E3125" s="2" t="s">
        <v>1056</v>
      </c>
      <c r="F3125" s="2" t="e">
        <f>VLOOKUP(B3125,MSCI中国成分股!A:B,1,)</f>
        <v>#N/A</v>
      </c>
    </row>
    <row r="3126" spans="1:6" ht="20.25" hidden="1" customHeight="1" x14ac:dyDescent="0.15">
      <c r="A3126" s="2" t="s">
        <v>6504</v>
      </c>
      <c r="B3126" s="2" t="s">
        <v>6505</v>
      </c>
      <c r="C3126" s="2">
        <v>-0.42</v>
      </c>
      <c r="D3126" s="2">
        <v>21.123999999999999</v>
      </c>
      <c r="E3126" s="2" t="s">
        <v>3760</v>
      </c>
      <c r="F3126" s="2" t="e">
        <f>VLOOKUP(B3126,MSCI中国成分股!A:B,1,)</f>
        <v>#N/A</v>
      </c>
    </row>
    <row r="3127" spans="1:6" ht="20.25" hidden="1" customHeight="1" x14ac:dyDescent="0.15">
      <c r="A3127" s="2" t="s">
        <v>6506</v>
      </c>
      <c r="B3127" s="2" t="s">
        <v>6507</v>
      </c>
      <c r="C3127" s="2">
        <v>1.21</v>
      </c>
      <c r="D3127" s="2">
        <v>3.5657999999999999</v>
      </c>
      <c r="E3127" s="2" t="s">
        <v>123</v>
      </c>
      <c r="F3127" s="2" t="e">
        <f>VLOOKUP(B3127,MSCI中国成分股!A:B,1,)</f>
        <v>#N/A</v>
      </c>
    </row>
    <row r="3128" spans="1:6" ht="20.25" hidden="1" customHeight="1" x14ac:dyDescent="0.15">
      <c r="A3128" s="2" t="s">
        <v>6508</v>
      </c>
      <c r="B3128" s="2" t="s">
        <v>6509</v>
      </c>
      <c r="C3128" s="2">
        <v>2.4300000000000002</v>
      </c>
      <c r="D3128" s="2">
        <v>2.4969000000000001</v>
      </c>
      <c r="E3128" s="2" t="s">
        <v>506</v>
      </c>
      <c r="F3128" s="2" t="e">
        <f>VLOOKUP(B3128,MSCI中国成分股!A:B,1,)</f>
        <v>#N/A</v>
      </c>
    </row>
    <row r="3129" spans="1:6" ht="20.25" hidden="1" customHeight="1" x14ac:dyDescent="0.15">
      <c r="A3129" s="2" t="s">
        <v>6510</v>
      </c>
      <c r="B3129" s="2" t="s">
        <v>6511</v>
      </c>
      <c r="C3129" s="2">
        <v>-0.95</v>
      </c>
      <c r="D3129" s="2">
        <v>6.8106999999999998</v>
      </c>
      <c r="E3129" s="2" t="s">
        <v>385</v>
      </c>
      <c r="F3129" s="2" t="e">
        <f>VLOOKUP(B3129,MSCI中国成分股!A:B,1,)</f>
        <v>#N/A</v>
      </c>
    </row>
    <row r="3130" spans="1:6" ht="20.25" hidden="1" customHeight="1" x14ac:dyDescent="0.15">
      <c r="A3130" s="2" t="s">
        <v>6512</v>
      </c>
      <c r="B3130" s="2" t="s">
        <v>6513</v>
      </c>
      <c r="C3130" s="2">
        <v>0.22</v>
      </c>
      <c r="D3130" s="2">
        <v>13.9238</v>
      </c>
      <c r="E3130" s="2" t="s">
        <v>371</v>
      </c>
      <c r="F3130" s="2" t="e">
        <f>VLOOKUP(B3130,MSCI中国成分股!A:B,1,)</f>
        <v>#N/A</v>
      </c>
    </row>
    <row r="3131" spans="1:6" ht="20.25" hidden="1" customHeight="1" x14ac:dyDescent="0.15">
      <c r="A3131" s="2" t="s">
        <v>6514</v>
      </c>
      <c r="B3131" s="2" t="s">
        <v>6515</v>
      </c>
      <c r="C3131" s="2">
        <v>0.48</v>
      </c>
      <c r="D3131" s="2">
        <v>5.6185999999999998</v>
      </c>
      <c r="E3131" s="2" t="s">
        <v>638</v>
      </c>
      <c r="F3131" s="2" t="e">
        <f>VLOOKUP(B3131,MSCI中国成分股!A:B,1,)</f>
        <v>#N/A</v>
      </c>
    </row>
    <row r="3132" spans="1:6" ht="20.25" hidden="1" customHeight="1" x14ac:dyDescent="0.15">
      <c r="A3132" s="2" t="s">
        <v>6516</v>
      </c>
      <c r="B3132" s="2" t="s">
        <v>6517</v>
      </c>
      <c r="C3132" s="2">
        <v>1.85</v>
      </c>
      <c r="D3132" s="2">
        <v>1.2038</v>
      </c>
      <c r="E3132" s="2" t="s">
        <v>529</v>
      </c>
      <c r="F3132" s="2" t="e">
        <f>VLOOKUP(B3132,MSCI中国成分股!A:B,1,)</f>
        <v>#N/A</v>
      </c>
    </row>
    <row r="3133" spans="1:6" ht="20.25" hidden="1" customHeight="1" x14ac:dyDescent="0.15">
      <c r="A3133" s="2" t="s">
        <v>6518</v>
      </c>
      <c r="B3133" s="2" t="s">
        <v>6519</v>
      </c>
      <c r="C3133" s="2">
        <v>0.33</v>
      </c>
      <c r="D3133" s="2">
        <v>0.38950000000000001</v>
      </c>
      <c r="E3133" s="2" t="s">
        <v>736</v>
      </c>
      <c r="F3133" s="2" t="e">
        <f>VLOOKUP(B3133,MSCI中国成分股!A:B,1,)</f>
        <v>#N/A</v>
      </c>
    </row>
    <row r="3134" spans="1:6" ht="20.25" hidden="1" customHeight="1" x14ac:dyDescent="0.15">
      <c r="A3134" s="2" t="s">
        <v>6520</v>
      </c>
      <c r="B3134" s="2" t="s">
        <v>6521</v>
      </c>
      <c r="C3134" s="2">
        <v>-0.04</v>
      </c>
      <c r="D3134" s="2">
        <v>7.9886999999999997</v>
      </c>
      <c r="E3134" s="2" t="s">
        <v>35</v>
      </c>
      <c r="F3134" s="2" t="e">
        <f>VLOOKUP(B3134,MSCI中国成分股!A:B,1,)</f>
        <v>#N/A</v>
      </c>
    </row>
    <row r="3135" spans="1:6" ht="20.25" hidden="1" customHeight="1" x14ac:dyDescent="0.15">
      <c r="A3135" s="2" t="s">
        <v>6522</v>
      </c>
      <c r="B3135" s="2" t="s">
        <v>6523</v>
      </c>
      <c r="C3135" s="2">
        <v>0.38</v>
      </c>
      <c r="D3135" s="2">
        <v>4.234</v>
      </c>
      <c r="E3135" s="2" t="s">
        <v>1969</v>
      </c>
      <c r="F3135" s="2" t="e">
        <f>VLOOKUP(B3135,MSCI中国成分股!A:B,1,)</f>
        <v>#N/A</v>
      </c>
    </row>
    <row r="3136" spans="1:6" ht="20.25" hidden="1" customHeight="1" x14ac:dyDescent="0.15">
      <c r="A3136" s="2" t="s">
        <v>6524</v>
      </c>
      <c r="B3136" s="2" t="s">
        <v>6525</v>
      </c>
      <c r="C3136" s="2">
        <v>0.81</v>
      </c>
      <c r="D3136" s="2">
        <v>1.8740000000000001</v>
      </c>
      <c r="E3136" s="2" t="s">
        <v>2344</v>
      </c>
      <c r="F3136" s="2" t="e">
        <f>VLOOKUP(B3136,MSCI中国成分股!A:B,1,)</f>
        <v>#N/A</v>
      </c>
    </row>
    <row r="3137" spans="1:6" ht="20.25" hidden="1" customHeight="1" x14ac:dyDescent="0.15">
      <c r="A3137" s="2" t="s">
        <v>6526</v>
      </c>
      <c r="B3137" s="2" t="s">
        <v>6527</v>
      </c>
      <c r="C3137" s="2">
        <v>-0.39</v>
      </c>
      <c r="D3137" s="2">
        <v>43.765300000000003</v>
      </c>
      <c r="E3137" s="2" t="s">
        <v>220</v>
      </c>
      <c r="F3137" s="2" t="e">
        <f>VLOOKUP(B3137,MSCI中国成分股!A:B,1,)</f>
        <v>#N/A</v>
      </c>
    </row>
    <row r="3138" spans="1:6" ht="20.25" hidden="1" customHeight="1" x14ac:dyDescent="0.15">
      <c r="A3138" s="2" t="s">
        <v>6528</v>
      </c>
      <c r="B3138" s="2" t="s">
        <v>6529</v>
      </c>
      <c r="C3138" s="2">
        <v>1.5</v>
      </c>
      <c r="D3138" s="2">
        <v>1.3012999999999999</v>
      </c>
      <c r="E3138" s="2" t="s">
        <v>667</v>
      </c>
      <c r="F3138" s="2" t="e">
        <f>VLOOKUP(B3138,MSCI中国成分股!A:B,1,)</f>
        <v>#N/A</v>
      </c>
    </row>
    <row r="3139" spans="1:6" ht="20.25" hidden="1" customHeight="1" x14ac:dyDescent="0.15">
      <c r="A3139" s="2" t="s">
        <v>6530</v>
      </c>
      <c r="B3139" s="2" t="s">
        <v>6531</v>
      </c>
      <c r="C3139" s="2">
        <v>0.44</v>
      </c>
      <c r="D3139" s="2">
        <v>1.2939000000000001</v>
      </c>
      <c r="E3139" s="2" t="s">
        <v>2724</v>
      </c>
      <c r="F3139" s="2" t="e">
        <f>VLOOKUP(B3139,MSCI中国成分股!A:B,1,)</f>
        <v>#N/A</v>
      </c>
    </row>
    <row r="3140" spans="1:6" ht="20.25" hidden="1" customHeight="1" x14ac:dyDescent="0.15">
      <c r="A3140" s="2" t="s">
        <v>6532</v>
      </c>
      <c r="B3140" s="2" t="s">
        <v>6533</v>
      </c>
      <c r="C3140" s="2">
        <v>0.87</v>
      </c>
      <c r="D3140" s="2">
        <v>0.50560000000000005</v>
      </c>
      <c r="E3140" s="2" t="s">
        <v>704</v>
      </c>
      <c r="F3140" s="2" t="e">
        <f>VLOOKUP(B3140,MSCI中国成分股!A:B,1,)</f>
        <v>#N/A</v>
      </c>
    </row>
    <row r="3141" spans="1:6" ht="20.25" hidden="1" customHeight="1" x14ac:dyDescent="0.15">
      <c r="A3141" s="2" t="s">
        <v>6534</v>
      </c>
      <c r="B3141" s="2" t="s">
        <v>6535</v>
      </c>
      <c r="C3141" s="2">
        <v>0.11</v>
      </c>
      <c r="D3141" s="2">
        <v>8.9949999999999992</v>
      </c>
      <c r="E3141" s="2" t="s">
        <v>120</v>
      </c>
      <c r="F3141" s="2" t="e">
        <f>VLOOKUP(B3141,MSCI中国成分股!A:B,1,)</f>
        <v>#N/A</v>
      </c>
    </row>
    <row r="3142" spans="1:6" ht="20.25" hidden="1" customHeight="1" x14ac:dyDescent="0.15">
      <c r="A3142" s="2" t="s">
        <v>6536</v>
      </c>
      <c r="B3142" s="2" t="s">
        <v>6537</v>
      </c>
      <c r="C3142" s="2">
        <v>0.42</v>
      </c>
      <c r="D3142" s="2">
        <v>4.1100000000000003</v>
      </c>
      <c r="E3142" s="2" t="s">
        <v>1613</v>
      </c>
      <c r="F3142" s="2" t="e">
        <f>VLOOKUP(B3142,MSCI中国成分股!A:B,1,)</f>
        <v>#N/A</v>
      </c>
    </row>
    <row r="3143" spans="1:6" ht="20.25" hidden="1" customHeight="1" x14ac:dyDescent="0.15">
      <c r="A3143" s="2" t="s">
        <v>6538</v>
      </c>
      <c r="B3143" s="2" t="s">
        <v>6539</v>
      </c>
      <c r="C3143" s="2">
        <v>1.77</v>
      </c>
      <c r="D3143" s="2">
        <v>1.823</v>
      </c>
      <c r="E3143" s="2" t="s">
        <v>1774</v>
      </c>
      <c r="F3143" s="2" t="e">
        <f>VLOOKUP(B3143,MSCI中国成分股!A:B,1,)</f>
        <v>#N/A</v>
      </c>
    </row>
    <row r="3144" spans="1:6" ht="20.25" hidden="1" customHeight="1" x14ac:dyDescent="0.15">
      <c r="A3144" s="2" t="s">
        <v>6540</v>
      </c>
      <c r="B3144" s="2" t="s">
        <v>6541</v>
      </c>
      <c r="C3144" s="2">
        <v>0.08</v>
      </c>
      <c r="D3144" s="2">
        <v>113.48520000000001</v>
      </c>
      <c r="E3144" s="2" t="s">
        <v>176</v>
      </c>
      <c r="F3144" s="2" t="e">
        <f>VLOOKUP(B3144,MSCI中国成分股!A:B,1,)</f>
        <v>#N/A</v>
      </c>
    </row>
    <row r="3145" spans="1:6" ht="20.25" hidden="1" customHeight="1" x14ac:dyDescent="0.15">
      <c r="A3145" s="2" t="s">
        <v>6542</v>
      </c>
      <c r="B3145" s="2" t="s">
        <v>6543</v>
      </c>
      <c r="C3145" s="2">
        <v>1.51</v>
      </c>
      <c r="D3145" s="2">
        <v>4.9657</v>
      </c>
      <c r="E3145" s="2" t="s">
        <v>982</v>
      </c>
      <c r="F3145" s="2" t="e">
        <f>VLOOKUP(B3145,MSCI中国成分股!A:B,1,)</f>
        <v>#N/A</v>
      </c>
    </row>
    <row r="3146" spans="1:6" ht="20.25" hidden="1" customHeight="1" x14ac:dyDescent="0.15">
      <c r="A3146" s="2" t="s">
        <v>6544</v>
      </c>
      <c r="B3146" s="2" t="s">
        <v>6545</v>
      </c>
      <c r="C3146" s="2">
        <v>1.07</v>
      </c>
      <c r="D3146" s="2">
        <v>3.3472</v>
      </c>
      <c r="E3146" s="2" t="s">
        <v>339</v>
      </c>
      <c r="F3146" s="2" t="e">
        <f>VLOOKUP(B3146,MSCI中国成分股!A:B,1,)</f>
        <v>#N/A</v>
      </c>
    </row>
    <row r="3147" spans="1:6" ht="20.25" hidden="1" customHeight="1" x14ac:dyDescent="0.15">
      <c r="A3147" s="2" t="s">
        <v>6546</v>
      </c>
      <c r="B3147" s="2" t="s">
        <v>6547</v>
      </c>
      <c r="C3147" s="2">
        <v>0.39500000000000002</v>
      </c>
      <c r="D3147" s="2">
        <v>4.2397999999999998</v>
      </c>
      <c r="E3147" s="2" t="s">
        <v>630</v>
      </c>
      <c r="F3147" s="2" t="e">
        <f>VLOOKUP(B3147,MSCI中国成分股!A:B,1,)</f>
        <v>#N/A</v>
      </c>
    </row>
    <row r="3148" spans="1:6" ht="20.25" hidden="1" customHeight="1" x14ac:dyDescent="0.15">
      <c r="A3148" s="2" t="s">
        <v>6548</v>
      </c>
      <c r="B3148" s="2" t="s">
        <v>6549</v>
      </c>
      <c r="C3148" s="2">
        <v>0.08</v>
      </c>
      <c r="D3148" s="2">
        <v>18.877600000000001</v>
      </c>
      <c r="E3148" s="2" t="s">
        <v>3246</v>
      </c>
      <c r="F3148" s="2" t="e">
        <f>VLOOKUP(B3148,MSCI中国成分股!A:B,1,)</f>
        <v>#N/A</v>
      </c>
    </row>
    <row r="3149" spans="1:6" ht="20.25" hidden="1" customHeight="1" x14ac:dyDescent="0.15">
      <c r="A3149" s="2" t="s">
        <v>6550</v>
      </c>
      <c r="B3149" s="2" t="s">
        <v>6551</v>
      </c>
      <c r="C3149" s="2">
        <v>0.39</v>
      </c>
      <c r="D3149" s="2">
        <v>0.35</v>
      </c>
      <c r="E3149" s="2" t="s">
        <v>3141</v>
      </c>
      <c r="F3149" s="2" t="e">
        <f>VLOOKUP(B3149,MSCI中国成分股!A:B,1,)</f>
        <v>#N/A</v>
      </c>
    </row>
    <row r="3150" spans="1:6" ht="20.25" hidden="1" customHeight="1" x14ac:dyDescent="0.15">
      <c r="A3150" s="2" t="s">
        <v>6552</v>
      </c>
      <c r="B3150" s="2" t="s">
        <v>6553</v>
      </c>
      <c r="C3150" s="2">
        <v>0.94</v>
      </c>
      <c r="D3150" s="2">
        <v>1.7593000000000001</v>
      </c>
      <c r="E3150" s="2" t="s">
        <v>391</v>
      </c>
      <c r="F3150" s="2" t="e">
        <f>VLOOKUP(B3150,MSCI中国成分股!A:B,1,)</f>
        <v>#N/A</v>
      </c>
    </row>
    <row r="3151" spans="1:6" ht="20.25" hidden="1" customHeight="1" x14ac:dyDescent="0.15">
      <c r="A3151" s="2" t="s">
        <v>6554</v>
      </c>
      <c r="B3151" s="2" t="s">
        <v>6555</v>
      </c>
      <c r="C3151" s="2">
        <v>1.07</v>
      </c>
      <c r="D3151" s="2">
        <v>30.277100000000001</v>
      </c>
      <c r="E3151" s="2" t="s">
        <v>44</v>
      </c>
      <c r="F3151" s="2" t="e">
        <f>VLOOKUP(B3151,MSCI中国成分股!A:B,1,)</f>
        <v>#N/A</v>
      </c>
    </row>
    <row r="3152" spans="1:6" ht="20.25" hidden="1" customHeight="1" x14ac:dyDescent="0.15">
      <c r="A3152" s="2" t="s">
        <v>6556</v>
      </c>
      <c r="B3152" s="2" t="s">
        <v>6557</v>
      </c>
      <c r="C3152" s="2">
        <v>1.3</v>
      </c>
      <c r="D3152" s="2">
        <v>0.1893</v>
      </c>
      <c r="E3152" s="2" t="s">
        <v>713</v>
      </c>
      <c r="F3152" s="2" t="e">
        <f>VLOOKUP(B3152,MSCI中国成分股!A:B,1,)</f>
        <v>#N/A</v>
      </c>
    </row>
    <row r="3153" spans="1:6" ht="20.25" hidden="1" customHeight="1" x14ac:dyDescent="0.15">
      <c r="A3153" s="2" t="s">
        <v>6558</v>
      </c>
      <c r="B3153" s="2" t="s">
        <v>6559</v>
      </c>
      <c r="C3153" s="2">
        <v>-0.26</v>
      </c>
      <c r="D3153" s="2">
        <v>8.1608999999999998</v>
      </c>
      <c r="E3153" s="2" t="s">
        <v>3053</v>
      </c>
      <c r="F3153" s="2" t="e">
        <f>VLOOKUP(B3153,MSCI中国成分股!A:B,1,)</f>
        <v>#N/A</v>
      </c>
    </row>
    <row r="3154" spans="1:6" ht="20.25" hidden="1" customHeight="1" x14ac:dyDescent="0.15">
      <c r="A3154" s="2" t="s">
        <v>6560</v>
      </c>
      <c r="B3154" s="2" t="s">
        <v>6561</v>
      </c>
      <c r="C3154" s="2">
        <v>-0.35</v>
      </c>
      <c r="D3154" s="2">
        <v>1.4352</v>
      </c>
      <c r="E3154" s="2" t="s">
        <v>3053</v>
      </c>
      <c r="F3154" s="2" t="e">
        <f>VLOOKUP(B3154,MSCI中国成分股!A:B,1,)</f>
        <v>#N/A</v>
      </c>
    </row>
    <row r="3155" spans="1:6" ht="20.25" hidden="1" customHeight="1" x14ac:dyDescent="0.15">
      <c r="A3155" s="2" t="s">
        <v>6562</v>
      </c>
      <c r="B3155" s="2" t="s">
        <v>6563</v>
      </c>
      <c r="C3155" s="2">
        <v>2.96</v>
      </c>
      <c r="D3155" s="2">
        <v>1.4787999999999999</v>
      </c>
      <c r="E3155" s="2" t="s">
        <v>1403</v>
      </c>
      <c r="F3155" s="2" t="e">
        <f>VLOOKUP(B3155,MSCI中国成分股!A:B,1,)</f>
        <v>#N/A</v>
      </c>
    </row>
    <row r="3156" spans="1:6" ht="20.25" hidden="1" customHeight="1" x14ac:dyDescent="0.15">
      <c r="A3156" s="2" t="s">
        <v>6564</v>
      </c>
      <c r="B3156" s="2" t="s">
        <v>6565</v>
      </c>
      <c r="C3156" s="2">
        <v>2.3199999999999998</v>
      </c>
      <c r="D3156" s="2">
        <v>1.3027</v>
      </c>
      <c r="E3156" s="2" t="s">
        <v>86</v>
      </c>
      <c r="F3156" s="2" t="e">
        <f>VLOOKUP(B3156,MSCI中国成分股!A:B,1,)</f>
        <v>#N/A</v>
      </c>
    </row>
    <row r="3157" spans="1:6" ht="20.25" hidden="1" customHeight="1" x14ac:dyDescent="0.15">
      <c r="A3157" s="2" t="s">
        <v>6566</v>
      </c>
      <c r="B3157" s="2" t="s">
        <v>6567</v>
      </c>
      <c r="C3157" s="2">
        <v>-0.98</v>
      </c>
      <c r="D3157" s="2">
        <v>17.8371</v>
      </c>
      <c r="E3157" s="2" t="s">
        <v>265</v>
      </c>
      <c r="F3157" s="2" t="e">
        <f>VLOOKUP(B3157,MSCI中国成分股!A:B,1,)</f>
        <v>#N/A</v>
      </c>
    </row>
    <row r="3158" spans="1:6" ht="20.25" hidden="1" customHeight="1" x14ac:dyDescent="0.15">
      <c r="A3158" s="2" t="s">
        <v>6568</v>
      </c>
      <c r="B3158" s="2" t="s">
        <v>6569</v>
      </c>
      <c r="C3158" s="2">
        <v>0.6</v>
      </c>
      <c r="D3158" s="2">
        <v>1.1259999999999999</v>
      </c>
      <c r="E3158" s="2" t="s">
        <v>1091</v>
      </c>
      <c r="F3158" s="2" t="e">
        <f>VLOOKUP(B3158,MSCI中国成分股!A:B,1,)</f>
        <v>#N/A</v>
      </c>
    </row>
    <row r="3159" spans="1:6" ht="20.25" hidden="1" customHeight="1" x14ac:dyDescent="0.15">
      <c r="A3159" s="2" t="s">
        <v>6570</v>
      </c>
      <c r="B3159" s="2" t="s">
        <v>6571</v>
      </c>
      <c r="C3159" s="2">
        <v>0.52</v>
      </c>
      <c r="D3159" s="2">
        <v>21.6814</v>
      </c>
      <c r="E3159" s="2" t="s">
        <v>2063</v>
      </c>
      <c r="F3159" s="2" t="e">
        <f>VLOOKUP(B3159,MSCI中国成分股!A:B,1,)</f>
        <v>#N/A</v>
      </c>
    </row>
    <row r="3160" spans="1:6" ht="20.25" hidden="1" customHeight="1" x14ac:dyDescent="0.15">
      <c r="A3160" s="2" t="s">
        <v>6572</v>
      </c>
      <c r="B3160" s="2" t="s">
        <v>6573</v>
      </c>
      <c r="C3160" s="2">
        <v>1.37</v>
      </c>
      <c r="D3160" s="2">
        <v>2.4722</v>
      </c>
      <c r="E3160" s="2" t="s">
        <v>68</v>
      </c>
      <c r="F3160" s="2" t="e">
        <f>VLOOKUP(B3160,MSCI中国成分股!A:B,1,)</f>
        <v>#N/A</v>
      </c>
    </row>
    <row r="3161" spans="1:6" ht="20.25" hidden="1" customHeight="1" x14ac:dyDescent="0.15">
      <c r="A3161" s="2" t="s">
        <v>6574</v>
      </c>
      <c r="B3161" s="2" t="s">
        <v>6575</v>
      </c>
      <c r="C3161" s="2">
        <v>0.12</v>
      </c>
      <c r="D3161" s="2">
        <v>8.5784000000000002</v>
      </c>
      <c r="E3161" s="2" t="s">
        <v>630</v>
      </c>
      <c r="F3161" s="2" t="e">
        <f>VLOOKUP(B3161,MSCI中国成分股!A:B,1,)</f>
        <v>#N/A</v>
      </c>
    </row>
    <row r="3162" spans="1:6" ht="20.25" hidden="1" customHeight="1" x14ac:dyDescent="0.15">
      <c r="A3162" s="2" t="s">
        <v>6576</v>
      </c>
      <c r="B3162" s="2" t="s">
        <v>6577</v>
      </c>
      <c r="C3162" s="2">
        <v>-0.28999999999999998</v>
      </c>
      <c r="D3162" s="2">
        <v>4.3457999999999997</v>
      </c>
      <c r="E3162" s="2" t="s">
        <v>403</v>
      </c>
      <c r="F3162" s="2" t="e">
        <f>VLOOKUP(B3162,MSCI中国成分股!A:B,1,)</f>
        <v>#N/A</v>
      </c>
    </row>
    <row r="3163" spans="1:6" ht="20.25" hidden="1" customHeight="1" x14ac:dyDescent="0.15">
      <c r="A3163" s="2" t="s">
        <v>6578</v>
      </c>
      <c r="B3163" s="2" t="s">
        <v>6579</v>
      </c>
      <c r="C3163" s="2">
        <v>0.48</v>
      </c>
      <c r="D3163" s="2">
        <v>3.2957000000000001</v>
      </c>
      <c r="E3163" s="2" t="s">
        <v>344</v>
      </c>
      <c r="F3163" s="2" t="e">
        <f>VLOOKUP(B3163,MSCI中国成分股!A:B,1,)</f>
        <v>#N/A</v>
      </c>
    </row>
    <row r="3164" spans="1:6" ht="20.25" hidden="1" customHeight="1" x14ac:dyDescent="0.15">
      <c r="A3164" s="2" t="s">
        <v>6580</v>
      </c>
      <c r="B3164" s="2" t="s">
        <v>6581</v>
      </c>
      <c r="C3164" s="2">
        <v>0.55000000000000004</v>
      </c>
      <c r="D3164" s="2">
        <v>0.80030000000000001</v>
      </c>
      <c r="E3164" s="2" t="s">
        <v>368</v>
      </c>
      <c r="F3164" s="2" t="e">
        <f>VLOOKUP(B3164,MSCI中国成分股!A:B,1,)</f>
        <v>#N/A</v>
      </c>
    </row>
    <row r="3165" spans="1:6" ht="20.25" hidden="1" customHeight="1" x14ac:dyDescent="0.15">
      <c r="A3165" s="2" t="s">
        <v>6582</v>
      </c>
      <c r="B3165" s="2" t="s">
        <v>6583</v>
      </c>
      <c r="C3165" s="2">
        <v>0.21</v>
      </c>
      <c r="D3165" s="2">
        <v>2.92E-2</v>
      </c>
      <c r="E3165" s="2" t="s">
        <v>5364</v>
      </c>
      <c r="F3165" s="2" t="e">
        <f>VLOOKUP(B3165,MSCI中国成分股!A:B,1,)</f>
        <v>#N/A</v>
      </c>
    </row>
    <row r="3166" spans="1:6" ht="20.25" hidden="1" customHeight="1" x14ac:dyDescent="0.15">
      <c r="A3166" s="2" t="s">
        <v>6584</v>
      </c>
      <c r="B3166" s="2" t="s">
        <v>6585</v>
      </c>
      <c r="C3166" s="2">
        <v>-0.35</v>
      </c>
      <c r="D3166" s="2">
        <v>131.06870000000001</v>
      </c>
      <c r="E3166" s="2" t="s">
        <v>633</v>
      </c>
      <c r="F3166" s="2" t="e">
        <f>VLOOKUP(B3166,MSCI中国成分股!A:B,1,)</f>
        <v>#N/A</v>
      </c>
    </row>
    <row r="3167" spans="1:6" ht="20.25" hidden="1" customHeight="1" x14ac:dyDescent="0.15">
      <c r="A3167" s="2" t="s">
        <v>6586</v>
      </c>
      <c r="B3167" s="2" t="s">
        <v>6587</v>
      </c>
      <c r="C3167" s="2">
        <v>0.11</v>
      </c>
      <c r="D3167" s="2">
        <v>41.652900000000002</v>
      </c>
      <c r="E3167" s="2" t="s">
        <v>501</v>
      </c>
      <c r="F3167" s="2" t="e">
        <f>VLOOKUP(B3167,MSCI中国成分股!A:B,1,)</f>
        <v>#N/A</v>
      </c>
    </row>
    <row r="3168" spans="1:6" ht="20.25" hidden="1" customHeight="1" x14ac:dyDescent="0.15">
      <c r="A3168" s="2" t="s">
        <v>6588</v>
      </c>
      <c r="B3168" s="2" t="s">
        <v>6589</v>
      </c>
      <c r="C3168" s="2">
        <v>0.57999999999999996</v>
      </c>
      <c r="D3168" s="2">
        <v>1.3773</v>
      </c>
      <c r="E3168" s="2" t="s">
        <v>391</v>
      </c>
      <c r="F3168" s="2" t="e">
        <f>VLOOKUP(B3168,MSCI中国成分股!A:B,1,)</f>
        <v>#N/A</v>
      </c>
    </row>
    <row r="3169" spans="1:6" ht="20.25" hidden="1" customHeight="1" x14ac:dyDescent="0.15">
      <c r="A3169" s="2" t="s">
        <v>6590</v>
      </c>
      <c r="B3169" s="2" t="s">
        <v>6591</v>
      </c>
      <c r="C3169" s="2">
        <v>1.81</v>
      </c>
      <c r="D3169" s="2">
        <v>1.3924000000000001</v>
      </c>
      <c r="E3169" s="2" t="s">
        <v>1608</v>
      </c>
      <c r="F3169" s="2" t="e">
        <f>VLOOKUP(B3169,MSCI中国成分股!A:B,1,)</f>
        <v>#N/A</v>
      </c>
    </row>
    <row r="3170" spans="1:6" ht="20.25" hidden="1" customHeight="1" x14ac:dyDescent="0.15">
      <c r="A3170" s="2" t="s">
        <v>6592</v>
      </c>
      <c r="B3170" s="2" t="s">
        <v>6593</v>
      </c>
      <c r="C3170" s="2">
        <v>1.77</v>
      </c>
      <c r="D3170" s="2">
        <v>0.1018</v>
      </c>
      <c r="E3170" s="2" t="s">
        <v>44</v>
      </c>
      <c r="F3170" s="2" t="e">
        <f>VLOOKUP(B3170,MSCI中国成分股!A:B,1,)</f>
        <v>#N/A</v>
      </c>
    </row>
    <row r="3171" spans="1:6" ht="20.25" hidden="1" customHeight="1" x14ac:dyDescent="0.15">
      <c r="A3171" s="2" t="s">
        <v>6594</v>
      </c>
      <c r="B3171" s="2" t="s">
        <v>6595</v>
      </c>
      <c r="C3171" s="2">
        <v>1.0900000000000001</v>
      </c>
      <c r="D3171" s="2">
        <v>0.51649999999999996</v>
      </c>
      <c r="E3171" s="2" t="s">
        <v>1712</v>
      </c>
      <c r="F3171" s="2" t="e">
        <f>VLOOKUP(B3171,MSCI中国成分股!A:B,1,)</f>
        <v>#N/A</v>
      </c>
    </row>
    <row r="3172" spans="1:6" ht="20.25" hidden="1" customHeight="1" x14ac:dyDescent="0.15">
      <c r="A3172" s="2" t="s">
        <v>6596</v>
      </c>
      <c r="B3172" s="2" t="s">
        <v>6597</v>
      </c>
      <c r="C3172" s="2">
        <v>-1.96</v>
      </c>
      <c r="D3172" s="2">
        <v>105.9111</v>
      </c>
      <c r="E3172" s="2" t="s">
        <v>374</v>
      </c>
      <c r="F3172" s="2" t="e">
        <f>VLOOKUP(B3172,MSCI中国成分股!A:B,1,)</f>
        <v>#N/A</v>
      </c>
    </row>
    <row r="3173" spans="1:6" ht="20.25" hidden="1" customHeight="1" x14ac:dyDescent="0.15">
      <c r="A3173" s="2" t="s">
        <v>6598</v>
      </c>
      <c r="B3173" s="2" t="s">
        <v>6599</v>
      </c>
      <c r="C3173" s="2">
        <v>1.57</v>
      </c>
      <c r="D3173" s="2">
        <v>3.9201999999999999</v>
      </c>
      <c r="E3173" s="2" t="s">
        <v>704</v>
      </c>
      <c r="F3173" s="2" t="e">
        <f>VLOOKUP(B3173,MSCI中国成分股!A:B,1,)</f>
        <v>#N/A</v>
      </c>
    </row>
    <row r="3174" spans="1:6" ht="20.25" hidden="1" customHeight="1" x14ac:dyDescent="0.15">
      <c r="A3174" s="2" t="s">
        <v>6600</v>
      </c>
      <c r="B3174" s="2" t="s">
        <v>6601</v>
      </c>
      <c r="C3174" s="2">
        <v>1.5</v>
      </c>
      <c r="D3174" s="2">
        <v>7.6901000000000002</v>
      </c>
      <c r="E3174" s="2" t="s">
        <v>68</v>
      </c>
      <c r="F3174" s="2" t="e">
        <f>VLOOKUP(B3174,MSCI中国成分股!A:B,1,)</f>
        <v>#N/A</v>
      </c>
    </row>
    <row r="3175" spans="1:6" ht="20.25" hidden="1" customHeight="1" x14ac:dyDescent="0.15">
      <c r="A3175" s="2" t="s">
        <v>6602</v>
      </c>
      <c r="B3175" s="2" t="s">
        <v>6603</v>
      </c>
      <c r="C3175" s="2">
        <v>0.38</v>
      </c>
      <c r="D3175" s="2">
        <v>0.26600000000000001</v>
      </c>
      <c r="E3175" s="2" t="s">
        <v>4939</v>
      </c>
      <c r="F3175" s="2" t="e">
        <f>VLOOKUP(B3175,MSCI中国成分股!A:B,1,)</f>
        <v>#N/A</v>
      </c>
    </row>
    <row r="3176" spans="1:6" ht="20.25" hidden="1" customHeight="1" x14ac:dyDescent="0.15">
      <c r="A3176" s="2" t="s">
        <v>6604</v>
      </c>
      <c r="B3176" s="2" t="s">
        <v>6605</v>
      </c>
      <c r="C3176" s="2">
        <v>0.92</v>
      </c>
      <c r="D3176" s="2">
        <v>1.0482</v>
      </c>
      <c r="E3176" s="2" t="s">
        <v>1533</v>
      </c>
      <c r="F3176" s="2" t="e">
        <f>VLOOKUP(B3176,MSCI中国成分股!A:B,1,)</f>
        <v>#N/A</v>
      </c>
    </row>
    <row r="3177" spans="1:6" ht="20.25" hidden="1" customHeight="1" x14ac:dyDescent="0.15">
      <c r="A3177" s="2" t="s">
        <v>6606</v>
      </c>
      <c r="B3177" s="2" t="s">
        <v>6607</v>
      </c>
      <c r="C3177" s="2">
        <v>1.17</v>
      </c>
      <c r="D3177" s="2">
        <v>5.0787000000000004</v>
      </c>
      <c r="E3177" s="2" t="s">
        <v>677</v>
      </c>
      <c r="F3177" s="2" t="e">
        <f>VLOOKUP(B3177,MSCI中国成分股!A:B,1,)</f>
        <v>#N/A</v>
      </c>
    </row>
    <row r="3178" spans="1:6" ht="20.25" hidden="1" customHeight="1" x14ac:dyDescent="0.15">
      <c r="A3178" s="2" t="s">
        <v>6608</v>
      </c>
      <c r="B3178" s="2" t="s">
        <v>6609</v>
      </c>
      <c r="C3178" s="2">
        <v>-0.91</v>
      </c>
      <c r="D3178" s="2">
        <v>7.8712999999999997</v>
      </c>
      <c r="E3178" s="2" t="s">
        <v>299</v>
      </c>
      <c r="F3178" s="2" t="e">
        <f>VLOOKUP(B3178,MSCI中国成分股!A:B,1,)</f>
        <v>#N/A</v>
      </c>
    </row>
    <row r="3179" spans="1:6" ht="20.25" hidden="1" customHeight="1" x14ac:dyDescent="0.15">
      <c r="A3179" s="2" t="s">
        <v>6610</v>
      </c>
      <c r="B3179" s="2" t="s">
        <v>6611</v>
      </c>
      <c r="C3179" s="2">
        <v>-2.4500000000000002</v>
      </c>
      <c r="D3179" s="2">
        <v>22559.062900000001</v>
      </c>
      <c r="E3179" s="2" t="s">
        <v>260</v>
      </c>
      <c r="F3179" s="2" t="e">
        <f>VLOOKUP(B3179,MSCI中国成分股!A:B,1,)</f>
        <v>#N/A</v>
      </c>
    </row>
    <row r="3180" spans="1:6" ht="20.25" hidden="1" customHeight="1" x14ac:dyDescent="0.15">
      <c r="A3180" s="2" t="s">
        <v>6612</v>
      </c>
      <c r="B3180" s="2" t="s">
        <v>6613</v>
      </c>
      <c r="C3180" s="2">
        <v>1.24</v>
      </c>
      <c r="D3180" s="2">
        <v>0.74819999999999998</v>
      </c>
      <c r="E3180" s="2" t="s">
        <v>201</v>
      </c>
      <c r="F3180" s="2" t="e">
        <f>VLOOKUP(B3180,MSCI中国成分股!A:B,1,)</f>
        <v>#N/A</v>
      </c>
    </row>
    <row r="3181" spans="1:6" ht="20.25" hidden="1" customHeight="1" x14ac:dyDescent="0.15">
      <c r="A3181" s="2" t="s">
        <v>6614</v>
      </c>
      <c r="B3181" s="2" t="s">
        <v>6615</v>
      </c>
      <c r="C3181" s="2">
        <v>1.21</v>
      </c>
      <c r="D3181" s="2">
        <v>1.4104000000000001</v>
      </c>
      <c r="E3181" s="2" t="s">
        <v>784</v>
      </c>
      <c r="F3181" s="2" t="e">
        <f>VLOOKUP(B3181,MSCI中国成分股!A:B,1,)</f>
        <v>#N/A</v>
      </c>
    </row>
    <row r="3182" spans="1:6" ht="20.25" hidden="1" customHeight="1" x14ac:dyDescent="0.15">
      <c r="A3182" s="2" t="s">
        <v>6616</v>
      </c>
      <c r="B3182" s="2" t="s">
        <v>6617</v>
      </c>
      <c r="C3182" s="2">
        <v>0.96</v>
      </c>
      <c r="D3182" s="2">
        <v>384.19260000000003</v>
      </c>
      <c r="E3182" s="2" t="s">
        <v>633</v>
      </c>
      <c r="F3182" s="2" t="e">
        <f>VLOOKUP(B3182,MSCI中国成分股!A:B,1,)</f>
        <v>#N/A</v>
      </c>
    </row>
    <row r="3183" spans="1:6" ht="20.25" hidden="1" customHeight="1" x14ac:dyDescent="0.15">
      <c r="A3183" s="2" t="s">
        <v>6618</v>
      </c>
      <c r="B3183" s="2" t="s">
        <v>6619</v>
      </c>
      <c r="C3183" s="2">
        <v>-4.0199999999999996</v>
      </c>
      <c r="D3183" s="2">
        <v>623.42370000000005</v>
      </c>
      <c r="E3183" s="2" t="s">
        <v>371</v>
      </c>
      <c r="F3183" s="2" t="e">
        <f>VLOOKUP(B3183,MSCI中国成分股!A:B,1,)</f>
        <v>#N/A</v>
      </c>
    </row>
    <row r="3184" spans="1:6" ht="20.25" hidden="1" customHeight="1" x14ac:dyDescent="0.15">
      <c r="A3184" s="2" t="s">
        <v>6620</v>
      </c>
      <c r="B3184" s="2" t="s">
        <v>6621</v>
      </c>
      <c r="C3184" s="2">
        <v>1.74</v>
      </c>
      <c r="D3184" s="2">
        <v>1.9126000000000001</v>
      </c>
      <c r="E3184" s="2" t="s">
        <v>120</v>
      </c>
      <c r="F3184" s="2" t="e">
        <f>VLOOKUP(B3184,MSCI中国成分股!A:B,1,)</f>
        <v>#N/A</v>
      </c>
    </row>
    <row r="3185" spans="1:6" ht="20.25" hidden="1" customHeight="1" x14ac:dyDescent="0.15">
      <c r="A3185" s="2" t="s">
        <v>6622</v>
      </c>
      <c r="B3185" s="2" t="s">
        <v>6623</v>
      </c>
      <c r="C3185" s="2">
        <v>0.14000000000000001</v>
      </c>
      <c r="D3185" s="2">
        <v>0.63980000000000004</v>
      </c>
      <c r="E3185" s="2" t="s">
        <v>268</v>
      </c>
      <c r="F3185" s="2" t="e">
        <f>VLOOKUP(B3185,MSCI中国成分股!A:B,1,)</f>
        <v>#N/A</v>
      </c>
    </row>
    <row r="3186" spans="1:6" ht="20.25" hidden="1" customHeight="1" x14ac:dyDescent="0.15">
      <c r="A3186" s="2" t="s">
        <v>6624</v>
      </c>
      <c r="B3186" s="2" t="s">
        <v>6625</v>
      </c>
      <c r="C3186" s="2">
        <v>0.56999999999999995</v>
      </c>
      <c r="D3186" s="2">
        <v>0.24129999999999999</v>
      </c>
      <c r="E3186" s="2" t="s">
        <v>667</v>
      </c>
      <c r="F3186" s="2" t="e">
        <f>VLOOKUP(B3186,MSCI中国成分股!A:B,1,)</f>
        <v>#N/A</v>
      </c>
    </row>
    <row r="3187" spans="1:6" ht="20.25" hidden="1" customHeight="1" x14ac:dyDescent="0.15">
      <c r="A3187" s="2" t="s">
        <v>6626</v>
      </c>
      <c r="B3187" s="2" t="s">
        <v>6627</v>
      </c>
      <c r="C3187" s="2">
        <v>2.0099999999999998</v>
      </c>
      <c r="D3187" s="2">
        <v>2.9142000000000001</v>
      </c>
      <c r="E3187" s="2" t="s">
        <v>638</v>
      </c>
      <c r="F3187" s="2" t="e">
        <f>VLOOKUP(B3187,MSCI中国成分股!A:B,1,)</f>
        <v>#N/A</v>
      </c>
    </row>
    <row r="3188" spans="1:6" ht="20.25" hidden="1" customHeight="1" x14ac:dyDescent="0.15">
      <c r="A3188" s="2" t="s">
        <v>6628</v>
      </c>
      <c r="B3188" s="2" t="s">
        <v>6629</v>
      </c>
      <c r="C3188" s="2">
        <v>0.03</v>
      </c>
      <c r="D3188" s="2">
        <v>12.8613</v>
      </c>
      <c r="E3188" s="2" t="s">
        <v>2038</v>
      </c>
      <c r="F3188" s="2" t="e">
        <f>VLOOKUP(B3188,MSCI中国成分股!A:B,1,)</f>
        <v>#N/A</v>
      </c>
    </row>
    <row r="3189" spans="1:6" ht="20.25" hidden="1" customHeight="1" x14ac:dyDescent="0.15">
      <c r="A3189" s="2" t="s">
        <v>6630</v>
      </c>
      <c r="B3189" s="2" t="s">
        <v>6631</v>
      </c>
      <c r="C3189" s="2">
        <v>1.92</v>
      </c>
      <c r="D3189" s="2">
        <v>1.5619000000000001</v>
      </c>
      <c r="E3189" s="2" t="s">
        <v>2151</v>
      </c>
      <c r="F3189" s="2" t="e">
        <f>VLOOKUP(B3189,MSCI中国成分股!A:B,1,)</f>
        <v>#N/A</v>
      </c>
    </row>
    <row r="3190" spans="1:6" ht="20.25" hidden="1" customHeight="1" x14ac:dyDescent="0.15">
      <c r="A3190" s="2" t="s">
        <v>6632</v>
      </c>
      <c r="B3190" s="2" t="s">
        <v>6633</v>
      </c>
      <c r="C3190" s="2">
        <v>-0.02</v>
      </c>
      <c r="D3190" s="2">
        <v>4.1997</v>
      </c>
      <c r="E3190" s="2" t="s">
        <v>10</v>
      </c>
      <c r="F3190" s="2" t="e">
        <f>VLOOKUP(B3190,MSCI中国成分股!A:B,1,)</f>
        <v>#N/A</v>
      </c>
    </row>
    <row r="3191" spans="1:6" ht="20.25" hidden="1" customHeight="1" x14ac:dyDescent="0.15">
      <c r="A3191" s="2" t="s">
        <v>6634</v>
      </c>
      <c r="B3191" s="2" t="s">
        <v>6635</v>
      </c>
      <c r="C3191" s="2">
        <v>-0.19</v>
      </c>
      <c r="D3191" s="2">
        <v>6.5109000000000004</v>
      </c>
      <c r="E3191" s="2" t="s">
        <v>1268</v>
      </c>
      <c r="F3191" s="2" t="e">
        <f>VLOOKUP(B3191,MSCI中国成分股!A:B,1,)</f>
        <v>#N/A</v>
      </c>
    </row>
    <row r="3192" spans="1:6" ht="20.25" hidden="1" customHeight="1" x14ac:dyDescent="0.15">
      <c r="A3192" s="2" t="s">
        <v>6636</v>
      </c>
      <c r="B3192" s="2" t="s">
        <v>6637</v>
      </c>
      <c r="C3192" s="2">
        <v>0.47</v>
      </c>
      <c r="D3192" s="2">
        <v>68.171000000000006</v>
      </c>
      <c r="E3192" s="2" t="s">
        <v>260</v>
      </c>
      <c r="F3192" s="2" t="e">
        <f>VLOOKUP(B3192,MSCI中国成分股!A:B,1,)</f>
        <v>#N/A</v>
      </c>
    </row>
    <row r="3193" spans="1:6" ht="20.25" hidden="1" customHeight="1" x14ac:dyDescent="0.15">
      <c r="A3193" s="2" t="s">
        <v>6638</v>
      </c>
      <c r="B3193" s="2" t="s">
        <v>6639</v>
      </c>
      <c r="C3193" s="2">
        <v>-0.43</v>
      </c>
      <c r="D3193" s="2">
        <v>26.136900000000001</v>
      </c>
      <c r="E3193" s="2" t="s">
        <v>2678</v>
      </c>
      <c r="F3193" s="2" t="e">
        <f>VLOOKUP(B3193,MSCI中国成分股!A:B,1,)</f>
        <v>#N/A</v>
      </c>
    </row>
    <row r="3194" spans="1:6" ht="20.25" hidden="1" customHeight="1" x14ac:dyDescent="0.15">
      <c r="A3194" s="2" t="s">
        <v>6640</v>
      </c>
      <c r="B3194" s="2" t="s">
        <v>6641</v>
      </c>
      <c r="C3194" s="2">
        <v>2.1949999999999998</v>
      </c>
      <c r="D3194" s="2">
        <v>3.0428999999999999</v>
      </c>
      <c r="E3194" s="2" t="s">
        <v>185</v>
      </c>
      <c r="F3194" s="2" t="e">
        <f>VLOOKUP(B3194,MSCI中国成分股!A:B,1,)</f>
        <v>#N/A</v>
      </c>
    </row>
    <row r="3195" spans="1:6" ht="20.25" hidden="1" customHeight="1" x14ac:dyDescent="0.15">
      <c r="A3195" s="2" t="s">
        <v>6642</v>
      </c>
      <c r="B3195" s="2" t="s">
        <v>6643</v>
      </c>
      <c r="C3195" s="2">
        <v>2.42</v>
      </c>
      <c r="D3195" s="2">
        <v>4.5400999999999998</v>
      </c>
      <c r="E3195" s="2" t="s">
        <v>299</v>
      </c>
      <c r="F3195" s="2" t="e">
        <f>VLOOKUP(B3195,MSCI中国成分股!A:B,1,)</f>
        <v>#N/A</v>
      </c>
    </row>
    <row r="3196" spans="1:6" ht="20.25" hidden="1" customHeight="1" x14ac:dyDescent="0.15">
      <c r="A3196" s="2" t="s">
        <v>6644</v>
      </c>
      <c r="B3196" s="2" t="s">
        <v>6645</v>
      </c>
      <c r="C3196" s="2">
        <v>0.4</v>
      </c>
      <c r="D3196" s="2">
        <v>1.9825999999999999</v>
      </c>
      <c r="E3196" s="2" t="s">
        <v>315</v>
      </c>
      <c r="F3196" s="2" t="e">
        <f>VLOOKUP(B3196,MSCI中国成分股!A:B,1,)</f>
        <v>#N/A</v>
      </c>
    </row>
    <row r="3197" spans="1:6" ht="20.25" hidden="1" customHeight="1" x14ac:dyDescent="0.15">
      <c r="A3197" s="2" t="s">
        <v>6646</v>
      </c>
      <c r="B3197" s="2" t="s">
        <v>6647</v>
      </c>
      <c r="C3197" s="2">
        <v>0.45</v>
      </c>
      <c r="D3197" s="2">
        <v>3.1343000000000001</v>
      </c>
      <c r="E3197" s="2" t="s">
        <v>630</v>
      </c>
      <c r="F3197" s="2" t="e">
        <f>VLOOKUP(B3197,MSCI中国成分股!A:B,1,)</f>
        <v>#N/A</v>
      </c>
    </row>
    <row r="3198" spans="1:6" ht="20.25" hidden="1" customHeight="1" x14ac:dyDescent="0.15">
      <c r="A3198" s="2" t="s">
        <v>6648</v>
      </c>
      <c r="B3198" s="2" t="s">
        <v>6649</v>
      </c>
      <c r="C3198" s="2">
        <v>-0.02</v>
      </c>
      <c r="D3198" s="2">
        <v>13.0428</v>
      </c>
      <c r="E3198" s="2" t="s">
        <v>396</v>
      </c>
      <c r="F3198" s="2" t="e">
        <f>VLOOKUP(B3198,MSCI中国成分股!A:B,1,)</f>
        <v>#N/A</v>
      </c>
    </row>
    <row r="3199" spans="1:6" ht="20.25" hidden="1" customHeight="1" x14ac:dyDescent="0.15">
      <c r="A3199" s="2" t="s">
        <v>6650</v>
      </c>
      <c r="B3199" s="2" t="s">
        <v>6651</v>
      </c>
      <c r="C3199" s="2">
        <v>0.47</v>
      </c>
      <c r="D3199" s="2">
        <v>2.9468000000000001</v>
      </c>
      <c r="E3199" s="2" t="s">
        <v>396</v>
      </c>
      <c r="F3199" s="2" t="e">
        <f>VLOOKUP(B3199,MSCI中国成分股!A:B,1,)</f>
        <v>#N/A</v>
      </c>
    </row>
    <row r="3200" spans="1:6" ht="20.25" hidden="1" customHeight="1" x14ac:dyDescent="0.15">
      <c r="A3200" s="2" t="s">
        <v>6652</v>
      </c>
      <c r="B3200" s="2" t="s">
        <v>6653</v>
      </c>
      <c r="C3200" s="2">
        <v>1.61</v>
      </c>
      <c r="D3200" s="2">
        <v>10.183299999999999</v>
      </c>
      <c r="E3200" s="2" t="s">
        <v>670</v>
      </c>
      <c r="F3200" s="2" t="e">
        <f>VLOOKUP(B3200,MSCI中国成分股!A:B,1,)</f>
        <v>#N/A</v>
      </c>
    </row>
    <row r="3201" spans="1:6" ht="20.25" hidden="1" customHeight="1" x14ac:dyDescent="0.15">
      <c r="A3201" s="2" t="s">
        <v>6654</v>
      </c>
      <c r="B3201" s="2" t="s">
        <v>6655</v>
      </c>
      <c r="C3201" s="2">
        <v>-0.53</v>
      </c>
      <c r="D3201" s="2">
        <v>1.1104000000000001</v>
      </c>
      <c r="E3201" s="2" t="s">
        <v>1873</v>
      </c>
      <c r="F3201" s="2" t="e">
        <f>VLOOKUP(B3201,MSCI中国成分股!A:B,1,)</f>
        <v>#N/A</v>
      </c>
    </row>
    <row r="3202" spans="1:6" ht="20.25" hidden="1" customHeight="1" x14ac:dyDescent="0.15">
      <c r="A3202" s="2" t="s">
        <v>6656</v>
      </c>
      <c r="B3202" s="2" t="s">
        <v>6657</v>
      </c>
      <c r="C3202" s="2">
        <v>0.12</v>
      </c>
      <c r="D3202" s="2">
        <v>31.6372</v>
      </c>
      <c r="E3202" s="2" t="s">
        <v>310</v>
      </c>
      <c r="F3202" s="2" t="e">
        <f>VLOOKUP(B3202,MSCI中国成分股!A:B,1,)</f>
        <v>#N/A</v>
      </c>
    </row>
    <row r="3203" spans="1:6" ht="20.25" hidden="1" customHeight="1" x14ac:dyDescent="0.15">
      <c r="A3203" s="2" t="s">
        <v>6658</v>
      </c>
      <c r="B3203" s="2" t="s">
        <v>6659</v>
      </c>
      <c r="C3203" s="2">
        <v>-0.53</v>
      </c>
      <c r="D3203" s="2">
        <v>1.5891999999999999</v>
      </c>
      <c r="E3203" s="2" t="s">
        <v>1224</v>
      </c>
      <c r="F3203" s="2" t="e">
        <f>VLOOKUP(B3203,MSCI中国成分股!A:B,1,)</f>
        <v>#N/A</v>
      </c>
    </row>
    <row r="3204" spans="1:6" ht="20.25" hidden="1" customHeight="1" x14ac:dyDescent="0.15">
      <c r="A3204" s="2" t="s">
        <v>6660</v>
      </c>
      <c r="B3204" s="2" t="s">
        <v>6661</v>
      </c>
      <c r="C3204" s="2">
        <v>2.11</v>
      </c>
      <c r="D3204" s="2">
        <v>1.1194</v>
      </c>
      <c r="E3204" s="2" t="s">
        <v>71</v>
      </c>
      <c r="F3204" s="2" t="e">
        <f>VLOOKUP(B3204,MSCI中国成分股!A:B,1,)</f>
        <v>#N/A</v>
      </c>
    </row>
    <row r="3205" spans="1:6" ht="20.25" hidden="1" customHeight="1" x14ac:dyDescent="0.15">
      <c r="A3205" s="2" t="s">
        <v>6662</v>
      </c>
      <c r="B3205" s="2" t="s">
        <v>6663</v>
      </c>
      <c r="C3205" s="2">
        <v>0.86</v>
      </c>
      <c r="D3205" s="2">
        <v>0.90310000000000001</v>
      </c>
      <c r="E3205" s="2" t="s">
        <v>391</v>
      </c>
      <c r="F3205" s="2" t="e">
        <f>VLOOKUP(B3205,MSCI中国成分股!A:B,1,)</f>
        <v>#N/A</v>
      </c>
    </row>
    <row r="3206" spans="1:6" ht="20.25" hidden="1" customHeight="1" x14ac:dyDescent="0.15">
      <c r="A3206" s="2" t="s">
        <v>6664</v>
      </c>
      <c r="B3206" s="2" t="s">
        <v>6665</v>
      </c>
      <c r="C3206" s="2">
        <v>1.83</v>
      </c>
      <c r="D3206" s="2">
        <v>0.55410000000000004</v>
      </c>
      <c r="E3206" s="2" t="s">
        <v>713</v>
      </c>
      <c r="F3206" s="2" t="e">
        <f>VLOOKUP(B3206,MSCI中国成分股!A:B,1,)</f>
        <v>#N/A</v>
      </c>
    </row>
    <row r="3207" spans="1:6" ht="20.25" hidden="1" customHeight="1" x14ac:dyDescent="0.15">
      <c r="A3207" s="2" t="s">
        <v>6666</v>
      </c>
      <c r="B3207" s="2" t="s">
        <v>6667</v>
      </c>
      <c r="C3207" s="2">
        <v>-0.8</v>
      </c>
      <c r="D3207" s="2">
        <v>4.1487999999999996</v>
      </c>
      <c r="E3207" s="2" t="s">
        <v>501</v>
      </c>
      <c r="F3207" s="2" t="e">
        <f>VLOOKUP(B3207,MSCI中国成分股!A:B,1,)</f>
        <v>#N/A</v>
      </c>
    </row>
    <row r="3208" spans="1:6" ht="20.25" hidden="1" customHeight="1" x14ac:dyDescent="0.15">
      <c r="A3208" s="2" t="s">
        <v>6668</v>
      </c>
      <c r="B3208" s="2" t="s">
        <v>6669</v>
      </c>
      <c r="C3208" s="2">
        <v>1.96</v>
      </c>
      <c r="D3208" s="2">
        <v>1.7234</v>
      </c>
      <c r="E3208" s="2" t="s">
        <v>1403</v>
      </c>
      <c r="F3208" s="2" t="e">
        <f>VLOOKUP(B3208,MSCI中国成分股!A:B,1,)</f>
        <v>#N/A</v>
      </c>
    </row>
    <row r="3209" spans="1:6" ht="20.25" hidden="1" customHeight="1" x14ac:dyDescent="0.15">
      <c r="A3209" s="2" t="s">
        <v>6670</v>
      </c>
      <c r="B3209" s="2" t="s">
        <v>6671</v>
      </c>
      <c r="C3209" s="2">
        <v>2.52</v>
      </c>
      <c r="D3209" s="2">
        <v>2.4712000000000001</v>
      </c>
      <c r="E3209" s="2" t="s">
        <v>41</v>
      </c>
      <c r="F3209" s="2" t="e">
        <f>VLOOKUP(B3209,MSCI中国成分股!A:B,1,)</f>
        <v>#N/A</v>
      </c>
    </row>
    <row r="3210" spans="1:6" ht="20.25" hidden="1" customHeight="1" x14ac:dyDescent="0.15">
      <c r="A3210" s="2" t="s">
        <v>6672</v>
      </c>
      <c r="B3210" s="2" t="s">
        <v>6673</v>
      </c>
      <c r="C3210" s="2">
        <v>-0.38</v>
      </c>
      <c r="D3210" s="2">
        <v>1.6741999999999999</v>
      </c>
      <c r="E3210" s="2" t="s">
        <v>368</v>
      </c>
      <c r="F3210" s="2" t="e">
        <f>VLOOKUP(B3210,MSCI中国成分股!A:B,1,)</f>
        <v>#N/A</v>
      </c>
    </row>
    <row r="3211" spans="1:6" ht="20.25" hidden="1" customHeight="1" x14ac:dyDescent="0.15">
      <c r="A3211" s="2" t="s">
        <v>6674</v>
      </c>
      <c r="B3211" s="2" t="s">
        <v>6675</v>
      </c>
      <c r="C3211" s="2">
        <v>0.01</v>
      </c>
      <c r="D3211" s="2">
        <v>8.8613</v>
      </c>
      <c r="E3211" s="2" t="s">
        <v>2463</v>
      </c>
      <c r="F3211" s="2" t="e">
        <f>VLOOKUP(B3211,MSCI中国成分股!A:B,1,)</f>
        <v>#N/A</v>
      </c>
    </row>
    <row r="3212" spans="1:6" ht="20.25" hidden="1" customHeight="1" x14ac:dyDescent="0.15">
      <c r="A3212" s="2" t="s">
        <v>6676</v>
      </c>
      <c r="B3212" s="2" t="s">
        <v>6677</v>
      </c>
      <c r="C3212" s="2">
        <v>1.92</v>
      </c>
      <c r="D3212" s="2">
        <v>689.21709999999996</v>
      </c>
      <c r="E3212" s="2" t="s">
        <v>621</v>
      </c>
      <c r="F3212" s="2" t="e">
        <f>VLOOKUP(B3212,MSCI中国成分股!A:B,1,)</f>
        <v>#N/A</v>
      </c>
    </row>
    <row r="3213" spans="1:6" ht="20.25" hidden="1" customHeight="1" x14ac:dyDescent="0.15">
      <c r="A3213" s="2" t="s">
        <v>6678</v>
      </c>
      <c r="B3213" s="2" t="s">
        <v>6679</v>
      </c>
      <c r="C3213" s="2">
        <v>-1.1299999999999999</v>
      </c>
      <c r="D3213" s="2">
        <v>1067.8706999999999</v>
      </c>
      <c r="E3213" s="2" t="s">
        <v>418</v>
      </c>
      <c r="F3213" s="2" t="e">
        <f>VLOOKUP(B3213,MSCI中国成分股!A:B,1,)</f>
        <v>#N/A</v>
      </c>
    </row>
    <row r="3214" spans="1:6" ht="20.25" hidden="1" customHeight="1" x14ac:dyDescent="0.15">
      <c r="A3214" s="2" t="s">
        <v>6680</v>
      </c>
      <c r="B3214" s="2" t="s">
        <v>6681</v>
      </c>
      <c r="C3214" s="2">
        <v>2.38</v>
      </c>
      <c r="D3214" s="2">
        <v>0.84330000000000005</v>
      </c>
      <c r="E3214" s="2" t="s">
        <v>201</v>
      </c>
      <c r="F3214" s="2" t="e">
        <f>VLOOKUP(B3214,MSCI中国成分股!A:B,1,)</f>
        <v>#N/A</v>
      </c>
    </row>
    <row r="3215" spans="1:6" ht="20.25" hidden="1" customHeight="1" x14ac:dyDescent="0.15">
      <c r="A3215" s="2" t="s">
        <v>6682</v>
      </c>
      <c r="B3215" s="2" t="s">
        <v>6683</v>
      </c>
      <c r="C3215" s="2">
        <v>1.75</v>
      </c>
      <c r="D3215" s="2">
        <v>1.0499000000000001</v>
      </c>
      <c r="E3215" s="2" t="s">
        <v>120</v>
      </c>
      <c r="F3215" s="2" t="e">
        <f>VLOOKUP(B3215,MSCI中国成分股!A:B,1,)</f>
        <v>#N/A</v>
      </c>
    </row>
    <row r="3216" spans="1:6" ht="20.25" hidden="1" customHeight="1" x14ac:dyDescent="0.15">
      <c r="A3216" s="2" t="s">
        <v>6684</v>
      </c>
      <c r="B3216" s="2" t="s">
        <v>6685</v>
      </c>
      <c r="C3216" s="2">
        <v>1.64</v>
      </c>
      <c r="D3216" s="2">
        <v>1.2291000000000001</v>
      </c>
      <c r="E3216" s="2" t="s">
        <v>286</v>
      </c>
      <c r="F3216" s="2" t="e">
        <f>VLOOKUP(B3216,MSCI中国成分股!A:B,1,)</f>
        <v>#N/A</v>
      </c>
    </row>
    <row r="3217" spans="1:6" ht="20.25" hidden="1" customHeight="1" x14ac:dyDescent="0.15">
      <c r="A3217" s="2" t="s">
        <v>6686</v>
      </c>
      <c r="B3217" s="2" t="s">
        <v>6687</v>
      </c>
      <c r="C3217" s="2">
        <v>1.37</v>
      </c>
      <c r="D3217" s="2">
        <v>0.61990000000000001</v>
      </c>
      <c r="E3217" s="2" t="s">
        <v>1061</v>
      </c>
      <c r="F3217" s="2" t="e">
        <f>VLOOKUP(B3217,MSCI中国成分股!A:B,1,)</f>
        <v>#N/A</v>
      </c>
    </row>
    <row r="3218" spans="1:6" ht="20.25" hidden="1" customHeight="1" x14ac:dyDescent="0.15">
      <c r="A3218" s="2" t="s">
        <v>6688</v>
      </c>
      <c r="B3218" s="2" t="s">
        <v>6689</v>
      </c>
      <c r="C3218" s="2">
        <v>-0.09</v>
      </c>
      <c r="D3218" s="2">
        <v>0.99119999999999997</v>
      </c>
      <c r="E3218" s="2" t="s">
        <v>638</v>
      </c>
      <c r="F3218" s="2" t="e">
        <f>VLOOKUP(B3218,MSCI中国成分股!A:B,1,)</f>
        <v>#N/A</v>
      </c>
    </row>
    <row r="3219" spans="1:6" ht="20.25" hidden="1" customHeight="1" x14ac:dyDescent="0.15">
      <c r="A3219" s="2" t="s">
        <v>6690</v>
      </c>
      <c r="B3219" s="2" t="s">
        <v>6691</v>
      </c>
      <c r="C3219" s="2">
        <v>0.61</v>
      </c>
      <c r="D3219" s="2">
        <v>10.9702</v>
      </c>
      <c r="E3219" s="2" t="s">
        <v>4939</v>
      </c>
      <c r="F3219" s="2" t="e">
        <f>VLOOKUP(B3219,MSCI中国成分股!A:B,1,)</f>
        <v>#N/A</v>
      </c>
    </row>
    <row r="3220" spans="1:6" ht="20.25" hidden="1" customHeight="1" x14ac:dyDescent="0.15">
      <c r="A3220" s="2" t="s">
        <v>6692</v>
      </c>
      <c r="B3220" s="2" t="s">
        <v>6693</v>
      </c>
      <c r="C3220" s="2">
        <v>-0.03</v>
      </c>
      <c r="D3220" s="2">
        <v>11.648199999999999</v>
      </c>
      <c r="E3220" s="2" t="s">
        <v>371</v>
      </c>
      <c r="F3220" s="2" t="e">
        <f>VLOOKUP(B3220,MSCI中国成分股!A:B,1,)</f>
        <v>#N/A</v>
      </c>
    </row>
    <row r="3221" spans="1:6" ht="20.25" hidden="1" customHeight="1" x14ac:dyDescent="0.15">
      <c r="A3221" s="2" t="s">
        <v>6694</v>
      </c>
      <c r="B3221" s="2" t="s">
        <v>6695</v>
      </c>
      <c r="C3221" s="2">
        <v>2.9249999999999998</v>
      </c>
      <c r="D3221" s="2">
        <v>0.73329999999999995</v>
      </c>
      <c r="E3221" s="2" t="s">
        <v>374</v>
      </c>
      <c r="F3221" s="2" t="e">
        <f>VLOOKUP(B3221,MSCI中国成分股!A:B,1,)</f>
        <v>#N/A</v>
      </c>
    </row>
    <row r="3222" spans="1:6" ht="20.25" customHeight="1" x14ac:dyDescent="0.15">
      <c r="A3222" s="2" t="s">
        <v>112</v>
      </c>
      <c r="B3222" s="2" t="s">
        <v>113</v>
      </c>
      <c r="C3222" s="2">
        <v>-8.64</v>
      </c>
      <c r="D3222" s="2">
        <v>18.558599999999998</v>
      </c>
      <c r="E3222" s="2" t="s">
        <v>44</v>
      </c>
      <c r="F3222" s="2" t="str">
        <f>VLOOKUP(B3222,MSCI中国成分股!A:B,1,)</f>
        <v>688235</v>
      </c>
    </row>
    <row r="3223" spans="1:6" ht="20.25" hidden="1" customHeight="1" x14ac:dyDescent="0.15">
      <c r="A3223" s="2" t="s">
        <v>6698</v>
      </c>
      <c r="B3223" s="2" t="s">
        <v>6699</v>
      </c>
      <c r="C3223" s="2">
        <v>0.59</v>
      </c>
      <c r="D3223" s="2">
        <v>0.26590000000000003</v>
      </c>
      <c r="E3223" s="2" t="s">
        <v>207</v>
      </c>
      <c r="F3223" s="2" t="e">
        <f>VLOOKUP(B3223,MSCI中国成分股!A:B,1,)</f>
        <v>#N/A</v>
      </c>
    </row>
    <row r="3224" spans="1:6" ht="20.25" hidden="1" customHeight="1" x14ac:dyDescent="0.15">
      <c r="A3224" s="2" t="s">
        <v>6700</v>
      </c>
      <c r="B3224" s="2" t="s">
        <v>6701</v>
      </c>
      <c r="C3224" s="2">
        <v>1.44</v>
      </c>
      <c r="D3224" s="2">
        <v>0.72609999999999997</v>
      </c>
      <c r="E3224" s="2" t="s">
        <v>784</v>
      </c>
      <c r="F3224" s="2" t="e">
        <f>VLOOKUP(B3224,MSCI中国成分股!A:B,1,)</f>
        <v>#N/A</v>
      </c>
    </row>
    <row r="3225" spans="1:6" ht="20.25" hidden="1" customHeight="1" x14ac:dyDescent="0.15">
      <c r="A3225" s="2" t="s">
        <v>6702</v>
      </c>
      <c r="B3225" s="2" t="s">
        <v>6703</v>
      </c>
      <c r="C3225" s="2">
        <v>0.03</v>
      </c>
      <c r="D3225" s="2">
        <v>185.22669999999999</v>
      </c>
      <c r="E3225" s="2" t="s">
        <v>2678</v>
      </c>
      <c r="F3225" s="2" t="e">
        <f>VLOOKUP(B3225,MSCI中国成分股!A:B,1,)</f>
        <v>#N/A</v>
      </c>
    </row>
    <row r="3226" spans="1:6" ht="20.25" hidden="1" customHeight="1" x14ac:dyDescent="0.15">
      <c r="A3226" s="2" t="s">
        <v>6704</v>
      </c>
      <c r="B3226" s="2" t="s">
        <v>6705</v>
      </c>
      <c r="C3226" s="2">
        <v>0.32</v>
      </c>
      <c r="D3226" s="2">
        <v>26.678699999999999</v>
      </c>
      <c r="E3226" s="2" t="s">
        <v>371</v>
      </c>
      <c r="F3226" s="2" t="e">
        <f>VLOOKUP(B3226,MSCI中国成分股!A:B,1,)</f>
        <v>#N/A</v>
      </c>
    </row>
    <row r="3227" spans="1:6" ht="20.25" hidden="1" customHeight="1" x14ac:dyDescent="0.15">
      <c r="A3227" s="2" t="s">
        <v>6706</v>
      </c>
      <c r="B3227" s="2" t="s">
        <v>6707</v>
      </c>
      <c r="C3227" s="2">
        <v>-0.61</v>
      </c>
      <c r="D3227" s="2">
        <v>8.4865999999999993</v>
      </c>
      <c r="E3227" s="2" t="s">
        <v>638</v>
      </c>
      <c r="F3227" s="2" t="e">
        <f>VLOOKUP(B3227,MSCI中国成分股!A:B,1,)</f>
        <v>#N/A</v>
      </c>
    </row>
    <row r="3228" spans="1:6" ht="20.25" hidden="1" customHeight="1" x14ac:dyDescent="0.15">
      <c r="A3228" s="2" t="s">
        <v>6708</v>
      </c>
      <c r="B3228" s="2" t="s">
        <v>6709</v>
      </c>
      <c r="C3228" s="2">
        <v>-0.73</v>
      </c>
      <c r="D3228" s="2">
        <v>52.454099999999997</v>
      </c>
      <c r="E3228" s="2" t="s">
        <v>89</v>
      </c>
      <c r="F3228" s="2" t="e">
        <f>VLOOKUP(B3228,MSCI中国成分股!A:B,1,)</f>
        <v>#N/A</v>
      </c>
    </row>
    <row r="3229" spans="1:6" ht="20.25" hidden="1" customHeight="1" x14ac:dyDescent="0.15">
      <c r="A3229" s="2" t="s">
        <v>6710</v>
      </c>
      <c r="B3229" s="2" t="s">
        <v>6711</v>
      </c>
      <c r="C3229" s="2">
        <v>-0.02</v>
      </c>
      <c r="D3229" s="2">
        <v>5.2671000000000001</v>
      </c>
      <c r="E3229" s="2" t="s">
        <v>44</v>
      </c>
      <c r="F3229" s="2" t="e">
        <f>VLOOKUP(B3229,MSCI中国成分股!A:B,1,)</f>
        <v>#N/A</v>
      </c>
    </row>
    <row r="3230" spans="1:6" ht="20.25" hidden="1" customHeight="1" x14ac:dyDescent="0.15">
      <c r="A3230" s="2" t="s">
        <v>6712</v>
      </c>
      <c r="B3230" s="2" t="s">
        <v>6713</v>
      </c>
      <c r="C3230" s="2">
        <v>0.79</v>
      </c>
      <c r="D3230" s="2">
        <v>1.2778</v>
      </c>
      <c r="E3230" s="2" t="s">
        <v>1268</v>
      </c>
      <c r="F3230" s="2" t="e">
        <f>VLOOKUP(B3230,MSCI中国成分股!A:B,1,)</f>
        <v>#N/A</v>
      </c>
    </row>
    <row r="3231" spans="1:6" ht="20.25" hidden="1" customHeight="1" x14ac:dyDescent="0.15">
      <c r="A3231" s="2" t="s">
        <v>6714</v>
      </c>
      <c r="B3231" s="2" t="s">
        <v>6715</v>
      </c>
      <c r="C3231" s="2">
        <v>0.31</v>
      </c>
      <c r="D3231" s="2">
        <v>0.32400000000000001</v>
      </c>
      <c r="E3231" s="2" t="s">
        <v>667</v>
      </c>
      <c r="F3231" s="2" t="e">
        <f>VLOOKUP(B3231,MSCI中国成分股!A:B,1,)</f>
        <v>#N/A</v>
      </c>
    </row>
    <row r="3232" spans="1:6" ht="20.25" hidden="1" customHeight="1" x14ac:dyDescent="0.15">
      <c r="A3232" s="2" t="s">
        <v>6716</v>
      </c>
      <c r="B3232" s="2" t="s">
        <v>6717</v>
      </c>
      <c r="C3232" s="2">
        <v>1.36</v>
      </c>
      <c r="D3232" s="2">
        <v>0.30299999999999999</v>
      </c>
      <c r="E3232" s="2" t="s">
        <v>638</v>
      </c>
      <c r="F3232" s="2" t="e">
        <f>VLOOKUP(B3232,MSCI中国成分股!A:B,1,)</f>
        <v>#N/A</v>
      </c>
    </row>
    <row r="3233" spans="1:6" ht="20.25" hidden="1" customHeight="1" x14ac:dyDescent="0.15">
      <c r="A3233" s="2" t="s">
        <v>6718</v>
      </c>
      <c r="B3233" s="2" t="s">
        <v>6719</v>
      </c>
      <c r="C3233" s="2">
        <v>0.5</v>
      </c>
      <c r="D3233" s="2">
        <v>6.4015000000000004</v>
      </c>
      <c r="E3233" s="2" t="s">
        <v>299</v>
      </c>
      <c r="F3233" s="2" t="e">
        <f>VLOOKUP(B3233,MSCI中国成分股!A:B,1,)</f>
        <v>#N/A</v>
      </c>
    </row>
    <row r="3234" spans="1:6" ht="20.25" hidden="1" customHeight="1" x14ac:dyDescent="0.15">
      <c r="A3234" s="2" t="s">
        <v>6720</v>
      </c>
      <c r="B3234" s="2" t="s">
        <v>6721</v>
      </c>
      <c r="C3234" s="2">
        <v>1.45</v>
      </c>
      <c r="D3234" s="2">
        <v>8.2200000000000006</v>
      </c>
      <c r="E3234" s="2" t="s">
        <v>784</v>
      </c>
      <c r="F3234" s="2" t="e">
        <f>VLOOKUP(B3234,MSCI中国成分股!A:B,1,)</f>
        <v>#N/A</v>
      </c>
    </row>
    <row r="3235" spans="1:6" ht="20.25" hidden="1" customHeight="1" x14ac:dyDescent="0.15">
      <c r="A3235" s="2" t="s">
        <v>6722</v>
      </c>
      <c r="B3235" s="2" t="s">
        <v>6723</v>
      </c>
      <c r="C3235" s="2">
        <v>2.11</v>
      </c>
      <c r="D3235" s="2">
        <v>1.2051000000000001</v>
      </c>
      <c r="E3235" s="2" t="s">
        <v>630</v>
      </c>
      <c r="F3235" s="2" t="e">
        <f>VLOOKUP(B3235,MSCI中国成分股!A:B,1,)</f>
        <v>#N/A</v>
      </c>
    </row>
    <row r="3236" spans="1:6" ht="20.25" hidden="1" customHeight="1" x14ac:dyDescent="0.15">
      <c r="A3236" s="2" t="s">
        <v>6724</v>
      </c>
      <c r="B3236" s="2" t="s">
        <v>6725</v>
      </c>
      <c r="C3236" s="2">
        <v>1.96</v>
      </c>
      <c r="D3236" s="2">
        <v>4.6797000000000004</v>
      </c>
      <c r="E3236" s="2" t="s">
        <v>827</v>
      </c>
      <c r="F3236" s="2" t="e">
        <f>VLOOKUP(B3236,MSCI中国成分股!A:B,1,)</f>
        <v>#N/A</v>
      </c>
    </row>
    <row r="3237" spans="1:6" ht="20.25" hidden="1" customHeight="1" x14ac:dyDescent="0.15">
      <c r="A3237" s="2" t="s">
        <v>6726</v>
      </c>
      <c r="B3237" s="2" t="s">
        <v>6727</v>
      </c>
      <c r="C3237" s="2">
        <v>1.36</v>
      </c>
      <c r="D3237" s="2">
        <v>5.0812999999999997</v>
      </c>
      <c r="E3237" s="2" t="s">
        <v>690</v>
      </c>
      <c r="F3237" s="2" t="e">
        <f>VLOOKUP(B3237,MSCI中国成分股!A:B,1,)</f>
        <v>#N/A</v>
      </c>
    </row>
    <row r="3238" spans="1:6" ht="20.25" hidden="1" customHeight="1" x14ac:dyDescent="0.15">
      <c r="A3238" s="2" t="s">
        <v>6728</v>
      </c>
      <c r="B3238" s="2" t="s">
        <v>6729</v>
      </c>
      <c r="C3238" s="2">
        <v>-0.57999999999999996</v>
      </c>
      <c r="D3238" s="2">
        <v>0.88959999999999995</v>
      </c>
      <c r="E3238" s="2" t="s">
        <v>403</v>
      </c>
      <c r="F3238" s="2" t="e">
        <f>VLOOKUP(B3238,MSCI中国成分股!A:B,1,)</f>
        <v>#N/A</v>
      </c>
    </row>
    <row r="3239" spans="1:6" ht="20.25" hidden="1" customHeight="1" x14ac:dyDescent="0.15">
      <c r="A3239" s="2" t="s">
        <v>6730</v>
      </c>
      <c r="B3239" s="2" t="s">
        <v>6731</v>
      </c>
      <c r="C3239" s="2">
        <v>0.39</v>
      </c>
      <c r="D3239" s="2">
        <v>0.10970000000000001</v>
      </c>
      <c r="E3239" s="2" t="s">
        <v>483</v>
      </c>
      <c r="F3239" s="2" t="e">
        <f>VLOOKUP(B3239,MSCI中国成分股!A:B,1,)</f>
        <v>#N/A</v>
      </c>
    </row>
    <row r="3240" spans="1:6" ht="20.25" hidden="1" customHeight="1" x14ac:dyDescent="0.15">
      <c r="A3240" s="2" t="s">
        <v>6732</v>
      </c>
      <c r="B3240" s="2" t="s">
        <v>6733</v>
      </c>
      <c r="C3240" s="2">
        <v>0.43</v>
      </c>
      <c r="D3240" s="2">
        <v>9.2500999999999998</v>
      </c>
      <c r="E3240" s="2" t="s">
        <v>605</v>
      </c>
      <c r="F3240" s="2" t="e">
        <f>VLOOKUP(B3240,MSCI中国成分股!A:B,1,)</f>
        <v>#N/A</v>
      </c>
    </row>
    <row r="3241" spans="1:6" ht="20.25" hidden="1" customHeight="1" x14ac:dyDescent="0.15">
      <c r="A3241" s="2" t="s">
        <v>6734</v>
      </c>
      <c r="B3241" s="2" t="s">
        <v>6735</v>
      </c>
      <c r="C3241" s="2">
        <v>2.2799999999999998</v>
      </c>
      <c r="D3241" s="2">
        <v>7.2691999999999997</v>
      </c>
      <c r="E3241" s="2" t="s">
        <v>371</v>
      </c>
      <c r="F3241" s="2" t="e">
        <f>VLOOKUP(B3241,MSCI中国成分股!A:B,1,)</f>
        <v>#N/A</v>
      </c>
    </row>
    <row r="3242" spans="1:6" ht="20.25" hidden="1" customHeight="1" x14ac:dyDescent="0.15">
      <c r="A3242" s="2" t="s">
        <v>6736</v>
      </c>
      <c r="B3242" s="2" t="s">
        <v>6737</v>
      </c>
      <c r="C3242" s="2">
        <v>0.71</v>
      </c>
      <c r="D3242" s="2">
        <v>17.1889</v>
      </c>
      <c r="E3242" s="2" t="s">
        <v>670</v>
      </c>
      <c r="F3242" s="2" t="e">
        <f>VLOOKUP(B3242,MSCI中国成分股!A:B,1,)</f>
        <v>#N/A</v>
      </c>
    </row>
    <row r="3243" spans="1:6" ht="20.25" hidden="1" customHeight="1" x14ac:dyDescent="0.15">
      <c r="A3243" s="2" t="s">
        <v>6738</v>
      </c>
      <c r="B3243" s="2" t="s">
        <v>6739</v>
      </c>
      <c r="C3243" s="2">
        <v>-1.62</v>
      </c>
      <c r="D3243" s="2">
        <v>30.8185</v>
      </c>
      <c r="E3243" s="2" t="s">
        <v>501</v>
      </c>
      <c r="F3243" s="2" t="e">
        <f>VLOOKUP(B3243,MSCI中国成分股!A:B,1,)</f>
        <v>#N/A</v>
      </c>
    </row>
    <row r="3244" spans="1:6" ht="20.25" hidden="1" customHeight="1" x14ac:dyDescent="0.15">
      <c r="A3244" s="2" t="s">
        <v>6740</v>
      </c>
      <c r="B3244" s="2" t="s">
        <v>6741</v>
      </c>
      <c r="C3244" s="2">
        <v>-1.57</v>
      </c>
      <c r="D3244" s="2">
        <v>13.674099999999999</v>
      </c>
      <c r="E3244" s="2" t="s">
        <v>10</v>
      </c>
      <c r="F3244" s="2" t="e">
        <f>VLOOKUP(B3244,MSCI中国成分股!A:B,1,)</f>
        <v>#N/A</v>
      </c>
    </row>
    <row r="3245" spans="1:6" ht="20.25" hidden="1" customHeight="1" x14ac:dyDescent="0.15">
      <c r="A3245" s="2" t="s">
        <v>6742</v>
      </c>
      <c r="B3245" s="2" t="s">
        <v>6743</v>
      </c>
      <c r="C3245" s="2">
        <v>-1.41</v>
      </c>
      <c r="D3245" s="2">
        <v>11.6287</v>
      </c>
      <c r="E3245" s="2" t="s">
        <v>747</v>
      </c>
      <c r="F3245" s="2" t="e">
        <f>VLOOKUP(B3245,MSCI中国成分股!A:B,1,)</f>
        <v>#N/A</v>
      </c>
    </row>
    <row r="3246" spans="1:6" ht="20.25" hidden="1" customHeight="1" x14ac:dyDescent="0.15">
      <c r="A3246" s="2" t="s">
        <v>6744</v>
      </c>
      <c r="B3246" s="2" t="s">
        <v>6745</v>
      </c>
      <c r="C3246" s="2">
        <v>0.17499999999999999</v>
      </c>
      <c r="D3246" s="2">
        <v>4.867</v>
      </c>
      <c r="E3246" s="2" t="s">
        <v>35</v>
      </c>
      <c r="F3246" s="2" t="e">
        <f>VLOOKUP(B3246,MSCI中国成分股!A:B,1,)</f>
        <v>#N/A</v>
      </c>
    </row>
    <row r="3247" spans="1:6" ht="20.25" hidden="1" customHeight="1" x14ac:dyDescent="0.15">
      <c r="A3247" s="2" t="s">
        <v>6746</v>
      </c>
      <c r="B3247" s="2" t="s">
        <v>6747</v>
      </c>
      <c r="C3247" s="2">
        <v>1.59</v>
      </c>
      <c r="D3247" s="2">
        <v>0.44600000000000001</v>
      </c>
      <c r="E3247" s="2" t="s">
        <v>38</v>
      </c>
      <c r="F3247" s="2" t="e">
        <f>VLOOKUP(B3247,MSCI中国成分股!A:B,1,)</f>
        <v>#N/A</v>
      </c>
    </row>
    <row r="3248" spans="1:6" ht="20.25" hidden="1" customHeight="1" x14ac:dyDescent="0.15">
      <c r="A3248" s="2" t="s">
        <v>6748</v>
      </c>
      <c r="B3248" s="2" t="s">
        <v>6749</v>
      </c>
      <c r="C3248" s="2">
        <v>0.45</v>
      </c>
      <c r="D3248" s="2">
        <v>2.3043999999999998</v>
      </c>
      <c r="E3248" s="2" t="s">
        <v>374</v>
      </c>
      <c r="F3248" s="2" t="e">
        <f>VLOOKUP(B3248,MSCI中国成分股!A:B,1,)</f>
        <v>#N/A</v>
      </c>
    </row>
    <row r="3249" spans="1:6" ht="20.25" hidden="1" customHeight="1" x14ac:dyDescent="0.15">
      <c r="A3249" s="2" t="s">
        <v>6750</v>
      </c>
      <c r="B3249" s="2" t="s">
        <v>6751</v>
      </c>
      <c r="C3249" s="2">
        <v>1.88</v>
      </c>
      <c r="D3249" s="2">
        <v>1.2274</v>
      </c>
      <c r="E3249" s="2" t="s">
        <v>638</v>
      </c>
      <c r="F3249" s="2" t="e">
        <f>VLOOKUP(B3249,MSCI中国成分股!A:B,1,)</f>
        <v>#N/A</v>
      </c>
    </row>
    <row r="3250" spans="1:6" ht="20.25" hidden="1" customHeight="1" x14ac:dyDescent="0.15">
      <c r="A3250" s="2" t="s">
        <v>6752</v>
      </c>
      <c r="B3250" s="2" t="s">
        <v>6753</v>
      </c>
      <c r="C3250" s="2">
        <v>-1.31</v>
      </c>
      <c r="D3250" s="2">
        <v>3.9807999999999999</v>
      </c>
      <c r="E3250" s="2" t="s">
        <v>3053</v>
      </c>
      <c r="F3250" s="2" t="e">
        <f>VLOOKUP(B3250,MSCI中国成分股!A:B,1,)</f>
        <v>#N/A</v>
      </c>
    </row>
    <row r="3251" spans="1:6" ht="20.25" hidden="1" customHeight="1" x14ac:dyDescent="0.15">
      <c r="A3251" s="2" t="s">
        <v>6754</v>
      </c>
      <c r="B3251" s="2" t="s">
        <v>6755</v>
      </c>
      <c r="C3251" s="2">
        <v>1.1000000000000001</v>
      </c>
      <c r="D3251" s="2">
        <v>283.39449999999999</v>
      </c>
      <c r="E3251" s="2" t="s">
        <v>374</v>
      </c>
      <c r="F3251" s="2" t="e">
        <f>VLOOKUP(B3251,MSCI中国成分股!A:B,1,)</f>
        <v>#N/A</v>
      </c>
    </row>
    <row r="3252" spans="1:6" ht="20.25" hidden="1" customHeight="1" x14ac:dyDescent="0.15">
      <c r="A3252" s="2" t="s">
        <v>6756</v>
      </c>
      <c r="B3252" s="2" t="s">
        <v>6757</v>
      </c>
      <c r="C3252" s="2">
        <v>1.1200000000000001</v>
      </c>
      <c r="D3252" s="2">
        <v>1.2318</v>
      </c>
      <c r="E3252" s="2" t="s">
        <v>201</v>
      </c>
      <c r="F3252" s="2" t="e">
        <f>VLOOKUP(B3252,MSCI中国成分股!A:B,1,)</f>
        <v>#N/A</v>
      </c>
    </row>
    <row r="3253" spans="1:6" ht="20.25" hidden="1" customHeight="1" x14ac:dyDescent="0.15">
      <c r="A3253" s="2" t="s">
        <v>6758</v>
      </c>
      <c r="B3253" s="2" t="s">
        <v>6759</v>
      </c>
      <c r="C3253" s="2">
        <v>1.83</v>
      </c>
      <c r="D3253" s="2">
        <v>1.5387999999999999</v>
      </c>
      <c r="E3253" s="2" t="s">
        <v>374</v>
      </c>
      <c r="F3253" s="2" t="e">
        <f>VLOOKUP(B3253,MSCI中国成分股!A:B,1,)</f>
        <v>#N/A</v>
      </c>
    </row>
    <row r="3254" spans="1:6" ht="20.25" hidden="1" customHeight="1" x14ac:dyDescent="0.15">
      <c r="A3254" s="2" t="s">
        <v>6760</v>
      </c>
      <c r="B3254" s="2" t="s">
        <v>6761</v>
      </c>
      <c r="C3254" s="2">
        <v>5.0000000000000001E-3</v>
      </c>
      <c r="D3254" s="2">
        <v>2.1168</v>
      </c>
      <c r="E3254" s="2" t="s">
        <v>1381</v>
      </c>
      <c r="F3254" s="2" t="e">
        <f>VLOOKUP(B3254,MSCI中国成分股!A:B,1,)</f>
        <v>#N/A</v>
      </c>
    </row>
    <row r="3255" spans="1:6" ht="20.25" hidden="1" customHeight="1" x14ac:dyDescent="0.15">
      <c r="A3255" s="2" t="s">
        <v>6762</v>
      </c>
      <c r="B3255" s="2" t="s">
        <v>6763</v>
      </c>
      <c r="C3255" s="2">
        <v>-1.52</v>
      </c>
      <c r="D3255" s="2">
        <v>27.7437</v>
      </c>
      <c r="E3255" s="2" t="s">
        <v>6764</v>
      </c>
      <c r="F3255" s="2" t="e">
        <f>VLOOKUP(B3255,MSCI中国成分股!A:B,1,)</f>
        <v>#N/A</v>
      </c>
    </row>
    <row r="3256" spans="1:6" ht="20.25" hidden="1" customHeight="1" x14ac:dyDescent="0.15">
      <c r="A3256" s="2" t="s">
        <v>6765</v>
      </c>
      <c r="B3256" s="2" t="s">
        <v>6766</v>
      </c>
      <c r="C3256" s="2">
        <v>2.0049999999999999</v>
      </c>
      <c r="D3256" s="2">
        <v>6.2276999999999996</v>
      </c>
      <c r="E3256" s="2" t="s">
        <v>52</v>
      </c>
      <c r="F3256" s="2" t="e">
        <f>VLOOKUP(B3256,MSCI中国成分股!A:B,1,)</f>
        <v>#N/A</v>
      </c>
    </row>
    <row r="3257" spans="1:6" ht="20.25" hidden="1" customHeight="1" x14ac:dyDescent="0.15">
      <c r="A3257" s="2" t="s">
        <v>6767</v>
      </c>
      <c r="B3257" s="2" t="s">
        <v>6768</v>
      </c>
      <c r="C3257" s="2">
        <v>1.9350000000000001</v>
      </c>
      <c r="D3257" s="2">
        <v>0.36969999999999997</v>
      </c>
      <c r="E3257" s="2" t="s">
        <v>630</v>
      </c>
      <c r="F3257" s="2" t="e">
        <f>VLOOKUP(B3257,MSCI中国成分股!A:B,1,)</f>
        <v>#N/A</v>
      </c>
    </row>
    <row r="3258" spans="1:6" ht="20.25" hidden="1" customHeight="1" x14ac:dyDescent="0.15">
      <c r="A3258" s="2" t="s">
        <v>6769</v>
      </c>
      <c r="B3258" s="2" t="s">
        <v>6770</v>
      </c>
      <c r="C3258" s="2">
        <v>-1.0900000000000001</v>
      </c>
      <c r="D3258" s="2">
        <v>176.0967</v>
      </c>
      <c r="E3258" s="2" t="s">
        <v>2678</v>
      </c>
      <c r="F3258" s="2" t="e">
        <f>VLOOKUP(B3258,MSCI中国成分股!A:B,1,)</f>
        <v>#N/A</v>
      </c>
    </row>
    <row r="3259" spans="1:6" ht="20.25" hidden="1" customHeight="1" x14ac:dyDescent="0.15">
      <c r="A3259" s="2" t="s">
        <v>6771</v>
      </c>
      <c r="B3259" s="2" t="s">
        <v>6772</v>
      </c>
      <c r="C3259" s="2">
        <v>1.44</v>
      </c>
      <c r="D3259" s="2">
        <v>0.42320000000000002</v>
      </c>
      <c r="E3259" s="2" t="s">
        <v>1403</v>
      </c>
      <c r="F3259" s="2" t="e">
        <f>VLOOKUP(B3259,MSCI中国成分股!A:B,1,)</f>
        <v>#N/A</v>
      </c>
    </row>
    <row r="3260" spans="1:6" ht="20.25" hidden="1" customHeight="1" x14ac:dyDescent="0.15">
      <c r="A3260" s="2" t="s">
        <v>6773</v>
      </c>
      <c r="B3260" s="2" t="s">
        <v>6774</v>
      </c>
      <c r="C3260" s="2">
        <v>0.2</v>
      </c>
      <c r="D3260" s="2">
        <v>7.1662999999999997</v>
      </c>
      <c r="E3260" s="2" t="s">
        <v>371</v>
      </c>
      <c r="F3260" s="2" t="e">
        <f>VLOOKUP(B3260,MSCI中国成分股!A:B,1,)</f>
        <v>#N/A</v>
      </c>
    </row>
    <row r="3261" spans="1:6" ht="20.25" hidden="1" customHeight="1" x14ac:dyDescent="0.15">
      <c r="A3261" s="2" t="s">
        <v>6775</v>
      </c>
      <c r="B3261" s="2" t="s">
        <v>6776</v>
      </c>
      <c r="C3261" s="2">
        <v>0.42</v>
      </c>
      <c r="D3261" s="2">
        <v>0.63819999999999999</v>
      </c>
      <c r="E3261" s="2" t="s">
        <v>787</v>
      </c>
      <c r="F3261" s="2" t="e">
        <f>VLOOKUP(B3261,MSCI中国成分股!A:B,1,)</f>
        <v>#N/A</v>
      </c>
    </row>
    <row r="3262" spans="1:6" ht="20.25" hidden="1" customHeight="1" x14ac:dyDescent="0.15">
      <c r="A3262" s="2" t="s">
        <v>6777</v>
      </c>
      <c r="B3262" s="2" t="s">
        <v>6778</v>
      </c>
      <c r="C3262" s="2">
        <v>2.0299999999999998</v>
      </c>
      <c r="D3262" s="2">
        <v>0.86560000000000004</v>
      </c>
      <c r="E3262" s="2" t="s">
        <v>713</v>
      </c>
      <c r="F3262" s="2" t="e">
        <f>VLOOKUP(B3262,MSCI中国成分股!A:B,1,)</f>
        <v>#N/A</v>
      </c>
    </row>
    <row r="3263" spans="1:6" ht="20.25" hidden="1" customHeight="1" x14ac:dyDescent="0.15">
      <c r="A3263" s="2" t="s">
        <v>6779</v>
      </c>
      <c r="B3263" s="2" t="s">
        <v>6780</v>
      </c>
      <c r="C3263" s="2">
        <v>2.52</v>
      </c>
      <c r="D3263" s="2">
        <v>0.92689999999999995</v>
      </c>
      <c r="E3263" s="2" t="s">
        <v>310</v>
      </c>
      <c r="F3263" s="2" t="e">
        <f>VLOOKUP(B3263,MSCI中国成分股!A:B,1,)</f>
        <v>#N/A</v>
      </c>
    </row>
    <row r="3264" spans="1:6" ht="20.25" hidden="1" customHeight="1" x14ac:dyDescent="0.15">
      <c r="A3264" s="2" t="s">
        <v>6781</v>
      </c>
      <c r="B3264" s="2" t="s">
        <v>6782</v>
      </c>
      <c r="C3264" s="2">
        <v>-1.89</v>
      </c>
      <c r="D3264" s="2">
        <v>237.8415</v>
      </c>
      <c r="E3264" s="2" t="s">
        <v>747</v>
      </c>
      <c r="F3264" s="2" t="e">
        <f>VLOOKUP(B3264,MSCI中国成分股!A:B,1,)</f>
        <v>#N/A</v>
      </c>
    </row>
    <row r="3265" spans="1:6" ht="20.25" hidden="1" customHeight="1" x14ac:dyDescent="0.15">
      <c r="A3265" s="2" t="s">
        <v>6783</v>
      </c>
      <c r="B3265" s="2" t="s">
        <v>6784</v>
      </c>
      <c r="C3265" s="2">
        <v>0.4</v>
      </c>
      <c r="D3265" s="2">
        <v>3.4426999999999999</v>
      </c>
      <c r="E3265" s="2" t="s">
        <v>1099</v>
      </c>
      <c r="F3265" s="2" t="e">
        <f>VLOOKUP(B3265,MSCI中国成分股!A:B,1,)</f>
        <v>#N/A</v>
      </c>
    </row>
    <row r="3266" spans="1:6" ht="20.25" hidden="1" customHeight="1" x14ac:dyDescent="0.15">
      <c r="A3266" s="2" t="s">
        <v>6785</v>
      </c>
      <c r="B3266" s="2" t="s">
        <v>6786</v>
      </c>
      <c r="C3266" s="2">
        <v>-0.44</v>
      </c>
      <c r="D3266" s="2">
        <v>92.618200000000002</v>
      </c>
      <c r="E3266" s="2" t="s">
        <v>149</v>
      </c>
      <c r="F3266" s="2" t="e">
        <f>VLOOKUP(B3266,MSCI中国成分股!A:B,1,)</f>
        <v>#N/A</v>
      </c>
    </row>
    <row r="3267" spans="1:6" ht="20.25" hidden="1" customHeight="1" x14ac:dyDescent="0.15">
      <c r="A3267" s="2" t="s">
        <v>6787</v>
      </c>
      <c r="B3267" s="2" t="s">
        <v>6788</v>
      </c>
      <c r="C3267" s="2">
        <v>-1.33</v>
      </c>
      <c r="D3267" s="2">
        <v>14.178000000000001</v>
      </c>
      <c r="E3267" s="2" t="s">
        <v>385</v>
      </c>
      <c r="F3267" s="2" t="e">
        <f>VLOOKUP(B3267,MSCI中国成分股!A:B,1,)</f>
        <v>#N/A</v>
      </c>
    </row>
    <row r="3268" spans="1:6" ht="20.25" hidden="1" customHeight="1" x14ac:dyDescent="0.15">
      <c r="A3268" s="2" t="s">
        <v>6789</v>
      </c>
      <c r="B3268" s="2" t="s">
        <v>6790</v>
      </c>
      <c r="C3268" s="2">
        <v>1.385</v>
      </c>
      <c r="D3268" s="2">
        <v>0.59909999999999997</v>
      </c>
      <c r="E3268" s="2" t="s">
        <v>286</v>
      </c>
      <c r="F3268" s="2" t="e">
        <f>VLOOKUP(B3268,MSCI中国成分股!A:B,1,)</f>
        <v>#N/A</v>
      </c>
    </row>
    <row r="3269" spans="1:6" ht="20.25" hidden="1" customHeight="1" x14ac:dyDescent="0.15">
      <c r="A3269" s="2" t="s">
        <v>6791</v>
      </c>
      <c r="B3269" s="2" t="s">
        <v>6792</v>
      </c>
      <c r="C3269" s="2">
        <v>2.0550000000000002</v>
      </c>
      <c r="D3269" s="2">
        <v>1.2799</v>
      </c>
      <c r="E3269" s="2" t="s">
        <v>35</v>
      </c>
      <c r="F3269" s="2" t="e">
        <f>VLOOKUP(B3269,MSCI中国成分股!A:B,1,)</f>
        <v>#N/A</v>
      </c>
    </row>
    <row r="3270" spans="1:6" ht="20.25" hidden="1" customHeight="1" x14ac:dyDescent="0.15">
      <c r="A3270" s="2" t="s">
        <v>6793</v>
      </c>
      <c r="B3270" s="2" t="s">
        <v>6794</v>
      </c>
      <c r="C3270" s="2">
        <v>0.2</v>
      </c>
      <c r="D3270" s="2">
        <v>69.143299999999996</v>
      </c>
      <c r="E3270" s="2" t="s">
        <v>176</v>
      </c>
      <c r="F3270" s="2" t="e">
        <f>VLOOKUP(B3270,MSCI中国成分股!A:B,1,)</f>
        <v>#N/A</v>
      </c>
    </row>
    <row r="3271" spans="1:6" ht="20.25" hidden="1" customHeight="1" x14ac:dyDescent="0.15">
      <c r="A3271" s="2" t="s">
        <v>6795</v>
      </c>
      <c r="B3271" s="2" t="s">
        <v>6796</v>
      </c>
      <c r="C3271" s="2">
        <v>-0.71</v>
      </c>
      <c r="D3271" s="2">
        <v>4.4151999999999996</v>
      </c>
      <c r="E3271" s="2" t="s">
        <v>506</v>
      </c>
      <c r="F3271" s="2" t="e">
        <f>VLOOKUP(B3271,MSCI中国成分股!A:B,1,)</f>
        <v>#N/A</v>
      </c>
    </row>
    <row r="3272" spans="1:6" ht="20.25" hidden="1" customHeight="1" x14ac:dyDescent="0.15">
      <c r="A3272" s="2" t="s">
        <v>6797</v>
      </c>
      <c r="B3272" s="2" t="s">
        <v>6798</v>
      </c>
      <c r="C3272" s="2">
        <v>0.94</v>
      </c>
      <c r="D3272" s="2">
        <v>2.3738000000000001</v>
      </c>
      <c r="E3272" s="2" t="s">
        <v>391</v>
      </c>
      <c r="F3272" s="2" t="e">
        <f>VLOOKUP(B3272,MSCI中国成分股!A:B,1,)</f>
        <v>#N/A</v>
      </c>
    </row>
    <row r="3273" spans="1:6" ht="20.25" hidden="1" customHeight="1" x14ac:dyDescent="0.15">
      <c r="A3273" s="2" t="s">
        <v>6799</v>
      </c>
      <c r="B3273" s="2" t="s">
        <v>6800</v>
      </c>
      <c r="C3273" s="2">
        <v>0.61</v>
      </c>
      <c r="D3273" s="2">
        <v>81321.854900000006</v>
      </c>
      <c r="E3273" s="2" t="s">
        <v>1608</v>
      </c>
      <c r="F3273" s="2" t="e">
        <f>VLOOKUP(B3273,MSCI中国成分股!A:B,1,)</f>
        <v>#N/A</v>
      </c>
    </row>
    <row r="3274" spans="1:6" ht="20.25" hidden="1" customHeight="1" x14ac:dyDescent="0.15">
      <c r="A3274" s="2" t="s">
        <v>6801</v>
      </c>
      <c r="B3274" s="2" t="s">
        <v>6802</v>
      </c>
      <c r="C3274" s="2">
        <v>-0.92</v>
      </c>
      <c r="D3274" s="2">
        <v>334.48939999999999</v>
      </c>
      <c r="E3274" s="2" t="s">
        <v>1969</v>
      </c>
      <c r="F3274" s="2" t="e">
        <f>VLOOKUP(B3274,MSCI中国成分股!A:B,1,)</f>
        <v>#N/A</v>
      </c>
    </row>
    <row r="3275" spans="1:6" ht="20.25" hidden="1" customHeight="1" x14ac:dyDescent="0.15">
      <c r="A3275" s="2" t="s">
        <v>6803</v>
      </c>
      <c r="B3275" s="2" t="s">
        <v>6804</v>
      </c>
      <c r="C3275" s="2">
        <v>0.78</v>
      </c>
      <c r="D3275" s="2">
        <v>19.077500000000001</v>
      </c>
      <c r="E3275" s="2" t="s">
        <v>690</v>
      </c>
      <c r="F3275" s="2" t="e">
        <f>VLOOKUP(B3275,MSCI中国成分股!A:B,1,)</f>
        <v>#N/A</v>
      </c>
    </row>
    <row r="3276" spans="1:6" ht="20.25" hidden="1" customHeight="1" x14ac:dyDescent="0.15">
      <c r="A3276" s="2" t="s">
        <v>6805</v>
      </c>
      <c r="B3276" s="2" t="s">
        <v>6806</v>
      </c>
      <c r="C3276" s="2">
        <v>1.605</v>
      </c>
      <c r="D3276" s="2">
        <v>1.6626000000000001</v>
      </c>
      <c r="E3276" s="2" t="s">
        <v>682</v>
      </c>
      <c r="F3276" s="2" t="e">
        <f>VLOOKUP(B3276,MSCI中国成分股!A:B,1,)</f>
        <v>#N/A</v>
      </c>
    </row>
    <row r="3277" spans="1:6" ht="20.25" hidden="1" customHeight="1" x14ac:dyDescent="0.15">
      <c r="A3277" s="2" t="s">
        <v>6807</v>
      </c>
      <c r="B3277" s="2" t="s">
        <v>6808</v>
      </c>
      <c r="C3277" s="2">
        <v>0.72</v>
      </c>
      <c r="D3277" s="2">
        <v>0.62109999999999999</v>
      </c>
      <c r="E3277" s="2" t="s">
        <v>736</v>
      </c>
      <c r="F3277" s="2" t="e">
        <f>VLOOKUP(B3277,MSCI中国成分股!A:B,1,)</f>
        <v>#N/A</v>
      </c>
    </row>
    <row r="3278" spans="1:6" ht="20.25" hidden="1" customHeight="1" x14ac:dyDescent="0.15">
      <c r="A3278" s="2" t="s">
        <v>6809</v>
      </c>
      <c r="B3278" s="2" t="s">
        <v>6810</v>
      </c>
      <c r="C3278" s="2">
        <v>-2.2799999999999998</v>
      </c>
      <c r="D3278" s="2">
        <v>36.922899999999998</v>
      </c>
      <c r="E3278" s="2" t="s">
        <v>862</v>
      </c>
      <c r="F3278" s="2" t="e">
        <f>VLOOKUP(B3278,MSCI中国成分股!A:B,1,)</f>
        <v>#N/A</v>
      </c>
    </row>
    <row r="3279" spans="1:6" ht="20.25" hidden="1" customHeight="1" x14ac:dyDescent="0.15">
      <c r="A3279" s="2" t="s">
        <v>6811</v>
      </c>
      <c r="B3279" s="2" t="s">
        <v>6812</v>
      </c>
      <c r="C3279" s="2">
        <v>0.35</v>
      </c>
      <c r="D3279" s="2">
        <v>0.74880000000000002</v>
      </c>
      <c r="E3279" s="2" t="s">
        <v>1061</v>
      </c>
      <c r="F3279" s="2" t="e">
        <f>VLOOKUP(B3279,MSCI中国成分股!A:B,1,)</f>
        <v>#N/A</v>
      </c>
    </row>
    <row r="3280" spans="1:6" ht="20.25" hidden="1" customHeight="1" x14ac:dyDescent="0.15">
      <c r="A3280" s="2" t="s">
        <v>6813</v>
      </c>
      <c r="B3280" s="2" t="s">
        <v>6814</v>
      </c>
      <c r="C3280" s="2">
        <v>-0.02</v>
      </c>
      <c r="D3280" s="2">
        <v>51.448799999999999</v>
      </c>
      <c r="E3280" s="2" t="s">
        <v>1436</v>
      </c>
      <c r="F3280" s="2" t="e">
        <f>VLOOKUP(B3280,MSCI中国成分股!A:B,1,)</f>
        <v>#N/A</v>
      </c>
    </row>
    <row r="3281" spans="1:6" ht="20.25" hidden="1" customHeight="1" x14ac:dyDescent="0.15">
      <c r="A3281" s="2" t="s">
        <v>6815</v>
      </c>
      <c r="B3281" s="2" t="s">
        <v>6816</v>
      </c>
      <c r="C3281" s="2">
        <v>0.05</v>
      </c>
      <c r="D3281" s="2">
        <v>4.5292000000000003</v>
      </c>
      <c r="E3281" s="2" t="s">
        <v>385</v>
      </c>
      <c r="F3281" s="2" t="e">
        <f>VLOOKUP(B3281,MSCI中国成分股!A:B,1,)</f>
        <v>#N/A</v>
      </c>
    </row>
    <row r="3282" spans="1:6" ht="20.25" hidden="1" customHeight="1" x14ac:dyDescent="0.15">
      <c r="A3282" s="2" t="s">
        <v>6817</v>
      </c>
      <c r="B3282" s="2" t="s">
        <v>6818</v>
      </c>
      <c r="C3282" s="2">
        <v>0.27</v>
      </c>
      <c r="D3282" s="2">
        <v>1.0928</v>
      </c>
      <c r="E3282" s="2" t="s">
        <v>140</v>
      </c>
      <c r="F3282" s="2" t="e">
        <f>VLOOKUP(B3282,MSCI中国成分股!A:B,1,)</f>
        <v>#N/A</v>
      </c>
    </row>
    <row r="3283" spans="1:6" ht="20.25" hidden="1" customHeight="1" x14ac:dyDescent="0.15">
      <c r="A3283" s="2" t="s">
        <v>6819</v>
      </c>
      <c r="B3283" s="2" t="s">
        <v>6820</v>
      </c>
      <c r="C3283" s="2">
        <v>1.925</v>
      </c>
      <c r="D3283" s="2">
        <v>0.5292</v>
      </c>
      <c r="E3283" s="2" t="s">
        <v>403</v>
      </c>
      <c r="F3283" s="2" t="e">
        <f>VLOOKUP(B3283,MSCI中国成分股!A:B,1,)</f>
        <v>#N/A</v>
      </c>
    </row>
    <row r="3284" spans="1:6" ht="20.25" hidden="1" customHeight="1" x14ac:dyDescent="0.15">
      <c r="A3284" s="2" t="s">
        <v>6821</v>
      </c>
      <c r="B3284" s="2" t="s">
        <v>6822</v>
      </c>
      <c r="C3284" s="2">
        <v>0.09</v>
      </c>
      <c r="D3284" s="2">
        <v>12.1347</v>
      </c>
      <c r="E3284" s="2" t="s">
        <v>126</v>
      </c>
      <c r="F3284" s="2" t="e">
        <f>VLOOKUP(B3284,MSCI中国成分股!A:B,1,)</f>
        <v>#N/A</v>
      </c>
    </row>
    <row r="3285" spans="1:6" ht="20.25" hidden="1" customHeight="1" x14ac:dyDescent="0.15">
      <c r="A3285" s="2" t="s">
        <v>6823</v>
      </c>
      <c r="B3285" s="2" t="s">
        <v>6824</v>
      </c>
      <c r="C3285" s="2">
        <v>1.3149999999999999</v>
      </c>
      <c r="D3285" s="2">
        <v>4.7389999999999999</v>
      </c>
      <c r="E3285" s="2" t="s">
        <v>86</v>
      </c>
      <c r="F3285" s="2" t="e">
        <f>VLOOKUP(B3285,MSCI中国成分股!A:B,1,)</f>
        <v>#N/A</v>
      </c>
    </row>
    <row r="3286" spans="1:6" ht="20.25" hidden="1" customHeight="1" x14ac:dyDescent="0.15">
      <c r="A3286" s="2" t="s">
        <v>6825</v>
      </c>
      <c r="B3286" s="2" t="s">
        <v>6826</v>
      </c>
      <c r="C3286" s="2">
        <v>0.91</v>
      </c>
      <c r="D3286" s="2">
        <v>2.3544999999999998</v>
      </c>
      <c r="E3286" s="2" t="s">
        <v>1091</v>
      </c>
      <c r="F3286" s="2" t="e">
        <f>VLOOKUP(B3286,MSCI中国成分股!A:B,1,)</f>
        <v>#N/A</v>
      </c>
    </row>
    <row r="3287" spans="1:6" ht="20.25" hidden="1" customHeight="1" x14ac:dyDescent="0.15">
      <c r="A3287" s="2" t="s">
        <v>6827</v>
      </c>
      <c r="B3287" s="2" t="s">
        <v>6828</v>
      </c>
      <c r="C3287" s="2">
        <v>0.77</v>
      </c>
      <c r="D3287" s="2">
        <v>4.9225000000000003</v>
      </c>
      <c r="E3287" s="2" t="s">
        <v>827</v>
      </c>
      <c r="F3287" s="2" t="e">
        <f>VLOOKUP(B3287,MSCI中国成分股!A:B,1,)</f>
        <v>#N/A</v>
      </c>
    </row>
    <row r="3288" spans="1:6" ht="20.25" hidden="1" customHeight="1" x14ac:dyDescent="0.15">
      <c r="A3288" s="2" t="s">
        <v>6829</v>
      </c>
      <c r="B3288" s="2" t="s">
        <v>6830</v>
      </c>
      <c r="C3288" s="2">
        <v>0.35</v>
      </c>
      <c r="D3288" s="2">
        <v>6.2297000000000002</v>
      </c>
      <c r="E3288" s="2" t="s">
        <v>245</v>
      </c>
      <c r="F3288" s="2" t="e">
        <f>VLOOKUP(B3288,MSCI中国成分股!A:B,1,)</f>
        <v>#N/A</v>
      </c>
    </row>
    <row r="3289" spans="1:6" ht="20.25" hidden="1" customHeight="1" x14ac:dyDescent="0.15">
      <c r="A3289" s="2" t="s">
        <v>6831</v>
      </c>
      <c r="B3289" s="2" t="s">
        <v>6832</v>
      </c>
      <c r="C3289" s="2">
        <v>1.98</v>
      </c>
      <c r="D3289" s="2">
        <v>29.824400000000001</v>
      </c>
      <c r="E3289" s="2" t="s">
        <v>2724</v>
      </c>
      <c r="F3289" s="2" t="e">
        <f>VLOOKUP(B3289,MSCI中国成分股!A:B,1,)</f>
        <v>#N/A</v>
      </c>
    </row>
    <row r="3290" spans="1:6" ht="20.25" hidden="1" customHeight="1" x14ac:dyDescent="0.15">
      <c r="A3290" s="2" t="s">
        <v>6833</v>
      </c>
      <c r="B3290" s="2" t="s">
        <v>6834</v>
      </c>
      <c r="C3290" s="2">
        <v>-0.52</v>
      </c>
      <c r="D3290" s="2">
        <v>2.5314000000000001</v>
      </c>
      <c r="E3290" s="2" t="s">
        <v>299</v>
      </c>
      <c r="F3290" s="2" t="e">
        <f>VLOOKUP(B3290,MSCI中国成分股!A:B,1,)</f>
        <v>#N/A</v>
      </c>
    </row>
    <row r="3291" spans="1:6" ht="20.25" hidden="1" customHeight="1" x14ac:dyDescent="0.15">
      <c r="A3291" s="2" t="s">
        <v>6835</v>
      </c>
      <c r="B3291" s="2" t="s">
        <v>6836</v>
      </c>
      <c r="C3291" s="2">
        <v>2.77</v>
      </c>
      <c r="D3291" s="2">
        <v>6.2511000000000001</v>
      </c>
      <c r="E3291" s="2" t="s">
        <v>385</v>
      </c>
      <c r="F3291" s="2" t="e">
        <f>VLOOKUP(B3291,MSCI中国成分股!A:B,1,)</f>
        <v>#N/A</v>
      </c>
    </row>
    <row r="3292" spans="1:6" ht="20.25" hidden="1" customHeight="1" x14ac:dyDescent="0.15">
      <c r="A3292" s="2" t="s">
        <v>6837</v>
      </c>
      <c r="B3292" s="2" t="s">
        <v>6838</v>
      </c>
      <c r="C3292" s="2">
        <v>2.31</v>
      </c>
      <c r="D3292" s="2">
        <v>1.3620000000000001</v>
      </c>
      <c r="E3292" s="2" t="s">
        <v>713</v>
      </c>
      <c r="F3292" s="2" t="e">
        <f>VLOOKUP(B3292,MSCI中国成分股!A:B,1,)</f>
        <v>#N/A</v>
      </c>
    </row>
    <row r="3293" spans="1:6" ht="20.25" hidden="1" customHeight="1" x14ac:dyDescent="0.15">
      <c r="A3293" s="2" t="s">
        <v>6839</v>
      </c>
      <c r="B3293" s="2" t="s">
        <v>6840</v>
      </c>
      <c r="C3293" s="2">
        <v>1.49</v>
      </c>
      <c r="D3293" s="2">
        <v>0.2145</v>
      </c>
      <c r="E3293" s="2" t="s">
        <v>2463</v>
      </c>
      <c r="F3293" s="2" t="e">
        <f>VLOOKUP(B3293,MSCI中国成分股!A:B,1,)</f>
        <v>#N/A</v>
      </c>
    </row>
    <row r="3294" spans="1:6" ht="20.25" hidden="1" customHeight="1" x14ac:dyDescent="0.15">
      <c r="A3294" s="2" t="s">
        <v>6841</v>
      </c>
      <c r="B3294" s="2" t="s">
        <v>6842</v>
      </c>
      <c r="C3294" s="2">
        <v>0.59</v>
      </c>
      <c r="D3294" s="2">
        <v>6.7679999999999998</v>
      </c>
      <c r="E3294" s="2" t="s">
        <v>614</v>
      </c>
      <c r="F3294" s="2" t="e">
        <f>VLOOKUP(B3294,MSCI中国成分股!A:B,1,)</f>
        <v>#N/A</v>
      </c>
    </row>
    <row r="3295" spans="1:6" ht="20.25" hidden="1" customHeight="1" x14ac:dyDescent="0.15">
      <c r="A3295" s="2" t="s">
        <v>6843</v>
      </c>
      <c r="B3295" s="2" t="s">
        <v>6844</v>
      </c>
      <c r="C3295" s="2">
        <v>0.74</v>
      </c>
      <c r="D3295" s="2">
        <v>1.6187</v>
      </c>
      <c r="E3295" s="2" t="s">
        <v>140</v>
      </c>
      <c r="F3295" s="2" t="e">
        <f>VLOOKUP(B3295,MSCI中国成分股!A:B,1,)</f>
        <v>#N/A</v>
      </c>
    </row>
    <row r="3296" spans="1:6" ht="20.25" hidden="1" customHeight="1" x14ac:dyDescent="0.15">
      <c r="A3296" s="2" t="s">
        <v>6845</v>
      </c>
      <c r="B3296" s="2" t="s">
        <v>6846</v>
      </c>
      <c r="C3296" s="2">
        <v>3.4449999999999998</v>
      </c>
      <c r="D3296" s="2">
        <v>0.65200000000000002</v>
      </c>
      <c r="E3296" s="2" t="s">
        <v>630</v>
      </c>
      <c r="F3296" s="2" t="e">
        <f>VLOOKUP(B3296,MSCI中国成分股!A:B,1,)</f>
        <v>#N/A</v>
      </c>
    </row>
    <row r="3297" spans="1:6" ht="20.25" hidden="1" customHeight="1" x14ac:dyDescent="0.15">
      <c r="A3297" s="2" t="s">
        <v>6847</v>
      </c>
      <c r="B3297" s="2" t="s">
        <v>6848</v>
      </c>
      <c r="C3297" s="2">
        <v>2.23</v>
      </c>
      <c r="D3297" s="2">
        <v>0.71499999999999997</v>
      </c>
      <c r="E3297" s="2" t="s">
        <v>391</v>
      </c>
      <c r="F3297" s="2" t="e">
        <f>VLOOKUP(B3297,MSCI中国成分股!A:B,1,)</f>
        <v>#N/A</v>
      </c>
    </row>
    <row r="3298" spans="1:6" ht="20.25" hidden="1" customHeight="1" x14ac:dyDescent="0.15">
      <c r="A3298" s="2" t="s">
        <v>6849</v>
      </c>
      <c r="B3298" s="2" t="s">
        <v>6850</v>
      </c>
      <c r="C3298" s="2">
        <v>0.53</v>
      </c>
      <c r="D3298" s="2">
        <v>3.8203999999999998</v>
      </c>
      <c r="E3298" s="2" t="s">
        <v>704</v>
      </c>
      <c r="F3298" s="2" t="e">
        <f>VLOOKUP(B3298,MSCI中国成分股!A:B,1,)</f>
        <v>#N/A</v>
      </c>
    </row>
    <row r="3299" spans="1:6" ht="20.25" hidden="1" customHeight="1" x14ac:dyDescent="0.15">
      <c r="A3299" s="2" t="s">
        <v>6851</v>
      </c>
      <c r="B3299" s="2" t="s">
        <v>6852</v>
      </c>
      <c r="C3299" s="2">
        <v>-0.91500000000000004</v>
      </c>
      <c r="D3299" s="2">
        <v>7.6013000000000002</v>
      </c>
      <c r="E3299" s="2" t="s">
        <v>171</v>
      </c>
      <c r="F3299" s="2" t="e">
        <f>VLOOKUP(B3299,MSCI中国成分股!A:B,1,)</f>
        <v>#N/A</v>
      </c>
    </row>
    <row r="3300" spans="1:6" ht="20.25" hidden="1" customHeight="1" x14ac:dyDescent="0.15">
      <c r="A3300" s="2" t="s">
        <v>6853</v>
      </c>
      <c r="B3300" s="2" t="s">
        <v>6854</v>
      </c>
      <c r="C3300" s="2">
        <v>2.48</v>
      </c>
      <c r="D3300" s="2">
        <v>2.7839999999999998</v>
      </c>
      <c r="E3300" s="2" t="s">
        <v>120</v>
      </c>
      <c r="F3300" s="2" t="e">
        <f>VLOOKUP(B3300,MSCI中国成分股!A:B,1,)</f>
        <v>#N/A</v>
      </c>
    </row>
    <row r="3301" spans="1:6" ht="20.25" hidden="1" customHeight="1" x14ac:dyDescent="0.15">
      <c r="A3301" s="2" t="s">
        <v>6855</v>
      </c>
      <c r="B3301" s="2" t="s">
        <v>6856</v>
      </c>
      <c r="C3301" s="2">
        <v>2.27</v>
      </c>
      <c r="D3301" s="2">
        <v>5.4897</v>
      </c>
      <c r="E3301" s="2" t="s">
        <v>787</v>
      </c>
      <c r="F3301" s="2" t="e">
        <f>VLOOKUP(B3301,MSCI中国成分股!A:B,1,)</f>
        <v>#N/A</v>
      </c>
    </row>
    <row r="3302" spans="1:6" ht="20.25" hidden="1" customHeight="1" x14ac:dyDescent="0.15">
      <c r="A3302" s="2" t="s">
        <v>6857</v>
      </c>
      <c r="B3302" s="2" t="s">
        <v>6858</v>
      </c>
      <c r="C3302" s="2">
        <v>0.61</v>
      </c>
      <c r="D3302" s="2">
        <v>0.2727</v>
      </c>
      <c r="E3302" s="2" t="s">
        <v>299</v>
      </c>
      <c r="F3302" s="2" t="e">
        <f>VLOOKUP(B3302,MSCI中国成分股!A:B,1,)</f>
        <v>#N/A</v>
      </c>
    </row>
    <row r="3303" spans="1:6" ht="20.25" hidden="1" customHeight="1" x14ac:dyDescent="0.15">
      <c r="A3303" s="2" t="s">
        <v>6859</v>
      </c>
      <c r="B3303" s="2" t="s">
        <v>6860</v>
      </c>
      <c r="C3303" s="2">
        <v>2.7549999999999999</v>
      </c>
      <c r="D3303" s="2">
        <v>8.0399999999999991</v>
      </c>
      <c r="E3303" s="2" t="s">
        <v>265</v>
      </c>
      <c r="F3303" s="2" t="e">
        <f>VLOOKUP(B3303,MSCI中国成分股!A:B,1,)</f>
        <v>#N/A</v>
      </c>
    </row>
    <row r="3304" spans="1:6" ht="20.25" hidden="1" customHeight="1" x14ac:dyDescent="0.15">
      <c r="A3304" s="2" t="s">
        <v>6861</v>
      </c>
      <c r="B3304" s="2" t="s">
        <v>6862</v>
      </c>
      <c r="C3304" s="2">
        <v>1.39</v>
      </c>
      <c r="D3304" s="2">
        <v>0.67269999999999996</v>
      </c>
      <c r="E3304" s="2" t="s">
        <v>1774</v>
      </c>
      <c r="F3304" s="2" t="e">
        <f>VLOOKUP(B3304,MSCI中国成分股!A:B,1,)</f>
        <v>#N/A</v>
      </c>
    </row>
    <row r="3305" spans="1:6" ht="20.25" hidden="1" customHeight="1" x14ac:dyDescent="0.15">
      <c r="A3305" s="2" t="s">
        <v>6863</v>
      </c>
      <c r="B3305" s="2" t="s">
        <v>6864</v>
      </c>
      <c r="C3305" s="2">
        <v>-0.77</v>
      </c>
      <c r="D3305" s="2">
        <v>16.847000000000001</v>
      </c>
      <c r="E3305" s="2" t="s">
        <v>1099</v>
      </c>
      <c r="F3305" s="2" t="e">
        <f>VLOOKUP(B3305,MSCI中国成分股!A:B,1,)</f>
        <v>#N/A</v>
      </c>
    </row>
    <row r="3306" spans="1:6" ht="20.25" hidden="1" customHeight="1" x14ac:dyDescent="0.15">
      <c r="A3306" s="2" t="s">
        <v>6865</v>
      </c>
      <c r="B3306" s="2" t="s">
        <v>6866</v>
      </c>
      <c r="C3306" s="2">
        <v>-0.61</v>
      </c>
      <c r="D3306" s="2">
        <v>14.6836</v>
      </c>
      <c r="E3306" s="2" t="s">
        <v>1099</v>
      </c>
      <c r="F3306" s="2" t="e">
        <f>VLOOKUP(B3306,MSCI中国成分股!A:B,1,)</f>
        <v>#N/A</v>
      </c>
    </row>
    <row r="3307" spans="1:6" ht="20.25" hidden="1" customHeight="1" x14ac:dyDescent="0.15">
      <c r="A3307" s="2" t="s">
        <v>6867</v>
      </c>
      <c r="B3307" s="2" t="s">
        <v>6868</v>
      </c>
      <c r="C3307" s="2">
        <v>2.2200000000000002</v>
      </c>
      <c r="D3307" s="2">
        <v>0.79730000000000001</v>
      </c>
      <c r="E3307" s="2" t="s">
        <v>123</v>
      </c>
      <c r="F3307" s="2" t="e">
        <f>VLOOKUP(B3307,MSCI中国成分股!A:B,1,)</f>
        <v>#N/A</v>
      </c>
    </row>
    <row r="3308" spans="1:6" ht="20.25" hidden="1" customHeight="1" x14ac:dyDescent="0.15">
      <c r="A3308" s="2" t="s">
        <v>6869</v>
      </c>
      <c r="B3308" s="2" t="s">
        <v>6870</v>
      </c>
      <c r="C3308" s="2">
        <v>-2.1</v>
      </c>
      <c r="D3308" s="2">
        <v>11.388199999999999</v>
      </c>
      <c r="E3308" s="2" t="s">
        <v>1094</v>
      </c>
      <c r="F3308" s="2" t="e">
        <f>VLOOKUP(B3308,MSCI中国成分股!A:B,1,)</f>
        <v>#N/A</v>
      </c>
    </row>
    <row r="3309" spans="1:6" ht="20.25" hidden="1" customHeight="1" x14ac:dyDescent="0.15">
      <c r="A3309" s="2" t="s">
        <v>6871</v>
      </c>
      <c r="B3309" s="2" t="s">
        <v>6872</v>
      </c>
      <c r="C3309" s="2">
        <v>-0.18</v>
      </c>
      <c r="D3309" s="2">
        <v>2.9001000000000001</v>
      </c>
      <c r="E3309" s="2" t="s">
        <v>406</v>
      </c>
      <c r="F3309" s="2" t="e">
        <f>VLOOKUP(B3309,MSCI中国成分股!A:B,1,)</f>
        <v>#N/A</v>
      </c>
    </row>
    <row r="3310" spans="1:6" ht="20.25" hidden="1" customHeight="1" x14ac:dyDescent="0.15">
      <c r="A3310" s="2" t="s">
        <v>6873</v>
      </c>
      <c r="B3310" s="2" t="s">
        <v>6874</v>
      </c>
      <c r="C3310" s="2">
        <v>1.925</v>
      </c>
      <c r="D3310" s="2">
        <v>1.0952999999999999</v>
      </c>
      <c r="E3310" s="2" t="s">
        <v>1056</v>
      </c>
      <c r="F3310" s="2" t="e">
        <f>VLOOKUP(B3310,MSCI中国成分股!A:B,1,)</f>
        <v>#N/A</v>
      </c>
    </row>
    <row r="3311" spans="1:6" ht="20.25" hidden="1" customHeight="1" x14ac:dyDescent="0.15">
      <c r="A3311" s="2" t="s">
        <v>6875</v>
      </c>
      <c r="B3311" s="2" t="s">
        <v>6876</v>
      </c>
      <c r="C3311" s="2">
        <v>0.91</v>
      </c>
      <c r="D3311" s="2">
        <v>0.76970000000000005</v>
      </c>
      <c r="E3311" s="2" t="s">
        <v>589</v>
      </c>
      <c r="F3311" s="2" t="e">
        <f>VLOOKUP(B3311,MSCI中国成分股!A:B,1,)</f>
        <v>#N/A</v>
      </c>
    </row>
    <row r="3312" spans="1:6" ht="20.25" hidden="1" customHeight="1" x14ac:dyDescent="0.15">
      <c r="A3312" s="2" t="s">
        <v>6877</v>
      </c>
      <c r="B3312" s="2" t="s">
        <v>6878</v>
      </c>
      <c r="C3312" s="2">
        <v>0.35499999999999998</v>
      </c>
      <c r="D3312" s="2">
        <v>7.2022000000000004</v>
      </c>
      <c r="E3312" s="2" t="s">
        <v>1459</v>
      </c>
      <c r="F3312" s="2" t="e">
        <f>VLOOKUP(B3312,MSCI中国成分股!A:B,1,)</f>
        <v>#N/A</v>
      </c>
    </row>
    <row r="3313" spans="1:6" ht="20.25" hidden="1" customHeight="1" x14ac:dyDescent="0.15">
      <c r="A3313" s="2" t="s">
        <v>6879</v>
      </c>
      <c r="B3313" s="2" t="s">
        <v>6880</v>
      </c>
      <c r="C3313" s="2">
        <v>3.77</v>
      </c>
      <c r="D3313" s="2">
        <v>3.7637999999999998</v>
      </c>
      <c r="E3313" s="2" t="s">
        <v>140</v>
      </c>
      <c r="F3313" s="2" t="e">
        <f>VLOOKUP(B3313,MSCI中国成分股!A:B,1,)</f>
        <v>#N/A</v>
      </c>
    </row>
    <row r="3314" spans="1:6" ht="20.25" hidden="1" customHeight="1" x14ac:dyDescent="0.15">
      <c r="A3314" s="2" t="s">
        <v>6881</v>
      </c>
      <c r="B3314" s="2" t="s">
        <v>6882</v>
      </c>
      <c r="C3314" s="2">
        <v>2.0350000000000001</v>
      </c>
      <c r="D3314" s="2">
        <v>2.9293999999999998</v>
      </c>
      <c r="E3314" s="2" t="s">
        <v>574</v>
      </c>
      <c r="F3314" s="2" t="e">
        <f>VLOOKUP(B3314,MSCI中国成分股!A:B,1,)</f>
        <v>#N/A</v>
      </c>
    </row>
    <row r="3315" spans="1:6" ht="20.25" hidden="1" customHeight="1" x14ac:dyDescent="0.15">
      <c r="A3315" s="2" t="s">
        <v>6883</v>
      </c>
      <c r="B3315" s="2" t="s">
        <v>6884</v>
      </c>
      <c r="C3315" s="2">
        <v>0.15</v>
      </c>
      <c r="D3315" s="2">
        <v>5.4108000000000001</v>
      </c>
      <c r="E3315" s="2" t="s">
        <v>647</v>
      </c>
      <c r="F3315" s="2" t="e">
        <f>VLOOKUP(B3315,MSCI中国成分股!A:B,1,)</f>
        <v>#N/A</v>
      </c>
    </row>
    <row r="3316" spans="1:6" ht="20.25" hidden="1" customHeight="1" x14ac:dyDescent="0.15">
      <c r="A3316" s="2" t="s">
        <v>6885</v>
      </c>
      <c r="B3316" s="2" t="s">
        <v>6886</v>
      </c>
      <c r="C3316" s="2">
        <v>0.38</v>
      </c>
      <c r="D3316" s="2">
        <v>9.4823000000000004</v>
      </c>
      <c r="E3316" s="2" t="s">
        <v>2463</v>
      </c>
      <c r="F3316" s="2" t="e">
        <f>VLOOKUP(B3316,MSCI中国成分股!A:B,1,)</f>
        <v>#N/A</v>
      </c>
    </row>
    <row r="3317" spans="1:6" ht="20.25" hidden="1" customHeight="1" x14ac:dyDescent="0.15">
      <c r="A3317" s="2" t="s">
        <v>6887</v>
      </c>
      <c r="B3317" s="2" t="s">
        <v>6888</v>
      </c>
      <c r="C3317" s="2">
        <v>1.64</v>
      </c>
      <c r="D3317" s="2">
        <v>11.4694</v>
      </c>
      <c r="E3317" s="2" t="s">
        <v>574</v>
      </c>
      <c r="F3317" s="2" t="e">
        <f>VLOOKUP(B3317,MSCI中国成分股!A:B,1,)</f>
        <v>#N/A</v>
      </c>
    </row>
    <row r="3318" spans="1:6" ht="20.25" hidden="1" customHeight="1" x14ac:dyDescent="0.15">
      <c r="A3318" s="2" t="s">
        <v>6889</v>
      </c>
      <c r="B3318" s="2" t="s">
        <v>6890</v>
      </c>
      <c r="C3318" s="2">
        <v>-0.56000000000000005</v>
      </c>
      <c r="D3318" s="2">
        <v>11.805</v>
      </c>
      <c r="E3318" s="2" t="s">
        <v>1099</v>
      </c>
      <c r="F3318" s="2" t="e">
        <f>VLOOKUP(B3318,MSCI中国成分股!A:B,1,)</f>
        <v>#N/A</v>
      </c>
    </row>
    <row r="3319" spans="1:6" ht="20.25" hidden="1" customHeight="1" x14ac:dyDescent="0.15">
      <c r="A3319" s="2" t="s">
        <v>6891</v>
      </c>
      <c r="B3319" s="2" t="s">
        <v>6892</v>
      </c>
      <c r="C3319" s="2">
        <v>0.56000000000000005</v>
      </c>
      <c r="D3319" s="2">
        <v>5.6577999999999999</v>
      </c>
      <c r="E3319" s="2" t="s">
        <v>10</v>
      </c>
      <c r="F3319" s="2" t="e">
        <f>VLOOKUP(B3319,MSCI中国成分股!A:B,1,)</f>
        <v>#N/A</v>
      </c>
    </row>
    <row r="3320" spans="1:6" ht="20.25" hidden="1" customHeight="1" x14ac:dyDescent="0.15">
      <c r="A3320" s="2" t="s">
        <v>6893</v>
      </c>
      <c r="B3320" s="2" t="s">
        <v>6894</v>
      </c>
      <c r="C3320" s="2">
        <v>0.31</v>
      </c>
      <c r="D3320" s="2">
        <v>0.4375</v>
      </c>
      <c r="E3320" s="2" t="s">
        <v>704</v>
      </c>
      <c r="F3320" s="2" t="e">
        <f>VLOOKUP(B3320,MSCI中国成分股!A:B,1,)</f>
        <v>#N/A</v>
      </c>
    </row>
    <row r="3321" spans="1:6" ht="20.25" hidden="1" customHeight="1" x14ac:dyDescent="0.15">
      <c r="A3321" s="2" t="s">
        <v>6895</v>
      </c>
      <c r="B3321" s="2" t="s">
        <v>6896</v>
      </c>
      <c r="C3321" s="2">
        <v>2</v>
      </c>
      <c r="D3321" s="2">
        <v>0.15029999999999999</v>
      </c>
      <c r="E3321" s="2" t="s">
        <v>391</v>
      </c>
      <c r="F3321" s="2" t="e">
        <f>VLOOKUP(B3321,MSCI中国成分股!A:B,1,)</f>
        <v>#N/A</v>
      </c>
    </row>
    <row r="3322" spans="1:6" ht="20.25" hidden="1" customHeight="1" x14ac:dyDescent="0.15">
      <c r="A3322" s="2" t="s">
        <v>6897</v>
      </c>
      <c r="B3322" s="2" t="s">
        <v>6898</v>
      </c>
      <c r="C3322" s="2">
        <v>1.36</v>
      </c>
      <c r="D3322" s="2">
        <v>0.34989999999999999</v>
      </c>
      <c r="E3322" s="2" t="s">
        <v>647</v>
      </c>
      <c r="F3322" s="2" t="e">
        <f>VLOOKUP(B3322,MSCI中国成分股!A:B,1,)</f>
        <v>#N/A</v>
      </c>
    </row>
    <row r="3323" spans="1:6" ht="20.25" hidden="1" customHeight="1" x14ac:dyDescent="0.15">
      <c r="A3323" s="2" t="s">
        <v>6899</v>
      </c>
      <c r="B3323" s="2" t="s">
        <v>6900</v>
      </c>
      <c r="C3323" s="2">
        <v>-1.53</v>
      </c>
      <c r="D3323" s="2">
        <v>3.8216000000000001</v>
      </c>
      <c r="E3323" s="2" t="s">
        <v>677</v>
      </c>
      <c r="F3323" s="2" t="e">
        <f>VLOOKUP(B3323,MSCI中国成分股!A:B,1,)</f>
        <v>#N/A</v>
      </c>
    </row>
    <row r="3324" spans="1:6" ht="20.25" hidden="1" customHeight="1" x14ac:dyDescent="0.15">
      <c r="A3324" s="2" t="s">
        <v>6901</v>
      </c>
      <c r="B3324" s="2" t="s">
        <v>6902</v>
      </c>
      <c r="C3324" s="2">
        <v>1.39</v>
      </c>
      <c r="D3324" s="2">
        <v>0.84960000000000002</v>
      </c>
      <c r="E3324" s="2" t="s">
        <v>157</v>
      </c>
      <c r="F3324" s="2" t="e">
        <f>VLOOKUP(B3324,MSCI中国成分股!A:B,1,)</f>
        <v>#N/A</v>
      </c>
    </row>
    <row r="3325" spans="1:6" ht="20.25" hidden="1" customHeight="1" x14ac:dyDescent="0.15">
      <c r="A3325" s="2" t="s">
        <v>6903</v>
      </c>
      <c r="B3325" s="2" t="s">
        <v>6904</v>
      </c>
      <c r="C3325" s="2">
        <v>0.33</v>
      </c>
      <c r="D3325" s="2">
        <v>12.018599999999999</v>
      </c>
      <c r="E3325" s="2" t="s">
        <v>310</v>
      </c>
      <c r="F3325" s="2" t="e">
        <f>VLOOKUP(B3325,MSCI中国成分股!A:B,1,)</f>
        <v>#N/A</v>
      </c>
    </row>
    <row r="3326" spans="1:6" ht="20.25" hidden="1" customHeight="1" x14ac:dyDescent="0.15">
      <c r="A3326" s="2" t="s">
        <v>6905</v>
      </c>
      <c r="B3326" s="2" t="s">
        <v>6906</v>
      </c>
      <c r="C3326" s="2">
        <v>-7.09</v>
      </c>
      <c r="D3326" s="2">
        <v>173.29400000000001</v>
      </c>
      <c r="E3326" s="2" t="s">
        <v>391</v>
      </c>
      <c r="F3326" s="2" t="e">
        <f>VLOOKUP(B3326,MSCI中国成分股!A:B,1,)</f>
        <v>#N/A</v>
      </c>
    </row>
    <row r="3327" spans="1:6" ht="20.25" hidden="1" customHeight="1" x14ac:dyDescent="0.15">
      <c r="A3327" s="2" t="s">
        <v>6907</v>
      </c>
      <c r="B3327" s="2" t="s">
        <v>6908</v>
      </c>
      <c r="C3327" s="2">
        <v>0.82</v>
      </c>
      <c r="D3327" s="2">
        <v>0.22839999999999999</v>
      </c>
      <c r="E3327" s="2" t="s">
        <v>140</v>
      </c>
      <c r="F3327" s="2" t="e">
        <f>VLOOKUP(B3327,MSCI中国成分股!A:B,1,)</f>
        <v>#N/A</v>
      </c>
    </row>
    <row r="3328" spans="1:6" ht="20.25" hidden="1" customHeight="1" x14ac:dyDescent="0.15">
      <c r="A3328" s="2" t="s">
        <v>6909</v>
      </c>
      <c r="B3328" s="2" t="s">
        <v>6910</v>
      </c>
      <c r="C3328" s="2">
        <v>0.85</v>
      </c>
      <c r="D3328" s="2">
        <v>2.5815999999999999</v>
      </c>
      <c r="E3328" s="2" t="s">
        <v>2374</v>
      </c>
      <c r="F3328" s="2" t="e">
        <f>VLOOKUP(B3328,MSCI中国成分股!A:B,1,)</f>
        <v>#N/A</v>
      </c>
    </row>
    <row r="3329" spans="1:6" ht="20.25" hidden="1" customHeight="1" x14ac:dyDescent="0.15">
      <c r="A3329" s="2" t="s">
        <v>6911</v>
      </c>
      <c r="B3329" s="2" t="s">
        <v>6912</v>
      </c>
      <c r="C3329" s="2">
        <v>-0.71</v>
      </c>
      <c r="D3329" s="2">
        <v>2.415</v>
      </c>
      <c r="E3329" s="2" t="s">
        <v>10</v>
      </c>
      <c r="F3329" s="2" t="e">
        <f>VLOOKUP(B3329,MSCI中国成分股!A:B,1,)</f>
        <v>#N/A</v>
      </c>
    </row>
    <row r="3330" spans="1:6" ht="20.25" hidden="1" customHeight="1" x14ac:dyDescent="0.15">
      <c r="A3330" s="2" t="s">
        <v>6913</v>
      </c>
      <c r="B3330" s="2" t="s">
        <v>6914</v>
      </c>
      <c r="C3330" s="2">
        <v>-1.02</v>
      </c>
      <c r="D3330" s="2">
        <v>30.9025</v>
      </c>
      <c r="E3330" s="2" t="s">
        <v>1801</v>
      </c>
      <c r="F3330" s="2" t="e">
        <f>VLOOKUP(B3330,MSCI中国成分股!A:B,1,)</f>
        <v>#N/A</v>
      </c>
    </row>
    <row r="3331" spans="1:6" ht="20.25" hidden="1" customHeight="1" x14ac:dyDescent="0.15">
      <c r="A3331" s="2" t="s">
        <v>6915</v>
      </c>
      <c r="B3331" s="2" t="s">
        <v>6916</v>
      </c>
      <c r="C3331" s="2">
        <v>-1.37</v>
      </c>
      <c r="D3331" s="2">
        <v>11.3185</v>
      </c>
      <c r="E3331" s="2" t="s">
        <v>403</v>
      </c>
      <c r="F3331" s="2" t="e">
        <f>VLOOKUP(B3331,MSCI中国成分股!A:B,1,)</f>
        <v>#N/A</v>
      </c>
    </row>
    <row r="3332" spans="1:6" ht="20.25" hidden="1" customHeight="1" x14ac:dyDescent="0.15">
      <c r="A3332" s="2" t="s">
        <v>6917</v>
      </c>
      <c r="B3332" s="2" t="s">
        <v>6918</v>
      </c>
      <c r="C3332" s="2">
        <v>0.72</v>
      </c>
      <c r="D3332" s="2">
        <v>1004.8117</v>
      </c>
      <c r="E3332" s="2" t="s">
        <v>713</v>
      </c>
      <c r="F3332" s="2" t="e">
        <f>VLOOKUP(B3332,MSCI中国成分股!A:B,1,)</f>
        <v>#N/A</v>
      </c>
    </row>
    <row r="3333" spans="1:6" ht="20.25" hidden="1" customHeight="1" x14ac:dyDescent="0.15">
      <c r="A3333" s="2" t="s">
        <v>6919</v>
      </c>
      <c r="B3333" s="2" t="s">
        <v>6920</v>
      </c>
      <c r="C3333" s="2">
        <v>-0.88</v>
      </c>
      <c r="D3333" s="2">
        <v>14.2342</v>
      </c>
      <c r="E3333" s="2" t="s">
        <v>1142</v>
      </c>
      <c r="F3333" s="2" t="e">
        <f>VLOOKUP(B3333,MSCI中国成分股!A:B,1,)</f>
        <v>#N/A</v>
      </c>
    </row>
    <row r="3334" spans="1:6" ht="20.25" hidden="1" customHeight="1" x14ac:dyDescent="0.15">
      <c r="A3334" s="2" t="s">
        <v>6921</v>
      </c>
      <c r="B3334" s="2" t="s">
        <v>6922</v>
      </c>
      <c r="C3334" s="2">
        <v>3.14</v>
      </c>
      <c r="D3334" s="2">
        <v>1.1987000000000001</v>
      </c>
      <c r="E3334" s="2" t="s">
        <v>44</v>
      </c>
      <c r="F3334" s="2" t="e">
        <f>VLOOKUP(B3334,MSCI中国成分股!A:B,1,)</f>
        <v>#N/A</v>
      </c>
    </row>
    <row r="3335" spans="1:6" ht="20.25" hidden="1" customHeight="1" x14ac:dyDescent="0.15">
      <c r="A3335" s="2" t="s">
        <v>6923</v>
      </c>
      <c r="B3335" s="2" t="s">
        <v>6924</v>
      </c>
      <c r="C3335" s="2">
        <v>0.12</v>
      </c>
      <c r="D3335" s="2">
        <v>37.182600000000001</v>
      </c>
      <c r="E3335" s="2" t="s">
        <v>1870</v>
      </c>
      <c r="F3335" s="2" t="e">
        <f>VLOOKUP(B3335,MSCI中国成分股!A:B,1,)</f>
        <v>#N/A</v>
      </c>
    </row>
    <row r="3336" spans="1:6" ht="20.25" hidden="1" customHeight="1" x14ac:dyDescent="0.15">
      <c r="A3336" s="2" t="s">
        <v>6925</v>
      </c>
      <c r="B3336" s="2" t="s">
        <v>6926</v>
      </c>
      <c r="C3336" s="2">
        <v>2.0499999999999998</v>
      </c>
      <c r="D3336" s="2">
        <v>3.5668000000000002</v>
      </c>
      <c r="E3336" s="2" t="s">
        <v>818</v>
      </c>
      <c r="F3336" s="2" t="e">
        <f>VLOOKUP(B3336,MSCI中国成分股!A:B,1,)</f>
        <v>#N/A</v>
      </c>
    </row>
    <row r="3337" spans="1:6" ht="20.25" hidden="1" customHeight="1" x14ac:dyDescent="0.15">
      <c r="A3337" s="2" t="s">
        <v>6927</v>
      </c>
      <c r="B3337" s="2" t="s">
        <v>6928</v>
      </c>
      <c r="C3337" s="2">
        <v>0.51</v>
      </c>
      <c r="D3337" s="2">
        <v>0.1739</v>
      </c>
      <c r="E3337" s="2" t="s">
        <v>418</v>
      </c>
      <c r="F3337" s="2" t="e">
        <f>VLOOKUP(B3337,MSCI中国成分股!A:B,1,)</f>
        <v>#N/A</v>
      </c>
    </row>
    <row r="3338" spans="1:6" ht="20.25" hidden="1" customHeight="1" x14ac:dyDescent="0.15">
      <c r="A3338" s="2" t="s">
        <v>6929</v>
      </c>
      <c r="B3338" s="2" t="s">
        <v>6930</v>
      </c>
      <c r="C3338" s="2">
        <v>0.22</v>
      </c>
      <c r="D3338" s="2">
        <v>14.717700000000001</v>
      </c>
      <c r="E3338" s="2" t="s">
        <v>406</v>
      </c>
      <c r="F3338" s="2" t="e">
        <f>VLOOKUP(B3338,MSCI中国成分股!A:B,1,)</f>
        <v>#N/A</v>
      </c>
    </row>
    <row r="3339" spans="1:6" ht="20.25" hidden="1" customHeight="1" x14ac:dyDescent="0.15">
      <c r="A3339" s="2" t="s">
        <v>6931</v>
      </c>
      <c r="B3339" s="2" t="s">
        <v>6932</v>
      </c>
      <c r="C3339" s="2">
        <v>0.28999999999999998</v>
      </c>
      <c r="D3339" s="2">
        <v>6.1616</v>
      </c>
      <c r="E3339" s="2" t="s">
        <v>2038</v>
      </c>
      <c r="F3339" s="2" t="e">
        <f>VLOOKUP(B3339,MSCI中国成分股!A:B,1,)</f>
        <v>#N/A</v>
      </c>
    </row>
    <row r="3340" spans="1:6" ht="20.25" hidden="1" customHeight="1" x14ac:dyDescent="0.15">
      <c r="A3340" s="2" t="s">
        <v>6933</v>
      </c>
      <c r="B3340" s="2" t="s">
        <v>6934</v>
      </c>
      <c r="C3340" s="2">
        <v>-2.36</v>
      </c>
      <c r="D3340" s="2">
        <v>17.585599999999999</v>
      </c>
      <c r="E3340" s="2" t="s">
        <v>245</v>
      </c>
      <c r="F3340" s="2" t="e">
        <f>VLOOKUP(B3340,MSCI中国成分股!A:B,1,)</f>
        <v>#N/A</v>
      </c>
    </row>
    <row r="3341" spans="1:6" ht="20.25" hidden="1" customHeight="1" x14ac:dyDescent="0.15">
      <c r="A3341" s="2" t="s">
        <v>6935</v>
      </c>
      <c r="B3341" s="2" t="s">
        <v>6936</v>
      </c>
      <c r="C3341" s="2">
        <v>2.98</v>
      </c>
      <c r="D3341" s="2">
        <v>0.88600000000000001</v>
      </c>
      <c r="E3341" s="2" t="s">
        <v>1774</v>
      </c>
      <c r="F3341" s="2" t="e">
        <f>VLOOKUP(B3341,MSCI中国成分股!A:B,1,)</f>
        <v>#N/A</v>
      </c>
    </row>
    <row r="3342" spans="1:6" ht="20.25" hidden="1" customHeight="1" x14ac:dyDescent="0.15">
      <c r="A3342" s="2" t="s">
        <v>6937</v>
      </c>
      <c r="B3342" s="2" t="s">
        <v>6938</v>
      </c>
      <c r="C3342" s="2">
        <v>0.84</v>
      </c>
      <c r="D3342" s="2">
        <v>1.9531000000000001</v>
      </c>
      <c r="E3342" s="2" t="s">
        <v>1820</v>
      </c>
      <c r="F3342" s="2" t="e">
        <f>VLOOKUP(B3342,MSCI中国成分股!A:B,1,)</f>
        <v>#N/A</v>
      </c>
    </row>
    <row r="3343" spans="1:6" ht="20.25" hidden="1" customHeight="1" x14ac:dyDescent="0.15">
      <c r="A3343" s="2" t="s">
        <v>6939</v>
      </c>
      <c r="B3343" s="2" t="s">
        <v>6940</v>
      </c>
      <c r="C3343" s="2">
        <v>2.16</v>
      </c>
      <c r="D3343" s="2">
        <v>8.1219999999999999</v>
      </c>
      <c r="E3343" s="2" t="s">
        <v>41</v>
      </c>
      <c r="F3343" s="2" t="e">
        <f>VLOOKUP(B3343,MSCI中国成分股!A:B,1,)</f>
        <v>#N/A</v>
      </c>
    </row>
    <row r="3344" spans="1:6" ht="20.25" hidden="1" customHeight="1" x14ac:dyDescent="0.15">
      <c r="A3344" s="2" t="s">
        <v>6941</v>
      </c>
      <c r="B3344" s="2" t="s">
        <v>6942</v>
      </c>
      <c r="C3344" s="2">
        <v>1.83</v>
      </c>
      <c r="D3344" s="2">
        <v>2.9954000000000001</v>
      </c>
      <c r="E3344" s="2" t="s">
        <v>201</v>
      </c>
      <c r="F3344" s="2" t="e">
        <f>VLOOKUP(B3344,MSCI中国成分股!A:B,1,)</f>
        <v>#N/A</v>
      </c>
    </row>
    <row r="3345" spans="1:6" ht="20.25" hidden="1" customHeight="1" x14ac:dyDescent="0.15">
      <c r="A3345" s="2" t="s">
        <v>6943</v>
      </c>
      <c r="B3345" s="2" t="s">
        <v>6944</v>
      </c>
      <c r="C3345" s="2">
        <v>1.99</v>
      </c>
      <c r="D3345" s="2">
        <v>1.1200000000000001</v>
      </c>
      <c r="E3345" s="2" t="s">
        <v>506</v>
      </c>
      <c r="F3345" s="2" t="e">
        <f>VLOOKUP(B3345,MSCI中国成分股!A:B,1,)</f>
        <v>#N/A</v>
      </c>
    </row>
    <row r="3346" spans="1:6" ht="20.25" hidden="1" customHeight="1" x14ac:dyDescent="0.15">
      <c r="A3346" s="2" t="s">
        <v>6945</v>
      </c>
      <c r="B3346" s="2" t="s">
        <v>6946</v>
      </c>
      <c r="C3346" s="2">
        <v>-0.13</v>
      </c>
      <c r="D3346" s="2">
        <v>86.807599999999994</v>
      </c>
      <c r="E3346" s="2" t="s">
        <v>1691</v>
      </c>
      <c r="F3346" s="2" t="e">
        <f>VLOOKUP(B3346,MSCI中国成分股!A:B,1,)</f>
        <v>#N/A</v>
      </c>
    </row>
    <row r="3347" spans="1:6" ht="20.25" hidden="1" customHeight="1" x14ac:dyDescent="0.15">
      <c r="A3347" s="2" t="s">
        <v>6947</v>
      </c>
      <c r="B3347" s="2" t="s">
        <v>6948</v>
      </c>
      <c r="C3347" s="2">
        <v>2.69</v>
      </c>
      <c r="D3347" s="2">
        <v>2.0023</v>
      </c>
      <c r="E3347" s="2" t="s">
        <v>52</v>
      </c>
      <c r="F3347" s="2" t="e">
        <f>VLOOKUP(B3347,MSCI中国成分股!A:B,1,)</f>
        <v>#N/A</v>
      </c>
    </row>
    <row r="3348" spans="1:6" ht="20.25" hidden="1" customHeight="1" x14ac:dyDescent="0.15">
      <c r="A3348" s="2" t="s">
        <v>6949</v>
      </c>
      <c r="B3348" s="2" t="s">
        <v>6950</v>
      </c>
      <c r="C3348" s="2">
        <v>1.25</v>
      </c>
      <c r="D3348" s="2">
        <v>3.8422000000000001</v>
      </c>
      <c r="E3348" s="2" t="s">
        <v>1390</v>
      </c>
      <c r="F3348" s="2" t="e">
        <f>VLOOKUP(B3348,MSCI中国成分股!A:B,1,)</f>
        <v>#N/A</v>
      </c>
    </row>
    <row r="3349" spans="1:6" ht="20.25" hidden="1" customHeight="1" x14ac:dyDescent="0.15">
      <c r="A3349" s="2" t="s">
        <v>6951</v>
      </c>
      <c r="B3349" s="2" t="s">
        <v>6952</v>
      </c>
      <c r="C3349" s="2">
        <v>1.165</v>
      </c>
      <c r="D3349" s="2">
        <v>3.4203000000000001</v>
      </c>
      <c r="E3349" s="2" t="s">
        <v>621</v>
      </c>
      <c r="F3349" s="2" t="e">
        <f>VLOOKUP(B3349,MSCI中国成分股!A:B,1,)</f>
        <v>#N/A</v>
      </c>
    </row>
    <row r="3350" spans="1:6" ht="20.25" hidden="1" customHeight="1" x14ac:dyDescent="0.15">
      <c r="A3350" s="2" t="s">
        <v>6953</v>
      </c>
      <c r="B3350" s="2" t="s">
        <v>6954</v>
      </c>
      <c r="C3350" s="2">
        <v>0.44</v>
      </c>
      <c r="D3350" s="2">
        <v>15.219200000000001</v>
      </c>
      <c r="E3350" s="2" t="s">
        <v>1056</v>
      </c>
      <c r="F3350" s="2" t="e">
        <f>VLOOKUP(B3350,MSCI中国成分股!A:B,1,)</f>
        <v>#N/A</v>
      </c>
    </row>
    <row r="3351" spans="1:6" ht="20.25" hidden="1" customHeight="1" x14ac:dyDescent="0.15">
      <c r="A3351" s="2" t="s">
        <v>6955</v>
      </c>
      <c r="B3351" s="2" t="s">
        <v>6956</v>
      </c>
      <c r="C3351" s="2">
        <v>1.5449999999999999</v>
      </c>
      <c r="D3351" s="2">
        <v>3.9611999999999998</v>
      </c>
      <c r="E3351" s="2" t="s">
        <v>140</v>
      </c>
      <c r="F3351" s="2" t="e">
        <f>VLOOKUP(B3351,MSCI中国成分股!A:B,1,)</f>
        <v>#N/A</v>
      </c>
    </row>
    <row r="3352" spans="1:6" ht="20.25" hidden="1" customHeight="1" x14ac:dyDescent="0.15">
      <c r="A3352" s="2" t="s">
        <v>6957</v>
      </c>
      <c r="B3352" s="2" t="s">
        <v>6958</v>
      </c>
      <c r="C3352" s="2">
        <v>1.0049999999999999</v>
      </c>
      <c r="D3352" s="2">
        <v>2.1686999999999999</v>
      </c>
      <c r="E3352" s="2" t="s">
        <v>529</v>
      </c>
      <c r="F3352" s="2" t="e">
        <f>VLOOKUP(B3352,MSCI中国成分股!A:B,1,)</f>
        <v>#N/A</v>
      </c>
    </row>
    <row r="3353" spans="1:6" ht="20.25" hidden="1" customHeight="1" x14ac:dyDescent="0.15">
      <c r="A3353" s="2" t="s">
        <v>6959</v>
      </c>
      <c r="B3353" s="2" t="s">
        <v>6960</v>
      </c>
      <c r="C3353" s="2">
        <v>2.2799999999999998</v>
      </c>
      <c r="D3353" s="2">
        <v>4.0603999999999996</v>
      </c>
      <c r="E3353" s="2" t="s">
        <v>374</v>
      </c>
      <c r="F3353" s="2" t="e">
        <f>VLOOKUP(B3353,MSCI中国成分股!A:B,1,)</f>
        <v>#N/A</v>
      </c>
    </row>
    <row r="3354" spans="1:6" ht="20.25" hidden="1" customHeight="1" x14ac:dyDescent="0.15">
      <c r="A3354" s="2" t="s">
        <v>6961</v>
      </c>
      <c r="B3354" s="2" t="s">
        <v>6962</v>
      </c>
      <c r="C3354" s="2">
        <v>1.28</v>
      </c>
      <c r="D3354" s="2">
        <v>1.2879</v>
      </c>
      <c r="E3354" s="2" t="s">
        <v>1224</v>
      </c>
      <c r="F3354" s="2" t="e">
        <f>VLOOKUP(B3354,MSCI中国成分股!A:B,1,)</f>
        <v>#N/A</v>
      </c>
    </row>
    <row r="3355" spans="1:6" ht="20.25" hidden="1" customHeight="1" x14ac:dyDescent="0.15">
      <c r="A3355" s="2" t="s">
        <v>6963</v>
      </c>
      <c r="B3355" s="2" t="s">
        <v>6964</v>
      </c>
      <c r="C3355" s="2">
        <v>0.77</v>
      </c>
      <c r="D3355" s="2">
        <v>1.5044999999999999</v>
      </c>
      <c r="E3355" s="2" t="s">
        <v>89</v>
      </c>
      <c r="F3355" s="2" t="e">
        <f>VLOOKUP(B3355,MSCI中国成分股!A:B,1,)</f>
        <v>#N/A</v>
      </c>
    </row>
    <row r="3356" spans="1:6" ht="20.25" hidden="1" customHeight="1" x14ac:dyDescent="0.15">
      <c r="A3356" s="2" t="s">
        <v>6965</v>
      </c>
      <c r="B3356" s="2" t="s">
        <v>6966</v>
      </c>
      <c r="C3356" s="2">
        <v>-1.43</v>
      </c>
      <c r="D3356" s="2">
        <v>41.1173</v>
      </c>
      <c r="E3356" s="2" t="s">
        <v>10</v>
      </c>
      <c r="F3356" s="2" t="e">
        <f>VLOOKUP(B3356,MSCI中国成分股!A:B,1,)</f>
        <v>#N/A</v>
      </c>
    </row>
    <row r="3357" spans="1:6" ht="20.25" hidden="1" customHeight="1" x14ac:dyDescent="0.15">
      <c r="A3357" s="2" t="s">
        <v>6967</v>
      </c>
      <c r="B3357" s="2" t="s">
        <v>6968</v>
      </c>
      <c r="C3357" s="2">
        <v>1.855</v>
      </c>
      <c r="D3357" s="2">
        <v>28.221399999999999</v>
      </c>
      <c r="E3357" s="2" t="s">
        <v>245</v>
      </c>
      <c r="F3357" s="2" t="e">
        <f>VLOOKUP(B3357,MSCI中国成分股!A:B,1,)</f>
        <v>#N/A</v>
      </c>
    </row>
    <row r="3358" spans="1:6" ht="20.25" hidden="1" customHeight="1" x14ac:dyDescent="0.15">
      <c r="A3358" s="2" t="s">
        <v>6969</v>
      </c>
      <c r="B3358" s="2" t="s">
        <v>6970</v>
      </c>
      <c r="C3358" s="2">
        <v>-0.76</v>
      </c>
      <c r="D3358" s="2">
        <v>29.002600000000001</v>
      </c>
      <c r="E3358" s="2" t="s">
        <v>1142</v>
      </c>
      <c r="F3358" s="2" t="e">
        <f>VLOOKUP(B3358,MSCI中国成分股!A:B,1,)</f>
        <v>#N/A</v>
      </c>
    </row>
    <row r="3359" spans="1:6" ht="20.25" hidden="1" customHeight="1" x14ac:dyDescent="0.15">
      <c r="A3359" s="2" t="s">
        <v>6971</v>
      </c>
      <c r="B3359" s="2" t="s">
        <v>6972</v>
      </c>
      <c r="C3359" s="2">
        <v>0.74</v>
      </c>
      <c r="D3359" s="2">
        <v>4.7412999999999998</v>
      </c>
      <c r="E3359" s="2" t="s">
        <v>92</v>
      </c>
      <c r="F3359" s="2" t="e">
        <f>VLOOKUP(B3359,MSCI中国成分股!A:B,1,)</f>
        <v>#N/A</v>
      </c>
    </row>
    <row r="3360" spans="1:6" ht="20.25" hidden="1" customHeight="1" x14ac:dyDescent="0.15">
      <c r="A3360" s="2" t="s">
        <v>6973</v>
      </c>
      <c r="B3360" s="2" t="s">
        <v>6974</v>
      </c>
      <c r="C3360" s="2">
        <v>1.77</v>
      </c>
      <c r="D3360" s="2">
        <v>2.6905999999999999</v>
      </c>
      <c r="E3360" s="2" t="s">
        <v>1820</v>
      </c>
      <c r="F3360" s="2" t="e">
        <f>VLOOKUP(B3360,MSCI中国成分股!A:B,1,)</f>
        <v>#N/A</v>
      </c>
    </row>
    <row r="3361" spans="1:6" ht="20.25" hidden="1" customHeight="1" x14ac:dyDescent="0.15">
      <c r="A3361" s="2" t="s">
        <v>6975</v>
      </c>
      <c r="B3361" s="2" t="s">
        <v>6976</v>
      </c>
      <c r="C3361" s="2">
        <v>1.01</v>
      </c>
      <c r="D3361" s="2">
        <v>8.2537000000000003</v>
      </c>
      <c r="E3361" s="2" t="s">
        <v>690</v>
      </c>
      <c r="F3361" s="2" t="e">
        <f>VLOOKUP(B3361,MSCI中国成分股!A:B,1,)</f>
        <v>#N/A</v>
      </c>
    </row>
    <row r="3362" spans="1:6" ht="20.25" hidden="1" customHeight="1" x14ac:dyDescent="0.15">
      <c r="A3362" s="2" t="s">
        <v>6977</v>
      </c>
      <c r="B3362" s="2" t="s">
        <v>6978</v>
      </c>
      <c r="C3362" s="2">
        <v>1.98</v>
      </c>
      <c r="D3362" s="2">
        <v>1.5775999999999999</v>
      </c>
      <c r="E3362" s="2" t="s">
        <v>406</v>
      </c>
      <c r="F3362" s="2" t="e">
        <f>VLOOKUP(B3362,MSCI中国成分股!A:B,1,)</f>
        <v>#N/A</v>
      </c>
    </row>
    <row r="3363" spans="1:6" ht="20.25" hidden="1" customHeight="1" x14ac:dyDescent="0.15">
      <c r="A3363" s="2" t="s">
        <v>6979</v>
      </c>
      <c r="B3363" s="2" t="s">
        <v>6980</v>
      </c>
      <c r="C3363" s="2">
        <v>0.67</v>
      </c>
      <c r="D3363" s="2">
        <v>0.6623</v>
      </c>
      <c r="E3363" s="2" t="s">
        <v>391</v>
      </c>
      <c r="F3363" s="2" t="e">
        <f>VLOOKUP(B3363,MSCI中国成分股!A:B,1,)</f>
        <v>#N/A</v>
      </c>
    </row>
    <row r="3364" spans="1:6" ht="20.25" hidden="1" customHeight="1" x14ac:dyDescent="0.15">
      <c r="A3364" s="2" t="s">
        <v>6981</v>
      </c>
      <c r="B3364" s="2" t="s">
        <v>6982</v>
      </c>
      <c r="C3364" s="2">
        <v>-0.76</v>
      </c>
      <c r="D3364" s="2">
        <v>34.038499999999999</v>
      </c>
      <c r="E3364" s="2" t="s">
        <v>784</v>
      </c>
      <c r="F3364" s="2" t="e">
        <f>VLOOKUP(B3364,MSCI中国成分股!A:B,1,)</f>
        <v>#N/A</v>
      </c>
    </row>
    <row r="3365" spans="1:6" ht="20.25" hidden="1" customHeight="1" x14ac:dyDescent="0.15">
      <c r="A3365" s="2" t="s">
        <v>6983</v>
      </c>
      <c r="B3365" s="2" t="s">
        <v>6984</v>
      </c>
      <c r="C3365" s="2">
        <v>-0.06</v>
      </c>
      <c r="D3365" s="2">
        <v>1.3255999999999999</v>
      </c>
      <c r="E3365" s="2" t="s">
        <v>1486</v>
      </c>
      <c r="F3365" s="2" t="e">
        <f>VLOOKUP(B3365,MSCI中国成分股!A:B,1,)</f>
        <v>#N/A</v>
      </c>
    </row>
    <row r="3366" spans="1:6" ht="20.25" hidden="1" customHeight="1" x14ac:dyDescent="0.15">
      <c r="A3366" s="2" t="s">
        <v>6985</v>
      </c>
      <c r="B3366" s="2" t="s">
        <v>6986</v>
      </c>
      <c r="C3366" s="2">
        <v>1.66</v>
      </c>
      <c r="D3366" s="2">
        <v>40.611400000000003</v>
      </c>
      <c r="E3366" s="2" t="s">
        <v>1338</v>
      </c>
      <c r="F3366" s="2" t="e">
        <f>VLOOKUP(B3366,MSCI中国成分股!A:B,1,)</f>
        <v>#N/A</v>
      </c>
    </row>
    <row r="3367" spans="1:6" ht="20.25" hidden="1" customHeight="1" x14ac:dyDescent="0.15">
      <c r="A3367" s="2" t="s">
        <v>6987</v>
      </c>
      <c r="B3367" s="2" t="s">
        <v>6988</v>
      </c>
      <c r="C3367" s="2">
        <v>1.85</v>
      </c>
      <c r="D3367" s="2">
        <v>2.9474999999999998</v>
      </c>
      <c r="E3367" s="2" t="s">
        <v>385</v>
      </c>
      <c r="F3367" s="2" t="e">
        <f>VLOOKUP(B3367,MSCI中国成分股!A:B,1,)</f>
        <v>#N/A</v>
      </c>
    </row>
    <row r="3368" spans="1:6" ht="20.25" hidden="1" customHeight="1" x14ac:dyDescent="0.15">
      <c r="A3368" s="2" t="s">
        <v>6989</v>
      </c>
      <c r="B3368" s="2" t="s">
        <v>6990</v>
      </c>
      <c r="C3368" s="2">
        <v>0.73499999999999999</v>
      </c>
      <c r="D3368" s="2">
        <v>1.2373000000000001</v>
      </c>
      <c r="E3368" s="2" t="s">
        <v>3190</v>
      </c>
      <c r="F3368" s="2" t="e">
        <f>VLOOKUP(B3368,MSCI中国成分股!A:B,1,)</f>
        <v>#N/A</v>
      </c>
    </row>
    <row r="3369" spans="1:6" ht="20.25" hidden="1" customHeight="1" x14ac:dyDescent="0.15">
      <c r="A3369" s="2" t="s">
        <v>6991</v>
      </c>
      <c r="B3369" s="2" t="s">
        <v>6992</v>
      </c>
      <c r="C3369" s="2">
        <v>-1.1399999999999999</v>
      </c>
      <c r="D3369" s="2">
        <v>1.1932</v>
      </c>
      <c r="E3369" s="2" t="s">
        <v>201</v>
      </c>
      <c r="F3369" s="2" t="e">
        <f>VLOOKUP(B3369,MSCI中国成分股!A:B,1,)</f>
        <v>#N/A</v>
      </c>
    </row>
    <row r="3370" spans="1:6" ht="20.25" hidden="1" customHeight="1" x14ac:dyDescent="0.15">
      <c r="A3370" s="2" t="s">
        <v>6993</v>
      </c>
      <c r="B3370" s="2" t="s">
        <v>6994</v>
      </c>
      <c r="C3370" s="2">
        <v>1.24</v>
      </c>
      <c r="D3370" s="2">
        <v>2.8931</v>
      </c>
      <c r="E3370" s="2" t="s">
        <v>359</v>
      </c>
      <c r="F3370" s="2" t="e">
        <f>VLOOKUP(B3370,MSCI中国成分股!A:B,1,)</f>
        <v>#N/A</v>
      </c>
    </row>
    <row r="3371" spans="1:6" ht="20.25" hidden="1" customHeight="1" x14ac:dyDescent="0.15">
      <c r="A3371" s="2" t="s">
        <v>6995</v>
      </c>
      <c r="B3371" s="2" t="s">
        <v>6996</v>
      </c>
      <c r="C3371" s="2">
        <v>0.92</v>
      </c>
      <c r="D3371" s="2">
        <v>1.1306</v>
      </c>
      <c r="E3371" s="2" t="s">
        <v>3005</v>
      </c>
      <c r="F3371" s="2" t="e">
        <f>VLOOKUP(B3371,MSCI中国成分股!A:B,1,)</f>
        <v>#N/A</v>
      </c>
    </row>
    <row r="3372" spans="1:6" ht="20.25" hidden="1" customHeight="1" x14ac:dyDescent="0.15">
      <c r="A3372" s="2" t="s">
        <v>6997</v>
      </c>
      <c r="B3372" s="2" t="s">
        <v>6998</v>
      </c>
      <c r="C3372" s="2">
        <v>0.47</v>
      </c>
      <c r="D3372" s="2">
        <v>10.484299999999999</v>
      </c>
      <c r="E3372" s="2" t="s">
        <v>35</v>
      </c>
      <c r="F3372" s="2" t="e">
        <f>VLOOKUP(B3372,MSCI中国成分股!A:B,1,)</f>
        <v>#N/A</v>
      </c>
    </row>
    <row r="3373" spans="1:6" ht="20.25" hidden="1" customHeight="1" x14ac:dyDescent="0.15">
      <c r="A3373" s="2" t="s">
        <v>6999</v>
      </c>
      <c r="B3373" s="2" t="s">
        <v>7000</v>
      </c>
      <c r="C3373" s="2">
        <v>0.21</v>
      </c>
      <c r="D3373" s="2">
        <v>3.0043000000000002</v>
      </c>
      <c r="E3373" s="2" t="s">
        <v>2724</v>
      </c>
      <c r="F3373" s="2" t="e">
        <f>VLOOKUP(B3373,MSCI中国成分股!A:B,1,)</f>
        <v>#N/A</v>
      </c>
    </row>
    <row r="3374" spans="1:6" ht="20.25" hidden="1" customHeight="1" x14ac:dyDescent="0.15">
      <c r="A3374" s="2" t="s">
        <v>7001</v>
      </c>
      <c r="B3374" s="2" t="s">
        <v>7002</v>
      </c>
      <c r="C3374" s="2">
        <v>1.1399999999999999</v>
      </c>
      <c r="D3374" s="2">
        <v>2.4365999999999999</v>
      </c>
      <c r="E3374" s="2" t="s">
        <v>3005</v>
      </c>
      <c r="F3374" s="2" t="e">
        <f>VLOOKUP(B3374,MSCI中国成分股!A:B,1,)</f>
        <v>#N/A</v>
      </c>
    </row>
    <row r="3375" spans="1:6" ht="20.25" hidden="1" customHeight="1" x14ac:dyDescent="0.15">
      <c r="A3375" s="2" t="s">
        <v>7003</v>
      </c>
      <c r="B3375" s="2" t="s">
        <v>7004</v>
      </c>
      <c r="C3375" s="2">
        <v>-6.24</v>
      </c>
      <c r="D3375" s="2">
        <v>8366.7047999999995</v>
      </c>
      <c r="E3375" s="2" t="s">
        <v>4246</v>
      </c>
      <c r="F3375" s="2" t="e">
        <f>VLOOKUP(B3375,MSCI中国成分股!A:B,1,)</f>
        <v>#N/A</v>
      </c>
    </row>
    <row r="3376" spans="1:6" ht="20.25" hidden="1" customHeight="1" x14ac:dyDescent="0.15">
      <c r="A3376" s="2" t="s">
        <v>7005</v>
      </c>
      <c r="B3376" s="2" t="s">
        <v>7006</v>
      </c>
      <c r="C3376" s="2">
        <v>1.35</v>
      </c>
      <c r="D3376" s="2">
        <v>2.1956000000000002</v>
      </c>
      <c r="E3376" s="2" t="s">
        <v>1338</v>
      </c>
      <c r="F3376" s="2" t="e">
        <f>VLOOKUP(B3376,MSCI中国成分股!A:B,1,)</f>
        <v>#N/A</v>
      </c>
    </row>
    <row r="3377" spans="1:6" ht="20.25" hidden="1" customHeight="1" x14ac:dyDescent="0.15">
      <c r="A3377" s="2" t="s">
        <v>7007</v>
      </c>
      <c r="B3377" s="2" t="s">
        <v>7008</v>
      </c>
      <c r="C3377" s="2">
        <v>0.51</v>
      </c>
      <c r="D3377" s="2">
        <v>1.8726</v>
      </c>
      <c r="E3377" s="2" t="s">
        <v>459</v>
      </c>
      <c r="F3377" s="2" t="e">
        <f>VLOOKUP(B3377,MSCI中国成分股!A:B,1,)</f>
        <v>#N/A</v>
      </c>
    </row>
    <row r="3378" spans="1:6" ht="20.25" hidden="1" customHeight="1" x14ac:dyDescent="0.15">
      <c r="A3378" s="2" t="s">
        <v>7009</v>
      </c>
      <c r="B3378" s="2" t="s">
        <v>7010</v>
      </c>
      <c r="C3378" s="2">
        <v>1.67</v>
      </c>
      <c r="D3378" s="2">
        <v>3.7342</v>
      </c>
      <c r="E3378" s="2" t="s">
        <v>35</v>
      </c>
      <c r="F3378" s="2" t="e">
        <f>VLOOKUP(B3378,MSCI中国成分股!A:B,1,)</f>
        <v>#N/A</v>
      </c>
    </row>
    <row r="3379" spans="1:6" ht="20.25" hidden="1" customHeight="1" x14ac:dyDescent="0.15">
      <c r="A3379" s="2" t="s">
        <v>7011</v>
      </c>
      <c r="B3379" s="2" t="s">
        <v>7012</v>
      </c>
      <c r="C3379" s="2">
        <v>0.18</v>
      </c>
      <c r="D3379" s="2">
        <v>3.3119000000000001</v>
      </c>
      <c r="E3379" s="2" t="s">
        <v>52</v>
      </c>
      <c r="F3379" s="2" t="e">
        <f>VLOOKUP(B3379,MSCI中国成分股!A:B,1,)</f>
        <v>#N/A</v>
      </c>
    </row>
    <row r="3380" spans="1:6" ht="20.25" hidden="1" customHeight="1" x14ac:dyDescent="0.15">
      <c r="A3380" s="2" t="s">
        <v>7013</v>
      </c>
      <c r="B3380" s="2" t="s">
        <v>7014</v>
      </c>
      <c r="C3380" s="2">
        <v>-0.1</v>
      </c>
      <c r="D3380" s="2">
        <v>9.9013000000000009</v>
      </c>
      <c r="E3380" s="2" t="s">
        <v>5364</v>
      </c>
      <c r="F3380" s="2" t="e">
        <f>VLOOKUP(B3380,MSCI中国成分股!A:B,1,)</f>
        <v>#N/A</v>
      </c>
    </row>
    <row r="3381" spans="1:6" ht="20.25" hidden="1" customHeight="1" x14ac:dyDescent="0.15">
      <c r="A3381" s="2" t="s">
        <v>7015</v>
      </c>
      <c r="B3381" s="2" t="s">
        <v>7016</v>
      </c>
      <c r="C3381" s="2">
        <v>2.17</v>
      </c>
      <c r="D3381" s="2">
        <v>14.1227</v>
      </c>
      <c r="E3381" s="2" t="s">
        <v>1061</v>
      </c>
      <c r="F3381" s="2" t="e">
        <f>VLOOKUP(B3381,MSCI中国成分股!A:B,1,)</f>
        <v>#N/A</v>
      </c>
    </row>
    <row r="3382" spans="1:6" ht="20.25" hidden="1" customHeight="1" x14ac:dyDescent="0.15">
      <c r="A3382" s="2" t="s">
        <v>7017</v>
      </c>
      <c r="B3382" s="2" t="s">
        <v>7018</v>
      </c>
      <c r="C3382" s="2">
        <v>1.7050000000000001</v>
      </c>
      <c r="D3382" s="2">
        <v>4.0915999999999997</v>
      </c>
      <c r="E3382" s="2" t="s">
        <v>690</v>
      </c>
      <c r="F3382" s="2" t="e">
        <f>VLOOKUP(B3382,MSCI中国成分股!A:B,1,)</f>
        <v>#N/A</v>
      </c>
    </row>
    <row r="3383" spans="1:6" ht="20.25" hidden="1" customHeight="1" x14ac:dyDescent="0.15">
      <c r="A3383" s="2" t="s">
        <v>7019</v>
      </c>
      <c r="B3383" s="2" t="s">
        <v>7020</v>
      </c>
      <c r="C3383" s="2">
        <v>1.42</v>
      </c>
      <c r="D3383" s="2">
        <v>1.6877</v>
      </c>
      <c r="E3383" s="2" t="s">
        <v>450</v>
      </c>
      <c r="F3383" s="2" t="e">
        <f>VLOOKUP(B3383,MSCI中国成分股!A:B,1,)</f>
        <v>#N/A</v>
      </c>
    </row>
    <row r="3384" spans="1:6" ht="20.25" hidden="1" customHeight="1" x14ac:dyDescent="0.15">
      <c r="A3384" s="2" t="s">
        <v>7021</v>
      </c>
      <c r="B3384" s="2" t="s">
        <v>7022</v>
      </c>
      <c r="C3384" s="2">
        <v>0.67</v>
      </c>
      <c r="D3384" s="2">
        <v>4.2377000000000002</v>
      </c>
      <c r="E3384" s="2" t="s">
        <v>1608</v>
      </c>
      <c r="F3384" s="2" t="e">
        <f>VLOOKUP(B3384,MSCI中国成分股!A:B,1,)</f>
        <v>#N/A</v>
      </c>
    </row>
    <row r="3385" spans="1:6" ht="20.25" hidden="1" customHeight="1" x14ac:dyDescent="0.15">
      <c r="A3385" s="2" t="s">
        <v>7023</v>
      </c>
      <c r="B3385" s="2" t="s">
        <v>7024</v>
      </c>
      <c r="C3385" s="2">
        <v>1.5</v>
      </c>
      <c r="D3385" s="2">
        <v>37.298499999999997</v>
      </c>
      <c r="E3385" s="2" t="s">
        <v>310</v>
      </c>
      <c r="F3385" s="2" t="e">
        <f>VLOOKUP(B3385,MSCI中国成分股!A:B,1,)</f>
        <v>#N/A</v>
      </c>
    </row>
    <row r="3386" spans="1:6" ht="20.25" hidden="1" customHeight="1" x14ac:dyDescent="0.15">
      <c r="A3386" s="2" t="s">
        <v>7025</v>
      </c>
      <c r="B3386" s="2" t="s">
        <v>7026</v>
      </c>
      <c r="C3386" s="2">
        <v>1.82</v>
      </c>
      <c r="D3386" s="2">
        <v>8.4023000000000003</v>
      </c>
      <c r="E3386" s="2" t="s">
        <v>371</v>
      </c>
      <c r="F3386" s="2" t="e">
        <f>VLOOKUP(B3386,MSCI中国成分股!A:B,1,)</f>
        <v>#N/A</v>
      </c>
    </row>
    <row r="3387" spans="1:6" ht="20.25" hidden="1" customHeight="1" x14ac:dyDescent="0.15">
      <c r="A3387" s="2" t="s">
        <v>7027</v>
      </c>
      <c r="B3387" s="2" t="s">
        <v>7028</v>
      </c>
      <c r="C3387" s="2">
        <v>2.21</v>
      </c>
      <c r="D3387" s="2">
        <v>0.6532</v>
      </c>
      <c r="E3387" s="2" t="s">
        <v>4127</v>
      </c>
      <c r="F3387" s="2" t="e">
        <f>VLOOKUP(B3387,MSCI中国成分股!A:B,1,)</f>
        <v>#N/A</v>
      </c>
    </row>
    <row r="3388" spans="1:6" ht="20.25" hidden="1" customHeight="1" x14ac:dyDescent="0.15">
      <c r="A3388" s="2" t="s">
        <v>7029</v>
      </c>
      <c r="B3388" s="2" t="s">
        <v>7030</v>
      </c>
      <c r="C3388" s="2">
        <v>1.29</v>
      </c>
      <c r="D3388" s="2">
        <v>1.8927</v>
      </c>
      <c r="E3388" s="2" t="s">
        <v>1608</v>
      </c>
      <c r="F3388" s="2" t="e">
        <f>VLOOKUP(B3388,MSCI中国成分股!A:B,1,)</f>
        <v>#N/A</v>
      </c>
    </row>
    <row r="3389" spans="1:6" ht="20.25" hidden="1" customHeight="1" x14ac:dyDescent="0.15">
      <c r="A3389" s="2" t="s">
        <v>7031</v>
      </c>
      <c r="B3389" s="2" t="s">
        <v>7032</v>
      </c>
      <c r="C3389" s="2">
        <v>0.44</v>
      </c>
      <c r="D3389" s="2">
        <v>0.96879999999999999</v>
      </c>
      <c r="E3389" s="2" t="s">
        <v>529</v>
      </c>
      <c r="F3389" s="2" t="e">
        <f>VLOOKUP(B3389,MSCI中国成分股!A:B,1,)</f>
        <v>#N/A</v>
      </c>
    </row>
    <row r="3390" spans="1:6" ht="20.25" hidden="1" customHeight="1" x14ac:dyDescent="0.15">
      <c r="A3390" s="2" t="s">
        <v>7033</v>
      </c>
      <c r="B3390" s="2" t="s">
        <v>7034</v>
      </c>
      <c r="C3390" s="2">
        <v>-0.49</v>
      </c>
      <c r="D3390" s="2">
        <v>3.2381000000000002</v>
      </c>
      <c r="E3390" s="2" t="s">
        <v>704</v>
      </c>
      <c r="F3390" s="2" t="e">
        <f>VLOOKUP(B3390,MSCI中国成分股!A:B,1,)</f>
        <v>#N/A</v>
      </c>
    </row>
    <row r="3391" spans="1:6" ht="20.25" hidden="1" customHeight="1" x14ac:dyDescent="0.15">
      <c r="A3391" s="2" t="s">
        <v>7035</v>
      </c>
      <c r="B3391" s="2" t="s">
        <v>7036</v>
      </c>
      <c r="C3391" s="2">
        <v>0.2</v>
      </c>
      <c r="D3391" s="2">
        <v>0.6673</v>
      </c>
      <c r="E3391" s="2" t="s">
        <v>220</v>
      </c>
      <c r="F3391" s="2" t="e">
        <f>VLOOKUP(B3391,MSCI中国成分股!A:B,1,)</f>
        <v>#N/A</v>
      </c>
    </row>
    <row r="3392" spans="1:6" ht="20.25" hidden="1" customHeight="1" x14ac:dyDescent="0.15">
      <c r="A3392" s="2" t="s">
        <v>7037</v>
      </c>
      <c r="B3392" s="2" t="s">
        <v>7038</v>
      </c>
      <c r="C3392" s="2">
        <v>0.91</v>
      </c>
      <c r="D3392" s="2">
        <v>2.6939000000000002</v>
      </c>
      <c r="E3392" s="2" t="s">
        <v>1338</v>
      </c>
      <c r="F3392" s="2" t="e">
        <f>VLOOKUP(B3392,MSCI中国成分股!A:B,1,)</f>
        <v>#N/A</v>
      </c>
    </row>
    <row r="3393" spans="1:6" ht="20.25" hidden="1" customHeight="1" x14ac:dyDescent="0.15">
      <c r="A3393" s="2" t="s">
        <v>7039</v>
      </c>
      <c r="B3393" s="2" t="s">
        <v>7040</v>
      </c>
      <c r="C3393" s="2">
        <v>0.1</v>
      </c>
      <c r="D3393" s="2">
        <v>4.5180999999999996</v>
      </c>
      <c r="E3393" s="2" t="s">
        <v>1102</v>
      </c>
      <c r="F3393" s="2" t="e">
        <f>VLOOKUP(B3393,MSCI中国成分股!A:B,1,)</f>
        <v>#N/A</v>
      </c>
    </row>
    <row r="3394" spans="1:6" ht="20.25" hidden="1" customHeight="1" x14ac:dyDescent="0.15">
      <c r="A3394" s="2" t="s">
        <v>7041</v>
      </c>
      <c r="B3394" s="2" t="s">
        <v>7042</v>
      </c>
      <c r="C3394" s="2">
        <v>0.53</v>
      </c>
      <c r="D3394" s="2">
        <v>9.1353000000000009</v>
      </c>
      <c r="E3394" s="2" t="s">
        <v>1820</v>
      </c>
      <c r="F3394" s="2" t="e">
        <f>VLOOKUP(B3394,MSCI中国成分股!A:B,1,)</f>
        <v>#N/A</v>
      </c>
    </row>
    <row r="3395" spans="1:6" ht="20.25" hidden="1" customHeight="1" x14ac:dyDescent="0.15">
      <c r="A3395" s="2" t="s">
        <v>7043</v>
      </c>
      <c r="B3395" s="2" t="s">
        <v>7044</v>
      </c>
      <c r="C3395" s="2">
        <v>2.46</v>
      </c>
      <c r="D3395" s="2">
        <v>1.2563</v>
      </c>
      <c r="E3395" s="2" t="s">
        <v>406</v>
      </c>
      <c r="F3395" s="2" t="e">
        <f>VLOOKUP(B3395,MSCI中国成分股!A:B,1,)</f>
        <v>#N/A</v>
      </c>
    </row>
    <row r="3396" spans="1:6" ht="20.25" hidden="1" customHeight="1" x14ac:dyDescent="0.15">
      <c r="A3396" s="2" t="s">
        <v>7045</v>
      </c>
      <c r="B3396" s="2" t="s">
        <v>7046</v>
      </c>
      <c r="C3396" s="2">
        <v>0.68</v>
      </c>
      <c r="D3396" s="2">
        <v>1.8431</v>
      </c>
      <c r="E3396" s="2" t="s">
        <v>371</v>
      </c>
      <c r="F3396" s="2" t="e">
        <f>VLOOKUP(B3396,MSCI中国成分股!A:B,1,)</f>
        <v>#N/A</v>
      </c>
    </row>
    <row r="3397" spans="1:6" ht="20.25" hidden="1" customHeight="1" x14ac:dyDescent="0.15">
      <c r="A3397" s="2" t="s">
        <v>7047</v>
      </c>
      <c r="B3397" s="2" t="s">
        <v>7048</v>
      </c>
      <c r="C3397" s="2">
        <v>0.83</v>
      </c>
      <c r="D3397" s="2">
        <v>7.1501999999999999</v>
      </c>
      <c r="E3397" s="2" t="s">
        <v>1853</v>
      </c>
      <c r="F3397" s="2" t="e">
        <f>VLOOKUP(B3397,MSCI中国成分股!A:B,1,)</f>
        <v>#N/A</v>
      </c>
    </row>
    <row r="3398" spans="1:6" ht="20.25" hidden="1" customHeight="1" x14ac:dyDescent="0.15">
      <c r="A3398" s="2" t="s">
        <v>7049</v>
      </c>
      <c r="B3398" s="2" t="s">
        <v>7050</v>
      </c>
      <c r="C3398" s="2">
        <v>0.03</v>
      </c>
      <c r="D3398" s="2">
        <v>0.59899999999999998</v>
      </c>
      <c r="E3398" s="2" t="s">
        <v>483</v>
      </c>
      <c r="F3398" s="2" t="e">
        <f>VLOOKUP(B3398,MSCI中国成分股!A:B,1,)</f>
        <v>#N/A</v>
      </c>
    </row>
    <row r="3399" spans="1:6" ht="20.25" hidden="1" customHeight="1" x14ac:dyDescent="0.15">
      <c r="A3399" s="2" t="s">
        <v>7051</v>
      </c>
      <c r="B3399" s="2" t="s">
        <v>7052</v>
      </c>
      <c r="C3399" s="2">
        <v>2.9849999999999999</v>
      </c>
      <c r="D3399" s="2">
        <v>2.0381999999999998</v>
      </c>
      <c r="E3399" s="2" t="s">
        <v>1997</v>
      </c>
      <c r="F3399" s="2" t="e">
        <f>VLOOKUP(B3399,MSCI中国成分股!A:B,1,)</f>
        <v>#N/A</v>
      </c>
    </row>
    <row r="3400" spans="1:6" ht="20.25" hidden="1" customHeight="1" x14ac:dyDescent="0.15">
      <c r="A3400" s="2" t="s">
        <v>7053</v>
      </c>
      <c r="B3400" s="2" t="s">
        <v>7054</v>
      </c>
      <c r="C3400" s="2">
        <v>1.33</v>
      </c>
      <c r="D3400" s="2">
        <v>0.21340000000000001</v>
      </c>
      <c r="E3400" s="2" t="s">
        <v>310</v>
      </c>
      <c r="F3400" s="2" t="e">
        <f>VLOOKUP(B3400,MSCI中国成分股!A:B,1,)</f>
        <v>#N/A</v>
      </c>
    </row>
    <row r="3401" spans="1:6" ht="20.25" hidden="1" customHeight="1" x14ac:dyDescent="0.15">
      <c r="A3401" s="2" t="s">
        <v>7055</v>
      </c>
      <c r="B3401" s="2" t="s">
        <v>7056</v>
      </c>
      <c r="C3401" s="2">
        <v>1.105</v>
      </c>
      <c r="D3401" s="2">
        <v>5.0094000000000003</v>
      </c>
      <c r="E3401" s="2" t="s">
        <v>542</v>
      </c>
      <c r="F3401" s="2" t="e">
        <f>VLOOKUP(B3401,MSCI中国成分股!A:B,1,)</f>
        <v>#N/A</v>
      </c>
    </row>
    <row r="3402" spans="1:6" ht="20.25" hidden="1" customHeight="1" x14ac:dyDescent="0.15">
      <c r="A3402" s="2" t="s">
        <v>7057</v>
      </c>
      <c r="B3402" s="2" t="s">
        <v>7058</v>
      </c>
      <c r="C3402" s="2">
        <v>0.61</v>
      </c>
      <c r="D3402" s="2">
        <v>0.8649</v>
      </c>
      <c r="E3402" s="2" t="s">
        <v>365</v>
      </c>
      <c r="F3402" s="2" t="e">
        <f>VLOOKUP(B3402,MSCI中国成分股!A:B,1,)</f>
        <v>#N/A</v>
      </c>
    </row>
    <row r="3403" spans="1:6" ht="20.25" hidden="1" customHeight="1" x14ac:dyDescent="0.15">
      <c r="A3403" s="2" t="s">
        <v>7059</v>
      </c>
      <c r="B3403" s="2" t="s">
        <v>7060</v>
      </c>
      <c r="C3403" s="2">
        <v>-3.86</v>
      </c>
      <c r="D3403" s="2">
        <v>39.338700000000003</v>
      </c>
      <c r="E3403" s="2" t="s">
        <v>188</v>
      </c>
      <c r="F3403" s="2" t="e">
        <f>VLOOKUP(B3403,MSCI中国成分股!A:B,1,)</f>
        <v>#N/A</v>
      </c>
    </row>
    <row r="3404" spans="1:6" ht="20.25" hidden="1" customHeight="1" x14ac:dyDescent="0.15">
      <c r="A3404" s="2" t="s">
        <v>7061</v>
      </c>
      <c r="B3404" s="2" t="s">
        <v>7062</v>
      </c>
      <c r="C3404" s="2">
        <v>1.52</v>
      </c>
      <c r="D3404" s="2">
        <v>1.6538999999999999</v>
      </c>
      <c r="E3404" s="2" t="s">
        <v>704</v>
      </c>
      <c r="F3404" s="2" t="e">
        <f>VLOOKUP(B3404,MSCI中国成分股!A:B,1,)</f>
        <v>#N/A</v>
      </c>
    </row>
    <row r="3405" spans="1:6" ht="20.25" hidden="1" customHeight="1" x14ac:dyDescent="0.15">
      <c r="A3405" s="2" t="s">
        <v>7063</v>
      </c>
      <c r="B3405" s="2" t="s">
        <v>7064</v>
      </c>
      <c r="C3405" s="2">
        <v>2.09</v>
      </c>
      <c r="D3405" s="2">
        <v>1.0664</v>
      </c>
      <c r="E3405" s="2" t="s">
        <v>143</v>
      </c>
      <c r="F3405" s="2" t="e">
        <f>VLOOKUP(B3405,MSCI中国成分股!A:B,1,)</f>
        <v>#N/A</v>
      </c>
    </row>
    <row r="3406" spans="1:6" ht="20.25" hidden="1" customHeight="1" x14ac:dyDescent="0.15">
      <c r="A3406" s="2" t="s">
        <v>7065</v>
      </c>
      <c r="B3406" s="2" t="s">
        <v>7066</v>
      </c>
      <c r="C3406" s="2">
        <v>0.01</v>
      </c>
      <c r="D3406" s="2">
        <v>22.391100000000002</v>
      </c>
      <c r="E3406" s="2" t="s">
        <v>204</v>
      </c>
      <c r="F3406" s="2" t="e">
        <f>VLOOKUP(B3406,MSCI中国成分股!A:B,1,)</f>
        <v>#N/A</v>
      </c>
    </row>
    <row r="3407" spans="1:6" ht="20.25" hidden="1" customHeight="1" x14ac:dyDescent="0.15">
      <c r="A3407" s="2" t="s">
        <v>7067</v>
      </c>
      <c r="B3407" s="2" t="s">
        <v>7068</v>
      </c>
      <c r="C3407" s="2">
        <v>0.19</v>
      </c>
      <c r="D3407" s="2">
        <v>43.952800000000003</v>
      </c>
      <c r="E3407" s="2" t="s">
        <v>630</v>
      </c>
      <c r="F3407" s="2" t="e">
        <f>VLOOKUP(B3407,MSCI中国成分股!A:B,1,)</f>
        <v>#N/A</v>
      </c>
    </row>
    <row r="3408" spans="1:6" ht="20.25" hidden="1" customHeight="1" x14ac:dyDescent="0.15">
      <c r="A3408" s="2" t="s">
        <v>7069</v>
      </c>
      <c r="B3408" s="2" t="s">
        <v>7070</v>
      </c>
      <c r="C3408" s="2">
        <v>0.57999999999999996</v>
      </c>
      <c r="D3408" s="2">
        <v>5.4329999999999998</v>
      </c>
      <c r="E3408" s="2" t="s">
        <v>1486</v>
      </c>
      <c r="F3408" s="2" t="e">
        <f>VLOOKUP(B3408,MSCI中国成分股!A:B,1,)</f>
        <v>#N/A</v>
      </c>
    </row>
    <row r="3409" spans="1:6" ht="20.25" hidden="1" customHeight="1" x14ac:dyDescent="0.15">
      <c r="A3409" s="2" t="s">
        <v>7071</v>
      </c>
      <c r="B3409" s="2" t="s">
        <v>7072</v>
      </c>
      <c r="C3409" s="2">
        <v>0.95499999999999996</v>
      </c>
      <c r="D3409" s="2">
        <v>1.8805000000000001</v>
      </c>
      <c r="E3409" s="2" t="s">
        <v>207</v>
      </c>
      <c r="F3409" s="2" t="e">
        <f>VLOOKUP(B3409,MSCI中国成分股!A:B,1,)</f>
        <v>#N/A</v>
      </c>
    </row>
    <row r="3410" spans="1:6" ht="20.25" hidden="1" customHeight="1" x14ac:dyDescent="0.15">
      <c r="A3410" s="2" t="s">
        <v>7073</v>
      </c>
      <c r="B3410" s="2" t="s">
        <v>7074</v>
      </c>
      <c r="C3410" s="2">
        <v>0.45</v>
      </c>
      <c r="D3410" s="2">
        <v>3.1395</v>
      </c>
      <c r="E3410" s="2" t="s">
        <v>220</v>
      </c>
      <c r="F3410" s="2" t="e">
        <f>VLOOKUP(B3410,MSCI中国成分股!A:B,1,)</f>
        <v>#N/A</v>
      </c>
    </row>
    <row r="3411" spans="1:6" ht="20.25" hidden="1" customHeight="1" x14ac:dyDescent="0.15">
      <c r="A3411" s="2" t="s">
        <v>7075</v>
      </c>
      <c r="B3411" s="2" t="s">
        <v>7076</v>
      </c>
      <c r="C3411" s="2">
        <v>0.92</v>
      </c>
      <c r="D3411" s="2">
        <v>7.1499999999999994E-2</v>
      </c>
      <c r="E3411" s="2" t="s">
        <v>140</v>
      </c>
      <c r="F3411" s="2" t="e">
        <f>VLOOKUP(B3411,MSCI中国成分股!A:B,1,)</f>
        <v>#N/A</v>
      </c>
    </row>
    <row r="3412" spans="1:6" ht="20.25" hidden="1" customHeight="1" x14ac:dyDescent="0.15">
      <c r="A3412" s="2" t="s">
        <v>7077</v>
      </c>
      <c r="B3412" s="2" t="s">
        <v>7078</v>
      </c>
      <c r="C3412" s="2">
        <v>0.46</v>
      </c>
      <c r="D3412" s="2">
        <v>3.0081000000000002</v>
      </c>
      <c r="E3412" s="2" t="s">
        <v>2068</v>
      </c>
      <c r="F3412" s="2" t="e">
        <f>VLOOKUP(B3412,MSCI中国成分股!A:B,1,)</f>
        <v>#N/A</v>
      </c>
    </row>
    <row r="3413" spans="1:6" ht="20.25" hidden="1" customHeight="1" x14ac:dyDescent="0.15">
      <c r="A3413" s="2" t="s">
        <v>7079</v>
      </c>
      <c r="B3413" s="2" t="s">
        <v>7080</v>
      </c>
      <c r="C3413" s="2">
        <v>0.86</v>
      </c>
      <c r="D3413" s="2">
        <v>1.2387999999999999</v>
      </c>
      <c r="E3413" s="2" t="s">
        <v>605</v>
      </c>
      <c r="F3413" s="2" t="e">
        <f>VLOOKUP(B3413,MSCI中国成分股!A:B,1,)</f>
        <v>#N/A</v>
      </c>
    </row>
    <row r="3414" spans="1:6" ht="20.25" hidden="1" customHeight="1" x14ac:dyDescent="0.15">
      <c r="A3414" s="2" t="s">
        <v>7081</v>
      </c>
      <c r="B3414" s="2" t="s">
        <v>7082</v>
      </c>
      <c r="C3414" s="2">
        <v>0.25</v>
      </c>
      <c r="D3414" s="2">
        <v>123.1957</v>
      </c>
      <c r="E3414" s="2" t="s">
        <v>430</v>
      </c>
      <c r="F3414" s="2" t="e">
        <f>VLOOKUP(B3414,MSCI中国成分股!A:B,1,)</f>
        <v>#N/A</v>
      </c>
    </row>
    <row r="3415" spans="1:6" ht="20.25" hidden="1" customHeight="1" x14ac:dyDescent="0.15">
      <c r="A3415" s="2" t="s">
        <v>7083</v>
      </c>
      <c r="B3415" s="2" t="s">
        <v>7084</v>
      </c>
      <c r="C3415" s="2">
        <v>1.41</v>
      </c>
      <c r="D3415" s="2">
        <v>2.6366000000000001</v>
      </c>
      <c r="E3415" s="2" t="s">
        <v>1593</v>
      </c>
      <c r="F3415" s="2" t="e">
        <f>VLOOKUP(B3415,MSCI中国成分股!A:B,1,)</f>
        <v>#N/A</v>
      </c>
    </row>
    <row r="3416" spans="1:6" ht="20.25" hidden="1" customHeight="1" x14ac:dyDescent="0.15">
      <c r="A3416" s="2" t="s">
        <v>7085</v>
      </c>
      <c r="B3416" s="2" t="s">
        <v>7086</v>
      </c>
      <c r="C3416" s="2">
        <v>3.91</v>
      </c>
      <c r="D3416" s="2">
        <v>2.2543000000000002</v>
      </c>
      <c r="E3416" s="2" t="s">
        <v>149</v>
      </c>
      <c r="F3416" s="2" t="e">
        <f>VLOOKUP(B3416,MSCI中国成分股!A:B,1,)</f>
        <v>#N/A</v>
      </c>
    </row>
    <row r="3417" spans="1:6" ht="20.25" hidden="1" customHeight="1" x14ac:dyDescent="0.15">
      <c r="A3417" s="2" t="s">
        <v>7087</v>
      </c>
      <c r="B3417" s="2" t="s">
        <v>7088</v>
      </c>
      <c r="C3417" s="2">
        <v>0.82</v>
      </c>
      <c r="D3417" s="2">
        <v>1.1084000000000001</v>
      </c>
      <c r="E3417" s="2" t="s">
        <v>276</v>
      </c>
      <c r="F3417" s="2" t="e">
        <f>VLOOKUP(B3417,MSCI中国成分股!A:B,1,)</f>
        <v>#N/A</v>
      </c>
    </row>
    <row r="3418" spans="1:6" ht="20.25" hidden="1" customHeight="1" x14ac:dyDescent="0.15">
      <c r="A3418" s="2" t="s">
        <v>7089</v>
      </c>
      <c r="B3418" s="2" t="s">
        <v>7090</v>
      </c>
      <c r="C3418" s="2">
        <v>1.44</v>
      </c>
      <c r="D3418" s="2">
        <v>0.80010000000000003</v>
      </c>
      <c r="E3418" s="2" t="s">
        <v>784</v>
      </c>
      <c r="F3418" s="2" t="e">
        <f>VLOOKUP(B3418,MSCI中国成分股!A:B,1,)</f>
        <v>#N/A</v>
      </c>
    </row>
    <row r="3419" spans="1:6" ht="20.25" hidden="1" customHeight="1" x14ac:dyDescent="0.15">
      <c r="A3419" s="2" t="s">
        <v>7091</v>
      </c>
      <c r="B3419" s="2" t="s">
        <v>7092</v>
      </c>
      <c r="C3419" s="2">
        <v>0.49</v>
      </c>
      <c r="D3419" s="2">
        <v>28.709099999999999</v>
      </c>
      <c r="E3419" s="2" t="s">
        <v>299</v>
      </c>
      <c r="F3419" s="2" t="e">
        <f>VLOOKUP(B3419,MSCI中国成分股!A:B,1,)</f>
        <v>#N/A</v>
      </c>
    </row>
    <row r="3420" spans="1:6" ht="20.25" hidden="1" customHeight="1" x14ac:dyDescent="0.15">
      <c r="A3420" s="2" t="s">
        <v>7093</v>
      </c>
      <c r="B3420" s="2" t="s">
        <v>7094</v>
      </c>
      <c r="C3420" s="2">
        <v>1.1599999999999999</v>
      </c>
      <c r="D3420" s="2">
        <v>1.0268999999999999</v>
      </c>
      <c r="E3420" s="2" t="s">
        <v>638</v>
      </c>
      <c r="F3420" s="2" t="e">
        <f>VLOOKUP(B3420,MSCI中国成分股!A:B,1,)</f>
        <v>#N/A</v>
      </c>
    </row>
    <row r="3421" spans="1:6" ht="20.25" hidden="1" customHeight="1" x14ac:dyDescent="0.15">
      <c r="A3421" s="2" t="s">
        <v>7095</v>
      </c>
      <c r="B3421" s="2" t="s">
        <v>7096</v>
      </c>
      <c r="C3421" s="2">
        <v>3.24</v>
      </c>
      <c r="D3421" s="2">
        <v>4.5468000000000002</v>
      </c>
      <c r="E3421" s="2" t="s">
        <v>406</v>
      </c>
      <c r="F3421" s="2" t="e">
        <f>VLOOKUP(B3421,MSCI中国成分股!A:B,1,)</f>
        <v>#N/A</v>
      </c>
    </row>
    <row r="3422" spans="1:6" ht="20.25" hidden="1" customHeight="1" x14ac:dyDescent="0.15">
      <c r="A3422" s="2" t="s">
        <v>7097</v>
      </c>
      <c r="B3422" s="2" t="s">
        <v>7098</v>
      </c>
      <c r="C3422" s="2">
        <v>2.74</v>
      </c>
      <c r="D3422" s="2">
        <v>6.2675000000000001</v>
      </c>
      <c r="E3422" s="2" t="s">
        <v>1061</v>
      </c>
      <c r="F3422" s="2" t="e">
        <f>VLOOKUP(B3422,MSCI中国成分股!A:B,1,)</f>
        <v>#N/A</v>
      </c>
    </row>
    <row r="3423" spans="1:6" ht="20.25" hidden="1" customHeight="1" x14ac:dyDescent="0.15">
      <c r="A3423" s="2" t="s">
        <v>7099</v>
      </c>
      <c r="B3423" s="2" t="s">
        <v>7100</v>
      </c>
      <c r="C3423" s="2">
        <v>2.5</v>
      </c>
      <c r="D3423" s="2">
        <v>5.2034000000000002</v>
      </c>
      <c r="E3423" s="2" t="s">
        <v>371</v>
      </c>
      <c r="F3423" s="2" t="e">
        <f>VLOOKUP(B3423,MSCI中国成分股!A:B,1,)</f>
        <v>#N/A</v>
      </c>
    </row>
    <row r="3424" spans="1:6" ht="20.25" hidden="1" customHeight="1" x14ac:dyDescent="0.15">
      <c r="A3424" s="2" t="s">
        <v>7101</v>
      </c>
      <c r="B3424" s="2" t="s">
        <v>7102</v>
      </c>
      <c r="C3424" s="2">
        <v>0.35</v>
      </c>
      <c r="D3424" s="2">
        <v>208.8143</v>
      </c>
      <c r="E3424" s="2" t="s">
        <v>1593</v>
      </c>
      <c r="F3424" s="2" t="e">
        <f>VLOOKUP(B3424,MSCI中国成分股!A:B,1,)</f>
        <v>#N/A</v>
      </c>
    </row>
    <row r="3425" spans="1:6" ht="20.25" hidden="1" customHeight="1" x14ac:dyDescent="0.15">
      <c r="A3425" s="2" t="s">
        <v>7103</v>
      </c>
      <c r="B3425" s="2" t="s">
        <v>7104</v>
      </c>
      <c r="C3425" s="2">
        <v>-0.69</v>
      </c>
      <c r="D3425" s="2">
        <v>2.1951000000000001</v>
      </c>
      <c r="E3425" s="2" t="s">
        <v>391</v>
      </c>
      <c r="F3425" s="2" t="e">
        <f>VLOOKUP(B3425,MSCI中国成分股!A:B,1,)</f>
        <v>#N/A</v>
      </c>
    </row>
    <row r="3426" spans="1:6" ht="20.25" hidden="1" customHeight="1" x14ac:dyDescent="0.15">
      <c r="A3426" s="2" t="s">
        <v>7105</v>
      </c>
      <c r="B3426" s="2" t="s">
        <v>7106</v>
      </c>
      <c r="C3426" s="2">
        <v>0.03</v>
      </c>
      <c r="D3426" s="2">
        <v>1.7007000000000001</v>
      </c>
      <c r="E3426" s="2" t="s">
        <v>391</v>
      </c>
      <c r="F3426" s="2" t="e">
        <f>VLOOKUP(B3426,MSCI中国成分股!A:B,1,)</f>
        <v>#N/A</v>
      </c>
    </row>
    <row r="3427" spans="1:6" ht="20.25" hidden="1" customHeight="1" x14ac:dyDescent="0.15">
      <c r="A3427" s="2" t="s">
        <v>7107</v>
      </c>
      <c r="B3427" s="2" t="s">
        <v>7108</v>
      </c>
      <c r="C3427" s="2">
        <v>1.71</v>
      </c>
      <c r="D3427" s="2">
        <v>1.9541999999999999</v>
      </c>
      <c r="E3427" s="2" t="s">
        <v>713</v>
      </c>
      <c r="F3427" s="2" t="e">
        <f>VLOOKUP(B3427,MSCI中国成分股!A:B,1,)</f>
        <v>#N/A</v>
      </c>
    </row>
    <row r="3428" spans="1:6" ht="20.25" hidden="1" customHeight="1" x14ac:dyDescent="0.15">
      <c r="A3428" s="2" t="s">
        <v>7109</v>
      </c>
      <c r="B3428" s="2" t="s">
        <v>7110</v>
      </c>
      <c r="C3428" s="2">
        <v>-1.02</v>
      </c>
      <c r="D3428" s="2">
        <v>12.6289</v>
      </c>
      <c r="E3428" s="2" t="s">
        <v>299</v>
      </c>
      <c r="F3428" s="2" t="e">
        <f>VLOOKUP(B3428,MSCI中国成分股!A:B,1,)</f>
        <v>#N/A</v>
      </c>
    </row>
    <row r="3429" spans="1:6" ht="20.25" hidden="1" customHeight="1" x14ac:dyDescent="0.15">
      <c r="A3429" s="2" t="s">
        <v>7111</v>
      </c>
      <c r="B3429" s="2" t="s">
        <v>7112</v>
      </c>
      <c r="C3429" s="2">
        <v>0.54</v>
      </c>
      <c r="D3429" s="2">
        <v>0.4864</v>
      </c>
      <c r="E3429" s="2" t="s">
        <v>1056</v>
      </c>
      <c r="F3429" s="2" t="e">
        <f>VLOOKUP(B3429,MSCI中国成分股!A:B,1,)</f>
        <v>#N/A</v>
      </c>
    </row>
    <row r="3430" spans="1:6" ht="20.25" hidden="1" customHeight="1" x14ac:dyDescent="0.15">
      <c r="A3430" s="2" t="s">
        <v>7113</v>
      </c>
      <c r="B3430" s="2" t="s">
        <v>7114</v>
      </c>
      <c r="C3430" s="2">
        <v>0.56000000000000005</v>
      </c>
      <c r="D3430" s="2">
        <v>4.1317000000000004</v>
      </c>
      <c r="E3430" s="2" t="s">
        <v>406</v>
      </c>
      <c r="F3430" s="2" t="e">
        <f>VLOOKUP(B3430,MSCI中国成分股!A:B,1,)</f>
        <v>#N/A</v>
      </c>
    </row>
    <row r="3431" spans="1:6" ht="20.25" hidden="1" customHeight="1" x14ac:dyDescent="0.15">
      <c r="A3431" s="2" t="s">
        <v>7115</v>
      </c>
      <c r="B3431" s="2" t="s">
        <v>7116</v>
      </c>
      <c r="C3431" s="2">
        <v>2.82</v>
      </c>
      <c r="D3431" s="2">
        <v>3.3451</v>
      </c>
      <c r="E3431" s="2" t="s">
        <v>149</v>
      </c>
      <c r="F3431" s="2" t="e">
        <f>VLOOKUP(B3431,MSCI中国成分股!A:B,1,)</f>
        <v>#N/A</v>
      </c>
    </row>
    <row r="3432" spans="1:6" ht="20.25" hidden="1" customHeight="1" x14ac:dyDescent="0.15">
      <c r="A3432" s="2" t="s">
        <v>7117</v>
      </c>
      <c r="B3432" s="2" t="s">
        <v>7118</v>
      </c>
      <c r="C3432" s="2">
        <v>0.54</v>
      </c>
      <c r="D3432" s="2">
        <v>0.56689999999999996</v>
      </c>
      <c r="E3432" s="2" t="s">
        <v>1969</v>
      </c>
      <c r="F3432" s="2" t="e">
        <f>VLOOKUP(B3432,MSCI中国成分股!A:B,1,)</f>
        <v>#N/A</v>
      </c>
    </row>
    <row r="3433" spans="1:6" ht="20.25" hidden="1" customHeight="1" x14ac:dyDescent="0.15">
      <c r="A3433" s="2" t="s">
        <v>7119</v>
      </c>
      <c r="B3433" s="2" t="s">
        <v>7120</v>
      </c>
      <c r="C3433" s="2">
        <v>0.63</v>
      </c>
      <c r="D3433" s="2">
        <v>2.7330999999999999</v>
      </c>
      <c r="E3433" s="2" t="s">
        <v>201</v>
      </c>
      <c r="F3433" s="2" t="e">
        <f>VLOOKUP(B3433,MSCI中国成分股!A:B,1,)</f>
        <v>#N/A</v>
      </c>
    </row>
    <row r="3434" spans="1:6" ht="20.25" hidden="1" customHeight="1" x14ac:dyDescent="0.15">
      <c r="A3434" s="2" t="s">
        <v>7121</v>
      </c>
      <c r="B3434" s="2" t="s">
        <v>7122</v>
      </c>
      <c r="C3434" s="2">
        <v>2.57</v>
      </c>
      <c r="D3434" s="2">
        <v>1.8795999999999999</v>
      </c>
      <c r="E3434" s="2" t="s">
        <v>120</v>
      </c>
      <c r="F3434" s="2" t="e">
        <f>VLOOKUP(B3434,MSCI中国成分股!A:B,1,)</f>
        <v>#N/A</v>
      </c>
    </row>
    <row r="3435" spans="1:6" ht="20.25" hidden="1" customHeight="1" x14ac:dyDescent="0.15">
      <c r="A3435" s="2" t="s">
        <v>7123</v>
      </c>
      <c r="B3435" s="2" t="s">
        <v>7124</v>
      </c>
      <c r="C3435" s="2">
        <v>-0.48</v>
      </c>
      <c r="D3435" s="2">
        <v>3.9121999999999999</v>
      </c>
      <c r="E3435" s="2" t="s">
        <v>1145</v>
      </c>
      <c r="F3435" s="2" t="e">
        <f>VLOOKUP(B3435,MSCI中国成分股!A:B,1,)</f>
        <v>#N/A</v>
      </c>
    </row>
    <row r="3436" spans="1:6" ht="20.25" hidden="1" customHeight="1" x14ac:dyDescent="0.15">
      <c r="A3436" s="2" t="s">
        <v>7125</v>
      </c>
      <c r="B3436" s="2" t="s">
        <v>7126</v>
      </c>
      <c r="C3436" s="2">
        <v>-1.0900000000000001</v>
      </c>
      <c r="D3436" s="2">
        <v>59.036200000000001</v>
      </c>
      <c r="E3436" s="2" t="s">
        <v>406</v>
      </c>
      <c r="F3436" s="2" t="e">
        <f>VLOOKUP(B3436,MSCI中国成分股!A:B,1,)</f>
        <v>#N/A</v>
      </c>
    </row>
    <row r="3437" spans="1:6" ht="20.25" hidden="1" customHeight="1" x14ac:dyDescent="0.15">
      <c r="A3437" s="2" t="s">
        <v>7127</v>
      </c>
      <c r="B3437" s="2" t="s">
        <v>7128</v>
      </c>
      <c r="C3437" s="2">
        <v>-0.41</v>
      </c>
      <c r="D3437" s="2">
        <v>11.859400000000001</v>
      </c>
      <c r="E3437" s="2" t="s">
        <v>44</v>
      </c>
      <c r="F3437" s="2" t="e">
        <f>VLOOKUP(B3437,MSCI中国成分股!A:B,1,)</f>
        <v>#N/A</v>
      </c>
    </row>
    <row r="3438" spans="1:6" ht="20.25" hidden="1" customHeight="1" x14ac:dyDescent="0.15">
      <c r="A3438" s="2" t="s">
        <v>7129</v>
      </c>
      <c r="B3438" s="2" t="s">
        <v>7130</v>
      </c>
      <c r="C3438" s="2">
        <v>0.2</v>
      </c>
      <c r="D3438" s="2">
        <v>56.661799999999999</v>
      </c>
      <c r="E3438" s="2" t="s">
        <v>747</v>
      </c>
      <c r="F3438" s="2" t="e">
        <f>VLOOKUP(B3438,MSCI中国成分股!A:B,1,)</f>
        <v>#N/A</v>
      </c>
    </row>
    <row r="3439" spans="1:6" ht="20.25" hidden="1" customHeight="1" x14ac:dyDescent="0.15">
      <c r="A3439" s="2" t="s">
        <v>7131</v>
      </c>
      <c r="B3439" s="2" t="s">
        <v>7132</v>
      </c>
      <c r="C3439" s="2">
        <v>0.43</v>
      </c>
      <c r="D3439" s="2">
        <v>8.5489999999999995</v>
      </c>
      <c r="E3439" s="2" t="s">
        <v>201</v>
      </c>
      <c r="F3439" s="2" t="e">
        <f>VLOOKUP(B3439,MSCI中国成分股!A:B,1,)</f>
        <v>#N/A</v>
      </c>
    </row>
    <row r="3440" spans="1:6" ht="20.25" hidden="1" customHeight="1" x14ac:dyDescent="0.15">
      <c r="A3440" s="2" t="s">
        <v>7133</v>
      </c>
      <c r="B3440" s="2" t="s">
        <v>7134</v>
      </c>
      <c r="C3440" s="2">
        <v>0.15</v>
      </c>
      <c r="D3440" s="2">
        <v>1.0339</v>
      </c>
      <c r="E3440" s="2" t="s">
        <v>704</v>
      </c>
      <c r="F3440" s="2" t="e">
        <f>VLOOKUP(B3440,MSCI中国成分股!A:B,1,)</f>
        <v>#N/A</v>
      </c>
    </row>
    <row r="3441" spans="1:6" ht="20.25" hidden="1" customHeight="1" x14ac:dyDescent="0.15">
      <c r="A3441" s="2" t="s">
        <v>7135</v>
      </c>
      <c r="B3441" s="2" t="s">
        <v>7136</v>
      </c>
      <c r="C3441" s="2">
        <v>1.24</v>
      </c>
      <c r="D3441" s="2">
        <v>0.45550000000000002</v>
      </c>
      <c r="E3441" s="2" t="s">
        <v>605</v>
      </c>
      <c r="F3441" s="2" t="e">
        <f>VLOOKUP(B3441,MSCI中国成分股!A:B,1,)</f>
        <v>#N/A</v>
      </c>
    </row>
    <row r="3442" spans="1:6" ht="20.25" hidden="1" customHeight="1" x14ac:dyDescent="0.15">
      <c r="A3442" s="2" t="s">
        <v>7137</v>
      </c>
      <c r="B3442" s="2" t="s">
        <v>7138</v>
      </c>
      <c r="C3442" s="2">
        <v>1.9350000000000001</v>
      </c>
      <c r="D3442" s="2">
        <v>0.88959999999999995</v>
      </c>
      <c r="E3442" s="2" t="s">
        <v>1061</v>
      </c>
      <c r="F3442" s="2" t="e">
        <f>VLOOKUP(B3442,MSCI中国成分股!A:B,1,)</f>
        <v>#N/A</v>
      </c>
    </row>
    <row r="3443" spans="1:6" ht="20.25" hidden="1" customHeight="1" x14ac:dyDescent="0.15">
      <c r="A3443" s="2" t="s">
        <v>7139</v>
      </c>
      <c r="B3443" s="2" t="s">
        <v>7140</v>
      </c>
      <c r="C3443" s="2">
        <v>-0.47499999999999998</v>
      </c>
      <c r="D3443" s="2">
        <v>4.9985999999999997</v>
      </c>
      <c r="E3443" s="2" t="s">
        <v>86</v>
      </c>
      <c r="F3443" s="2" t="e">
        <f>VLOOKUP(B3443,MSCI中国成分股!A:B,1,)</f>
        <v>#N/A</v>
      </c>
    </row>
    <row r="3444" spans="1:6" ht="20.25" hidden="1" customHeight="1" x14ac:dyDescent="0.15">
      <c r="A3444" s="2" t="s">
        <v>7141</v>
      </c>
      <c r="B3444" s="2" t="s">
        <v>7142</v>
      </c>
      <c r="C3444" s="2">
        <v>1.0249999999999999</v>
      </c>
      <c r="D3444" s="2">
        <v>3.4796</v>
      </c>
      <c r="E3444" s="2" t="s">
        <v>68</v>
      </c>
      <c r="F3444" s="2" t="e">
        <f>VLOOKUP(B3444,MSCI中国成分股!A:B,1,)</f>
        <v>#N/A</v>
      </c>
    </row>
    <row r="3445" spans="1:6" ht="20.25" hidden="1" customHeight="1" x14ac:dyDescent="0.15">
      <c r="A3445" s="2" t="s">
        <v>7143</v>
      </c>
      <c r="B3445" s="2" t="s">
        <v>7144</v>
      </c>
      <c r="C3445" s="2">
        <v>1.4</v>
      </c>
      <c r="D3445" s="2">
        <v>0.92190000000000005</v>
      </c>
      <c r="E3445" s="2" t="s">
        <v>406</v>
      </c>
      <c r="F3445" s="2" t="e">
        <f>VLOOKUP(B3445,MSCI中国成分股!A:B,1,)</f>
        <v>#N/A</v>
      </c>
    </row>
    <row r="3446" spans="1:6" ht="20.25" hidden="1" customHeight="1" x14ac:dyDescent="0.15">
      <c r="A3446" s="2" t="s">
        <v>7145</v>
      </c>
      <c r="B3446" s="2" t="s">
        <v>7146</v>
      </c>
      <c r="C3446" s="2">
        <v>4.13</v>
      </c>
      <c r="D3446" s="2">
        <v>0.56040000000000001</v>
      </c>
      <c r="E3446" s="2" t="s">
        <v>2355</v>
      </c>
      <c r="F3446" s="2" t="e">
        <f>VLOOKUP(B3446,MSCI中国成分股!A:B,1,)</f>
        <v>#N/A</v>
      </c>
    </row>
    <row r="3447" spans="1:6" ht="20.25" hidden="1" customHeight="1" x14ac:dyDescent="0.15">
      <c r="A3447" s="2" t="s">
        <v>7147</v>
      </c>
      <c r="B3447" s="2" t="s">
        <v>7148</v>
      </c>
      <c r="C3447" s="2">
        <v>0.25</v>
      </c>
      <c r="D3447" s="2">
        <v>241.0472</v>
      </c>
      <c r="E3447" s="2" t="s">
        <v>2678</v>
      </c>
      <c r="F3447" s="2" t="e">
        <f>VLOOKUP(B3447,MSCI中国成分股!A:B,1,)</f>
        <v>#N/A</v>
      </c>
    </row>
    <row r="3448" spans="1:6" ht="20.25" hidden="1" customHeight="1" x14ac:dyDescent="0.15">
      <c r="A3448" s="2" t="s">
        <v>7149</v>
      </c>
      <c r="B3448" s="2" t="s">
        <v>7150</v>
      </c>
      <c r="C3448" s="2">
        <v>1.2150000000000001</v>
      </c>
      <c r="D3448" s="2">
        <v>0.41199999999999998</v>
      </c>
      <c r="E3448" s="2" t="s">
        <v>359</v>
      </c>
      <c r="F3448" s="2" t="e">
        <f>VLOOKUP(B3448,MSCI中国成分股!A:B,1,)</f>
        <v>#N/A</v>
      </c>
    </row>
    <row r="3449" spans="1:6" ht="20.25" hidden="1" customHeight="1" x14ac:dyDescent="0.15">
      <c r="A3449" s="2" t="s">
        <v>7151</v>
      </c>
      <c r="B3449" s="2" t="s">
        <v>7152</v>
      </c>
      <c r="C3449" s="2">
        <v>0.42</v>
      </c>
      <c r="D3449" s="2">
        <v>4.0479000000000003</v>
      </c>
      <c r="E3449" s="2" t="s">
        <v>621</v>
      </c>
      <c r="F3449" s="2" t="e">
        <f>VLOOKUP(B3449,MSCI中国成分股!A:B,1,)</f>
        <v>#N/A</v>
      </c>
    </row>
    <row r="3450" spans="1:6" ht="20.25" hidden="1" customHeight="1" x14ac:dyDescent="0.15">
      <c r="A3450" s="2" t="s">
        <v>7153</v>
      </c>
      <c r="B3450" s="2" t="s">
        <v>7154</v>
      </c>
      <c r="C3450" s="2">
        <v>2.2999999999999998</v>
      </c>
      <c r="D3450" s="2">
        <v>1.0944</v>
      </c>
      <c r="E3450" s="2" t="s">
        <v>1061</v>
      </c>
      <c r="F3450" s="2" t="e">
        <f>VLOOKUP(B3450,MSCI中国成分股!A:B,1,)</f>
        <v>#N/A</v>
      </c>
    </row>
    <row r="3451" spans="1:6" ht="20.25" hidden="1" customHeight="1" x14ac:dyDescent="0.15">
      <c r="A3451" s="2" t="s">
        <v>7155</v>
      </c>
      <c r="B3451" s="2" t="s">
        <v>7156</v>
      </c>
      <c r="C3451" s="2">
        <v>1.33</v>
      </c>
      <c r="D3451" s="2">
        <v>0.90190000000000003</v>
      </c>
      <c r="E3451" s="2" t="s">
        <v>3141</v>
      </c>
      <c r="F3451" s="2" t="e">
        <f>VLOOKUP(B3451,MSCI中国成分股!A:B,1,)</f>
        <v>#N/A</v>
      </c>
    </row>
    <row r="3452" spans="1:6" ht="20.25" hidden="1" customHeight="1" x14ac:dyDescent="0.15">
      <c r="A3452" s="2" t="s">
        <v>7157</v>
      </c>
      <c r="B3452" s="2" t="s">
        <v>7158</v>
      </c>
      <c r="C3452" s="2">
        <v>-0.69</v>
      </c>
      <c r="D3452" s="2">
        <v>49.3718</v>
      </c>
      <c r="E3452" s="2" t="s">
        <v>204</v>
      </c>
      <c r="F3452" s="2" t="e">
        <f>VLOOKUP(B3452,MSCI中国成分股!A:B,1,)</f>
        <v>#N/A</v>
      </c>
    </row>
    <row r="3453" spans="1:6" ht="20.25" hidden="1" customHeight="1" x14ac:dyDescent="0.15">
      <c r="A3453" s="2" t="s">
        <v>7159</v>
      </c>
      <c r="B3453" s="2" t="s">
        <v>7160</v>
      </c>
      <c r="C3453" s="2">
        <v>0.88</v>
      </c>
      <c r="D3453" s="2">
        <v>4.2766999999999999</v>
      </c>
      <c r="E3453" s="2" t="s">
        <v>143</v>
      </c>
      <c r="F3453" s="2" t="e">
        <f>VLOOKUP(B3453,MSCI中国成分股!A:B,1,)</f>
        <v>#N/A</v>
      </c>
    </row>
    <row r="3454" spans="1:6" ht="20.25" hidden="1" customHeight="1" x14ac:dyDescent="0.15">
      <c r="A3454" s="2" t="s">
        <v>7161</v>
      </c>
      <c r="B3454" s="2" t="s">
        <v>7162</v>
      </c>
      <c r="C3454" s="2">
        <v>0.45</v>
      </c>
      <c r="D3454" s="2">
        <v>169.3058</v>
      </c>
      <c r="E3454" s="2" t="s">
        <v>506</v>
      </c>
      <c r="F3454" s="2" t="e">
        <f>VLOOKUP(B3454,MSCI中国成分股!A:B,1,)</f>
        <v>#N/A</v>
      </c>
    </row>
    <row r="3455" spans="1:6" ht="20.25" hidden="1" customHeight="1" x14ac:dyDescent="0.15">
      <c r="A3455" s="2" t="s">
        <v>7163</v>
      </c>
      <c r="B3455" s="2" t="s">
        <v>7164</v>
      </c>
      <c r="C3455" s="2">
        <v>2.23</v>
      </c>
      <c r="D3455" s="2">
        <v>215.1831</v>
      </c>
      <c r="E3455" s="2" t="s">
        <v>260</v>
      </c>
      <c r="F3455" s="2" t="e">
        <f>VLOOKUP(B3455,MSCI中国成分股!A:B,1,)</f>
        <v>#N/A</v>
      </c>
    </row>
    <row r="3456" spans="1:6" ht="20.25" hidden="1" customHeight="1" x14ac:dyDescent="0.15">
      <c r="A3456" s="2" t="s">
        <v>7165</v>
      </c>
      <c r="B3456" s="2" t="s">
        <v>7166</v>
      </c>
      <c r="C3456" s="2">
        <v>-0.36</v>
      </c>
      <c r="D3456" s="2">
        <v>9.9568999999999992</v>
      </c>
      <c r="E3456" s="2" t="s">
        <v>89</v>
      </c>
      <c r="F3456" s="2" t="e">
        <f>VLOOKUP(B3456,MSCI中国成分股!A:B,1,)</f>
        <v>#N/A</v>
      </c>
    </row>
    <row r="3457" spans="1:6" ht="20.25" hidden="1" customHeight="1" x14ac:dyDescent="0.15">
      <c r="A3457" s="2" t="s">
        <v>7167</v>
      </c>
      <c r="B3457" s="2" t="s">
        <v>7168</v>
      </c>
      <c r="C3457" s="2">
        <v>0.39</v>
      </c>
      <c r="D3457" s="2">
        <v>4.1009000000000002</v>
      </c>
      <c r="E3457" s="2" t="s">
        <v>201</v>
      </c>
      <c r="F3457" s="2" t="e">
        <f>VLOOKUP(B3457,MSCI中国成分股!A:B,1,)</f>
        <v>#N/A</v>
      </c>
    </row>
    <row r="3458" spans="1:6" ht="20.25" hidden="1" customHeight="1" x14ac:dyDescent="0.15">
      <c r="A3458" s="2" t="s">
        <v>7169</v>
      </c>
      <c r="B3458" s="2" t="s">
        <v>7170</v>
      </c>
      <c r="C3458" s="2">
        <v>2.86</v>
      </c>
      <c r="D3458" s="2">
        <v>2.9096000000000002</v>
      </c>
      <c r="E3458" s="2" t="s">
        <v>690</v>
      </c>
      <c r="F3458" s="2" t="e">
        <f>VLOOKUP(B3458,MSCI中国成分股!A:B,1,)</f>
        <v>#N/A</v>
      </c>
    </row>
    <row r="3459" spans="1:6" ht="20.25" hidden="1" customHeight="1" x14ac:dyDescent="0.15">
      <c r="A3459" s="2" t="s">
        <v>7171</v>
      </c>
      <c r="B3459" s="2" t="s">
        <v>7172</v>
      </c>
      <c r="C3459" s="2">
        <v>0.28000000000000003</v>
      </c>
      <c r="D3459" s="2">
        <v>1.5005999999999999</v>
      </c>
      <c r="E3459" s="2" t="s">
        <v>201</v>
      </c>
      <c r="F3459" s="2" t="e">
        <f>VLOOKUP(B3459,MSCI中国成分股!A:B,1,)</f>
        <v>#N/A</v>
      </c>
    </row>
    <row r="3460" spans="1:6" ht="20.25" hidden="1" customHeight="1" x14ac:dyDescent="0.15">
      <c r="A3460" s="2" t="s">
        <v>7173</v>
      </c>
      <c r="B3460" s="2" t="s">
        <v>7174</v>
      </c>
      <c r="C3460" s="2">
        <v>0.08</v>
      </c>
      <c r="D3460" s="2">
        <v>8.8076000000000008</v>
      </c>
      <c r="E3460" s="2" t="s">
        <v>1091</v>
      </c>
      <c r="F3460" s="2" t="e">
        <f>VLOOKUP(B3460,MSCI中国成分股!A:B,1,)</f>
        <v>#N/A</v>
      </c>
    </row>
    <row r="3461" spans="1:6" ht="20.25" hidden="1" customHeight="1" x14ac:dyDescent="0.15">
      <c r="A3461" s="2" t="s">
        <v>7175</v>
      </c>
      <c r="B3461" s="2" t="s">
        <v>7176</v>
      </c>
      <c r="C3461" s="2">
        <v>0.3</v>
      </c>
      <c r="D3461" s="2">
        <v>191.51929999999999</v>
      </c>
      <c r="E3461" s="2" t="s">
        <v>1199</v>
      </c>
      <c r="F3461" s="2" t="e">
        <f>VLOOKUP(B3461,MSCI中国成分股!A:B,1,)</f>
        <v>#N/A</v>
      </c>
    </row>
    <row r="3462" spans="1:6" ht="20.25" hidden="1" customHeight="1" x14ac:dyDescent="0.15">
      <c r="A3462" s="2" t="s">
        <v>7177</v>
      </c>
      <c r="B3462" s="2" t="s">
        <v>7178</v>
      </c>
      <c r="C3462" s="2">
        <v>-1.59</v>
      </c>
      <c r="D3462" s="2">
        <v>15.0182</v>
      </c>
      <c r="E3462" s="2" t="s">
        <v>1870</v>
      </c>
      <c r="F3462" s="2" t="e">
        <f>VLOOKUP(B3462,MSCI中国成分股!A:B,1,)</f>
        <v>#N/A</v>
      </c>
    </row>
    <row r="3463" spans="1:6" ht="20.25" hidden="1" customHeight="1" x14ac:dyDescent="0.15">
      <c r="A3463" s="2" t="s">
        <v>7179</v>
      </c>
      <c r="B3463" s="2" t="s">
        <v>7180</v>
      </c>
      <c r="C3463" s="2">
        <v>-0.64</v>
      </c>
      <c r="D3463" s="2">
        <v>7.5720999999999998</v>
      </c>
      <c r="E3463" s="2" t="s">
        <v>561</v>
      </c>
      <c r="F3463" s="2" t="e">
        <f>VLOOKUP(B3463,MSCI中国成分股!A:B,1,)</f>
        <v>#N/A</v>
      </c>
    </row>
    <row r="3464" spans="1:6" ht="20.25" hidden="1" customHeight="1" x14ac:dyDescent="0.15">
      <c r="A3464" s="2" t="s">
        <v>7181</v>
      </c>
      <c r="B3464" s="2" t="s">
        <v>7182</v>
      </c>
      <c r="C3464" s="2">
        <v>1.98</v>
      </c>
      <c r="D3464" s="2">
        <v>1.8109</v>
      </c>
      <c r="E3464" s="2" t="s">
        <v>1139</v>
      </c>
      <c r="F3464" s="2" t="e">
        <f>VLOOKUP(B3464,MSCI中国成分股!A:B,1,)</f>
        <v>#N/A</v>
      </c>
    </row>
    <row r="3465" spans="1:6" ht="20.25" hidden="1" customHeight="1" x14ac:dyDescent="0.15">
      <c r="A3465" s="2" t="s">
        <v>7183</v>
      </c>
      <c r="B3465" s="2" t="s">
        <v>7184</v>
      </c>
      <c r="C3465" s="2">
        <v>0.5</v>
      </c>
      <c r="D3465" s="2">
        <v>9.8193999999999999</v>
      </c>
      <c r="E3465" s="2" t="s">
        <v>403</v>
      </c>
      <c r="F3465" s="2" t="e">
        <f>VLOOKUP(B3465,MSCI中国成分股!A:B,1,)</f>
        <v>#N/A</v>
      </c>
    </row>
    <row r="3466" spans="1:6" ht="20.25" hidden="1" customHeight="1" x14ac:dyDescent="0.15">
      <c r="A3466" s="2" t="s">
        <v>7185</v>
      </c>
      <c r="B3466" s="2" t="s">
        <v>7186</v>
      </c>
      <c r="C3466" s="2">
        <v>0.64</v>
      </c>
      <c r="D3466" s="2">
        <v>1.1528</v>
      </c>
      <c r="E3466" s="2" t="s">
        <v>406</v>
      </c>
      <c r="F3466" s="2" t="e">
        <f>VLOOKUP(B3466,MSCI中国成分股!A:B,1,)</f>
        <v>#N/A</v>
      </c>
    </row>
    <row r="3467" spans="1:6" ht="20.25" hidden="1" customHeight="1" x14ac:dyDescent="0.15">
      <c r="A3467" s="2" t="s">
        <v>7187</v>
      </c>
      <c r="B3467" s="2" t="s">
        <v>7188</v>
      </c>
      <c r="C3467" s="2">
        <v>1.5</v>
      </c>
      <c r="D3467" s="2">
        <v>6.1047000000000002</v>
      </c>
      <c r="E3467" s="2" t="s">
        <v>1338</v>
      </c>
      <c r="F3467" s="2" t="e">
        <f>VLOOKUP(B3467,MSCI中国成分股!A:B,1,)</f>
        <v>#N/A</v>
      </c>
    </row>
    <row r="3468" spans="1:6" ht="20.25" hidden="1" customHeight="1" x14ac:dyDescent="0.15">
      <c r="A3468" s="2" t="s">
        <v>7189</v>
      </c>
      <c r="B3468" s="2" t="s">
        <v>7190</v>
      </c>
      <c r="C3468" s="2">
        <v>0.115</v>
      </c>
      <c r="D3468" s="2">
        <v>11.4931</v>
      </c>
      <c r="E3468" s="2" t="s">
        <v>747</v>
      </c>
      <c r="F3468" s="2" t="e">
        <f>VLOOKUP(B3468,MSCI中国成分股!A:B,1,)</f>
        <v>#N/A</v>
      </c>
    </row>
    <row r="3469" spans="1:6" ht="20.25" hidden="1" customHeight="1" x14ac:dyDescent="0.15">
      <c r="A3469" s="2" t="s">
        <v>7191</v>
      </c>
      <c r="B3469" s="2" t="s">
        <v>7192</v>
      </c>
      <c r="C3469" s="2">
        <v>0.43</v>
      </c>
      <c r="D3469" s="2">
        <v>2.0703</v>
      </c>
      <c r="E3469" s="2" t="s">
        <v>1820</v>
      </c>
      <c r="F3469" s="2" t="e">
        <f>VLOOKUP(B3469,MSCI中国成分股!A:B,1,)</f>
        <v>#N/A</v>
      </c>
    </row>
    <row r="3470" spans="1:6" ht="20.25" hidden="1" customHeight="1" x14ac:dyDescent="0.15">
      <c r="A3470" s="2" t="s">
        <v>7193</v>
      </c>
      <c r="B3470" s="2" t="s">
        <v>7194</v>
      </c>
      <c r="C3470" s="2">
        <v>-1.19</v>
      </c>
      <c r="D3470" s="2">
        <v>12.8104</v>
      </c>
      <c r="E3470" s="2" t="s">
        <v>198</v>
      </c>
      <c r="F3470" s="2" t="e">
        <f>VLOOKUP(B3470,MSCI中国成分股!A:B,1,)</f>
        <v>#N/A</v>
      </c>
    </row>
    <row r="3471" spans="1:6" ht="20.25" hidden="1" customHeight="1" x14ac:dyDescent="0.15">
      <c r="A3471" s="2" t="s">
        <v>7195</v>
      </c>
      <c r="B3471" s="2" t="s">
        <v>7196</v>
      </c>
      <c r="C3471" s="2">
        <v>1.73</v>
      </c>
      <c r="D3471" s="2">
        <v>0.27439999999999998</v>
      </c>
      <c r="E3471" s="2" t="s">
        <v>86</v>
      </c>
      <c r="F3471" s="2" t="e">
        <f>VLOOKUP(B3471,MSCI中国成分股!A:B,1,)</f>
        <v>#N/A</v>
      </c>
    </row>
    <row r="3472" spans="1:6" ht="20.25" hidden="1" customHeight="1" x14ac:dyDescent="0.15">
      <c r="A3472" s="2" t="s">
        <v>7197</v>
      </c>
      <c r="B3472" s="2" t="s">
        <v>7198</v>
      </c>
      <c r="C3472" s="2">
        <v>1.49</v>
      </c>
      <c r="D3472" s="2">
        <v>0.66590000000000005</v>
      </c>
      <c r="E3472" s="2" t="s">
        <v>1436</v>
      </c>
      <c r="F3472" s="2" t="e">
        <f>VLOOKUP(B3472,MSCI中国成分股!A:B,1,)</f>
        <v>#N/A</v>
      </c>
    </row>
    <row r="3473" spans="1:6" ht="20.25" hidden="1" customHeight="1" x14ac:dyDescent="0.15">
      <c r="A3473" s="2" t="s">
        <v>7199</v>
      </c>
      <c r="B3473" s="2" t="s">
        <v>7200</v>
      </c>
      <c r="C3473" s="2">
        <v>1.57</v>
      </c>
      <c r="D3473" s="2">
        <v>23.0046</v>
      </c>
      <c r="E3473" s="2" t="s">
        <v>220</v>
      </c>
      <c r="F3473" s="2" t="e">
        <f>VLOOKUP(B3473,MSCI中国成分股!A:B,1,)</f>
        <v>#N/A</v>
      </c>
    </row>
    <row r="3474" spans="1:6" ht="20.25" hidden="1" customHeight="1" x14ac:dyDescent="0.15">
      <c r="A3474" s="2" t="s">
        <v>7201</v>
      </c>
      <c r="B3474" s="2" t="s">
        <v>7202</v>
      </c>
      <c r="C3474" s="2">
        <v>2.2149999999999999</v>
      </c>
      <c r="D3474" s="2">
        <v>0.56040000000000001</v>
      </c>
      <c r="E3474" s="2" t="s">
        <v>2681</v>
      </c>
      <c r="F3474" s="2" t="e">
        <f>VLOOKUP(B3474,MSCI中国成分股!A:B,1,)</f>
        <v>#N/A</v>
      </c>
    </row>
    <row r="3475" spans="1:6" ht="20.25" hidden="1" customHeight="1" x14ac:dyDescent="0.15">
      <c r="A3475" s="2" t="s">
        <v>7203</v>
      </c>
      <c r="B3475" s="2" t="s">
        <v>7204</v>
      </c>
      <c r="C3475" s="2">
        <v>0.19</v>
      </c>
      <c r="D3475" s="2">
        <v>113.0433</v>
      </c>
      <c r="E3475" s="2" t="s">
        <v>260</v>
      </c>
      <c r="F3475" s="2" t="e">
        <f>VLOOKUP(B3475,MSCI中国成分股!A:B,1,)</f>
        <v>#N/A</v>
      </c>
    </row>
    <row r="3476" spans="1:6" ht="20.25" hidden="1" customHeight="1" x14ac:dyDescent="0.15">
      <c r="A3476" s="2" t="s">
        <v>7205</v>
      </c>
      <c r="B3476" s="2" t="s">
        <v>7206</v>
      </c>
      <c r="C3476" s="2">
        <v>2.21</v>
      </c>
      <c r="D3476" s="2">
        <v>2.0404</v>
      </c>
      <c r="E3476" s="2" t="s">
        <v>310</v>
      </c>
      <c r="F3476" s="2" t="e">
        <f>VLOOKUP(B3476,MSCI中国成分股!A:B,1,)</f>
        <v>#N/A</v>
      </c>
    </row>
    <row r="3477" spans="1:6" ht="20.25" hidden="1" customHeight="1" x14ac:dyDescent="0.15">
      <c r="A3477" s="2" t="s">
        <v>7207</v>
      </c>
      <c r="B3477" s="2" t="s">
        <v>7208</v>
      </c>
      <c r="C3477" s="2">
        <v>0.79</v>
      </c>
      <c r="D3477" s="2">
        <v>3.6069</v>
      </c>
      <c r="E3477" s="2" t="s">
        <v>44</v>
      </c>
      <c r="F3477" s="2" t="e">
        <f>VLOOKUP(B3477,MSCI中国成分股!A:B,1,)</f>
        <v>#N/A</v>
      </c>
    </row>
    <row r="3478" spans="1:6" ht="20.25" hidden="1" customHeight="1" x14ac:dyDescent="0.15">
      <c r="A3478" s="2" t="s">
        <v>7209</v>
      </c>
      <c r="B3478" s="2" t="s">
        <v>7210</v>
      </c>
      <c r="C3478" s="2">
        <v>0.09</v>
      </c>
      <c r="D3478" s="2">
        <v>0.60709999999999997</v>
      </c>
      <c r="E3478" s="2" t="s">
        <v>667</v>
      </c>
      <c r="F3478" s="2" t="e">
        <f>VLOOKUP(B3478,MSCI中国成分股!A:B,1,)</f>
        <v>#N/A</v>
      </c>
    </row>
    <row r="3479" spans="1:6" ht="20.25" hidden="1" customHeight="1" x14ac:dyDescent="0.15">
      <c r="A3479" s="2" t="s">
        <v>7211</v>
      </c>
      <c r="B3479" s="2" t="s">
        <v>7212</v>
      </c>
      <c r="C3479" s="2">
        <v>2.75</v>
      </c>
      <c r="D3479" s="2">
        <v>3.6200999999999999</v>
      </c>
      <c r="E3479" s="2" t="s">
        <v>1608</v>
      </c>
      <c r="F3479" s="2" t="e">
        <f>VLOOKUP(B3479,MSCI中国成分股!A:B,1,)</f>
        <v>#N/A</v>
      </c>
    </row>
    <row r="3480" spans="1:6" ht="20.25" hidden="1" customHeight="1" x14ac:dyDescent="0.15">
      <c r="A3480" s="2" t="s">
        <v>7213</v>
      </c>
      <c r="B3480" s="2" t="s">
        <v>7214</v>
      </c>
      <c r="C3480" s="2">
        <v>-0.46</v>
      </c>
      <c r="D3480" s="2">
        <v>40.391399999999997</v>
      </c>
      <c r="E3480" s="2" t="s">
        <v>1061</v>
      </c>
      <c r="F3480" s="2" t="e">
        <f>VLOOKUP(B3480,MSCI中国成分股!A:B,1,)</f>
        <v>#N/A</v>
      </c>
    </row>
    <row r="3481" spans="1:6" ht="20.25" hidden="1" customHeight="1" x14ac:dyDescent="0.15">
      <c r="A3481" s="2" t="s">
        <v>7215</v>
      </c>
      <c r="B3481" s="2" t="s">
        <v>7216</v>
      </c>
      <c r="C3481" s="2">
        <v>1.2250000000000001</v>
      </c>
      <c r="D3481" s="2">
        <v>4.9059999999999997</v>
      </c>
      <c r="E3481" s="2" t="s">
        <v>86</v>
      </c>
      <c r="F3481" s="2" t="e">
        <f>VLOOKUP(B3481,MSCI中国成分股!A:B,1,)</f>
        <v>#N/A</v>
      </c>
    </row>
    <row r="3482" spans="1:6" ht="20.25" hidden="1" customHeight="1" x14ac:dyDescent="0.15">
      <c r="A3482" s="2" t="s">
        <v>7217</v>
      </c>
      <c r="B3482" s="2" t="s">
        <v>7218</v>
      </c>
      <c r="C3482" s="2">
        <v>-0.30499999999999999</v>
      </c>
      <c r="D3482" s="2">
        <v>3.6032999999999999</v>
      </c>
      <c r="E3482" s="2" t="s">
        <v>657</v>
      </c>
      <c r="F3482" s="2" t="e">
        <f>VLOOKUP(B3482,MSCI中国成分股!A:B,1,)</f>
        <v>#N/A</v>
      </c>
    </row>
    <row r="3483" spans="1:6" ht="20.25" hidden="1" customHeight="1" x14ac:dyDescent="0.15">
      <c r="A3483" s="2" t="s">
        <v>7219</v>
      </c>
      <c r="B3483" s="2" t="s">
        <v>7220</v>
      </c>
      <c r="C3483" s="2">
        <v>-0.06</v>
      </c>
      <c r="D3483" s="2">
        <v>36.305799999999998</v>
      </c>
      <c r="E3483" s="2" t="s">
        <v>228</v>
      </c>
      <c r="F3483" s="2" t="e">
        <f>VLOOKUP(B3483,MSCI中国成分股!A:B,1,)</f>
        <v>#N/A</v>
      </c>
    </row>
    <row r="3484" spans="1:6" ht="20.25" hidden="1" customHeight="1" x14ac:dyDescent="0.15">
      <c r="A3484" s="2" t="s">
        <v>7221</v>
      </c>
      <c r="B3484" s="2" t="s">
        <v>7222</v>
      </c>
      <c r="C3484" s="2">
        <v>0.14000000000000001</v>
      </c>
      <c r="D3484" s="2">
        <v>1.8844000000000001</v>
      </c>
      <c r="E3484" s="2" t="s">
        <v>589</v>
      </c>
      <c r="F3484" s="2" t="e">
        <f>VLOOKUP(B3484,MSCI中国成分股!A:B,1,)</f>
        <v>#N/A</v>
      </c>
    </row>
    <row r="3485" spans="1:6" ht="20.25" hidden="1" customHeight="1" x14ac:dyDescent="0.15">
      <c r="A3485" s="2" t="s">
        <v>7223</v>
      </c>
      <c r="B3485" s="2" t="s">
        <v>7224</v>
      </c>
      <c r="C3485" s="2">
        <v>1.6</v>
      </c>
      <c r="D3485" s="2">
        <v>0.6482</v>
      </c>
      <c r="E3485" s="2" t="s">
        <v>450</v>
      </c>
      <c r="F3485" s="2" t="e">
        <f>VLOOKUP(B3485,MSCI中国成分股!A:B,1,)</f>
        <v>#N/A</v>
      </c>
    </row>
    <row r="3486" spans="1:6" ht="20.25" hidden="1" customHeight="1" x14ac:dyDescent="0.15">
      <c r="A3486" s="2" t="s">
        <v>7225</v>
      </c>
      <c r="B3486" s="2" t="s">
        <v>7226</v>
      </c>
      <c r="C3486" s="2">
        <v>1.9</v>
      </c>
      <c r="D3486" s="2">
        <v>0.53639999999999999</v>
      </c>
      <c r="E3486" s="2" t="s">
        <v>483</v>
      </c>
      <c r="F3486" s="2" t="e">
        <f>VLOOKUP(B3486,MSCI中国成分股!A:B,1,)</f>
        <v>#N/A</v>
      </c>
    </row>
    <row r="3487" spans="1:6" ht="20.25" hidden="1" customHeight="1" x14ac:dyDescent="0.15">
      <c r="A3487" s="2" t="s">
        <v>7227</v>
      </c>
      <c r="B3487" s="2" t="s">
        <v>7228</v>
      </c>
      <c r="C3487" s="2">
        <v>1.31</v>
      </c>
      <c r="D3487" s="2">
        <v>0.88890000000000002</v>
      </c>
      <c r="E3487" s="2" t="s">
        <v>2724</v>
      </c>
      <c r="F3487" s="2" t="e">
        <f>VLOOKUP(B3487,MSCI中国成分股!A:B,1,)</f>
        <v>#N/A</v>
      </c>
    </row>
    <row r="3488" spans="1:6" ht="20.25" hidden="1" customHeight="1" x14ac:dyDescent="0.15">
      <c r="A3488" s="2" t="s">
        <v>7229</v>
      </c>
      <c r="B3488" s="2" t="s">
        <v>7230</v>
      </c>
      <c r="C3488" s="2">
        <v>2.37</v>
      </c>
      <c r="D3488" s="2">
        <v>0.31159999999999999</v>
      </c>
      <c r="E3488" s="2" t="s">
        <v>713</v>
      </c>
      <c r="F3488" s="2" t="e">
        <f>VLOOKUP(B3488,MSCI中国成分股!A:B,1,)</f>
        <v>#N/A</v>
      </c>
    </row>
    <row r="3489" spans="1:6" ht="20.25" hidden="1" customHeight="1" x14ac:dyDescent="0.15">
      <c r="A3489" s="2" t="s">
        <v>7231</v>
      </c>
      <c r="B3489" s="2" t="s">
        <v>7232</v>
      </c>
      <c r="C3489" s="2">
        <v>1.02</v>
      </c>
      <c r="D3489" s="2">
        <v>10.285500000000001</v>
      </c>
      <c r="E3489" s="2" t="s">
        <v>724</v>
      </c>
      <c r="F3489" s="2" t="e">
        <f>VLOOKUP(B3489,MSCI中国成分股!A:B,1,)</f>
        <v>#N/A</v>
      </c>
    </row>
    <row r="3490" spans="1:6" ht="20.25" hidden="1" customHeight="1" x14ac:dyDescent="0.15">
      <c r="A3490" s="2" t="s">
        <v>7233</v>
      </c>
      <c r="B3490" s="2" t="s">
        <v>7234</v>
      </c>
      <c r="C3490" s="2">
        <v>1.0900000000000001</v>
      </c>
      <c r="D3490" s="2">
        <v>1.4705999999999999</v>
      </c>
      <c r="E3490" s="2" t="s">
        <v>2898</v>
      </c>
      <c r="F3490" s="2" t="e">
        <f>VLOOKUP(B3490,MSCI中国成分股!A:B,1,)</f>
        <v>#N/A</v>
      </c>
    </row>
    <row r="3491" spans="1:6" ht="20.25" hidden="1" customHeight="1" x14ac:dyDescent="0.15">
      <c r="A3491" s="2" t="s">
        <v>7235</v>
      </c>
      <c r="B3491" s="2" t="s">
        <v>7236</v>
      </c>
      <c r="C3491" s="2">
        <v>0.99</v>
      </c>
      <c r="D3491" s="2">
        <v>0.53849999999999998</v>
      </c>
      <c r="E3491" s="2" t="s">
        <v>1403</v>
      </c>
      <c r="F3491" s="2" t="e">
        <f>VLOOKUP(B3491,MSCI中国成分股!A:B,1,)</f>
        <v>#N/A</v>
      </c>
    </row>
    <row r="3492" spans="1:6" ht="20.25" hidden="1" customHeight="1" x14ac:dyDescent="0.15">
      <c r="A3492" s="2" t="s">
        <v>7237</v>
      </c>
      <c r="B3492" s="2" t="s">
        <v>7238</v>
      </c>
      <c r="C3492" s="2">
        <v>0.87</v>
      </c>
      <c r="D3492" s="2">
        <v>0.42809999999999998</v>
      </c>
      <c r="E3492" s="2" t="s">
        <v>862</v>
      </c>
      <c r="F3492" s="2" t="e">
        <f>VLOOKUP(B3492,MSCI中国成分股!A:B,1,)</f>
        <v>#N/A</v>
      </c>
    </row>
    <row r="3493" spans="1:6" ht="20.25" hidden="1" customHeight="1" x14ac:dyDescent="0.15">
      <c r="A3493" s="2" t="s">
        <v>7239</v>
      </c>
      <c r="B3493" s="2" t="s">
        <v>7240</v>
      </c>
      <c r="C3493" s="2">
        <v>1.135</v>
      </c>
      <c r="D3493" s="2">
        <v>7.3940000000000001</v>
      </c>
      <c r="E3493" s="2" t="s">
        <v>1515</v>
      </c>
      <c r="F3493" s="2" t="e">
        <f>VLOOKUP(B3493,MSCI中国成分股!A:B,1,)</f>
        <v>#N/A</v>
      </c>
    </row>
    <row r="3494" spans="1:6" ht="20.25" hidden="1" customHeight="1" x14ac:dyDescent="0.15">
      <c r="A3494" s="2" t="s">
        <v>7241</v>
      </c>
      <c r="B3494" s="2" t="s">
        <v>7242</v>
      </c>
      <c r="C3494" s="2">
        <v>2.66</v>
      </c>
      <c r="D3494" s="2">
        <v>3.7843</v>
      </c>
      <c r="E3494" s="2" t="s">
        <v>794</v>
      </c>
      <c r="F3494" s="2" t="e">
        <f>VLOOKUP(B3494,MSCI中国成分股!A:B,1,)</f>
        <v>#N/A</v>
      </c>
    </row>
    <row r="3495" spans="1:6" ht="20.25" hidden="1" customHeight="1" x14ac:dyDescent="0.15">
      <c r="A3495" s="2" t="s">
        <v>7243</v>
      </c>
      <c r="B3495" s="2" t="s">
        <v>7244</v>
      </c>
      <c r="C3495" s="2">
        <v>2.46</v>
      </c>
      <c r="D3495" s="2">
        <v>3.3197000000000001</v>
      </c>
      <c r="E3495" s="2" t="s">
        <v>1801</v>
      </c>
      <c r="F3495" s="2" t="e">
        <f>VLOOKUP(B3495,MSCI中国成分股!A:B,1,)</f>
        <v>#N/A</v>
      </c>
    </row>
    <row r="3496" spans="1:6" ht="20.25" hidden="1" customHeight="1" x14ac:dyDescent="0.15">
      <c r="A3496" s="2" t="s">
        <v>7245</v>
      </c>
      <c r="B3496" s="2" t="s">
        <v>7246</v>
      </c>
      <c r="C3496" s="2">
        <v>1.55</v>
      </c>
      <c r="D3496" s="2">
        <v>0.2455</v>
      </c>
      <c r="E3496" s="2" t="s">
        <v>784</v>
      </c>
      <c r="F3496" s="2" t="e">
        <f>VLOOKUP(B3496,MSCI中国成分股!A:B,1,)</f>
        <v>#N/A</v>
      </c>
    </row>
    <row r="3497" spans="1:6" ht="20.25" hidden="1" customHeight="1" x14ac:dyDescent="0.15">
      <c r="A3497" s="2" t="s">
        <v>7247</v>
      </c>
      <c r="B3497" s="2" t="s">
        <v>7248</v>
      </c>
      <c r="C3497" s="2">
        <v>-0.24</v>
      </c>
      <c r="D3497" s="2">
        <v>45.547600000000003</v>
      </c>
      <c r="E3497" s="2" t="s">
        <v>589</v>
      </c>
      <c r="F3497" s="2" t="e">
        <f>VLOOKUP(B3497,MSCI中国成分股!A:B,1,)</f>
        <v>#N/A</v>
      </c>
    </row>
    <row r="3498" spans="1:6" ht="20.25" hidden="1" customHeight="1" x14ac:dyDescent="0.15">
      <c r="A3498" s="2" t="s">
        <v>7249</v>
      </c>
      <c r="B3498" s="2" t="s">
        <v>7250</v>
      </c>
      <c r="C3498" s="2">
        <v>-7.0000000000000007E-2</v>
      </c>
      <c r="D3498" s="2">
        <v>0.64600000000000002</v>
      </c>
      <c r="E3498" s="2" t="s">
        <v>89</v>
      </c>
      <c r="F3498" s="2" t="e">
        <f>VLOOKUP(B3498,MSCI中国成分股!A:B,1,)</f>
        <v>#N/A</v>
      </c>
    </row>
    <row r="3499" spans="1:6" ht="20.25" hidden="1" customHeight="1" x14ac:dyDescent="0.15">
      <c r="A3499" s="2" t="s">
        <v>7251</v>
      </c>
      <c r="B3499" s="2" t="s">
        <v>7252</v>
      </c>
      <c r="C3499" s="2">
        <v>1.3049999999999999</v>
      </c>
      <c r="D3499" s="2">
        <v>15.740500000000001</v>
      </c>
      <c r="E3499" s="2" t="s">
        <v>265</v>
      </c>
      <c r="F3499" s="2" t="e">
        <f>VLOOKUP(B3499,MSCI中国成分股!A:B,1,)</f>
        <v>#N/A</v>
      </c>
    </row>
    <row r="3500" spans="1:6" ht="20.25" hidden="1" customHeight="1" x14ac:dyDescent="0.15">
      <c r="A3500" s="2" t="s">
        <v>7253</v>
      </c>
      <c r="B3500" s="2" t="s">
        <v>7254</v>
      </c>
      <c r="C3500" s="2">
        <v>0.08</v>
      </c>
      <c r="D3500" s="2">
        <v>3.2800000000000003E-2</v>
      </c>
      <c r="E3500" s="2" t="s">
        <v>750</v>
      </c>
      <c r="F3500" s="2" t="e">
        <f>VLOOKUP(B3500,MSCI中国成分股!A:B,1,)</f>
        <v>#N/A</v>
      </c>
    </row>
    <row r="3501" spans="1:6" ht="20.25" hidden="1" customHeight="1" x14ac:dyDescent="0.15">
      <c r="A3501" s="2" t="s">
        <v>7255</v>
      </c>
      <c r="B3501" s="2" t="s">
        <v>7256</v>
      </c>
      <c r="C3501" s="2">
        <v>1.5</v>
      </c>
      <c r="D3501" s="2">
        <v>1.1037999999999999</v>
      </c>
      <c r="E3501" s="2" t="s">
        <v>310</v>
      </c>
      <c r="F3501" s="2" t="e">
        <f>VLOOKUP(B3501,MSCI中国成分股!A:B,1,)</f>
        <v>#N/A</v>
      </c>
    </row>
    <row r="3502" spans="1:6" ht="20.25" hidden="1" customHeight="1" x14ac:dyDescent="0.15">
      <c r="A3502" s="2" t="s">
        <v>7257</v>
      </c>
      <c r="B3502" s="2" t="s">
        <v>7258</v>
      </c>
      <c r="C3502" s="2">
        <v>0.45</v>
      </c>
      <c r="D3502" s="2">
        <v>0.33589999999999998</v>
      </c>
      <c r="E3502" s="2" t="s">
        <v>630</v>
      </c>
      <c r="F3502" s="2" t="e">
        <f>VLOOKUP(B3502,MSCI中国成分股!A:B,1,)</f>
        <v>#N/A</v>
      </c>
    </row>
    <row r="3503" spans="1:6" ht="20.25" hidden="1" customHeight="1" x14ac:dyDescent="0.15">
      <c r="A3503" s="2" t="s">
        <v>7259</v>
      </c>
      <c r="B3503" s="2" t="s">
        <v>7260</v>
      </c>
      <c r="C3503" s="2">
        <v>1.68</v>
      </c>
      <c r="D3503" s="2">
        <v>1.2024999999999999</v>
      </c>
      <c r="E3503" s="2" t="s">
        <v>1486</v>
      </c>
      <c r="F3503" s="2" t="e">
        <f>VLOOKUP(B3503,MSCI中国成分股!A:B,1,)</f>
        <v>#N/A</v>
      </c>
    </row>
    <row r="3504" spans="1:6" ht="20.25" hidden="1" customHeight="1" x14ac:dyDescent="0.15">
      <c r="A3504" s="2" t="s">
        <v>7261</v>
      </c>
      <c r="B3504" s="2" t="s">
        <v>7262</v>
      </c>
      <c r="C3504" s="2">
        <v>1.1599999999999999</v>
      </c>
      <c r="D3504" s="2">
        <v>1.41</v>
      </c>
      <c r="E3504" s="2" t="s">
        <v>713</v>
      </c>
      <c r="F3504" s="2" t="e">
        <f>VLOOKUP(B3504,MSCI中国成分股!A:B,1,)</f>
        <v>#N/A</v>
      </c>
    </row>
    <row r="3505" spans="1:6" ht="20.25" hidden="1" customHeight="1" x14ac:dyDescent="0.15">
      <c r="A3505" s="2" t="s">
        <v>7263</v>
      </c>
      <c r="B3505" s="2" t="s">
        <v>7264</v>
      </c>
      <c r="C3505" s="2">
        <v>-6.83</v>
      </c>
      <c r="D3505" s="2">
        <v>91.515299999999996</v>
      </c>
      <c r="E3505" s="2" t="s">
        <v>299</v>
      </c>
      <c r="F3505" s="2" t="e">
        <f>VLOOKUP(B3505,MSCI中国成分股!A:B,1,)</f>
        <v>#N/A</v>
      </c>
    </row>
    <row r="3506" spans="1:6" ht="20.25" hidden="1" customHeight="1" x14ac:dyDescent="0.15">
      <c r="A3506" s="2" t="s">
        <v>7265</v>
      </c>
      <c r="B3506" s="2" t="s">
        <v>7266</v>
      </c>
      <c r="C3506" s="2">
        <v>0.59</v>
      </c>
      <c r="D3506" s="2">
        <v>4.6958000000000002</v>
      </c>
      <c r="E3506" s="2" t="s">
        <v>501</v>
      </c>
      <c r="F3506" s="2" t="e">
        <f>VLOOKUP(B3506,MSCI中国成分股!A:B,1,)</f>
        <v>#N/A</v>
      </c>
    </row>
    <row r="3507" spans="1:6" ht="20.25" hidden="1" customHeight="1" x14ac:dyDescent="0.15">
      <c r="A3507" s="2" t="s">
        <v>7267</v>
      </c>
      <c r="B3507" s="2" t="s">
        <v>7268</v>
      </c>
      <c r="C3507" s="2">
        <v>1.42</v>
      </c>
      <c r="D3507" s="2">
        <v>1.3306</v>
      </c>
      <c r="E3507" s="2" t="s">
        <v>286</v>
      </c>
      <c r="F3507" s="2" t="e">
        <f>VLOOKUP(B3507,MSCI中国成分股!A:B,1,)</f>
        <v>#N/A</v>
      </c>
    </row>
    <row r="3508" spans="1:6" ht="20.25" hidden="1" customHeight="1" x14ac:dyDescent="0.15">
      <c r="A3508" s="2" t="s">
        <v>7269</v>
      </c>
      <c r="B3508" s="2" t="s">
        <v>7270</v>
      </c>
      <c r="C3508" s="2">
        <v>1.81</v>
      </c>
      <c r="D3508" s="2">
        <v>1.21</v>
      </c>
      <c r="E3508" s="2" t="s">
        <v>368</v>
      </c>
      <c r="F3508" s="2" t="e">
        <f>VLOOKUP(B3508,MSCI中国成分股!A:B,1,)</f>
        <v>#N/A</v>
      </c>
    </row>
    <row r="3509" spans="1:6" ht="20.25" hidden="1" customHeight="1" x14ac:dyDescent="0.15">
      <c r="A3509" s="2" t="s">
        <v>7271</v>
      </c>
      <c r="B3509" s="2" t="s">
        <v>7272</v>
      </c>
      <c r="C3509" s="2">
        <v>1.1299999999999999</v>
      </c>
      <c r="D3509" s="2">
        <v>0.61019999999999996</v>
      </c>
      <c r="E3509" s="2" t="s">
        <v>630</v>
      </c>
      <c r="F3509" s="2" t="e">
        <f>VLOOKUP(B3509,MSCI中国成分股!A:B,1,)</f>
        <v>#N/A</v>
      </c>
    </row>
    <row r="3510" spans="1:6" ht="20.25" hidden="1" customHeight="1" x14ac:dyDescent="0.15">
      <c r="A3510" s="2" t="s">
        <v>7273</v>
      </c>
      <c r="B3510" s="2" t="s">
        <v>7274</v>
      </c>
      <c r="C3510" s="2">
        <v>0.89</v>
      </c>
      <c r="D3510" s="2">
        <v>0.72119999999999995</v>
      </c>
      <c r="E3510" s="2" t="s">
        <v>257</v>
      </c>
      <c r="F3510" s="2" t="e">
        <f>VLOOKUP(B3510,MSCI中国成分股!A:B,1,)</f>
        <v>#N/A</v>
      </c>
    </row>
    <row r="3511" spans="1:6" ht="20.25" hidden="1" customHeight="1" x14ac:dyDescent="0.15">
      <c r="A3511" s="2" t="s">
        <v>7275</v>
      </c>
      <c r="B3511" s="2" t="s">
        <v>7276</v>
      </c>
      <c r="C3511" s="2">
        <v>0.66</v>
      </c>
      <c r="D3511" s="2">
        <v>4.5067000000000004</v>
      </c>
      <c r="E3511" s="2" t="s">
        <v>630</v>
      </c>
      <c r="F3511" s="2" t="e">
        <f>VLOOKUP(B3511,MSCI中国成分股!A:B,1,)</f>
        <v>#N/A</v>
      </c>
    </row>
    <row r="3512" spans="1:6" ht="20.25" hidden="1" customHeight="1" x14ac:dyDescent="0.15">
      <c r="A3512" s="2" t="s">
        <v>7277</v>
      </c>
      <c r="B3512" s="2" t="s">
        <v>7278</v>
      </c>
      <c r="C3512" s="2">
        <v>-0.55000000000000004</v>
      </c>
      <c r="D3512" s="2">
        <v>0.65029999999999999</v>
      </c>
      <c r="E3512" s="2" t="s">
        <v>1061</v>
      </c>
      <c r="F3512" s="2" t="e">
        <f>VLOOKUP(B3512,MSCI中国成分股!A:B,1,)</f>
        <v>#N/A</v>
      </c>
    </row>
    <row r="3513" spans="1:6" ht="20.25" hidden="1" customHeight="1" x14ac:dyDescent="0.15">
      <c r="A3513" s="2" t="s">
        <v>7279</v>
      </c>
      <c r="B3513" s="2" t="s">
        <v>7280</v>
      </c>
      <c r="C3513" s="2">
        <v>-1.52</v>
      </c>
      <c r="D3513" s="2">
        <v>16.305399999999999</v>
      </c>
      <c r="E3513" s="2" t="s">
        <v>459</v>
      </c>
      <c r="F3513" s="2" t="e">
        <f>VLOOKUP(B3513,MSCI中国成分股!A:B,1,)</f>
        <v>#N/A</v>
      </c>
    </row>
    <row r="3514" spans="1:6" ht="20.25" hidden="1" customHeight="1" x14ac:dyDescent="0.15">
      <c r="A3514" s="2" t="s">
        <v>7281</v>
      </c>
      <c r="B3514" s="2" t="s">
        <v>7282</v>
      </c>
      <c r="C3514" s="2">
        <v>-2.8</v>
      </c>
      <c r="D3514" s="2">
        <v>577.65470000000005</v>
      </c>
      <c r="E3514" s="2" t="s">
        <v>52</v>
      </c>
      <c r="F3514" s="2" t="e">
        <f>VLOOKUP(B3514,MSCI中国成分股!A:B,1,)</f>
        <v>#N/A</v>
      </c>
    </row>
    <row r="3515" spans="1:6" ht="20.25" hidden="1" customHeight="1" x14ac:dyDescent="0.15">
      <c r="A3515" s="2" t="s">
        <v>7283</v>
      </c>
      <c r="B3515" s="2" t="s">
        <v>7284</v>
      </c>
      <c r="C3515" s="2">
        <v>2.77</v>
      </c>
      <c r="D3515" s="2">
        <v>12.857200000000001</v>
      </c>
      <c r="E3515" s="2" t="s">
        <v>421</v>
      </c>
      <c r="F3515" s="2" t="e">
        <f>VLOOKUP(B3515,MSCI中国成分股!A:B,1,)</f>
        <v>#N/A</v>
      </c>
    </row>
    <row r="3516" spans="1:6" ht="20.25" hidden="1" customHeight="1" x14ac:dyDescent="0.15">
      <c r="A3516" s="2" t="s">
        <v>7285</v>
      </c>
      <c r="B3516" s="2" t="s">
        <v>7286</v>
      </c>
      <c r="C3516" s="2">
        <v>3.14</v>
      </c>
      <c r="D3516" s="2">
        <v>1.1705000000000001</v>
      </c>
      <c r="E3516" s="2" t="s">
        <v>1608</v>
      </c>
      <c r="F3516" s="2" t="e">
        <f>VLOOKUP(B3516,MSCI中国成分股!A:B,1,)</f>
        <v>#N/A</v>
      </c>
    </row>
    <row r="3517" spans="1:6" ht="20.25" hidden="1" customHeight="1" x14ac:dyDescent="0.15">
      <c r="A3517" s="2" t="s">
        <v>7287</v>
      </c>
      <c r="B3517" s="2" t="s">
        <v>7288</v>
      </c>
      <c r="C3517" s="2">
        <v>0.03</v>
      </c>
      <c r="D3517" s="2">
        <v>9.7152999999999992</v>
      </c>
      <c r="E3517" s="2" t="s">
        <v>111</v>
      </c>
      <c r="F3517" s="2" t="e">
        <f>VLOOKUP(B3517,MSCI中国成分股!A:B,1,)</f>
        <v>#N/A</v>
      </c>
    </row>
    <row r="3518" spans="1:6" ht="20.25" hidden="1" customHeight="1" x14ac:dyDescent="0.15">
      <c r="A3518" s="2" t="s">
        <v>7289</v>
      </c>
      <c r="B3518" s="2" t="s">
        <v>7290</v>
      </c>
      <c r="C3518" s="2">
        <v>-0.28999999999999998</v>
      </c>
      <c r="D3518" s="2">
        <v>13.3543</v>
      </c>
      <c r="E3518" s="2" t="s">
        <v>1878</v>
      </c>
      <c r="F3518" s="2" t="e">
        <f>VLOOKUP(B3518,MSCI中国成分股!A:B,1,)</f>
        <v>#N/A</v>
      </c>
    </row>
    <row r="3519" spans="1:6" ht="20.25" hidden="1" customHeight="1" x14ac:dyDescent="0.15">
      <c r="A3519" s="2" t="s">
        <v>7291</v>
      </c>
      <c r="B3519" s="2" t="s">
        <v>7292</v>
      </c>
      <c r="C3519" s="2">
        <v>1.06</v>
      </c>
      <c r="D3519" s="2">
        <v>0.747</v>
      </c>
      <c r="E3519" s="2" t="s">
        <v>1425</v>
      </c>
      <c r="F3519" s="2" t="e">
        <f>VLOOKUP(B3519,MSCI中国成分股!A:B,1,)</f>
        <v>#N/A</v>
      </c>
    </row>
    <row r="3520" spans="1:6" ht="20.25" hidden="1" customHeight="1" x14ac:dyDescent="0.15">
      <c r="A3520" s="2" t="s">
        <v>7293</v>
      </c>
      <c r="B3520" s="2" t="s">
        <v>7294</v>
      </c>
      <c r="C3520" s="2">
        <v>-0.35</v>
      </c>
      <c r="D3520" s="2">
        <v>3.6446000000000001</v>
      </c>
      <c r="E3520" s="2" t="s">
        <v>704</v>
      </c>
      <c r="F3520" s="2" t="e">
        <f>VLOOKUP(B3520,MSCI中国成分股!A:B,1,)</f>
        <v>#N/A</v>
      </c>
    </row>
    <row r="3521" spans="1:6" ht="20.25" hidden="1" customHeight="1" x14ac:dyDescent="0.15">
      <c r="A3521" s="2" t="s">
        <v>7295</v>
      </c>
      <c r="B3521" s="2" t="s">
        <v>7296</v>
      </c>
      <c r="C3521" s="2">
        <v>0.79500000000000004</v>
      </c>
      <c r="D3521" s="2">
        <v>1.3976999999999999</v>
      </c>
      <c r="E3521" s="2" t="s">
        <v>2865</v>
      </c>
      <c r="F3521" s="2" t="e">
        <f>VLOOKUP(B3521,MSCI中国成分股!A:B,1,)</f>
        <v>#N/A</v>
      </c>
    </row>
    <row r="3522" spans="1:6" ht="20.25" hidden="1" customHeight="1" x14ac:dyDescent="0.15">
      <c r="A3522" s="2" t="s">
        <v>7297</v>
      </c>
      <c r="B3522" s="2" t="s">
        <v>7298</v>
      </c>
      <c r="C3522" s="2">
        <v>-1.35</v>
      </c>
      <c r="D3522" s="2">
        <v>5.1920999999999999</v>
      </c>
      <c r="E3522" s="2" t="s">
        <v>1041</v>
      </c>
      <c r="F3522" s="2" t="e">
        <f>VLOOKUP(B3522,MSCI中国成分股!A:B,1,)</f>
        <v>#N/A</v>
      </c>
    </row>
    <row r="3523" spans="1:6" ht="20.25" hidden="1" customHeight="1" x14ac:dyDescent="0.15">
      <c r="A3523" s="2" t="s">
        <v>7299</v>
      </c>
      <c r="B3523" s="2" t="s">
        <v>7300</v>
      </c>
      <c r="C3523" s="2">
        <v>0.99</v>
      </c>
      <c r="D3523" s="2">
        <v>25424.427800000001</v>
      </c>
      <c r="E3523" s="2" t="s">
        <v>1712</v>
      </c>
      <c r="F3523" s="2" t="e">
        <f>VLOOKUP(B3523,MSCI中国成分股!A:B,1,)</f>
        <v>#N/A</v>
      </c>
    </row>
    <row r="3524" spans="1:6" ht="20.25" hidden="1" customHeight="1" x14ac:dyDescent="0.15">
      <c r="A3524" s="2" t="s">
        <v>7301</v>
      </c>
      <c r="B3524" s="2" t="s">
        <v>7302</v>
      </c>
      <c r="C3524" s="2">
        <v>2.87</v>
      </c>
      <c r="D3524" s="2">
        <v>7.0003000000000002</v>
      </c>
      <c r="E3524" s="2" t="s">
        <v>1173</v>
      </c>
      <c r="F3524" s="2" t="e">
        <f>VLOOKUP(B3524,MSCI中国成分股!A:B,1,)</f>
        <v>#N/A</v>
      </c>
    </row>
    <row r="3525" spans="1:6" ht="20.25" hidden="1" customHeight="1" x14ac:dyDescent="0.15">
      <c r="A3525" s="2" t="s">
        <v>7303</v>
      </c>
      <c r="B3525" s="2" t="s">
        <v>7304</v>
      </c>
      <c r="C3525" s="2">
        <v>0.37</v>
      </c>
      <c r="D3525" s="2">
        <v>1.7907999999999999</v>
      </c>
      <c r="E3525" s="2" t="s">
        <v>568</v>
      </c>
      <c r="F3525" s="2" t="e">
        <f>VLOOKUP(B3525,MSCI中国成分股!A:B,1,)</f>
        <v>#N/A</v>
      </c>
    </row>
    <row r="3526" spans="1:6" ht="20.25" hidden="1" customHeight="1" x14ac:dyDescent="0.15">
      <c r="A3526" s="2" t="s">
        <v>7305</v>
      </c>
      <c r="B3526" s="2" t="s">
        <v>7306</v>
      </c>
      <c r="C3526" s="2">
        <v>1.33</v>
      </c>
      <c r="D3526" s="2">
        <v>1.427</v>
      </c>
      <c r="E3526" s="2" t="s">
        <v>1338</v>
      </c>
      <c r="F3526" s="2" t="e">
        <f>VLOOKUP(B3526,MSCI中国成分股!A:B,1,)</f>
        <v>#N/A</v>
      </c>
    </row>
    <row r="3527" spans="1:6" ht="20.25" hidden="1" customHeight="1" x14ac:dyDescent="0.15">
      <c r="A3527" s="2" t="s">
        <v>7307</v>
      </c>
      <c r="B3527" s="2" t="s">
        <v>7308</v>
      </c>
      <c r="C3527" s="2">
        <v>2.2599999999999998</v>
      </c>
      <c r="D3527" s="2">
        <v>2.0562</v>
      </c>
      <c r="E3527" s="2" t="s">
        <v>630</v>
      </c>
      <c r="F3527" s="2" t="e">
        <f>VLOOKUP(B3527,MSCI中国成分股!A:B,1,)</f>
        <v>#N/A</v>
      </c>
    </row>
    <row r="3528" spans="1:6" ht="20.25" hidden="1" customHeight="1" x14ac:dyDescent="0.15">
      <c r="A3528" s="2" t="s">
        <v>7309</v>
      </c>
      <c r="B3528" s="2" t="s">
        <v>7310</v>
      </c>
      <c r="C3528" s="2">
        <v>-0.03</v>
      </c>
      <c r="D3528" s="2">
        <v>1.0313000000000001</v>
      </c>
      <c r="E3528" s="2" t="s">
        <v>1997</v>
      </c>
      <c r="F3528" s="2" t="e">
        <f>VLOOKUP(B3528,MSCI中国成分股!A:B,1,)</f>
        <v>#N/A</v>
      </c>
    </row>
    <row r="3529" spans="1:6" ht="20.25" hidden="1" customHeight="1" x14ac:dyDescent="0.15">
      <c r="A3529" s="2" t="s">
        <v>7311</v>
      </c>
      <c r="B3529" s="2" t="s">
        <v>7312</v>
      </c>
      <c r="C3529" s="2">
        <v>-1.33</v>
      </c>
      <c r="D3529" s="2">
        <v>8.1219000000000001</v>
      </c>
      <c r="E3529" s="2" t="s">
        <v>3048</v>
      </c>
      <c r="F3529" s="2" t="e">
        <f>VLOOKUP(B3529,MSCI中国成分股!A:B,1,)</f>
        <v>#N/A</v>
      </c>
    </row>
    <row r="3530" spans="1:6" ht="20.25" hidden="1" customHeight="1" x14ac:dyDescent="0.15">
      <c r="A3530" s="2" t="s">
        <v>7313</v>
      </c>
      <c r="B3530" s="2" t="s">
        <v>7314</v>
      </c>
      <c r="C3530" s="2">
        <v>1.36</v>
      </c>
      <c r="D3530" s="2">
        <v>2.181</v>
      </c>
      <c r="E3530" s="2" t="s">
        <v>10</v>
      </c>
      <c r="F3530" s="2" t="e">
        <f>VLOOKUP(B3530,MSCI中国成分股!A:B,1,)</f>
        <v>#N/A</v>
      </c>
    </row>
    <row r="3531" spans="1:6" ht="20.25" hidden="1" customHeight="1" x14ac:dyDescent="0.15">
      <c r="A3531" s="2" t="s">
        <v>7315</v>
      </c>
      <c r="B3531" s="2" t="s">
        <v>7316</v>
      </c>
      <c r="C3531" s="2">
        <v>0.63500000000000001</v>
      </c>
      <c r="D3531" s="2">
        <v>0.1983</v>
      </c>
      <c r="E3531" s="2" t="s">
        <v>339</v>
      </c>
      <c r="F3531" s="2" t="e">
        <f>VLOOKUP(B3531,MSCI中国成分股!A:B,1,)</f>
        <v>#N/A</v>
      </c>
    </row>
    <row r="3532" spans="1:6" ht="20.25" hidden="1" customHeight="1" x14ac:dyDescent="0.15">
      <c r="A3532" s="2" t="s">
        <v>7317</v>
      </c>
      <c r="B3532" s="2" t="s">
        <v>7318</v>
      </c>
      <c r="C3532" s="2">
        <v>0.79</v>
      </c>
      <c r="D3532" s="2">
        <v>2.6031</v>
      </c>
      <c r="E3532" s="2" t="s">
        <v>257</v>
      </c>
      <c r="F3532" s="2" t="e">
        <f>VLOOKUP(B3532,MSCI中国成分股!A:B,1,)</f>
        <v>#N/A</v>
      </c>
    </row>
    <row r="3533" spans="1:6" ht="20.25" hidden="1" customHeight="1" x14ac:dyDescent="0.15">
      <c r="A3533" s="2" t="s">
        <v>7319</v>
      </c>
      <c r="B3533" s="2" t="s">
        <v>7320</v>
      </c>
      <c r="C3533" s="2">
        <v>1.87</v>
      </c>
      <c r="D3533" s="2">
        <v>21.809200000000001</v>
      </c>
      <c r="E3533" s="2" t="s">
        <v>2151</v>
      </c>
      <c r="F3533" s="2" t="e">
        <f>VLOOKUP(B3533,MSCI中国成分股!A:B,1,)</f>
        <v>#N/A</v>
      </c>
    </row>
    <row r="3534" spans="1:6" ht="20.25" hidden="1" customHeight="1" x14ac:dyDescent="0.15">
      <c r="A3534" s="2" t="s">
        <v>7321</v>
      </c>
      <c r="B3534" s="2" t="s">
        <v>7322</v>
      </c>
      <c r="C3534" s="2">
        <v>2.77</v>
      </c>
      <c r="D3534" s="2">
        <v>6.1719999999999997</v>
      </c>
      <c r="E3534" s="2" t="s">
        <v>561</v>
      </c>
      <c r="F3534" s="2" t="e">
        <f>VLOOKUP(B3534,MSCI中国成分股!A:B,1,)</f>
        <v>#N/A</v>
      </c>
    </row>
    <row r="3535" spans="1:6" ht="20.25" hidden="1" customHeight="1" x14ac:dyDescent="0.15">
      <c r="A3535" s="2" t="s">
        <v>7323</v>
      </c>
      <c r="B3535" s="2" t="s">
        <v>7324</v>
      </c>
      <c r="C3535" s="2">
        <v>1.6</v>
      </c>
      <c r="D3535" s="2">
        <v>2.3561999999999999</v>
      </c>
      <c r="E3535" s="2" t="s">
        <v>1381</v>
      </c>
      <c r="F3535" s="2" t="e">
        <f>VLOOKUP(B3535,MSCI中国成分股!A:B,1,)</f>
        <v>#N/A</v>
      </c>
    </row>
    <row r="3536" spans="1:6" ht="20.25" hidden="1" customHeight="1" x14ac:dyDescent="0.15">
      <c r="A3536" s="2" t="s">
        <v>7325</v>
      </c>
      <c r="B3536" s="2" t="s">
        <v>7326</v>
      </c>
      <c r="C3536" s="2">
        <v>1.24</v>
      </c>
      <c r="D3536" s="2">
        <v>0.85389999999999999</v>
      </c>
      <c r="E3536" s="2" t="s">
        <v>1338</v>
      </c>
      <c r="F3536" s="2" t="e">
        <f>VLOOKUP(B3536,MSCI中国成分股!A:B,1,)</f>
        <v>#N/A</v>
      </c>
    </row>
    <row r="3537" spans="1:6" ht="20.25" hidden="1" customHeight="1" x14ac:dyDescent="0.15">
      <c r="A3537" s="2" t="s">
        <v>7327</v>
      </c>
      <c r="B3537" s="2" t="s">
        <v>7328</v>
      </c>
      <c r="C3537" s="2">
        <v>1.1200000000000001</v>
      </c>
      <c r="D3537" s="2">
        <v>1.2064999999999999</v>
      </c>
      <c r="E3537" s="2" t="s">
        <v>339</v>
      </c>
      <c r="F3537" s="2" t="e">
        <f>VLOOKUP(B3537,MSCI中国成分股!A:B,1,)</f>
        <v>#N/A</v>
      </c>
    </row>
    <row r="3538" spans="1:6" ht="20.25" hidden="1" customHeight="1" x14ac:dyDescent="0.15">
      <c r="A3538" s="2" t="s">
        <v>7329</v>
      </c>
      <c r="B3538" s="2" t="s">
        <v>7330</v>
      </c>
      <c r="C3538" s="2">
        <v>1.1399999999999999</v>
      </c>
      <c r="D3538" s="2">
        <v>2.1012</v>
      </c>
      <c r="E3538" s="2" t="s">
        <v>529</v>
      </c>
      <c r="F3538" s="2" t="e">
        <f>VLOOKUP(B3538,MSCI中国成分股!A:B,1,)</f>
        <v>#N/A</v>
      </c>
    </row>
    <row r="3539" spans="1:6" ht="20.25" hidden="1" customHeight="1" x14ac:dyDescent="0.15">
      <c r="A3539" s="2" t="s">
        <v>7331</v>
      </c>
      <c r="B3539" s="2" t="s">
        <v>7332</v>
      </c>
      <c r="C3539" s="2">
        <v>1.07</v>
      </c>
      <c r="D3539" s="2">
        <v>2.5920000000000001</v>
      </c>
      <c r="E3539" s="2" t="s">
        <v>4127</v>
      </c>
      <c r="F3539" s="2" t="e">
        <f>VLOOKUP(B3539,MSCI中国成分股!A:B,1,)</f>
        <v>#N/A</v>
      </c>
    </row>
    <row r="3540" spans="1:6" ht="20.25" hidden="1" customHeight="1" x14ac:dyDescent="0.15">
      <c r="A3540" s="2" t="s">
        <v>7333</v>
      </c>
      <c r="B3540" s="2" t="s">
        <v>7334</v>
      </c>
      <c r="C3540" s="2">
        <v>1.85</v>
      </c>
      <c r="D3540" s="2">
        <v>3.4342999999999999</v>
      </c>
      <c r="E3540" s="2" t="s">
        <v>647</v>
      </c>
      <c r="F3540" s="2" t="e">
        <f>VLOOKUP(B3540,MSCI中国成分股!A:B,1,)</f>
        <v>#N/A</v>
      </c>
    </row>
    <row r="3541" spans="1:6" ht="20.25" hidden="1" customHeight="1" x14ac:dyDescent="0.15">
      <c r="A3541" s="2" t="s">
        <v>7335</v>
      </c>
      <c r="B3541" s="2" t="s">
        <v>7336</v>
      </c>
      <c r="C3541" s="2">
        <v>0.54</v>
      </c>
      <c r="D3541" s="2">
        <v>51.244999999999997</v>
      </c>
      <c r="E3541" s="2" t="s">
        <v>1593</v>
      </c>
      <c r="F3541" s="2" t="e">
        <f>VLOOKUP(B3541,MSCI中国成分股!A:B,1,)</f>
        <v>#N/A</v>
      </c>
    </row>
    <row r="3542" spans="1:6" ht="20.25" hidden="1" customHeight="1" x14ac:dyDescent="0.15">
      <c r="A3542" s="2" t="s">
        <v>7337</v>
      </c>
      <c r="B3542" s="2" t="s">
        <v>7338</v>
      </c>
      <c r="C3542" s="2">
        <v>1.28</v>
      </c>
      <c r="D3542" s="2">
        <v>1.0588</v>
      </c>
      <c r="E3542" s="2" t="s">
        <v>1173</v>
      </c>
      <c r="F3542" s="2" t="e">
        <f>VLOOKUP(B3542,MSCI中国成分股!A:B,1,)</f>
        <v>#N/A</v>
      </c>
    </row>
    <row r="3543" spans="1:6" ht="20.25" hidden="1" customHeight="1" x14ac:dyDescent="0.15">
      <c r="A3543" s="2" t="s">
        <v>7339</v>
      </c>
      <c r="B3543" s="2" t="s">
        <v>7340</v>
      </c>
      <c r="C3543" s="2">
        <v>-1.98</v>
      </c>
      <c r="D3543" s="2">
        <v>23.313800000000001</v>
      </c>
      <c r="E3543" s="2" t="s">
        <v>1403</v>
      </c>
      <c r="F3543" s="2" t="e">
        <f>VLOOKUP(B3543,MSCI中国成分股!A:B,1,)</f>
        <v>#N/A</v>
      </c>
    </row>
    <row r="3544" spans="1:6" ht="20.25" hidden="1" customHeight="1" x14ac:dyDescent="0.15">
      <c r="A3544" s="2" t="s">
        <v>7341</v>
      </c>
      <c r="B3544" s="2" t="s">
        <v>7342</v>
      </c>
      <c r="C3544" s="2">
        <v>0.78</v>
      </c>
      <c r="D3544" s="2">
        <v>1.0054000000000001</v>
      </c>
      <c r="E3544" s="2" t="s">
        <v>406</v>
      </c>
      <c r="F3544" s="2" t="e">
        <f>VLOOKUP(B3544,MSCI中国成分股!A:B,1,)</f>
        <v>#N/A</v>
      </c>
    </row>
    <row r="3545" spans="1:6" ht="20.25" hidden="1" customHeight="1" x14ac:dyDescent="0.15">
      <c r="A3545" s="2" t="s">
        <v>7343</v>
      </c>
      <c r="B3545" s="2" t="s">
        <v>7344</v>
      </c>
      <c r="C3545" s="2">
        <v>-0.97</v>
      </c>
      <c r="D3545" s="2">
        <v>3.7048999999999999</v>
      </c>
      <c r="E3545" s="2" t="s">
        <v>4939</v>
      </c>
      <c r="F3545" s="2" t="e">
        <f>VLOOKUP(B3545,MSCI中国成分股!A:B,1,)</f>
        <v>#N/A</v>
      </c>
    </row>
    <row r="3546" spans="1:6" ht="20.25" hidden="1" customHeight="1" x14ac:dyDescent="0.15">
      <c r="A3546" s="2" t="s">
        <v>7345</v>
      </c>
      <c r="B3546" s="2" t="s">
        <v>7346</v>
      </c>
      <c r="C3546" s="2">
        <v>0.13</v>
      </c>
      <c r="D3546" s="2">
        <v>0.53839999999999999</v>
      </c>
      <c r="E3546" s="2" t="s">
        <v>220</v>
      </c>
      <c r="F3546" s="2" t="e">
        <f>VLOOKUP(B3546,MSCI中国成分股!A:B,1,)</f>
        <v>#N/A</v>
      </c>
    </row>
    <row r="3547" spans="1:6" ht="20.25" hidden="1" customHeight="1" x14ac:dyDescent="0.15">
      <c r="A3547" s="2" t="s">
        <v>7347</v>
      </c>
      <c r="B3547" s="2" t="s">
        <v>7348</v>
      </c>
      <c r="C3547" s="2">
        <v>1.07</v>
      </c>
      <c r="D3547" s="2">
        <v>0.2137</v>
      </c>
      <c r="E3547" s="2" t="s">
        <v>664</v>
      </c>
      <c r="F3547" s="2" t="e">
        <f>VLOOKUP(B3547,MSCI中国成分股!A:B,1,)</f>
        <v>#N/A</v>
      </c>
    </row>
    <row r="3548" spans="1:6" ht="20.25" hidden="1" customHeight="1" x14ac:dyDescent="0.15">
      <c r="A3548" s="2" t="s">
        <v>7349</v>
      </c>
      <c r="B3548" s="2" t="s">
        <v>7350</v>
      </c>
      <c r="C3548" s="2">
        <v>2.16</v>
      </c>
      <c r="D3548" s="2">
        <v>6.5069999999999997</v>
      </c>
      <c r="E3548" s="2" t="s">
        <v>1139</v>
      </c>
      <c r="F3548" s="2" t="e">
        <f>VLOOKUP(B3548,MSCI中国成分股!A:B,1,)</f>
        <v>#N/A</v>
      </c>
    </row>
    <row r="3549" spans="1:6" ht="20.25" hidden="1" customHeight="1" x14ac:dyDescent="0.15">
      <c r="A3549" s="2" t="s">
        <v>7351</v>
      </c>
      <c r="B3549" s="2" t="s">
        <v>7352</v>
      </c>
      <c r="C3549" s="2">
        <v>1.55</v>
      </c>
      <c r="D3549" s="2">
        <v>0.8105</v>
      </c>
      <c r="E3549" s="2" t="s">
        <v>385</v>
      </c>
      <c r="F3549" s="2" t="e">
        <f>VLOOKUP(B3549,MSCI中国成分股!A:B,1,)</f>
        <v>#N/A</v>
      </c>
    </row>
    <row r="3550" spans="1:6" ht="20.25" hidden="1" customHeight="1" x14ac:dyDescent="0.15">
      <c r="A3550" s="2" t="s">
        <v>7353</v>
      </c>
      <c r="B3550" s="2" t="s">
        <v>7354</v>
      </c>
      <c r="C3550" s="2">
        <v>0.24</v>
      </c>
      <c r="D3550" s="2">
        <v>6.7091000000000003</v>
      </c>
      <c r="E3550" s="2" t="s">
        <v>690</v>
      </c>
      <c r="F3550" s="2" t="e">
        <f>VLOOKUP(B3550,MSCI中国成分股!A:B,1,)</f>
        <v>#N/A</v>
      </c>
    </row>
    <row r="3551" spans="1:6" ht="20.25" hidden="1" customHeight="1" x14ac:dyDescent="0.15">
      <c r="A3551" s="2" t="s">
        <v>7355</v>
      </c>
      <c r="B3551" s="2" t="s">
        <v>7356</v>
      </c>
      <c r="C3551" s="2">
        <v>1.53</v>
      </c>
      <c r="D3551" s="2">
        <v>1.1454</v>
      </c>
      <c r="E3551" s="2" t="s">
        <v>201</v>
      </c>
      <c r="F3551" s="2" t="e">
        <f>VLOOKUP(B3551,MSCI中国成分股!A:B,1,)</f>
        <v>#N/A</v>
      </c>
    </row>
    <row r="3552" spans="1:6" ht="20.25" hidden="1" customHeight="1" x14ac:dyDescent="0.15">
      <c r="A3552" s="2" t="s">
        <v>7357</v>
      </c>
      <c r="B3552" s="2" t="s">
        <v>7358</v>
      </c>
      <c r="C3552" s="2">
        <v>1.44</v>
      </c>
      <c r="D3552" s="2">
        <v>0.74029999999999996</v>
      </c>
      <c r="E3552" s="2" t="s">
        <v>55</v>
      </c>
      <c r="F3552" s="2" t="e">
        <f>VLOOKUP(B3552,MSCI中国成分股!A:B,1,)</f>
        <v>#N/A</v>
      </c>
    </row>
    <row r="3553" spans="1:6" ht="20.25" hidden="1" customHeight="1" x14ac:dyDescent="0.15">
      <c r="A3553" s="2" t="s">
        <v>7359</v>
      </c>
      <c r="B3553" s="2" t="s">
        <v>7360</v>
      </c>
      <c r="C3553" s="2">
        <v>0.8</v>
      </c>
      <c r="D3553" s="2">
        <v>4.3894000000000002</v>
      </c>
      <c r="E3553" s="2" t="s">
        <v>794</v>
      </c>
      <c r="F3553" s="2" t="e">
        <f>VLOOKUP(B3553,MSCI中国成分股!A:B,1,)</f>
        <v>#N/A</v>
      </c>
    </row>
    <row r="3554" spans="1:6" ht="20.25" hidden="1" customHeight="1" x14ac:dyDescent="0.15">
      <c r="A3554" s="2" t="s">
        <v>7361</v>
      </c>
      <c r="B3554" s="2" t="s">
        <v>7362</v>
      </c>
      <c r="C3554" s="2">
        <v>0.04</v>
      </c>
      <c r="D3554" s="2">
        <v>0.88590000000000002</v>
      </c>
      <c r="E3554" s="2" t="s">
        <v>713</v>
      </c>
      <c r="F3554" s="2" t="e">
        <f>VLOOKUP(B3554,MSCI中国成分股!A:B,1,)</f>
        <v>#N/A</v>
      </c>
    </row>
    <row r="3555" spans="1:6" ht="20.25" hidden="1" customHeight="1" x14ac:dyDescent="0.15">
      <c r="A3555" s="2" t="s">
        <v>7363</v>
      </c>
      <c r="B3555" s="2" t="s">
        <v>7364</v>
      </c>
      <c r="C3555" s="2">
        <v>0.56999999999999995</v>
      </c>
      <c r="D3555" s="2">
        <v>2.4986000000000002</v>
      </c>
      <c r="E3555" s="2" t="s">
        <v>713</v>
      </c>
      <c r="F3555" s="2" t="e">
        <f>VLOOKUP(B3555,MSCI中国成分股!A:B,1,)</f>
        <v>#N/A</v>
      </c>
    </row>
    <row r="3556" spans="1:6" ht="20.25" hidden="1" customHeight="1" x14ac:dyDescent="0.15">
      <c r="A3556" s="2" t="s">
        <v>7365</v>
      </c>
      <c r="B3556" s="2" t="s">
        <v>7366</v>
      </c>
      <c r="C3556" s="2">
        <v>1.1200000000000001</v>
      </c>
      <c r="D3556" s="2">
        <v>0.4854</v>
      </c>
      <c r="E3556" s="2" t="s">
        <v>1102</v>
      </c>
      <c r="F3556" s="2" t="e">
        <f>VLOOKUP(B3556,MSCI中国成分股!A:B,1,)</f>
        <v>#N/A</v>
      </c>
    </row>
    <row r="3557" spans="1:6" ht="20.25" hidden="1" customHeight="1" x14ac:dyDescent="0.15">
      <c r="A3557" s="2" t="s">
        <v>7367</v>
      </c>
      <c r="B3557" s="2" t="s">
        <v>7368</v>
      </c>
      <c r="C3557" s="2">
        <v>0.06</v>
      </c>
      <c r="D3557" s="2">
        <v>0.88870000000000005</v>
      </c>
      <c r="E3557" s="2" t="s">
        <v>299</v>
      </c>
      <c r="F3557" s="2" t="e">
        <f>VLOOKUP(B3557,MSCI中国成分股!A:B,1,)</f>
        <v>#N/A</v>
      </c>
    </row>
    <row r="3558" spans="1:6" ht="20.25" hidden="1" customHeight="1" x14ac:dyDescent="0.15">
      <c r="A3558" s="2" t="s">
        <v>7369</v>
      </c>
      <c r="B3558" s="2" t="s">
        <v>7370</v>
      </c>
      <c r="C3558" s="2">
        <v>2.42</v>
      </c>
      <c r="D3558" s="2">
        <v>3.8294000000000001</v>
      </c>
      <c r="E3558" s="2" t="s">
        <v>2374</v>
      </c>
      <c r="F3558" s="2" t="e">
        <f>VLOOKUP(B3558,MSCI中国成分股!A:B,1,)</f>
        <v>#N/A</v>
      </c>
    </row>
    <row r="3559" spans="1:6" ht="20.25" hidden="1" customHeight="1" x14ac:dyDescent="0.15">
      <c r="A3559" s="2" t="s">
        <v>7371</v>
      </c>
      <c r="B3559" s="2" t="s">
        <v>7372</v>
      </c>
      <c r="C3559" s="2">
        <v>1.07</v>
      </c>
      <c r="D3559" s="2">
        <v>34.491799999999998</v>
      </c>
      <c r="E3559" s="2" t="s">
        <v>1774</v>
      </c>
      <c r="F3559" s="2" t="e">
        <f>VLOOKUP(B3559,MSCI中国成分股!A:B,1,)</f>
        <v>#N/A</v>
      </c>
    </row>
    <row r="3560" spans="1:6" ht="20.25" hidden="1" customHeight="1" x14ac:dyDescent="0.15">
      <c r="A3560" s="2" t="s">
        <v>7373</v>
      </c>
      <c r="B3560" s="2" t="s">
        <v>7374</v>
      </c>
      <c r="C3560" s="2">
        <v>0.91500000000000004</v>
      </c>
      <c r="D3560" s="2">
        <v>1.4026000000000001</v>
      </c>
      <c r="E3560" s="2" t="s">
        <v>339</v>
      </c>
      <c r="F3560" s="2" t="e">
        <f>VLOOKUP(B3560,MSCI中国成分股!A:B,1,)</f>
        <v>#N/A</v>
      </c>
    </row>
    <row r="3561" spans="1:6" ht="20.25" hidden="1" customHeight="1" x14ac:dyDescent="0.15">
      <c r="A3561" s="2" t="s">
        <v>7375</v>
      </c>
      <c r="B3561" s="2" t="s">
        <v>7376</v>
      </c>
      <c r="C3561" s="2">
        <v>1.28</v>
      </c>
      <c r="D3561" s="2">
        <v>6.3630000000000004</v>
      </c>
      <c r="E3561" s="2" t="s">
        <v>123</v>
      </c>
      <c r="F3561" s="2" t="e">
        <f>VLOOKUP(B3561,MSCI中国成分股!A:B,1,)</f>
        <v>#N/A</v>
      </c>
    </row>
    <row r="3562" spans="1:6" ht="20.25" hidden="1" customHeight="1" x14ac:dyDescent="0.15">
      <c r="A3562" s="2" t="s">
        <v>7377</v>
      </c>
      <c r="B3562" s="2" t="s">
        <v>7378</v>
      </c>
      <c r="C3562" s="2">
        <v>0.35</v>
      </c>
      <c r="D3562" s="2">
        <v>2.0663999999999998</v>
      </c>
      <c r="E3562" s="2" t="s">
        <v>1870</v>
      </c>
      <c r="F3562" s="2" t="e">
        <f>VLOOKUP(B3562,MSCI中国成分股!A:B,1,)</f>
        <v>#N/A</v>
      </c>
    </row>
    <row r="3563" spans="1:6" ht="20.25" hidden="1" customHeight="1" x14ac:dyDescent="0.15">
      <c r="A3563" s="2" t="s">
        <v>7379</v>
      </c>
      <c r="B3563" s="2" t="s">
        <v>7380</v>
      </c>
      <c r="C3563" s="2">
        <v>-0.14000000000000001</v>
      </c>
      <c r="D3563" s="2">
        <v>2.5798000000000001</v>
      </c>
      <c r="E3563" s="2" t="s">
        <v>21</v>
      </c>
      <c r="F3563" s="2" t="e">
        <f>VLOOKUP(B3563,MSCI中国成分股!A:B,1,)</f>
        <v>#N/A</v>
      </c>
    </row>
    <row r="3564" spans="1:6" ht="20.25" hidden="1" customHeight="1" x14ac:dyDescent="0.15">
      <c r="A3564" s="2" t="s">
        <v>7381</v>
      </c>
      <c r="B3564" s="2" t="s">
        <v>7382</v>
      </c>
      <c r="C3564" s="2">
        <v>0.83</v>
      </c>
      <c r="D3564" s="2">
        <v>7.3599999999999999E-2</v>
      </c>
      <c r="E3564" s="2" t="s">
        <v>1102</v>
      </c>
      <c r="F3564" s="2" t="e">
        <f>VLOOKUP(B3564,MSCI中国成分股!A:B,1,)</f>
        <v>#N/A</v>
      </c>
    </row>
    <row r="3565" spans="1:6" ht="20.25" hidden="1" customHeight="1" x14ac:dyDescent="0.15">
      <c r="A3565" s="2" t="s">
        <v>7383</v>
      </c>
      <c r="B3565" s="2" t="s">
        <v>7384</v>
      </c>
      <c r="C3565" s="2">
        <v>-0.99</v>
      </c>
      <c r="D3565" s="2">
        <v>20.691400000000002</v>
      </c>
      <c r="E3565" s="2" t="s">
        <v>245</v>
      </c>
      <c r="F3565" s="2" t="e">
        <f>VLOOKUP(B3565,MSCI中国成分股!A:B,1,)</f>
        <v>#N/A</v>
      </c>
    </row>
    <row r="3566" spans="1:6" ht="20.25" hidden="1" customHeight="1" x14ac:dyDescent="0.15">
      <c r="A3566" s="2" t="s">
        <v>7385</v>
      </c>
      <c r="B3566" s="2" t="s">
        <v>7386</v>
      </c>
      <c r="C3566" s="2">
        <v>-1.49</v>
      </c>
      <c r="D3566" s="2">
        <v>144.4922</v>
      </c>
      <c r="E3566" s="2" t="s">
        <v>4127</v>
      </c>
      <c r="F3566" s="2" t="e">
        <f>VLOOKUP(B3566,MSCI中国成分股!A:B,1,)</f>
        <v>#N/A</v>
      </c>
    </row>
    <row r="3567" spans="1:6" ht="20.25" hidden="1" customHeight="1" x14ac:dyDescent="0.15">
      <c r="A3567" s="2" t="s">
        <v>7387</v>
      </c>
      <c r="B3567" s="2" t="s">
        <v>7388</v>
      </c>
      <c r="C3567" s="2">
        <v>0.14000000000000001</v>
      </c>
      <c r="D3567" s="2">
        <v>3.0573000000000001</v>
      </c>
      <c r="E3567" s="2" t="s">
        <v>1390</v>
      </c>
      <c r="F3567" s="2" t="e">
        <f>VLOOKUP(B3567,MSCI中国成分股!A:B,1,)</f>
        <v>#N/A</v>
      </c>
    </row>
    <row r="3568" spans="1:6" ht="20.25" hidden="1" customHeight="1" x14ac:dyDescent="0.15">
      <c r="A3568" s="2" t="s">
        <v>7389</v>
      </c>
      <c r="B3568" s="2" t="s">
        <v>7390</v>
      </c>
      <c r="C3568" s="2">
        <v>2.97</v>
      </c>
      <c r="D3568" s="2">
        <v>2.6690999999999998</v>
      </c>
      <c r="E3568" s="2" t="s">
        <v>1275</v>
      </c>
      <c r="F3568" s="2" t="e">
        <f>VLOOKUP(B3568,MSCI中国成分股!A:B,1,)</f>
        <v>#N/A</v>
      </c>
    </row>
    <row r="3569" spans="1:6" ht="20.25" hidden="1" customHeight="1" x14ac:dyDescent="0.15">
      <c r="A3569" s="2" t="s">
        <v>7391</v>
      </c>
      <c r="B3569" s="2" t="s">
        <v>7392</v>
      </c>
      <c r="C3569" s="2">
        <v>0.79</v>
      </c>
      <c r="D3569" s="2">
        <v>0.30180000000000001</v>
      </c>
      <c r="E3569" s="2" t="s">
        <v>3760</v>
      </c>
      <c r="F3569" s="2" t="e">
        <f>VLOOKUP(B3569,MSCI中国成分股!A:B,1,)</f>
        <v>#N/A</v>
      </c>
    </row>
    <row r="3570" spans="1:6" ht="20.25" hidden="1" customHeight="1" x14ac:dyDescent="0.15">
      <c r="A3570" s="2" t="s">
        <v>7393</v>
      </c>
      <c r="B3570" s="2" t="s">
        <v>7394</v>
      </c>
      <c r="C3570" s="2">
        <v>0.33</v>
      </c>
      <c r="D3570" s="2">
        <v>0.56040000000000001</v>
      </c>
      <c r="E3570" s="2" t="s">
        <v>201</v>
      </c>
      <c r="F3570" s="2" t="e">
        <f>VLOOKUP(B3570,MSCI中国成分股!A:B,1,)</f>
        <v>#N/A</v>
      </c>
    </row>
    <row r="3571" spans="1:6" ht="20.25" hidden="1" customHeight="1" x14ac:dyDescent="0.15">
      <c r="A3571" s="2" t="s">
        <v>7395</v>
      </c>
      <c r="B3571" s="2" t="s">
        <v>7396</v>
      </c>
      <c r="C3571" s="2">
        <v>-2.54</v>
      </c>
      <c r="D3571" s="2">
        <v>27.677800000000001</v>
      </c>
      <c r="E3571" s="2" t="s">
        <v>2917</v>
      </c>
      <c r="F3571" s="2" t="e">
        <f>VLOOKUP(B3571,MSCI中国成分股!A:B,1,)</f>
        <v>#N/A</v>
      </c>
    </row>
    <row r="3572" spans="1:6" ht="20.25" hidden="1" customHeight="1" x14ac:dyDescent="0.15">
      <c r="A3572" s="2" t="s">
        <v>7397</v>
      </c>
      <c r="B3572" s="2" t="s">
        <v>7398</v>
      </c>
      <c r="C3572" s="2">
        <v>-0.03</v>
      </c>
      <c r="D3572" s="2">
        <v>9.4321000000000002</v>
      </c>
      <c r="E3572" s="2" t="s">
        <v>5364</v>
      </c>
      <c r="F3572" s="2" t="e">
        <f>VLOOKUP(B3572,MSCI中国成分股!A:B,1,)</f>
        <v>#N/A</v>
      </c>
    </row>
    <row r="3573" spans="1:6" ht="20.25" hidden="1" customHeight="1" x14ac:dyDescent="0.15">
      <c r="A3573" s="2" t="s">
        <v>7399</v>
      </c>
      <c r="B3573" s="2" t="s">
        <v>7400</v>
      </c>
      <c r="C3573" s="2">
        <v>0.27</v>
      </c>
      <c r="D3573" s="2">
        <v>27.0121</v>
      </c>
      <c r="E3573" s="2" t="s">
        <v>630</v>
      </c>
      <c r="F3573" s="2" t="e">
        <f>VLOOKUP(B3573,MSCI中国成分股!A:B,1,)</f>
        <v>#N/A</v>
      </c>
    </row>
    <row r="3574" spans="1:6" ht="20.25" hidden="1" customHeight="1" x14ac:dyDescent="0.15">
      <c r="A3574" s="2" t="s">
        <v>7401</v>
      </c>
      <c r="B3574" s="2" t="s">
        <v>7402</v>
      </c>
      <c r="C3574" s="2">
        <v>1.51</v>
      </c>
      <c r="D3574" s="2">
        <v>0.99380000000000002</v>
      </c>
      <c r="E3574" s="2" t="s">
        <v>140</v>
      </c>
      <c r="F3574" s="2" t="e">
        <f>VLOOKUP(B3574,MSCI中国成分股!A:B,1,)</f>
        <v>#N/A</v>
      </c>
    </row>
    <row r="3575" spans="1:6" ht="20.25" hidden="1" customHeight="1" x14ac:dyDescent="0.15">
      <c r="A3575" s="2" t="s">
        <v>7403</v>
      </c>
      <c r="B3575" s="2" t="s">
        <v>7404</v>
      </c>
      <c r="C3575" s="2">
        <v>0.75</v>
      </c>
      <c r="D3575" s="2">
        <v>0.62670000000000003</v>
      </c>
      <c r="E3575" s="2" t="s">
        <v>630</v>
      </c>
      <c r="F3575" s="2" t="e">
        <f>VLOOKUP(B3575,MSCI中国成分股!A:B,1,)</f>
        <v>#N/A</v>
      </c>
    </row>
    <row r="3576" spans="1:6" ht="20.25" hidden="1" customHeight="1" x14ac:dyDescent="0.15">
      <c r="A3576" s="2" t="s">
        <v>7405</v>
      </c>
      <c r="B3576" s="2" t="s">
        <v>7406</v>
      </c>
      <c r="C3576" s="2">
        <v>0.28999999999999998</v>
      </c>
      <c r="D3576" s="2">
        <v>1.5481</v>
      </c>
      <c r="E3576" s="2" t="s">
        <v>220</v>
      </c>
      <c r="F3576" s="2" t="e">
        <f>VLOOKUP(B3576,MSCI中国成分股!A:B,1,)</f>
        <v>#N/A</v>
      </c>
    </row>
    <row r="3577" spans="1:6" ht="20.25" hidden="1" customHeight="1" x14ac:dyDescent="0.15">
      <c r="A3577" s="2" t="s">
        <v>7407</v>
      </c>
      <c r="B3577" s="2" t="s">
        <v>7408</v>
      </c>
      <c r="C3577" s="2">
        <v>-0.1</v>
      </c>
      <c r="D3577" s="2">
        <v>33.680900000000001</v>
      </c>
      <c r="E3577" s="2" t="s">
        <v>228</v>
      </c>
      <c r="F3577" s="2" t="e">
        <f>VLOOKUP(B3577,MSCI中国成分股!A:B,1,)</f>
        <v>#N/A</v>
      </c>
    </row>
    <row r="3578" spans="1:6" ht="20.25" hidden="1" customHeight="1" x14ac:dyDescent="0.15">
      <c r="A3578" s="2" t="s">
        <v>7409</v>
      </c>
      <c r="B3578" s="2" t="s">
        <v>7410</v>
      </c>
      <c r="C3578" s="2">
        <v>0.21</v>
      </c>
      <c r="D3578" s="2">
        <v>1.2087000000000001</v>
      </c>
      <c r="E3578" s="2" t="s">
        <v>406</v>
      </c>
      <c r="F3578" s="2" t="e">
        <f>VLOOKUP(B3578,MSCI中国成分股!A:B,1,)</f>
        <v>#N/A</v>
      </c>
    </row>
    <row r="3579" spans="1:6" ht="20.25" hidden="1" customHeight="1" x14ac:dyDescent="0.15">
      <c r="A3579" s="2" t="s">
        <v>7411</v>
      </c>
      <c r="B3579" s="2" t="s">
        <v>7412</v>
      </c>
      <c r="C3579" s="2">
        <v>2.36</v>
      </c>
      <c r="D3579" s="2">
        <v>2.0552999999999999</v>
      </c>
      <c r="E3579" s="2" t="s">
        <v>670</v>
      </c>
      <c r="F3579" s="2" t="e">
        <f>VLOOKUP(B3579,MSCI中国成分股!A:B,1,)</f>
        <v>#N/A</v>
      </c>
    </row>
    <row r="3580" spans="1:6" ht="20.25" hidden="1" customHeight="1" x14ac:dyDescent="0.15">
      <c r="A3580" s="2" t="s">
        <v>7413</v>
      </c>
      <c r="B3580" s="2" t="s">
        <v>7414</v>
      </c>
      <c r="C3580" s="2">
        <v>-3.14</v>
      </c>
      <c r="D3580" s="2">
        <v>29.776399999999999</v>
      </c>
      <c r="E3580" s="2" t="s">
        <v>1613</v>
      </c>
      <c r="F3580" s="2" t="e">
        <f>VLOOKUP(B3580,MSCI中国成分股!A:B,1,)</f>
        <v>#N/A</v>
      </c>
    </row>
    <row r="3581" spans="1:6" ht="20.25" hidden="1" customHeight="1" x14ac:dyDescent="0.15">
      <c r="A3581" s="2" t="s">
        <v>7415</v>
      </c>
      <c r="B3581" s="2" t="s">
        <v>7416</v>
      </c>
      <c r="C3581" s="2">
        <v>2.48</v>
      </c>
      <c r="D3581" s="2">
        <v>0.75649999999999995</v>
      </c>
      <c r="E3581" s="2" t="s">
        <v>1608</v>
      </c>
      <c r="F3581" s="2" t="e">
        <f>VLOOKUP(B3581,MSCI中国成分股!A:B,1,)</f>
        <v>#N/A</v>
      </c>
    </row>
    <row r="3582" spans="1:6" ht="20.25" hidden="1" customHeight="1" x14ac:dyDescent="0.15">
      <c r="A3582" s="2" t="s">
        <v>7417</v>
      </c>
      <c r="B3582" s="2" t="s">
        <v>7418</v>
      </c>
      <c r="C3582" s="2">
        <v>-3.9550000000000001</v>
      </c>
      <c r="D3582" s="2">
        <v>2.6677</v>
      </c>
      <c r="E3582" s="2" t="s">
        <v>44</v>
      </c>
      <c r="F3582" s="2" t="e">
        <f>VLOOKUP(B3582,MSCI中国成分股!A:B,1,)</f>
        <v>#N/A</v>
      </c>
    </row>
    <row r="3583" spans="1:6" ht="20.25" hidden="1" customHeight="1" x14ac:dyDescent="0.15">
      <c r="A3583" s="2" t="s">
        <v>7419</v>
      </c>
      <c r="B3583" s="2" t="s">
        <v>7420</v>
      </c>
      <c r="C3583" s="2">
        <v>0.56999999999999995</v>
      </c>
      <c r="D3583" s="2">
        <v>1.8019000000000001</v>
      </c>
      <c r="E3583" s="2" t="s">
        <v>421</v>
      </c>
      <c r="F3583" s="2" t="e">
        <f>VLOOKUP(B3583,MSCI中国成分股!A:B,1,)</f>
        <v>#N/A</v>
      </c>
    </row>
    <row r="3584" spans="1:6" ht="20.25" hidden="1" customHeight="1" x14ac:dyDescent="0.15">
      <c r="A3584" s="2" t="s">
        <v>7421</v>
      </c>
      <c r="B3584" s="2" t="s">
        <v>7422</v>
      </c>
      <c r="C3584" s="2">
        <v>0.61</v>
      </c>
      <c r="D3584" s="2">
        <v>1.24</v>
      </c>
      <c r="E3584" s="2" t="s">
        <v>3130</v>
      </c>
      <c r="F3584" s="2" t="e">
        <f>VLOOKUP(B3584,MSCI中国成分股!A:B,1,)</f>
        <v>#N/A</v>
      </c>
    </row>
    <row r="3585" spans="1:6" ht="20.25" hidden="1" customHeight="1" x14ac:dyDescent="0.15">
      <c r="A3585" s="2" t="s">
        <v>7423</v>
      </c>
      <c r="B3585" s="2" t="s">
        <v>7424</v>
      </c>
      <c r="C3585" s="2">
        <v>0.86</v>
      </c>
      <c r="D3585" s="2">
        <v>1.4838</v>
      </c>
      <c r="E3585" s="2" t="s">
        <v>1338</v>
      </c>
      <c r="F3585" s="2" t="e">
        <f>VLOOKUP(B3585,MSCI中国成分股!A:B,1,)</f>
        <v>#N/A</v>
      </c>
    </row>
    <row r="3586" spans="1:6" ht="20.25" hidden="1" customHeight="1" x14ac:dyDescent="0.15">
      <c r="A3586" s="2" t="s">
        <v>7425</v>
      </c>
      <c r="B3586" s="2" t="s">
        <v>7426</v>
      </c>
      <c r="C3586" s="2">
        <v>0.32</v>
      </c>
      <c r="D3586" s="2">
        <v>4.6521999999999997</v>
      </c>
      <c r="E3586" s="2" t="s">
        <v>1338</v>
      </c>
      <c r="F3586" s="2" t="e">
        <f>VLOOKUP(B3586,MSCI中国成分股!A:B,1,)</f>
        <v>#N/A</v>
      </c>
    </row>
    <row r="3587" spans="1:6" ht="20.25" hidden="1" customHeight="1" x14ac:dyDescent="0.15">
      <c r="A3587" s="2" t="s">
        <v>7427</v>
      </c>
      <c r="B3587" s="2" t="s">
        <v>7428</v>
      </c>
      <c r="C3587" s="2">
        <v>0.05</v>
      </c>
      <c r="D3587" s="2">
        <v>13.243499999999999</v>
      </c>
      <c r="E3587" s="2" t="s">
        <v>3102</v>
      </c>
      <c r="F3587" s="2" t="e">
        <f>VLOOKUP(B3587,MSCI中国成分股!A:B,1,)</f>
        <v>#N/A</v>
      </c>
    </row>
    <row r="3588" spans="1:6" ht="20.25" hidden="1" customHeight="1" x14ac:dyDescent="0.15">
      <c r="A3588" s="2" t="s">
        <v>7429</v>
      </c>
      <c r="B3588" s="2" t="s">
        <v>7430</v>
      </c>
      <c r="C3588" s="2">
        <v>0.96</v>
      </c>
      <c r="D3588" s="2">
        <v>911.34590000000003</v>
      </c>
      <c r="E3588" s="2" t="s">
        <v>2681</v>
      </c>
      <c r="F3588" s="2" t="e">
        <f>VLOOKUP(B3588,MSCI中国成分股!A:B,1,)</f>
        <v>#N/A</v>
      </c>
    </row>
    <row r="3589" spans="1:6" ht="20.25" hidden="1" customHeight="1" x14ac:dyDescent="0.15">
      <c r="A3589" s="2" t="s">
        <v>7431</v>
      </c>
      <c r="B3589" s="2" t="s">
        <v>7432</v>
      </c>
      <c r="C3589" s="2">
        <v>-1.1299999999999999</v>
      </c>
      <c r="D3589" s="2">
        <v>208.6046</v>
      </c>
      <c r="E3589" s="2" t="s">
        <v>1853</v>
      </c>
      <c r="F3589" s="2" t="e">
        <f>VLOOKUP(B3589,MSCI中国成分股!A:B,1,)</f>
        <v>#N/A</v>
      </c>
    </row>
    <row r="3590" spans="1:6" ht="20.25" hidden="1" customHeight="1" x14ac:dyDescent="0.15">
      <c r="A3590" s="2" t="s">
        <v>7433</v>
      </c>
      <c r="B3590" s="2" t="s">
        <v>7434</v>
      </c>
      <c r="C3590" s="2">
        <v>1.68</v>
      </c>
      <c r="D3590" s="2">
        <v>2.8288000000000002</v>
      </c>
      <c r="E3590" s="2" t="s">
        <v>3130</v>
      </c>
      <c r="F3590" s="2" t="e">
        <f>VLOOKUP(B3590,MSCI中国成分股!A:B,1,)</f>
        <v>#N/A</v>
      </c>
    </row>
    <row r="3591" spans="1:6" ht="20.25" hidden="1" customHeight="1" x14ac:dyDescent="0.15">
      <c r="A3591" s="2" t="s">
        <v>7435</v>
      </c>
      <c r="B3591" s="2" t="s">
        <v>7436</v>
      </c>
      <c r="C3591" s="2">
        <v>0.06</v>
      </c>
      <c r="D3591" s="2">
        <v>28.274899999999999</v>
      </c>
      <c r="E3591" s="2" t="s">
        <v>299</v>
      </c>
      <c r="F3591" s="2" t="e">
        <f>VLOOKUP(B3591,MSCI中国成分股!A:B,1,)</f>
        <v>#N/A</v>
      </c>
    </row>
    <row r="3592" spans="1:6" ht="20.25" hidden="1" customHeight="1" x14ac:dyDescent="0.15">
      <c r="A3592" s="2" t="s">
        <v>7437</v>
      </c>
      <c r="B3592" s="2" t="s">
        <v>7438</v>
      </c>
      <c r="C3592" s="2">
        <v>-0.56999999999999995</v>
      </c>
      <c r="D3592" s="2">
        <v>30.726500000000001</v>
      </c>
      <c r="E3592" s="2" t="s">
        <v>201</v>
      </c>
      <c r="F3592" s="2" t="e">
        <f>VLOOKUP(B3592,MSCI中国成分股!A:B,1,)</f>
        <v>#N/A</v>
      </c>
    </row>
    <row r="3593" spans="1:6" ht="20.25" hidden="1" customHeight="1" x14ac:dyDescent="0.15">
      <c r="A3593" s="2" t="s">
        <v>7439</v>
      </c>
      <c r="B3593" s="2" t="s">
        <v>7440</v>
      </c>
      <c r="C3593" s="2">
        <v>0.44</v>
      </c>
      <c r="D3593" s="2">
        <v>0.36159999999999998</v>
      </c>
      <c r="E3593" s="2" t="s">
        <v>1425</v>
      </c>
      <c r="F3593" s="2" t="e">
        <f>VLOOKUP(B3593,MSCI中国成分股!A:B,1,)</f>
        <v>#N/A</v>
      </c>
    </row>
    <row r="3594" spans="1:6" ht="20.25" hidden="1" customHeight="1" x14ac:dyDescent="0.15">
      <c r="A3594" s="2" t="s">
        <v>7441</v>
      </c>
      <c r="B3594" s="2" t="s">
        <v>7442</v>
      </c>
      <c r="C3594" s="2">
        <v>-1.1299999999999999</v>
      </c>
      <c r="D3594" s="2">
        <v>2.8035999999999999</v>
      </c>
      <c r="E3594" s="2" t="s">
        <v>44</v>
      </c>
      <c r="F3594" s="2" t="e">
        <f>VLOOKUP(B3594,MSCI中国成分股!A:B,1,)</f>
        <v>#N/A</v>
      </c>
    </row>
    <row r="3595" spans="1:6" ht="20.25" hidden="1" customHeight="1" x14ac:dyDescent="0.15">
      <c r="A3595" s="2" t="s">
        <v>7443</v>
      </c>
      <c r="B3595" s="2" t="s">
        <v>7444</v>
      </c>
      <c r="C3595" s="2">
        <v>2.6</v>
      </c>
      <c r="D3595" s="2">
        <v>1.8387</v>
      </c>
      <c r="E3595" s="2" t="s">
        <v>3130</v>
      </c>
      <c r="F3595" s="2" t="e">
        <f>VLOOKUP(B3595,MSCI中国成分股!A:B,1,)</f>
        <v>#N/A</v>
      </c>
    </row>
    <row r="3596" spans="1:6" ht="20.25" hidden="1" customHeight="1" x14ac:dyDescent="0.15">
      <c r="A3596" s="2" t="s">
        <v>7445</v>
      </c>
      <c r="B3596" s="2" t="s">
        <v>7446</v>
      </c>
      <c r="C3596" s="2">
        <v>0.65</v>
      </c>
      <c r="D3596" s="2">
        <v>5.9470999999999998</v>
      </c>
      <c r="E3596" s="2" t="s">
        <v>677</v>
      </c>
      <c r="F3596" s="2" t="e">
        <f>VLOOKUP(B3596,MSCI中国成分股!A:B,1,)</f>
        <v>#N/A</v>
      </c>
    </row>
    <row r="3597" spans="1:6" ht="20.25" hidden="1" customHeight="1" x14ac:dyDescent="0.15">
      <c r="A3597" s="2" t="s">
        <v>7447</v>
      </c>
      <c r="B3597" s="2" t="s">
        <v>7448</v>
      </c>
      <c r="C3597" s="2">
        <v>0.63</v>
      </c>
      <c r="D3597" s="2">
        <v>1.6291</v>
      </c>
      <c r="E3597" s="2" t="s">
        <v>4127</v>
      </c>
      <c r="F3597" s="2" t="e">
        <f>VLOOKUP(B3597,MSCI中国成分股!A:B,1,)</f>
        <v>#N/A</v>
      </c>
    </row>
    <row r="3598" spans="1:6" ht="20.25" hidden="1" customHeight="1" x14ac:dyDescent="0.15">
      <c r="A3598" s="2" t="s">
        <v>7449</v>
      </c>
      <c r="B3598" s="2" t="s">
        <v>7450</v>
      </c>
      <c r="C3598" s="2">
        <v>1.19</v>
      </c>
      <c r="D3598" s="2">
        <v>1.7172000000000001</v>
      </c>
      <c r="E3598" s="2" t="s">
        <v>2151</v>
      </c>
      <c r="F3598" s="2" t="e">
        <f>VLOOKUP(B3598,MSCI中国成分股!A:B,1,)</f>
        <v>#N/A</v>
      </c>
    </row>
    <row r="3599" spans="1:6" ht="20.25" hidden="1" customHeight="1" x14ac:dyDescent="0.15">
      <c r="A3599" s="2" t="s">
        <v>7451</v>
      </c>
      <c r="B3599" s="2" t="s">
        <v>7452</v>
      </c>
      <c r="C3599" s="2">
        <v>2.44</v>
      </c>
      <c r="D3599" s="2">
        <v>4.3689999999999998</v>
      </c>
      <c r="E3599" s="2" t="s">
        <v>385</v>
      </c>
      <c r="F3599" s="2" t="e">
        <f>VLOOKUP(B3599,MSCI中国成分股!A:B,1,)</f>
        <v>#N/A</v>
      </c>
    </row>
    <row r="3600" spans="1:6" ht="20.25" hidden="1" customHeight="1" x14ac:dyDescent="0.15">
      <c r="A3600" s="2" t="s">
        <v>7453</v>
      </c>
      <c r="B3600" s="2" t="s">
        <v>7454</v>
      </c>
      <c r="C3600" s="2">
        <v>0.245</v>
      </c>
      <c r="D3600" s="2">
        <v>16.818999999999999</v>
      </c>
      <c r="E3600" s="2" t="s">
        <v>1515</v>
      </c>
      <c r="F3600" s="2" t="e">
        <f>VLOOKUP(B3600,MSCI中国成分股!A:B,1,)</f>
        <v>#N/A</v>
      </c>
    </row>
    <row r="3601" spans="1:6" ht="20.25" hidden="1" customHeight="1" x14ac:dyDescent="0.15">
      <c r="A3601" s="2" t="s">
        <v>7455</v>
      </c>
      <c r="B3601" s="2" t="s">
        <v>7456</v>
      </c>
      <c r="C3601" s="2">
        <v>0.66</v>
      </c>
      <c r="D3601" s="2">
        <v>0.90580000000000005</v>
      </c>
      <c r="E3601" s="2" t="s">
        <v>143</v>
      </c>
      <c r="F3601" s="2" t="e">
        <f>VLOOKUP(B3601,MSCI中国成分股!A:B,1,)</f>
        <v>#N/A</v>
      </c>
    </row>
    <row r="3602" spans="1:6" ht="20.25" hidden="1" customHeight="1" x14ac:dyDescent="0.15">
      <c r="A3602" s="2" t="s">
        <v>7457</v>
      </c>
      <c r="B3602" s="2" t="s">
        <v>7458</v>
      </c>
      <c r="C3602" s="2">
        <v>1.78</v>
      </c>
      <c r="D3602" s="2">
        <v>1.2202999999999999</v>
      </c>
      <c r="E3602" s="2" t="s">
        <v>1608</v>
      </c>
      <c r="F3602" s="2" t="e">
        <f>VLOOKUP(B3602,MSCI中国成分股!A:B,1,)</f>
        <v>#N/A</v>
      </c>
    </row>
    <row r="3603" spans="1:6" ht="20.25" hidden="1" customHeight="1" x14ac:dyDescent="0.15">
      <c r="A3603" s="2" t="s">
        <v>7459</v>
      </c>
      <c r="B3603" s="2" t="s">
        <v>7460</v>
      </c>
      <c r="C3603" s="2">
        <v>3.87</v>
      </c>
      <c r="D3603" s="2">
        <v>0.9032</v>
      </c>
      <c r="E3603" s="2" t="s">
        <v>201</v>
      </c>
      <c r="F3603" s="2" t="e">
        <f>VLOOKUP(B3603,MSCI中国成分股!A:B,1,)</f>
        <v>#N/A</v>
      </c>
    </row>
    <row r="3604" spans="1:6" ht="20.25" hidden="1" customHeight="1" x14ac:dyDescent="0.15">
      <c r="A3604" s="2" t="s">
        <v>7461</v>
      </c>
      <c r="B3604" s="2" t="s">
        <v>7462</v>
      </c>
      <c r="C3604" s="2">
        <v>0.66</v>
      </c>
      <c r="D3604" s="2">
        <v>2.4123999999999999</v>
      </c>
      <c r="E3604" s="2" t="s">
        <v>1263</v>
      </c>
      <c r="F3604" s="2" t="e">
        <f>VLOOKUP(B3604,MSCI中国成分股!A:B,1,)</f>
        <v>#N/A</v>
      </c>
    </row>
    <row r="3605" spans="1:6" ht="20.25" hidden="1" customHeight="1" x14ac:dyDescent="0.15">
      <c r="A3605" s="2" t="s">
        <v>7463</v>
      </c>
      <c r="B3605" s="2" t="s">
        <v>7464</v>
      </c>
      <c r="C3605" s="2">
        <v>-2.88</v>
      </c>
      <c r="D3605" s="2">
        <v>730.82010000000002</v>
      </c>
      <c r="E3605" s="2" t="s">
        <v>3760</v>
      </c>
      <c r="F3605" s="2" t="e">
        <f>VLOOKUP(B3605,MSCI中国成分股!A:B,1,)</f>
        <v>#N/A</v>
      </c>
    </row>
    <row r="3606" spans="1:6" ht="20.25" hidden="1" customHeight="1" x14ac:dyDescent="0.15">
      <c r="A3606" s="2" t="s">
        <v>7465</v>
      </c>
      <c r="B3606" s="2" t="s">
        <v>7466</v>
      </c>
      <c r="C3606" s="2">
        <v>0.96</v>
      </c>
      <c r="D3606" s="2">
        <v>0.44180000000000003</v>
      </c>
      <c r="E3606" s="2" t="s">
        <v>630</v>
      </c>
      <c r="F3606" s="2" t="e">
        <f>VLOOKUP(B3606,MSCI中国成分股!A:B,1,)</f>
        <v>#N/A</v>
      </c>
    </row>
    <row r="3607" spans="1:6" ht="20.25" hidden="1" customHeight="1" x14ac:dyDescent="0.15">
      <c r="A3607" s="2" t="s">
        <v>7467</v>
      </c>
      <c r="B3607" s="2" t="s">
        <v>7468</v>
      </c>
      <c r="C3607" s="2">
        <v>3.8</v>
      </c>
      <c r="D3607" s="2">
        <v>2.4679000000000002</v>
      </c>
      <c r="E3607" s="2" t="s">
        <v>784</v>
      </c>
      <c r="F3607" s="2" t="e">
        <f>VLOOKUP(B3607,MSCI中国成分股!A:B,1,)</f>
        <v>#N/A</v>
      </c>
    </row>
    <row r="3608" spans="1:6" ht="20.25" hidden="1" customHeight="1" x14ac:dyDescent="0.15">
      <c r="A3608" s="2" t="s">
        <v>7469</v>
      </c>
      <c r="B3608" s="2" t="s">
        <v>7470</v>
      </c>
      <c r="C3608" s="2">
        <v>2.91</v>
      </c>
      <c r="D3608" s="2">
        <v>1.3996999999999999</v>
      </c>
      <c r="E3608" s="2" t="s">
        <v>140</v>
      </c>
      <c r="F3608" s="2" t="e">
        <f>VLOOKUP(B3608,MSCI中国成分股!A:B,1,)</f>
        <v>#N/A</v>
      </c>
    </row>
    <row r="3609" spans="1:6" ht="20.25" hidden="1" customHeight="1" x14ac:dyDescent="0.15">
      <c r="A3609" s="2" t="s">
        <v>7471</v>
      </c>
      <c r="B3609" s="2" t="s">
        <v>7472</v>
      </c>
      <c r="C3609" s="2">
        <v>-0.44</v>
      </c>
      <c r="D3609" s="2">
        <v>3.6436000000000002</v>
      </c>
      <c r="E3609" s="2" t="s">
        <v>35</v>
      </c>
      <c r="F3609" s="2" t="e">
        <f>VLOOKUP(B3609,MSCI中国成分股!A:B,1,)</f>
        <v>#N/A</v>
      </c>
    </row>
    <row r="3610" spans="1:6" ht="20.25" hidden="1" customHeight="1" x14ac:dyDescent="0.15">
      <c r="A3610" s="2" t="s">
        <v>7473</v>
      </c>
      <c r="B3610" s="2" t="s">
        <v>7474</v>
      </c>
      <c r="C3610" s="2">
        <v>1.25</v>
      </c>
      <c r="D3610" s="2">
        <v>8.6094000000000008</v>
      </c>
      <c r="E3610" s="2" t="s">
        <v>204</v>
      </c>
      <c r="F3610" s="2" t="e">
        <f>VLOOKUP(B3610,MSCI中国成分股!A:B,1,)</f>
        <v>#N/A</v>
      </c>
    </row>
    <row r="3611" spans="1:6" ht="20.25" hidden="1" customHeight="1" x14ac:dyDescent="0.15">
      <c r="A3611" s="2" t="s">
        <v>7475</v>
      </c>
      <c r="B3611" s="2" t="s">
        <v>7476</v>
      </c>
      <c r="C3611" s="2">
        <v>0.46</v>
      </c>
      <c r="D3611" s="2">
        <v>6.6604999999999999</v>
      </c>
      <c r="E3611" s="2" t="s">
        <v>421</v>
      </c>
      <c r="F3611" s="2" t="e">
        <f>VLOOKUP(B3611,MSCI中国成分股!A:B,1,)</f>
        <v>#N/A</v>
      </c>
    </row>
    <row r="3612" spans="1:6" ht="20.25" hidden="1" customHeight="1" x14ac:dyDescent="0.15">
      <c r="A3612" s="2" t="s">
        <v>7477</v>
      </c>
      <c r="B3612" s="2" t="s">
        <v>7478</v>
      </c>
      <c r="C3612" s="2">
        <v>0.01</v>
      </c>
      <c r="D3612" s="2">
        <v>5.7374999999999998</v>
      </c>
      <c r="E3612" s="2" t="s">
        <v>1459</v>
      </c>
      <c r="F3612" s="2" t="e">
        <f>VLOOKUP(B3612,MSCI中国成分股!A:B,1,)</f>
        <v>#N/A</v>
      </c>
    </row>
    <row r="3613" spans="1:6" ht="20.25" hidden="1" customHeight="1" x14ac:dyDescent="0.15">
      <c r="A3613" s="2" t="s">
        <v>7479</v>
      </c>
      <c r="B3613" s="2" t="s">
        <v>7480</v>
      </c>
      <c r="C3613" s="2">
        <v>-1.58</v>
      </c>
      <c r="D3613" s="2">
        <v>18.584299999999999</v>
      </c>
      <c r="E3613" s="2" t="s">
        <v>724</v>
      </c>
      <c r="F3613" s="2" t="e">
        <f>VLOOKUP(B3613,MSCI中国成分股!A:B,1,)</f>
        <v>#N/A</v>
      </c>
    </row>
    <row r="3614" spans="1:6" ht="20.25" hidden="1" customHeight="1" x14ac:dyDescent="0.15">
      <c r="A3614" s="2" t="s">
        <v>7481</v>
      </c>
      <c r="B3614" s="2" t="s">
        <v>7482</v>
      </c>
      <c r="C3614" s="2">
        <v>0.76</v>
      </c>
      <c r="D3614" s="2">
        <v>0.1153</v>
      </c>
      <c r="E3614" s="2" t="s">
        <v>2724</v>
      </c>
      <c r="F3614" s="2" t="e">
        <f>VLOOKUP(B3614,MSCI中国成分股!A:B,1,)</f>
        <v>#N/A</v>
      </c>
    </row>
    <row r="3615" spans="1:6" ht="20.25" hidden="1" customHeight="1" x14ac:dyDescent="0.15">
      <c r="A3615" s="2" t="s">
        <v>7483</v>
      </c>
      <c r="B3615" s="2" t="s">
        <v>7484</v>
      </c>
      <c r="C3615" s="2">
        <v>-1.17</v>
      </c>
      <c r="D3615" s="2">
        <v>6.9250999999999996</v>
      </c>
      <c r="E3615" s="2" t="s">
        <v>385</v>
      </c>
      <c r="F3615" s="2" t="e">
        <f>VLOOKUP(B3615,MSCI中国成分股!A:B,1,)</f>
        <v>#N/A</v>
      </c>
    </row>
    <row r="3616" spans="1:6" ht="20.25" hidden="1" customHeight="1" x14ac:dyDescent="0.15">
      <c r="A3616" s="2" t="s">
        <v>7485</v>
      </c>
      <c r="B3616" s="2" t="s">
        <v>7486</v>
      </c>
      <c r="C3616" s="2">
        <v>3.41</v>
      </c>
      <c r="D3616" s="2">
        <v>5.7356999999999996</v>
      </c>
      <c r="E3616" s="2" t="s">
        <v>1338</v>
      </c>
      <c r="F3616" s="2" t="e">
        <f>VLOOKUP(B3616,MSCI中国成分股!A:B,1,)</f>
        <v>#N/A</v>
      </c>
    </row>
    <row r="3617" spans="1:6" ht="20.25" hidden="1" customHeight="1" x14ac:dyDescent="0.15">
      <c r="A3617" s="2" t="s">
        <v>7487</v>
      </c>
      <c r="B3617" s="2" t="s">
        <v>7488</v>
      </c>
      <c r="C3617" s="2">
        <v>-1.06</v>
      </c>
      <c r="D3617" s="2">
        <v>194.19370000000001</v>
      </c>
      <c r="E3617" s="2" t="s">
        <v>982</v>
      </c>
      <c r="F3617" s="2" t="e">
        <f>VLOOKUP(B3617,MSCI中国成分股!A:B,1,)</f>
        <v>#N/A</v>
      </c>
    </row>
    <row r="3618" spans="1:6" ht="20.25" hidden="1" customHeight="1" x14ac:dyDescent="0.15">
      <c r="A3618" s="2" t="s">
        <v>7489</v>
      </c>
      <c r="B3618" s="2" t="s">
        <v>7490</v>
      </c>
      <c r="C3618" s="2">
        <v>-1.75</v>
      </c>
      <c r="D3618" s="2">
        <v>6.4710000000000001</v>
      </c>
      <c r="E3618" s="2" t="s">
        <v>385</v>
      </c>
      <c r="F3618" s="2" t="e">
        <f>VLOOKUP(B3618,MSCI中国成分股!A:B,1,)</f>
        <v>#N/A</v>
      </c>
    </row>
    <row r="3619" spans="1:6" ht="20.25" hidden="1" customHeight="1" x14ac:dyDescent="0.15">
      <c r="A3619" s="2" t="s">
        <v>7491</v>
      </c>
      <c r="B3619" s="2" t="s">
        <v>7492</v>
      </c>
      <c r="C3619" s="2">
        <v>3.02</v>
      </c>
      <c r="D3619" s="2">
        <v>1.9388000000000001</v>
      </c>
      <c r="E3619" s="2" t="s">
        <v>406</v>
      </c>
      <c r="F3619" s="2" t="e">
        <f>VLOOKUP(B3619,MSCI中国成分股!A:B,1,)</f>
        <v>#N/A</v>
      </c>
    </row>
    <row r="3620" spans="1:6" ht="20.25" hidden="1" customHeight="1" x14ac:dyDescent="0.15">
      <c r="A3620" s="2" t="s">
        <v>7493</v>
      </c>
      <c r="B3620" s="2" t="s">
        <v>7494</v>
      </c>
      <c r="C3620" s="2">
        <v>0.63</v>
      </c>
      <c r="D3620" s="2">
        <v>0.43130000000000002</v>
      </c>
      <c r="E3620" s="2" t="s">
        <v>1997</v>
      </c>
      <c r="F3620" s="2" t="e">
        <f>VLOOKUP(B3620,MSCI中国成分股!A:B,1,)</f>
        <v>#N/A</v>
      </c>
    </row>
    <row r="3621" spans="1:6" ht="20.25" hidden="1" customHeight="1" x14ac:dyDescent="0.15">
      <c r="A3621" s="2" t="s">
        <v>7495</v>
      </c>
      <c r="B3621" s="2" t="s">
        <v>7496</v>
      </c>
      <c r="C3621" s="2">
        <v>0.59</v>
      </c>
      <c r="D3621" s="2">
        <v>43.718299999999999</v>
      </c>
      <c r="E3621" s="2" t="s">
        <v>299</v>
      </c>
      <c r="F3621" s="2" t="e">
        <f>VLOOKUP(B3621,MSCI中国成分股!A:B,1,)</f>
        <v>#N/A</v>
      </c>
    </row>
    <row r="3622" spans="1:6" ht="20.25" hidden="1" customHeight="1" x14ac:dyDescent="0.15">
      <c r="A3622" s="2" t="s">
        <v>7497</v>
      </c>
      <c r="B3622" s="2" t="s">
        <v>7498</v>
      </c>
      <c r="C3622" s="2">
        <v>0.76</v>
      </c>
      <c r="D3622" s="2">
        <v>0.13450000000000001</v>
      </c>
      <c r="E3622" s="2" t="s">
        <v>3693</v>
      </c>
      <c r="F3622" s="2" t="e">
        <f>VLOOKUP(B3622,MSCI中国成分股!A:B,1,)</f>
        <v>#N/A</v>
      </c>
    </row>
    <row r="3623" spans="1:6" ht="20.25" hidden="1" customHeight="1" x14ac:dyDescent="0.15">
      <c r="A3623" s="2" t="s">
        <v>7499</v>
      </c>
      <c r="B3623" s="2" t="s">
        <v>7500</v>
      </c>
      <c r="C3623" s="2">
        <v>0.74</v>
      </c>
      <c r="D3623" s="2">
        <v>29.153600000000001</v>
      </c>
      <c r="E3623" s="2" t="s">
        <v>13</v>
      </c>
      <c r="F3623" s="2" t="e">
        <f>VLOOKUP(B3623,MSCI中国成分股!A:B,1,)</f>
        <v>#N/A</v>
      </c>
    </row>
    <row r="3624" spans="1:6" ht="20.25" hidden="1" customHeight="1" x14ac:dyDescent="0.15">
      <c r="A3624" s="2" t="s">
        <v>7501</v>
      </c>
      <c r="B3624" s="2" t="s">
        <v>7502</v>
      </c>
      <c r="C3624" s="2">
        <v>0.22</v>
      </c>
      <c r="D3624" s="2">
        <v>17.4331</v>
      </c>
      <c r="E3624" s="2" t="s">
        <v>220</v>
      </c>
      <c r="F3624" s="2" t="e">
        <f>VLOOKUP(B3624,MSCI中国成分股!A:B,1,)</f>
        <v>#N/A</v>
      </c>
    </row>
    <row r="3625" spans="1:6" ht="20.25" hidden="1" customHeight="1" x14ac:dyDescent="0.15">
      <c r="A3625" s="2" t="s">
        <v>7503</v>
      </c>
      <c r="B3625" s="2" t="s">
        <v>7504</v>
      </c>
      <c r="C3625" s="2">
        <v>-0.31</v>
      </c>
      <c r="D3625" s="2">
        <v>4.7384000000000004</v>
      </c>
      <c r="E3625" s="2" t="s">
        <v>483</v>
      </c>
      <c r="F3625" s="2" t="e">
        <f>VLOOKUP(B3625,MSCI中国成分股!A:B,1,)</f>
        <v>#N/A</v>
      </c>
    </row>
    <row r="3626" spans="1:6" ht="20.25" hidden="1" customHeight="1" x14ac:dyDescent="0.15">
      <c r="A3626" s="2" t="s">
        <v>7505</v>
      </c>
      <c r="B3626" s="2" t="s">
        <v>7506</v>
      </c>
      <c r="C3626" s="2">
        <v>1.2</v>
      </c>
      <c r="D3626" s="2">
        <v>3.7097000000000002</v>
      </c>
      <c r="E3626" s="2" t="s">
        <v>6764</v>
      </c>
      <c r="F3626" s="2" t="e">
        <f>VLOOKUP(B3626,MSCI中国成分股!A:B,1,)</f>
        <v>#N/A</v>
      </c>
    </row>
    <row r="3627" spans="1:6" ht="20.25" hidden="1" customHeight="1" x14ac:dyDescent="0.15">
      <c r="A3627" s="2" t="s">
        <v>7507</v>
      </c>
      <c r="B3627" s="2" t="s">
        <v>7508</v>
      </c>
      <c r="C3627" s="2">
        <v>2.67</v>
      </c>
      <c r="D3627" s="2">
        <v>5.6380999999999997</v>
      </c>
      <c r="E3627" s="2" t="s">
        <v>4939</v>
      </c>
      <c r="F3627" s="2" t="e">
        <f>VLOOKUP(B3627,MSCI中国成分股!A:B,1,)</f>
        <v>#N/A</v>
      </c>
    </row>
    <row r="3628" spans="1:6" ht="20.25" hidden="1" customHeight="1" x14ac:dyDescent="0.15">
      <c r="A3628" s="2" t="s">
        <v>7509</v>
      </c>
      <c r="B3628" s="2" t="s">
        <v>7510</v>
      </c>
      <c r="C3628" s="2">
        <v>-0.88</v>
      </c>
      <c r="D3628" s="2">
        <v>3.3809999999999998</v>
      </c>
      <c r="E3628" s="2" t="s">
        <v>784</v>
      </c>
      <c r="F3628" s="2" t="e">
        <f>VLOOKUP(B3628,MSCI中国成分股!A:B,1,)</f>
        <v>#N/A</v>
      </c>
    </row>
    <row r="3629" spans="1:6" ht="20.25" hidden="1" customHeight="1" x14ac:dyDescent="0.15">
      <c r="A3629" s="2" t="s">
        <v>7511</v>
      </c>
      <c r="B3629" s="2" t="s">
        <v>7512</v>
      </c>
      <c r="C3629" s="2">
        <v>0.43</v>
      </c>
      <c r="D3629" s="2">
        <v>13.4801</v>
      </c>
      <c r="E3629" s="2" t="s">
        <v>1436</v>
      </c>
      <c r="F3629" s="2" t="e">
        <f>VLOOKUP(B3629,MSCI中国成分股!A:B,1,)</f>
        <v>#N/A</v>
      </c>
    </row>
    <row r="3630" spans="1:6" ht="20.25" hidden="1" customHeight="1" x14ac:dyDescent="0.15">
      <c r="A3630" s="2" t="s">
        <v>7513</v>
      </c>
      <c r="B3630" s="2" t="s">
        <v>7514</v>
      </c>
      <c r="C3630" s="2">
        <v>0.66</v>
      </c>
      <c r="D3630" s="2">
        <v>2.0230999999999999</v>
      </c>
      <c r="E3630" s="2" t="s">
        <v>459</v>
      </c>
      <c r="F3630" s="2" t="e">
        <f>VLOOKUP(B3630,MSCI中国成分股!A:B,1,)</f>
        <v>#N/A</v>
      </c>
    </row>
    <row r="3631" spans="1:6" ht="20.25" hidden="1" customHeight="1" x14ac:dyDescent="0.15">
      <c r="A3631" s="2" t="s">
        <v>7515</v>
      </c>
      <c r="B3631" s="2" t="s">
        <v>7516</v>
      </c>
      <c r="C3631" s="2">
        <v>2.72</v>
      </c>
      <c r="D3631" s="2">
        <v>3.7378</v>
      </c>
      <c r="E3631" s="2" t="s">
        <v>713</v>
      </c>
      <c r="F3631" s="2" t="e">
        <f>VLOOKUP(B3631,MSCI中国成分股!A:B,1,)</f>
        <v>#N/A</v>
      </c>
    </row>
    <row r="3632" spans="1:6" ht="20.25" hidden="1" customHeight="1" x14ac:dyDescent="0.15">
      <c r="A3632" s="2" t="s">
        <v>7517</v>
      </c>
      <c r="B3632" s="2" t="s">
        <v>7518</v>
      </c>
      <c r="C3632" s="2">
        <v>0.7</v>
      </c>
      <c r="D3632" s="2">
        <v>0.95679999999999998</v>
      </c>
      <c r="E3632" s="2" t="s">
        <v>1608</v>
      </c>
      <c r="F3632" s="2" t="e">
        <f>VLOOKUP(B3632,MSCI中国成分股!A:B,1,)</f>
        <v>#N/A</v>
      </c>
    </row>
    <row r="3633" spans="1:6" ht="20.25" hidden="1" customHeight="1" x14ac:dyDescent="0.15">
      <c r="A3633" s="2" t="s">
        <v>7519</v>
      </c>
      <c r="B3633" s="2" t="s">
        <v>7520</v>
      </c>
      <c r="C3633" s="2">
        <v>0.7</v>
      </c>
      <c r="D3633" s="2">
        <v>8.0820000000000007</v>
      </c>
      <c r="E3633" s="2" t="s">
        <v>3190</v>
      </c>
      <c r="F3633" s="2" t="e">
        <f>VLOOKUP(B3633,MSCI中国成分股!A:B,1,)</f>
        <v>#N/A</v>
      </c>
    </row>
    <row r="3634" spans="1:6" ht="20.25" hidden="1" customHeight="1" x14ac:dyDescent="0.15">
      <c r="A3634" s="2" t="s">
        <v>7521</v>
      </c>
      <c r="B3634" s="2" t="s">
        <v>7522</v>
      </c>
      <c r="C3634" s="2">
        <v>-1.51</v>
      </c>
      <c r="D3634" s="2">
        <v>3.8974000000000002</v>
      </c>
      <c r="E3634" s="2" t="s">
        <v>257</v>
      </c>
      <c r="F3634" s="2" t="e">
        <f>VLOOKUP(B3634,MSCI中国成分股!A:B,1,)</f>
        <v>#N/A</v>
      </c>
    </row>
    <row r="3635" spans="1:6" ht="20.25" hidden="1" customHeight="1" x14ac:dyDescent="0.15">
      <c r="A3635" s="2" t="s">
        <v>7523</v>
      </c>
      <c r="B3635" s="2" t="s">
        <v>7524</v>
      </c>
      <c r="C3635" s="2">
        <v>1.5149999999999999</v>
      </c>
      <c r="D3635" s="2">
        <v>0.21390000000000001</v>
      </c>
      <c r="E3635" s="2" t="s">
        <v>1243</v>
      </c>
      <c r="F3635" s="2" t="e">
        <f>VLOOKUP(B3635,MSCI中国成分股!A:B,1,)</f>
        <v>#N/A</v>
      </c>
    </row>
    <row r="3636" spans="1:6" ht="20.25" hidden="1" customHeight="1" x14ac:dyDescent="0.15">
      <c r="A3636" s="2" t="s">
        <v>7525</v>
      </c>
      <c r="B3636" s="2" t="s">
        <v>7526</v>
      </c>
      <c r="C3636" s="2">
        <v>0.56999999999999995</v>
      </c>
      <c r="D3636" s="2">
        <v>2.9361999999999999</v>
      </c>
      <c r="E3636" s="2" t="s">
        <v>1041</v>
      </c>
      <c r="F3636" s="2" t="e">
        <f>VLOOKUP(B3636,MSCI中国成分股!A:B,1,)</f>
        <v>#N/A</v>
      </c>
    </row>
    <row r="3637" spans="1:6" ht="20.25" hidden="1" customHeight="1" x14ac:dyDescent="0.15">
      <c r="A3637" s="2" t="s">
        <v>7527</v>
      </c>
      <c r="B3637" s="2" t="s">
        <v>7528</v>
      </c>
      <c r="C3637" s="2">
        <v>0.74</v>
      </c>
      <c r="D3637" s="2">
        <v>1.2468999999999999</v>
      </c>
      <c r="E3637" s="2" t="s">
        <v>418</v>
      </c>
      <c r="F3637" s="2" t="e">
        <f>VLOOKUP(B3637,MSCI中国成分股!A:B,1,)</f>
        <v>#N/A</v>
      </c>
    </row>
    <row r="3638" spans="1:6" ht="20.25" hidden="1" customHeight="1" x14ac:dyDescent="0.15">
      <c r="A3638" s="2" t="s">
        <v>7529</v>
      </c>
      <c r="B3638" s="2" t="s">
        <v>7530</v>
      </c>
      <c r="C3638" s="2">
        <v>0.71</v>
      </c>
      <c r="D3638" s="2">
        <v>2.3997999999999999</v>
      </c>
      <c r="E3638" s="2" t="s">
        <v>359</v>
      </c>
      <c r="F3638" s="2" t="e">
        <f>VLOOKUP(B3638,MSCI中国成分股!A:B,1,)</f>
        <v>#N/A</v>
      </c>
    </row>
    <row r="3639" spans="1:6" ht="20.25" hidden="1" customHeight="1" x14ac:dyDescent="0.15">
      <c r="A3639" s="2" t="s">
        <v>7531</v>
      </c>
      <c r="B3639" s="2" t="s">
        <v>7532</v>
      </c>
      <c r="C3639" s="2">
        <v>0.86</v>
      </c>
      <c r="D3639" s="2">
        <v>6.8738999999999999</v>
      </c>
      <c r="E3639" s="2" t="s">
        <v>713</v>
      </c>
      <c r="F3639" s="2" t="e">
        <f>VLOOKUP(B3639,MSCI中国成分股!A:B,1,)</f>
        <v>#N/A</v>
      </c>
    </row>
    <row r="3640" spans="1:6" ht="20.25" hidden="1" customHeight="1" x14ac:dyDescent="0.15">
      <c r="A3640" s="2" t="s">
        <v>7533</v>
      </c>
      <c r="B3640" s="2" t="s">
        <v>7534</v>
      </c>
      <c r="C3640" s="2">
        <v>3.83</v>
      </c>
      <c r="D3640" s="2">
        <v>1.6384000000000001</v>
      </c>
      <c r="E3640" s="2" t="s">
        <v>44</v>
      </c>
      <c r="F3640" s="2" t="e">
        <f>VLOOKUP(B3640,MSCI中国成分股!A:B,1,)</f>
        <v>#N/A</v>
      </c>
    </row>
    <row r="3641" spans="1:6" ht="20.25" hidden="1" customHeight="1" x14ac:dyDescent="0.15">
      <c r="A3641" s="2" t="s">
        <v>7535</v>
      </c>
      <c r="B3641" s="2" t="s">
        <v>7536</v>
      </c>
      <c r="C3641" s="2">
        <v>0.64</v>
      </c>
      <c r="D3641" s="2">
        <v>0.68320000000000003</v>
      </c>
      <c r="E3641" s="2" t="s">
        <v>201</v>
      </c>
      <c r="F3641" s="2" t="e">
        <f>VLOOKUP(B3641,MSCI中国成分股!A:B,1,)</f>
        <v>#N/A</v>
      </c>
    </row>
    <row r="3642" spans="1:6" ht="20.25" hidden="1" customHeight="1" x14ac:dyDescent="0.15">
      <c r="A3642" s="2" t="s">
        <v>7537</v>
      </c>
      <c r="B3642" s="2" t="s">
        <v>7538</v>
      </c>
      <c r="C3642" s="2">
        <v>1.35</v>
      </c>
      <c r="D3642" s="2">
        <v>13.063599999999999</v>
      </c>
      <c r="E3642" s="2" t="s">
        <v>89</v>
      </c>
      <c r="F3642" s="2" t="e">
        <f>VLOOKUP(B3642,MSCI中国成分股!A:B,1,)</f>
        <v>#N/A</v>
      </c>
    </row>
    <row r="3643" spans="1:6" ht="20.25" hidden="1" customHeight="1" x14ac:dyDescent="0.15">
      <c r="A3643" s="2" t="s">
        <v>7539</v>
      </c>
      <c r="B3643" s="2" t="s">
        <v>7540</v>
      </c>
      <c r="C3643" s="2">
        <v>0.97</v>
      </c>
      <c r="D3643" s="2">
        <v>1.0165</v>
      </c>
      <c r="E3643" s="2" t="s">
        <v>1099</v>
      </c>
      <c r="F3643" s="2" t="e">
        <f>VLOOKUP(B3643,MSCI中国成分股!A:B,1,)</f>
        <v>#N/A</v>
      </c>
    </row>
    <row r="3644" spans="1:6" ht="20.25" hidden="1" customHeight="1" x14ac:dyDescent="0.15">
      <c r="A3644" s="2" t="s">
        <v>7541</v>
      </c>
      <c r="B3644" s="2" t="s">
        <v>7542</v>
      </c>
      <c r="C3644" s="2">
        <v>-0.3</v>
      </c>
      <c r="D3644" s="2">
        <v>0.84699999999999998</v>
      </c>
      <c r="E3644" s="2" t="s">
        <v>529</v>
      </c>
      <c r="F3644" s="2" t="e">
        <f>VLOOKUP(B3644,MSCI中国成分股!A:B,1,)</f>
        <v>#N/A</v>
      </c>
    </row>
    <row r="3645" spans="1:6" ht="20.25" hidden="1" customHeight="1" x14ac:dyDescent="0.15">
      <c r="A3645" s="2" t="s">
        <v>7543</v>
      </c>
      <c r="B3645" s="2" t="s">
        <v>7544</v>
      </c>
      <c r="C3645" s="2">
        <v>0.77</v>
      </c>
      <c r="D3645" s="2">
        <v>16.588000000000001</v>
      </c>
      <c r="E3645" s="2" t="s">
        <v>690</v>
      </c>
      <c r="F3645" s="2" t="e">
        <f>VLOOKUP(B3645,MSCI中国成分股!A:B,1,)</f>
        <v>#N/A</v>
      </c>
    </row>
    <row r="3646" spans="1:6" ht="20.25" hidden="1" customHeight="1" x14ac:dyDescent="0.15">
      <c r="A3646" s="2" t="s">
        <v>7545</v>
      </c>
      <c r="B3646" s="2" t="s">
        <v>7546</v>
      </c>
      <c r="C3646" s="2">
        <v>0</v>
      </c>
      <c r="D3646" s="2">
        <v>9.7387999999999995</v>
      </c>
      <c r="E3646" s="2" t="s">
        <v>152</v>
      </c>
      <c r="F3646" s="2" t="e">
        <f>VLOOKUP(B3646,MSCI中国成分股!A:B,1,)</f>
        <v>#N/A</v>
      </c>
    </row>
    <row r="3647" spans="1:6" ht="20.25" hidden="1" customHeight="1" x14ac:dyDescent="0.15">
      <c r="A3647" s="2" t="s">
        <v>7547</v>
      </c>
      <c r="B3647" s="2" t="s">
        <v>7548</v>
      </c>
      <c r="C3647" s="2">
        <v>2.5350000000000001</v>
      </c>
      <c r="D3647" s="2">
        <v>1.054</v>
      </c>
      <c r="E3647" s="2" t="s">
        <v>2151</v>
      </c>
      <c r="F3647" s="2" t="e">
        <f>VLOOKUP(B3647,MSCI中国成分股!A:B,1,)</f>
        <v>#N/A</v>
      </c>
    </row>
    <row r="3648" spans="1:6" ht="20.25" hidden="1" customHeight="1" x14ac:dyDescent="0.15">
      <c r="A3648" s="2" t="s">
        <v>7549</v>
      </c>
      <c r="B3648" s="2" t="s">
        <v>7550</v>
      </c>
      <c r="C3648" s="2">
        <v>0.63500000000000001</v>
      </c>
      <c r="D3648" s="2">
        <v>3.2816999999999998</v>
      </c>
      <c r="E3648" s="2" t="s">
        <v>421</v>
      </c>
      <c r="F3648" s="2" t="e">
        <f>VLOOKUP(B3648,MSCI中国成分股!A:B,1,)</f>
        <v>#N/A</v>
      </c>
    </row>
    <row r="3649" spans="1:6" ht="20.25" hidden="1" customHeight="1" x14ac:dyDescent="0.15">
      <c r="A3649" s="2" t="s">
        <v>7551</v>
      </c>
      <c r="B3649" s="2" t="s">
        <v>7552</v>
      </c>
      <c r="C3649" s="2">
        <v>0.63</v>
      </c>
      <c r="D3649" s="2">
        <v>12.1294</v>
      </c>
      <c r="E3649" s="2" t="s">
        <v>1338</v>
      </c>
      <c r="F3649" s="2" t="e">
        <f>VLOOKUP(B3649,MSCI中国成分股!A:B,1,)</f>
        <v>#N/A</v>
      </c>
    </row>
    <row r="3650" spans="1:6" ht="20.25" hidden="1" customHeight="1" x14ac:dyDescent="0.15">
      <c r="A3650" s="2" t="s">
        <v>7553</v>
      </c>
      <c r="B3650" s="2" t="s">
        <v>7554</v>
      </c>
      <c r="C3650" s="2">
        <v>0.87</v>
      </c>
      <c r="D3650" s="2">
        <v>2.4842</v>
      </c>
      <c r="E3650" s="2" t="s">
        <v>385</v>
      </c>
      <c r="F3650" s="2" t="e">
        <f>VLOOKUP(B3650,MSCI中国成分股!A:B,1,)</f>
        <v>#N/A</v>
      </c>
    </row>
    <row r="3651" spans="1:6" ht="20.25" hidden="1" customHeight="1" x14ac:dyDescent="0.15">
      <c r="A3651" s="2" t="s">
        <v>7555</v>
      </c>
      <c r="B3651" s="2" t="s">
        <v>7556</v>
      </c>
      <c r="C3651" s="2">
        <v>0.98</v>
      </c>
      <c r="D3651" s="2">
        <v>21.242100000000001</v>
      </c>
      <c r="E3651" s="2" t="s">
        <v>1338</v>
      </c>
      <c r="F3651" s="2" t="e">
        <f>VLOOKUP(B3651,MSCI中国成分股!A:B,1,)</f>
        <v>#N/A</v>
      </c>
    </row>
    <row r="3652" spans="1:6" ht="20.25" hidden="1" customHeight="1" x14ac:dyDescent="0.15">
      <c r="A3652" s="2" t="s">
        <v>7557</v>
      </c>
      <c r="B3652" s="2" t="s">
        <v>7558</v>
      </c>
      <c r="C3652" s="2">
        <v>-0.23</v>
      </c>
      <c r="D3652" s="2">
        <v>15.001899999999999</v>
      </c>
      <c r="E3652" s="2" t="s">
        <v>409</v>
      </c>
      <c r="F3652" s="2" t="e">
        <f>VLOOKUP(B3652,MSCI中国成分股!A:B,1,)</f>
        <v>#N/A</v>
      </c>
    </row>
    <row r="3653" spans="1:6" ht="20.25" hidden="1" customHeight="1" x14ac:dyDescent="0.15">
      <c r="A3653" s="2" t="s">
        <v>7559</v>
      </c>
      <c r="B3653" s="2" t="s">
        <v>7560</v>
      </c>
      <c r="C3653" s="2">
        <v>1.8149999999999999</v>
      </c>
      <c r="D3653" s="2">
        <v>2.5863999999999998</v>
      </c>
      <c r="E3653" s="2" t="s">
        <v>310</v>
      </c>
      <c r="F3653" s="2" t="e">
        <f>VLOOKUP(B3653,MSCI中国成分股!A:B,1,)</f>
        <v>#N/A</v>
      </c>
    </row>
    <row r="3654" spans="1:6" ht="20.25" hidden="1" customHeight="1" x14ac:dyDescent="0.15">
      <c r="A3654" s="2" t="s">
        <v>7561</v>
      </c>
      <c r="B3654" s="2" t="s">
        <v>7562</v>
      </c>
      <c r="C3654" s="2">
        <v>0.09</v>
      </c>
      <c r="D3654" s="2">
        <v>0.6855</v>
      </c>
      <c r="E3654" s="2" t="s">
        <v>784</v>
      </c>
      <c r="F3654" s="2" t="e">
        <f>VLOOKUP(B3654,MSCI中国成分股!A:B,1,)</f>
        <v>#N/A</v>
      </c>
    </row>
    <row r="3655" spans="1:6" ht="20.25" hidden="1" customHeight="1" x14ac:dyDescent="0.15">
      <c r="A3655" s="2" t="s">
        <v>7563</v>
      </c>
      <c r="B3655" s="2" t="s">
        <v>7564</v>
      </c>
      <c r="C3655" s="2">
        <v>1.42</v>
      </c>
      <c r="D3655" s="2">
        <v>0.29360000000000003</v>
      </c>
      <c r="E3655" s="2" t="s">
        <v>638</v>
      </c>
      <c r="F3655" s="2" t="e">
        <f>VLOOKUP(B3655,MSCI中国成分股!A:B,1,)</f>
        <v>#N/A</v>
      </c>
    </row>
    <row r="3656" spans="1:6" ht="20.25" hidden="1" customHeight="1" x14ac:dyDescent="0.15">
      <c r="A3656" s="2" t="s">
        <v>7565</v>
      </c>
      <c r="B3656" s="2" t="s">
        <v>7566</v>
      </c>
      <c r="C3656" s="2">
        <v>-0.24</v>
      </c>
      <c r="D3656" s="2">
        <v>4.0521000000000003</v>
      </c>
      <c r="E3656" s="2" t="s">
        <v>4939</v>
      </c>
      <c r="F3656" s="2" t="e">
        <f>VLOOKUP(B3656,MSCI中国成分股!A:B,1,)</f>
        <v>#N/A</v>
      </c>
    </row>
    <row r="3657" spans="1:6" ht="20.25" hidden="1" customHeight="1" x14ac:dyDescent="0.15">
      <c r="A3657" s="2" t="s">
        <v>7567</v>
      </c>
      <c r="B3657" s="2" t="s">
        <v>7568</v>
      </c>
      <c r="C3657" s="2">
        <v>1.55</v>
      </c>
      <c r="D3657" s="2">
        <v>1.9086000000000001</v>
      </c>
      <c r="E3657" s="2" t="s">
        <v>713</v>
      </c>
      <c r="F3657" s="2" t="e">
        <f>VLOOKUP(B3657,MSCI中国成分股!A:B,1,)</f>
        <v>#N/A</v>
      </c>
    </row>
    <row r="3658" spans="1:6" ht="20.25" hidden="1" customHeight="1" x14ac:dyDescent="0.15">
      <c r="A3658" s="2" t="s">
        <v>7569</v>
      </c>
      <c r="B3658" s="2" t="s">
        <v>7570</v>
      </c>
      <c r="C3658" s="2">
        <v>0.23</v>
      </c>
      <c r="D3658" s="2">
        <v>783.51179999999999</v>
      </c>
      <c r="E3658" s="2" t="s">
        <v>2038</v>
      </c>
      <c r="F3658" s="2" t="e">
        <f>VLOOKUP(B3658,MSCI中国成分股!A:B,1,)</f>
        <v>#N/A</v>
      </c>
    </row>
    <row r="3659" spans="1:6" ht="20.25" hidden="1" customHeight="1" x14ac:dyDescent="0.15">
      <c r="A3659" s="2" t="s">
        <v>7571</v>
      </c>
      <c r="B3659" s="2" t="s">
        <v>7572</v>
      </c>
      <c r="C3659" s="2">
        <v>1.6</v>
      </c>
      <c r="D3659" s="2">
        <v>0.25259999999999999</v>
      </c>
      <c r="E3659" s="2" t="s">
        <v>89</v>
      </c>
      <c r="F3659" s="2" t="e">
        <f>VLOOKUP(B3659,MSCI中国成分股!A:B,1,)</f>
        <v>#N/A</v>
      </c>
    </row>
    <row r="3660" spans="1:6" ht="20.25" hidden="1" customHeight="1" x14ac:dyDescent="0.15">
      <c r="A3660" s="2" t="s">
        <v>7573</v>
      </c>
      <c r="B3660" s="2" t="s">
        <v>7574</v>
      </c>
      <c r="C3660" s="2">
        <v>1.39</v>
      </c>
      <c r="D3660" s="2">
        <v>1.5229999999999999</v>
      </c>
      <c r="E3660" s="2" t="s">
        <v>1436</v>
      </c>
      <c r="F3660" s="2" t="e">
        <f>VLOOKUP(B3660,MSCI中国成分股!A:B,1,)</f>
        <v>#N/A</v>
      </c>
    </row>
    <row r="3661" spans="1:6" ht="20.25" hidden="1" customHeight="1" x14ac:dyDescent="0.15">
      <c r="A3661" s="2" t="s">
        <v>7575</v>
      </c>
      <c r="B3661" s="2" t="s">
        <v>7576</v>
      </c>
      <c r="C3661" s="2">
        <v>0.69</v>
      </c>
      <c r="D3661" s="2">
        <v>1.3127</v>
      </c>
      <c r="E3661" s="2" t="s">
        <v>201</v>
      </c>
      <c r="F3661" s="2" t="e">
        <f>VLOOKUP(B3661,MSCI中国成分股!A:B,1,)</f>
        <v>#N/A</v>
      </c>
    </row>
    <row r="3662" spans="1:6" ht="20.25" hidden="1" customHeight="1" x14ac:dyDescent="0.15">
      <c r="A3662" s="2" t="s">
        <v>7577</v>
      </c>
      <c r="B3662" s="2" t="s">
        <v>7578</v>
      </c>
      <c r="C3662" s="2">
        <v>1.1100000000000001</v>
      </c>
      <c r="D3662" s="2">
        <v>0.43690000000000001</v>
      </c>
      <c r="E3662" s="2" t="s">
        <v>1436</v>
      </c>
      <c r="F3662" s="2" t="e">
        <f>VLOOKUP(B3662,MSCI中国成分股!A:B,1,)</f>
        <v>#N/A</v>
      </c>
    </row>
    <row r="3663" spans="1:6" ht="20.25" hidden="1" customHeight="1" x14ac:dyDescent="0.15">
      <c r="A3663" s="2" t="s">
        <v>7579</v>
      </c>
      <c r="B3663" s="2" t="s">
        <v>7580</v>
      </c>
      <c r="C3663" s="2">
        <v>3.585</v>
      </c>
      <c r="D3663" s="2">
        <v>12.068199999999999</v>
      </c>
      <c r="E3663" s="2" t="s">
        <v>2681</v>
      </c>
      <c r="F3663" s="2" t="e">
        <f>VLOOKUP(B3663,MSCI中国成分股!A:B,1,)</f>
        <v>#N/A</v>
      </c>
    </row>
    <row r="3664" spans="1:6" ht="20.25" hidden="1" customHeight="1" x14ac:dyDescent="0.15">
      <c r="A3664" s="2" t="s">
        <v>7581</v>
      </c>
      <c r="B3664" s="2" t="s">
        <v>7582</v>
      </c>
      <c r="C3664" s="2">
        <v>1.41</v>
      </c>
      <c r="D3664" s="2">
        <v>1.8153999999999999</v>
      </c>
      <c r="E3664" s="2" t="s">
        <v>630</v>
      </c>
      <c r="F3664" s="2" t="e">
        <f>VLOOKUP(B3664,MSCI中国成分股!A:B,1,)</f>
        <v>#N/A</v>
      </c>
    </row>
    <row r="3665" spans="1:6" ht="20.25" hidden="1" customHeight="1" x14ac:dyDescent="0.15">
      <c r="A3665" s="2" t="s">
        <v>7583</v>
      </c>
      <c r="B3665" s="2" t="s">
        <v>7584</v>
      </c>
      <c r="C3665" s="2">
        <v>2.6</v>
      </c>
      <c r="D3665" s="2">
        <v>2.9990999999999999</v>
      </c>
      <c r="E3665" s="2" t="s">
        <v>391</v>
      </c>
      <c r="F3665" s="2" t="e">
        <f>VLOOKUP(B3665,MSCI中国成分股!A:B,1,)</f>
        <v>#N/A</v>
      </c>
    </row>
    <row r="3666" spans="1:6" ht="20.25" hidden="1" customHeight="1" x14ac:dyDescent="0.15">
      <c r="A3666" s="2" t="s">
        <v>7585</v>
      </c>
      <c r="B3666" s="2" t="s">
        <v>7586</v>
      </c>
      <c r="C3666" s="2">
        <v>1.2849999999999999</v>
      </c>
      <c r="D3666" s="2">
        <v>3.2728000000000002</v>
      </c>
      <c r="E3666" s="2" t="s">
        <v>4939</v>
      </c>
      <c r="F3666" s="2" t="e">
        <f>VLOOKUP(B3666,MSCI中国成分股!A:B,1,)</f>
        <v>#N/A</v>
      </c>
    </row>
    <row r="3667" spans="1:6" ht="20.25" hidden="1" customHeight="1" x14ac:dyDescent="0.15">
      <c r="A3667" s="2" t="s">
        <v>7587</v>
      </c>
      <c r="B3667" s="2" t="s">
        <v>7588</v>
      </c>
      <c r="C3667" s="2">
        <v>-3.84</v>
      </c>
      <c r="D3667" s="2">
        <v>582.71950000000004</v>
      </c>
      <c r="E3667" s="2" t="s">
        <v>421</v>
      </c>
      <c r="F3667" s="2" t="e">
        <f>VLOOKUP(B3667,MSCI中国成分股!A:B,1,)</f>
        <v>#N/A</v>
      </c>
    </row>
    <row r="3668" spans="1:6" ht="20.25" hidden="1" customHeight="1" x14ac:dyDescent="0.15">
      <c r="A3668" s="2" t="s">
        <v>7589</v>
      </c>
      <c r="B3668" s="2" t="s">
        <v>7590</v>
      </c>
      <c r="C3668" s="2">
        <v>0.05</v>
      </c>
      <c r="D3668" s="2">
        <v>1.9984999999999999</v>
      </c>
      <c r="E3668" s="2" t="s">
        <v>1056</v>
      </c>
      <c r="F3668" s="2" t="e">
        <f>VLOOKUP(B3668,MSCI中国成分股!A:B,1,)</f>
        <v>#N/A</v>
      </c>
    </row>
    <row r="3669" spans="1:6" ht="20.25" hidden="1" customHeight="1" x14ac:dyDescent="0.15">
      <c r="A3669" s="2" t="s">
        <v>7591</v>
      </c>
      <c r="B3669" s="2" t="s">
        <v>7592</v>
      </c>
      <c r="C3669" s="2">
        <v>1.05</v>
      </c>
      <c r="D3669" s="2">
        <v>0.82350000000000001</v>
      </c>
      <c r="E3669" s="2" t="s">
        <v>664</v>
      </c>
      <c r="F3669" s="2" t="e">
        <f>VLOOKUP(B3669,MSCI中国成分股!A:B,1,)</f>
        <v>#N/A</v>
      </c>
    </row>
    <row r="3670" spans="1:6" ht="20.25" hidden="1" customHeight="1" x14ac:dyDescent="0.15">
      <c r="A3670" s="2" t="s">
        <v>7593</v>
      </c>
      <c r="B3670" s="2" t="s">
        <v>7594</v>
      </c>
      <c r="C3670" s="2">
        <v>1.605</v>
      </c>
      <c r="D3670" s="2">
        <v>7.5613000000000001</v>
      </c>
      <c r="E3670" s="2" t="s">
        <v>713</v>
      </c>
      <c r="F3670" s="2" t="e">
        <f>VLOOKUP(B3670,MSCI中国成分股!A:B,1,)</f>
        <v>#N/A</v>
      </c>
    </row>
    <row r="3671" spans="1:6" ht="20.25" hidden="1" customHeight="1" x14ac:dyDescent="0.15">
      <c r="A3671" s="2" t="s">
        <v>7595</v>
      </c>
      <c r="B3671" s="2" t="s">
        <v>7596</v>
      </c>
      <c r="C3671" s="2">
        <v>-0.22</v>
      </c>
      <c r="D3671" s="2">
        <v>3.4396</v>
      </c>
      <c r="E3671" s="2" t="s">
        <v>371</v>
      </c>
      <c r="F3671" s="2" t="e">
        <f>VLOOKUP(B3671,MSCI中国成分股!A:B,1,)</f>
        <v>#N/A</v>
      </c>
    </row>
    <row r="3672" spans="1:6" ht="20.25" hidden="1" customHeight="1" x14ac:dyDescent="0.15">
      <c r="A3672" s="2" t="s">
        <v>7597</v>
      </c>
      <c r="B3672" s="2" t="s">
        <v>7598</v>
      </c>
      <c r="C3672" s="2">
        <v>1.18</v>
      </c>
      <c r="D3672" s="2">
        <v>6.0239000000000003</v>
      </c>
      <c r="E3672" s="2" t="s">
        <v>630</v>
      </c>
      <c r="F3672" s="2" t="e">
        <f>VLOOKUP(B3672,MSCI中国成分股!A:B,1,)</f>
        <v>#N/A</v>
      </c>
    </row>
    <row r="3673" spans="1:6" ht="20.25" hidden="1" customHeight="1" x14ac:dyDescent="0.15">
      <c r="A3673" s="2" t="s">
        <v>7599</v>
      </c>
      <c r="B3673" s="2" t="s">
        <v>7600</v>
      </c>
      <c r="C3673" s="2">
        <v>1.62</v>
      </c>
      <c r="D3673" s="2">
        <v>3.2242999999999999</v>
      </c>
      <c r="E3673" s="2" t="s">
        <v>1853</v>
      </c>
      <c r="F3673" s="2" t="e">
        <f>VLOOKUP(B3673,MSCI中国成分股!A:B,1,)</f>
        <v>#N/A</v>
      </c>
    </row>
    <row r="3674" spans="1:6" ht="20.25" hidden="1" customHeight="1" x14ac:dyDescent="0.15">
      <c r="A3674" s="2" t="s">
        <v>7601</v>
      </c>
      <c r="B3674" s="2" t="s">
        <v>7602</v>
      </c>
      <c r="C3674" s="2">
        <v>0.01</v>
      </c>
      <c r="D3674" s="2">
        <v>7.0552000000000001</v>
      </c>
      <c r="E3674" s="2" t="s">
        <v>391</v>
      </c>
      <c r="F3674" s="2" t="e">
        <f>VLOOKUP(B3674,MSCI中国成分股!A:B,1,)</f>
        <v>#N/A</v>
      </c>
    </row>
    <row r="3675" spans="1:6" ht="20.25" hidden="1" customHeight="1" x14ac:dyDescent="0.15">
      <c r="A3675" s="2" t="s">
        <v>7603</v>
      </c>
      <c r="B3675" s="2" t="s">
        <v>7604</v>
      </c>
      <c r="C3675" s="2">
        <v>-0.88</v>
      </c>
      <c r="D3675" s="2">
        <v>3.9169</v>
      </c>
      <c r="E3675" s="2" t="s">
        <v>1248</v>
      </c>
      <c r="F3675" s="2" t="e">
        <f>VLOOKUP(B3675,MSCI中国成分股!A:B,1,)</f>
        <v>#N/A</v>
      </c>
    </row>
    <row r="3676" spans="1:6" ht="20.25" hidden="1" customHeight="1" x14ac:dyDescent="0.15">
      <c r="A3676" s="2" t="s">
        <v>7605</v>
      </c>
      <c r="B3676" s="2" t="s">
        <v>7606</v>
      </c>
      <c r="C3676" s="2">
        <v>-1.43</v>
      </c>
      <c r="D3676" s="2">
        <v>186.03380000000001</v>
      </c>
      <c r="E3676" s="2" t="s">
        <v>44</v>
      </c>
      <c r="F3676" s="2" t="e">
        <f>VLOOKUP(B3676,MSCI中国成分股!A:B,1,)</f>
        <v>#N/A</v>
      </c>
    </row>
    <row r="3677" spans="1:6" ht="20.25" hidden="1" customHeight="1" x14ac:dyDescent="0.15">
      <c r="A3677" s="2" t="s">
        <v>7607</v>
      </c>
      <c r="B3677" s="2" t="s">
        <v>7608</v>
      </c>
      <c r="C3677" s="2">
        <v>-0.45</v>
      </c>
      <c r="D3677" s="2">
        <v>598512.74679999996</v>
      </c>
      <c r="E3677" s="2" t="s">
        <v>1820</v>
      </c>
      <c r="F3677" s="2" t="e">
        <f>VLOOKUP(B3677,MSCI中国成分股!A:B,1,)</f>
        <v>#N/A</v>
      </c>
    </row>
    <row r="3678" spans="1:6" ht="20.25" hidden="1" customHeight="1" x14ac:dyDescent="0.15">
      <c r="A3678" s="2" t="s">
        <v>7609</v>
      </c>
      <c r="B3678" s="2" t="s">
        <v>7610</v>
      </c>
      <c r="C3678" s="2">
        <v>0.66</v>
      </c>
      <c r="D3678" s="2">
        <v>1.3051999999999999</v>
      </c>
      <c r="E3678" s="2" t="s">
        <v>1608</v>
      </c>
      <c r="F3678" s="2" t="e">
        <f>VLOOKUP(B3678,MSCI中国成分股!A:B,1,)</f>
        <v>#N/A</v>
      </c>
    </row>
    <row r="3679" spans="1:6" ht="20.25" hidden="1" customHeight="1" x14ac:dyDescent="0.15">
      <c r="A3679" s="2" t="s">
        <v>7611</v>
      </c>
      <c r="B3679" s="2" t="s">
        <v>7612</v>
      </c>
      <c r="C3679" s="2">
        <v>1.31</v>
      </c>
      <c r="D3679" s="2">
        <v>0.77549999999999997</v>
      </c>
      <c r="E3679" s="2" t="s">
        <v>736</v>
      </c>
      <c r="F3679" s="2" t="e">
        <f>VLOOKUP(B3679,MSCI中国成分股!A:B,1,)</f>
        <v>#N/A</v>
      </c>
    </row>
    <row r="3680" spans="1:6" ht="20.25" hidden="1" customHeight="1" x14ac:dyDescent="0.15">
      <c r="A3680" s="2" t="s">
        <v>7613</v>
      </c>
      <c r="B3680" s="2" t="s">
        <v>7614</v>
      </c>
      <c r="C3680" s="2">
        <v>0.55000000000000004</v>
      </c>
      <c r="D3680" s="2">
        <v>6.5895999999999999</v>
      </c>
      <c r="E3680" s="2" t="s">
        <v>1338</v>
      </c>
      <c r="F3680" s="2" t="e">
        <f>VLOOKUP(B3680,MSCI中国成分股!A:B,1,)</f>
        <v>#N/A</v>
      </c>
    </row>
    <row r="3681" spans="1:6" ht="20.25" hidden="1" customHeight="1" x14ac:dyDescent="0.15">
      <c r="A3681" s="2" t="s">
        <v>7615</v>
      </c>
      <c r="B3681" s="2" t="s">
        <v>7616</v>
      </c>
      <c r="C3681" s="2">
        <v>-0.57999999999999996</v>
      </c>
      <c r="D3681" s="2">
        <v>11.9374</v>
      </c>
      <c r="E3681" s="2" t="s">
        <v>2344</v>
      </c>
      <c r="F3681" s="2" t="e">
        <f>VLOOKUP(B3681,MSCI中国成分股!A:B,1,)</f>
        <v>#N/A</v>
      </c>
    </row>
    <row r="3682" spans="1:6" ht="20.25" hidden="1" customHeight="1" x14ac:dyDescent="0.15">
      <c r="A3682" s="2" t="s">
        <v>7617</v>
      </c>
      <c r="B3682" s="2" t="s">
        <v>7618</v>
      </c>
      <c r="C3682" s="2">
        <v>1.21</v>
      </c>
      <c r="D3682" s="2">
        <v>33.874899999999997</v>
      </c>
      <c r="E3682" s="2" t="s">
        <v>41</v>
      </c>
      <c r="F3682" s="2" t="e">
        <f>VLOOKUP(B3682,MSCI中国成分股!A:B,1,)</f>
        <v>#N/A</v>
      </c>
    </row>
    <row r="3683" spans="1:6" ht="20.25" hidden="1" customHeight="1" x14ac:dyDescent="0.15">
      <c r="A3683" s="2" t="s">
        <v>7619</v>
      </c>
      <c r="B3683" s="2" t="s">
        <v>7620</v>
      </c>
      <c r="C3683" s="2">
        <v>2.0699999999999998</v>
      </c>
      <c r="D3683" s="2">
        <v>0.88560000000000005</v>
      </c>
      <c r="E3683" s="2" t="s">
        <v>55</v>
      </c>
      <c r="F3683" s="2" t="e">
        <f>VLOOKUP(B3683,MSCI中国成分股!A:B,1,)</f>
        <v>#N/A</v>
      </c>
    </row>
    <row r="3684" spans="1:6" ht="20.25" hidden="1" customHeight="1" x14ac:dyDescent="0.15">
      <c r="A3684" s="2" t="s">
        <v>7621</v>
      </c>
      <c r="B3684" s="2" t="s">
        <v>7622</v>
      </c>
      <c r="C3684" s="2">
        <v>2.09</v>
      </c>
      <c r="D3684" s="2">
        <v>3.7703000000000002</v>
      </c>
      <c r="E3684" s="2" t="s">
        <v>1420</v>
      </c>
      <c r="F3684" s="2" t="e">
        <f>VLOOKUP(B3684,MSCI中国成分股!A:B,1,)</f>
        <v>#N/A</v>
      </c>
    </row>
    <row r="3685" spans="1:6" ht="20.25" hidden="1" customHeight="1" x14ac:dyDescent="0.15">
      <c r="A3685" s="2" t="s">
        <v>7623</v>
      </c>
      <c r="B3685" s="2" t="s">
        <v>7624</v>
      </c>
      <c r="C3685" s="2">
        <v>-14.7</v>
      </c>
      <c r="D3685" s="2">
        <v>730.19929999999999</v>
      </c>
      <c r="E3685" s="2" t="s">
        <v>638</v>
      </c>
      <c r="F3685" s="2" t="e">
        <f>VLOOKUP(B3685,MSCI中国成分股!A:B,1,)</f>
        <v>#N/A</v>
      </c>
    </row>
    <row r="3686" spans="1:6" ht="20.25" hidden="1" customHeight="1" x14ac:dyDescent="0.15">
      <c r="A3686" s="2" t="s">
        <v>7625</v>
      </c>
      <c r="B3686" s="2" t="s">
        <v>7626</v>
      </c>
      <c r="C3686" s="2">
        <v>0.84499999999999997</v>
      </c>
      <c r="D3686" s="2">
        <v>0.6472</v>
      </c>
      <c r="E3686" s="2" t="s">
        <v>1268</v>
      </c>
      <c r="F3686" s="2" t="e">
        <f>VLOOKUP(B3686,MSCI中国成分股!A:B,1,)</f>
        <v>#N/A</v>
      </c>
    </row>
    <row r="3687" spans="1:6" ht="20.25" hidden="1" customHeight="1" x14ac:dyDescent="0.15">
      <c r="A3687" s="2" t="s">
        <v>7627</v>
      </c>
      <c r="B3687" s="2" t="s">
        <v>7628</v>
      </c>
      <c r="C3687" s="2">
        <v>1.51</v>
      </c>
      <c r="D3687" s="2">
        <v>0.68879999999999997</v>
      </c>
      <c r="E3687" s="2" t="s">
        <v>818</v>
      </c>
      <c r="F3687" s="2" t="e">
        <f>VLOOKUP(B3687,MSCI中国成分股!A:B,1,)</f>
        <v>#N/A</v>
      </c>
    </row>
    <row r="3688" spans="1:6" ht="20.25" hidden="1" customHeight="1" x14ac:dyDescent="0.15">
      <c r="A3688" s="2" t="s">
        <v>7629</v>
      </c>
      <c r="B3688" s="2" t="s">
        <v>7630</v>
      </c>
      <c r="C3688" s="2">
        <v>-0.47</v>
      </c>
      <c r="D3688" s="2">
        <v>19.6221</v>
      </c>
      <c r="E3688" s="2" t="s">
        <v>1034</v>
      </c>
      <c r="F3688" s="2" t="e">
        <f>VLOOKUP(B3688,MSCI中国成分股!A:B,1,)</f>
        <v>#N/A</v>
      </c>
    </row>
    <row r="3689" spans="1:6" ht="20.25" hidden="1" customHeight="1" x14ac:dyDescent="0.15">
      <c r="A3689" s="2" t="s">
        <v>7631</v>
      </c>
      <c r="B3689" s="2" t="s">
        <v>7632</v>
      </c>
      <c r="C3689" s="2">
        <v>3.2549999999999999</v>
      </c>
      <c r="D3689" s="2">
        <v>16.476700000000001</v>
      </c>
      <c r="E3689" s="2" t="s">
        <v>3249</v>
      </c>
      <c r="F3689" s="2" t="e">
        <f>VLOOKUP(B3689,MSCI中国成分股!A:B,1,)</f>
        <v>#N/A</v>
      </c>
    </row>
    <row r="3690" spans="1:6" ht="20.25" hidden="1" customHeight="1" x14ac:dyDescent="0.15">
      <c r="A3690" s="2" t="s">
        <v>7633</v>
      </c>
      <c r="B3690" s="2" t="s">
        <v>7634</v>
      </c>
      <c r="C3690" s="2">
        <v>1.47</v>
      </c>
      <c r="D3690" s="2">
        <v>2.8153999999999999</v>
      </c>
      <c r="E3690" s="2" t="s">
        <v>1680</v>
      </c>
      <c r="F3690" s="2" t="e">
        <f>VLOOKUP(B3690,MSCI中国成分股!A:B,1,)</f>
        <v>#N/A</v>
      </c>
    </row>
    <row r="3691" spans="1:6" ht="20.25" hidden="1" customHeight="1" x14ac:dyDescent="0.15">
      <c r="A3691" s="2" t="s">
        <v>7635</v>
      </c>
      <c r="B3691" s="2" t="s">
        <v>7636</v>
      </c>
      <c r="C3691" s="2">
        <v>2.88</v>
      </c>
      <c r="D3691" s="2">
        <v>26.847999999999999</v>
      </c>
      <c r="E3691" s="2" t="s">
        <v>827</v>
      </c>
      <c r="F3691" s="2" t="e">
        <f>VLOOKUP(B3691,MSCI中国成分股!A:B,1,)</f>
        <v>#N/A</v>
      </c>
    </row>
    <row r="3692" spans="1:6" ht="20.25" hidden="1" customHeight="1" x14ac:dyDescent="0.15">
      <c r="A3692" s="2" t="s">
        <v>7637</v>
      </c>
      <c r="B3692" s="2" t="s">
        <v>7638</v>
      </c>
      <c r="C3692" s="2">
        <v>0.79</v>
      </c>
      <c r="D3692" s="2">
        <v>0.89800000000000002</v>
      </c>
      <c r="E3692" s="2" t="s">
        <v>501</v>
      </c>
      <c r="F3692" s="2" t="e">
        <f>VLOOKUP(B3692,MSCI中国成分股!A:B,1,)</f>
        <v>#N/A</v>
      </c>
    </row>
    <row r="3693" spans="1:6" ht="20.25" hidden="1" customHeight="1" x14ac:dyDescent="0.15">
      <c r="A3693" s="2" t="s">
        <v>7639</v>
      </c>
      <c r="B3693" s="2" t="s">
        <v>7640</v>
      </c>
      <c r="C3693" s="2">
        <v>-0.19500000000000001</v>
      </c>
      <c r="D3693" s="2">
        <v>8.0390999999999995</v>
      </c>
      <c r="E3693" s="2" t="s">
        <v>388</v>
      </c>
      <c r="F3693" s="2" t="e">
        <f>VLOOKUP(B3693,MSCI中国成分股!A:B,1,)</f>
        <v>#N/A</v>
      </c>
    </row>
    <row r="3694" spans="1:6" ht="20.25" hidden="1" customHeight="1" x14ac:dyDescent="0.15">
      <c r="A3694" s="2" t="s">
        <v>7641</v>
      </c>
      <c r="B3694" s="2" t="s">
        <v>7642</v>
      </c>
      <c r="C3694" s="2">
        <v>0.375</v>
      </c>
      <c r="D3694" s="2">
        <v>5.8719999999999999</v>
      </c>
      <c r="E3694" s="2" t="s">
        <v>52</v>
      </c>
      <c r="F3694" s="2" t="e">
        <f>VLOOKUP(B3694,MSCI中国成分股!A:B,1,)</f>
        <v>#N/A</v>
      </c>
    </row>
    <row r="3695" spans="1:6" ht="20.25" hidden="1" customHeight="1" x14ac:dyDescent="0.15">
      <c r="A3695" s="2" t="s">
        <v>7643</v>
      </c>
      <c r="B3695" s="2" t="s">
        <v>7644</v>
      </c>
      <c r="C3695" s="2">
        <v>0.14000000000000001</v>
      </c>
      <c r="D3695" s="2">
        <v>3.6242000000000001</v>
      </c>
      <c r="E3695" s="2" t="s">
        <v>374</v>
      </c>
      <c r="F3695" s="2" t="e">
        <f>VLOOKUP(B3695,MSCI中国成分股!A:B,1,)</f>
        <v>#N/A</v>
      </c>
    </row>
    <row r="3696" spans="1:6" ht="20.25" hidden="1" customHeight="1" x14ac:dyDescent="0.15">
      <c r="A3696" s="2" t="s">
        <v>7645</v>
      </c>
      <c r="B3696" s="2" t="s">
        <v>7646</v>
      </c>
      <c r="C3696" s="2">
        <v>-0.35</v>
      </c>
      <c r="D3696" s="2">
        <v>6.4595000000000002</v>
      </c>
      <c r="E3696" s="2" t="s">
        <v>862</v>
      </c>
      <c r="F3696" s="2" t="e">
        <f>VLOOKUP(B3696,MSCI中国成分股!A:B,1,)</f>
        <v>#N/A</v>
      </c>
    </row>
    <row r="3697" spans="1:6" ht="20.25" hidden="1" customHeight="1" x14ac:dyDescent="0.15">
      <c r="A3697" s="2" t="s">
        <v>7647</v>
      </c>
      <c r="B3697" s="2" t="s">
        <v>7648</v>
      </c>
      <c r="C3697" s="2">
        <v>-0.26</v>
      </c>
      <c r="D3697" s="2">
        <v>15.869</v>
      </c>
      <c r="E3697" s="2" t="s">
        <v>41</v>
      </c>
      <c r="F3697" s="2" t="e">
        <f>VLOOKUP(B3697,MSCI中国成分股!A:B,1,)</f>
        <v>#N/A</v>
      </c>
    </row>
    <row r="3698" spans="1:6" ht="20.25" hidden="1" customHeight="1" x14ac:dyDescent="0.15">
      <c r="A3698" s="2" t="s">
        <v>7649</v>
      </c>
      <c r="B3698" s="2" t="s">
        <v>7650</v>
      </c>
      <c r="C3698" s="2">
        <v>0.09</v>
      </c>
      <c r="D3698" s="2">
        <v>4.4836</v>
      </c>
      <c r="E3698" s="2" t="s">
        <v>44</v>
      </c>
      <c r="F3698" s="2" t="e">
        <f>VLOOKUP(B3698,MSCI中国成分股!A:B,1,)</f>
        <v>#N/A</v>
      </c>
    </row>
    <row r="3699" spans="1:6" ht="20.25" hidden="1" customHeight="1" x14ac:dyDescent="0.15">
      <c r="A3699" s="2" t="s">
        <v>7651</v>
      </c>
      <c r="B3699" s="2" t="s">
        <v>7652</v>
      </c>
      <c r="C3699" s="2">
        <v>1.62</v>
      </c>
      <c r="D3699" s="2">
        <v>4.5731000000000002</v>
      </c>
      <c r="E3699" s="2" t="s">
        <v>1486</v>
      </c>
      <c r="F3699" s="2" t="e">
        <f>VLOOKUP(B3699,MSCI中国成分股!A:B,1,)</f>
        <v>#N/A</v>
      </c>
    </row>
    <row r="3700" spans="1:6" ht="20.25" hidden="1" customHeight="1" x14ac:dyDescent="0.15">
      <c r="A3700" s="2" t="s">
        <v>7653</v>
      </c>
      <c r="B3700" s="2" t="s">
        <v>7654</v>
      </c>
      <c r="C3700" s="2">
        <v>1.9</v>
      </c>
      <c r="D3700" s="2">
        <v>6.32</v>
      </c>
      <c r="E3700" s="2" t="s">
        <v>1139</v>
      </c>
      <c r="F3700" s="2" t="e">
        <f>VLOOKUP(B3700,MSCI中国成分股!A:B,1,)</f>
        <v>#N/A</v>
      </c>
    </row>
    <row r="3701" spans="1:6" ht="20.25" hidden="1" customHeight="1" x14ac:dyDescent="0.15">
      <c r="A3701" s="2" t="s">
        <v>7655</v>
      </c>
      <c r="B3701" s="2" t="s">
        <v>7656</v>
      </c>
      <c r="C3701" s="2">
        <v>1.04</v>
      </c>
      <c r="D3701" s="2">
        <v>1.1261000000000001</v>
      </c>
      <c r="E3701" s="2" t="s">
        <v>359</v>
      </c>
      <c r="F3701" s="2" t="e">
        <f>VLOOKUP(B3701,MSCI中国成分股!A:B,1,)</f>
        <v>#N/A</v>
      </c>
    </row>
    <row r="3702" spans="1:6" ht="20.25" hidden="1" customHeight="1" x14ac:dyDescent="0.15">
      <c r="A3702" s="2" t="s">
        <v>7657</v>
      </c>
      <c r="B3702" s="2" t="s">
        <v>7658</v>
      </c>
      <c r="C3702" s="2">
        <v>3.46</v>
      </c>
      <c r="D3702" s="2">
        <v>4.3787000000000003</v>
      </c>
      <c r="E3702" s="2" t="s">
        <v>1608</v>
      </c>
      <c r="F3702" s="2" t="e">
        <f>VLOOKUP(B3702,MSCI中国成分股!A:B,1,)</f>
        <v>#N/A</v>
      </c>
    </row>
    <row r="3703" spans="1:6" ht="20.25" hidden="1" customHeight="1" x14ac:dyDescent="0.15">
      <c r="A3703" s="2" t="s">
        <v>7659</v>
      </c>
      <c r="B3703" s="2" t="s">
        <v>7660</v>
      </c>
      <c r="C3703" s="2">
        <v>-0.06</v>
      </c>
      <c r="D3703" s="2">
        <v>0.1598</v>
      </c>
      <c r="E3703" s="2" t="s">
        <v>207</v>
      </c>
      <c r="F3703" s="2" t="e">
        <f>VLOOKUP(B3703,MSCI中国成分股!A:B,1,)</f>
        <v>#N/A</v>
      </c>
    </row>
    <row r="3704" spans="1:6" ht="20.25" hidden="1" customHeight="1" x14ac:dyDescent="0.15">
      <c r="A3704" s="2" t="s">
        <v>7661</v>
      </c>
      <c r="B3704" s="2" t="s">
        <v>7662</v>
      </c>
      <c r="C3704" s="2">
        <v>0.86</v>
      </c>
      <c r="D3704" s="2">
        <v>0.51129999999999998</v>
      </c>
      <c r="E3704" s="2" t="s">
        <v>1712</v>
      </c>
      <c r="F3704" s="2" t="e">
        <f>VLOOKUP(B3704,MSCI中国成分股!A:B,1,)</f>
        <v>#N/A</v>
      </c>
    </row>
    <row r="3705" spans="1:6" ht="20.25" hidden="1" customHeight="1" x14ac:dyDescent="0.15">
      <c r="A3705" s="2" t="s">
        <v>7663</v>
      </c>
      <c r="B3705" s="2" t="s">
        <v>7664</v>
      </c>
      <c r="C3705" s="2">
        <v>1.06</v>
      </c>
      <c r="D3705" s="2">
        <v>11.918900000000001</v>
      </c>
      <c r="E3705" s="2" t="s">
        <v>1820</v>
      </c>
      <c r="F3705" s="2" t="e">
        <f>VLOOKUP(B3705,MSCI中国成分股!A:B,1,)</f>
        <v>#N/A</v>
      </c>
    </row>
    <row r="3706" spans="1:6" ht="20.25" hidden="1" customHeight="1" x14ac:dyDescent="0.15">
      <c r="A3706" s="2" t="s">
        <v>7665</v>
      </c>
      <c r="B3706" s="2" t="s">
        <v>7666</v>
      </c>
      <c r="C3706" s="2">
        <v>0.36</v>
      </c>
      <c r="D3706" s="2">
        <v>3.4636999999999998</v>
      </c>
      <c r="E3706" s="2" t="s">
        <v>10</v>
      </c>
      <c r="F3706" s="2" t="e">
        <f>VLOOKUP(B3706,MSCI中国成分股!A:B,1,)</f>
        <v>#N/A</v>
      </c>
    </row>
    <row r="3707" spans="1:6" ht="20.25" hidden="1" customHeight="1" x14ac:dyDescent="0.15">
      <c r="A3707" s="2" t="s">
        <v>7667</v>
      </c>
      <c r="B3707" s="2" t="s">
        <v>7668</v>
      </c>
      <c r="C3707" s="2">
        <v>0.88</v>
      </c>
      <c r="D3707" s="2">
        <v>17.175999999999998</v>
      </c>
      <c r="E3707" s="2" t="s">
        <v>368</v>
      </c>
      <c r="F3707" s="2" t="e">
        <f>VLOOKUP(B3707,MSCI中国成分股!A:B,1,)</f>
        <v>#N/A</v>
      </c>
    </row>
    <row r="3708" spans="1:6" ht="20.25" hidden="1" customHeight="1" x14ac:dyDescent="0.15">
      <c r="A3708" s="2" t="s">
        <v>7669</v>
      </c>
      <c r="B3708" s="2" t="s">
        <v>7670</v>
      </c>
      <c r="C3708" s="2">
        <v>1.98</v>
      </c>
      <c r="D3708" s="2">
        <v>0.96419999999999995</v>
      </c>
      <c r="E3708" s="2" t="s">
        <v>1712</v>
      </c>
      <c r="F3708" s="2" t="e">
        <f>VLOOKUP(B3708,MSCI中国成分股!A:B,1,)</f>
        <v>#N/A</v>
      </c>
    </row>
    <row r="3709" spans="1:6" ht="20.25" hidden="1" customHeight="1" x14ac:dyDescent="0.15">
      <c r="A3709" s="2" t="s">
        <v>7671</v>
      </c>
      <c r="B3709" s="2" t="s">
        <v>7672</v>
      </c>
      <c r="C3709" s="2">
        <v>2.4049999999999998</v>
      </c>
      <c r="D3709" s="2">
        <v>1.2381</v>
      </c>
      <c r="E3709" s="2" t="s">
        <v>506</v>
      </c>
      <c r="F3709" s="2" t="e">
        <f>VLOOKUP(B3709,MSCI中国成分股!A:B,1,)</f>
        <v>#N/A</v>
      </c>
    </row>
    <row r="3710" spans="1:6" ht="20.25" hidden="1" customHeight="1" x14ac:dyDescent="0.15">
      <c r="A3710" s="2" t="s">
        <v>7673</v>
      </c>
      <c r="B3710" s="2" t="s">
        <v>7674</v>
      </c>
      <c r="C3710" s="2">
        <v>0.89</v>
      </c>
      <c r="D3710" s="2">
        <v>7.0231000000000003</v>
      </c>
      <c r="E3710" s="2" t="s">
        <v>344</v>
      </c>
      <c r="F3710" s="2" t="e">
        <f>VLOOKUP(B3710,MSCI中国成分股!A:B,1,)</f>
        <v>#N/A</v>
      </c>
    </row>
    <row r="3711" spans="1:6" ht="20.25" hidden="1" customHeight="1" x14ac:dyDescent="0.15">
      <c r="A3711" s="2" t="s">
        <v>7675</v>
      </c>
      <c r="B3711" s="2" t="s">
        <v>7676</v>
      </c>
      <c r="C3711" s="2">
        <v>0.69</v>
      </c>
      <c r="D3711" s="2">
        <v>2.1208999999999998</v>
      </c>
      <c r="E3711" s="2" t="s">
        <v>1613</v>
      </c>
      <c r="F3711" s="2" t="e">
        <f>VLOOKUP(B3711,MSCI中国成分股!A:B,1,)</f>
        <v>#N/A</v>
      </c>
    </row>
    <row r="3712" spans="1:6" ht="20.25" hidden="1" customHeight="1" x14ac:dyDescent="0.15">
      <c r="A3712" s="2" t="s">
        <v>7677</v>
      </c>
      <c r="B3712" s="2" t="s">
        <v>7678</v>
      </c>
      <c r="C3712" s="2">
        <v>-0.34</v>
      </c>
      <c r="D3712" s="2">
        <v>2.66</v>
      </c>
      <c r="E3712" s="2" t="s">
        <v>471</v>
      </c>
      <c r="F3712" s="2" t="e">
        <f>VLOOKUP(B3712,MSCI中国成分股!A:B,1,)</f>
        <v>#N/A</v>
      </c>
    </row>
    <row r="3713" spans="1:6" ht="20.25" hidden="1" customHeight="1" x14ac:dyDescent="0.15">
      <c r="A3713" s="2" t="s">
        <v>7679</v>
      </c>
      <c r="B3713" s="2" t="s">
        <v>7680</v>
      </c>
      <c r="C3713" s="2">
        <v>0.66</v>
      </c>
      <c r="D3713" s="2">
        <v>2.6145999999999998</v>
      </c>
      <c r="E3713" s="2" t="s">
        <v>1139</v>
      </c>
      <c r="F3713" s="2" t="e">
        <f>VLOOKUP(B3713,MSCI中国成分股!A:B,1,)</f>
        <v>#N/A</v>
      </c>
    </row>
    <row r="3714" spans="1:6" ht="20.25" hidden="1" customHeight="1" x14ac:dyDescent="0.15">
      <c r="A3714" s="2" t="s">
        <v>7681</v>
      </c>
      <c r="B3714" s="2" t="s">
        <v>7682</v>
      </c>
      <c r="C3714" s="2">
        <v>-2.87</v>
      </c>
      <c r="D3714" s="2">
        <v>11.2187</v>
      </c>
      <c r="E3714" s="2" t="s">
        <v>299</v>
      </c>
      <c r="F3714" s="2" t="e">
        <f>VLOOKUP(B3714,MSCI中国成分股!A:B,1,)</f>
        <v>#N/A</v>
      </c>
    </row>
    <row r="3715" spans="1:6" ht="20.25" hidden="1" customHeight="1" x14ac:dyDescent="0.15">
      <c r="A3715" s="2" t="s">
        <v>7683</v>
      </c>
      <c r="B3715" s="2" t="s">
        <v>7684</v>
      </c>
      <c r="C3715" s="2">
        <v>-0.18</v>
      </c>
      <c r="D3715" s="2">
        <v>360.40530000000001</v>
      </c>
      <c r="E3715" s="2" t="s">
        <v>459</v>
      </c>
      <c r="F3715" s="2" t="e">
        <f>VLOOKUP(B3715,MSCI中国成分股!A:B,1,)</f>
        <v>#N/A</v>
      </c>
    </row>
    <row r="3716" spans="1:6" ht="20.25" hidden="1" customHeight="1" x14ac:dyDescent="0.15">
      <c r="A3716" s="2" t="s">
        <v>7685</v>
      </c>
      <c r="B3716" s="2" t="s">
        <v>7686</v>
      </c>
      <c r="C3716" s="2">
        <v>1.71</v>
      </c>
      <c r="D3716" s="2">
        <v>9.9741</v>
      </c>
      <c r="E3716" s="2" t="s">
        <v>638</v>
      </c>
      <c r="F3716" s="2" t="e">
        <f>VLOOKUP(B3716,MSCI中国成分股!A:B,1,)</f>
        <v>#N/A</v>
      </c>
    </row>
    <row r="3717" spans="1:6" ht="20.25" hidden="1" customHeight="1" x14ac:dyDescent="0.15">
      <c r="A3717" s="2" t="s">
        <v>7687</v>
      </c>
      <c r="B3717" s="2" t="s">
        <v>7688</v>
      </c>
      <c r="C3717" s="2">
        <v>1.95</v>
      </c>
      <c r="D3717" s="2">
        <v>4.4234</v>
      </c>
      <c r="E3717" s="2" t="s">
        <v>3971</v>
      </c>
      <c r="F3717" s="2" t="e">
        <f>VLOOKUP(B3717,MSCI中国成分股!A:B,1,)</f>
        <v>#N/A</v>
      </c>
    </row>
    <row r="3718" spans="1:6" ht="20.25" hidden="1" customHeight="1" x14ac:dyDescent="0.15">
      <c r="A3718" s="2" t="s">
        <v>7689</v>
      </c>
      <c r="B3718" s="2" t="s">
        <v>7690</v>
      </c>
      <c r="C3718" s="2">
        <v>-1.67</v>
      </c>
      <c r="D3718" s="2">
        <v>11.723000000000001</v>
      </c>
      <c r="E3718" s="2" t="s">
        <v>52</v>
      </c>
      <c r="F3718" s="2" t="e">
        <f>VLOOKUP(B3718,MSCI中国成分股!A:B,1,)</f>
        <v>#N/A</v>
      </c>
    </row>
    <row r="3719" spans="1:6" ht="20.25" hidden="1" customHeight="1" x14ac:dyDescent="0.15">
      <c r="A3719" s="2" t="s">
        <v>7691</v>
      </c>
      <c r="B3719" s="2" t="s">
        <v>7692</v>
      </c>
      <c r="C3719" s="2">
        <v>-0.4</v>
      </c>
      <c r="D3719" s="2">
        <v>133.3415</v>
      </c>
      <c r="E3719" s="2" t="s">
        <v>260</v>
      </c>
      <c r="F3719" s="2" t="e">
        <f>VLOOKUP(B3719,MSCI中国成分股!A:B,1,)</f>
        <v>#N/A</v>
      </c>
    </row>
    <row r="3720" spans="1:6" ht="20.25" hidden="1" customHeight="1" x14ac:dyDescent="0.15">
      <c r="A3720" s="2" t="s">
        <v>7693</v>
      </c>
      <c r="B3720" s="2" t="s">
        <v>7694</v>
      </c>
      <c r="C3720" s="2">
        <v>0.04</v>
      </c>
      <c r="D3720" s="2">
        <v>31.964200000000002</v>
      </c>
      <c r="E3720" s="2" t="s">
        <v>3111</v>
      </c>
      <c r="F3720" s="2" t="e">
        <f>VLOOKUP(B3720,MSCI中国成分股!A:B,1,)</f>
        <v>#N/A</v>
      </c>
    </row>
    <row r="3721" spans="1:6" ht="20.25" hidden="1" customHeight="1" x14ac:dyDescent="0.15">
      <c r="A3721" s="2" t="s">
        <v>7695</v>
      </c>
      <c r="B3721" s="2" t="s">
        <v>7696</v>
      </c>
      <c r="C3721" s="2">
        <v>0.63</v>
      </c>
      <c r="D3721" s="2">
        <v>1.7151000000000001</v>
      </c>
      <c r="E3721" s="2" t="s">
        <v>1515</v>
      </c>
      <c r="F3721" s="2" t="e">
        <f>VLOOKUP(B3721,MSCI中国成分股!A:B,1,)</f>
        <v>#N/A</v>
      </c>
    </row>
    <row r="3722" spans="1:6" ht="20.25" hidden="1" customHeight="1" x14ac:dyDescent="0.15">
      <c r="A3722" s="2" t="s">
        <v>7697</v>
      </c>
      <c r="B3722" s="2" t="s">
        <v>7698</v>
      </c>
      <c r="C3722" s="2">
        <v>0.77</v>
      </c>
      <c r="D3722" s="2">
        <v>2.7928999999999999</v>
      </c>
      <c r="E3722" s="2" t="s">
        <v>201</v>
      </c>
      <c r="F3722" s="2" t="e">
        <f>VLOOKUP(B3722,MSCI中国成分股!A:B,1,)</f>
        <v>#N/A</v>
      </c>
    </row>
    <row r="3723" spans="1:6" ht="20.25" hidden="1" customHeight="1" x14ac:dyDescent="0.15">
      <c r="A3723" s="2" t="s">
        <v>7699</v>
      </c>
      <c r="B3723" s="2" t="s">
        <v>7700</v>
      </c>
      <c r="C3723" s="2">
        <v>1.41</v>
      </c>
      <c r="D3723" s="2">
        <v>1.6262000000000001</v>
      </c>
      <c r="E3723" s="2" t="s">
        <v>1570</v>
      </c>
      <c r="F3723" s="2" t="e">
        <f>VLOOKUP(B3723,MSCI中国成分股!A:B,1,)</f>
        <v>#N/A</v>
      </c>
    </row>
    <row r="3724" spans="1:6" ht="20.25" hidden="1" customHeight="1" x14ac:dyDescent="0.15">
      <c r="A3724" s="2" t="s">
        <v>7701</v>
      </c>
      <c r="B3724" s="2" t="s">
        <v>7702</v>
      </c>
      <c r="C3724" s="2">
        <v>0.63</v>
      </c>
      <c r="D3724" s="2">
        <v>12.3369</v>
      </c>
      <c r="E3724" s="2" t="s">
        <v>385</v>
      </c>
      <c r="F3724" s="2" t="e">
        <f>VLOOKUP(B3724,MSCI中国成分股!A:B,1,)</f>
        <v>#N/A</v>
      </c>
    </row>
    <row r="3725" spans="1:6" ht="20.25" hidden="1" customHeight="1" x14ac:dyDescent="0.15">
      <c r="A3725" s="2" t="s">
        <v>7703</v>
      </c>
      <c r="B3725" s="2" t="s">
        <v>7704</v>
      </c>
      <c r="C3725" s="2">
        <v>-0.22</v>
      </c>
      <c r="D3725" s="2">
        <v>4.4676</v>
      </c>
      <c r="E3725" s="2" t="s">
        <v>10</v>
      </c>
      <c r="F3725" s="2" t="e">
        <f>VLOOKUP(B3725,MSCI中国成分股!A:B,1,)</f>
        <v>#N/A</v>
      </c>
    </row>
    <row r="3726" spans="1:6" ht="20.25" hidden="1" customHeight="1" x14ac:dyDescent="0.15">
      <c r="A3726" s="2" t="s">
        <v>7705</v>
      </c>
      <c r="B3726" s="2" t="s">
        <v>7706</v>
      </c>
      <c r="C3726" s="2">
        <v>1.32</v>
      </c>
      <c r="D3726" s="2">
        <v>1.5753999999999999</v>
      </c>
      <c r="E3726" s="2" t="s">
        <v>638</v>
      </c>
      <c r="F3726" s="2" t="e">
        <f>VLOOKUP(B3726,MSCI中国成分股!A:B,1,)</f>
        <v>#N/A</v>
      </c>
    </row>
    <row r="3727" spans="1:6" ht="20.25" hidden="1" customHeight="1" x14ac:dyDescent="0.15">
      <c r="A3727" s="2" t="s">
        <v>7707</v>
      </c>
      <c r="B3727" s="2" t="s">
        <v>7708</v>
      </c>
      <c r="C3727" s="2">
        <v>0.45</v>
      </c>
      <c r="D3727" s="2">
        <v>0.28399999999999997</v>
      </c>
      <c r="E3727" s="2" t="s">
        <v>670</v>
      </c>
      <c r="F3727" s="2" t="e">
        <f>VLOOKUP(B3727,MSCI中国成分股!A:B,1,)</f>
        <v>#N/A</v>
      </c>
    </row>
    <row r="3728" spans="1:6" ht="20.25" hidden="1" customHeight="1" x14ac:dyDescent="0.15">
      <c r="A3728" s="2" t="s">
        <v>7709</v>
      </c>
      <c r="B3728" s="2" t="s">
        <v>7710</v>
      </c>
      <c r="C3728" s="2">
        <v>1.69</v>
      </c>
      <c r="D3728" s="2">
        <v>0.62109999999999999</v>
      </c>
      <c r="E3728" s="2" t="s">
        <v>207</v>
      </c>
      <c r="F3728" s="2" t="e">
        <f>VLOOKUP(B3728,MSCI中国成分股!A:B,1,)</f>
        <v>#N/A</v>
      </c>
    </row>
    <row r="3729" spans="1:6" ht="20.25" hidden="1" customHeight="1" x14ac:dyDescent="0.15">
      <c r="A3729" s="2" t="s">
        <v>7711</v>
      </c>
      <c r="B3729" s="2" t="s">
        <v>7712</v>
      </c>
      <c r="C3729" s="2">
        <v>-0.09</v>
      </c>
      <c r="D3729" s="2">
        <v>27.898199999999999</v>
      </c>
      <c r="E3729" s="2" t="s">
        <v>630</v>
      </c>
      <c r="F3729" s="2" t="e">
        <f>VLOOKUP(B3729,MSCI中国成分股!A:B,1,)</f>
        <v>#N/A</v>
      </c>
    </row>
    <row r="3730" spans="1:6" ht="20.25" hidden="1" customHeight="1" x14ac:dyDescent="0.15">
      <c r="A3730" s="2" t="s">
        <v>7713</v>
      </c>
      <c r="B3730" s="2" t="s">
        <v>7714</v>
      </c>
      <c r="C3730" s="2">
        <v>-2.82</v>
      </c>
      <c r="D3730" s="2">
        <v>28.808</v>
      </c>
      <c r="E3730" s="2" t="s">
        <v>52</v>
      </c>
      <c r="F3730" s="2" t="e">
        <f>VLOOKUP(B3730,MSCI中国成分股!A:B,1,)</f>
        <v>#N/A</v>
      </c>
    </row>
    <row r="3731" spans="1:6" ht="20.25" hidden="1" customHeight="1" x14ac:dyDescent="0.15">
      <c r="A3731" s="2" t="s">
        <v>7715</v>
      </c>
      <c r="B3731" s="2" t="s">
        <v>7716</v>
      </c>
      <c r="C3731" s="2">
        <v>-2.52</v>
      </c>
      <c r="D3731" s="2">
        <v>174.54259999999999</v>
      </c>
      <c r="E3731" s="2" t="s">
        <v>421</v>
      </c>
      <c r="F3731" s="2" t="e">
        <f>VLOOKUP(B3731,MSCI中国成分股!A:B,1,)</f>
        <v>#N/A</v>
      </c>
    </row>
    <row r="3732" spans="1:6" ht="20.25" hidden="1" customHeight="1" x14ac:dyDescent="0.15">
      <c r="A3732" s="2" t="s">
        <v>7717</v>
      </c>
      <c r="B3732" s="2" t="s">
        <v>7718</v>
      </c>
      <c r="C3732" s="2">
        <v>0.16</v>
      </c>
      <c r="D3732" s="2">
        <v>0.64300000000000002</v>
      </c>
      <c r="E3732" s="2" t="s">
        <v>421</v>
      </c>
      <c r="F3732" s="2" t="e">
        <f>VLOOKUP(B3732,MSCI中国成分股!A:B,1,)</f>
        <v>#N/A</v>
      </c>
    </row>
    <row r="3733" spans="1:6" ht="20.25" hidden="1" customHeight="1" x14ac:dyDescent="0.15">
      <c r="A3733" s="2" t="s">
        <v>7719</v>
      </c>
      <c r="B3733" s="2" t="s">
        <v>7720</v>
      </c>
      <c r="C3733" s="2">
        <v>1.05</v>
      </c>
      <c r="D3733" s="2">
        <v>3.2734000000000001</v>
      </c>
      <c r="E3733" s="2" t="s">
        <v>3048</v>
      </c>
      <c r="F3733" s="2" t="e">
        <f>VLOOKUP(B3733,MSCI中国成分股!A:B,1,)</f>
        <v>#N/A</v>
      </c>
    </row>
    <row r="3734" spans="1:6" ht="20.25" hidden="1" customHeight="1" x14ac:dyDescent="0.15">
      <c r="A3734" s="2" t="s">
        <v>7721</v>
      </c>
      <c r="B3734" s="2" t="s">
        <v>7722</v>
      </c>
      <c r="C3734" s="2">
        <v>-3.37</v>
      </c>
      <c r="D3734" s="2">
        <v>75.437899999999999</v>
      </c>
      <c r="E3734" s="2" t="s">
        <v>257</v>
      </c>
      <c r="F3734" s="2" t="e">
        <f>VLOOKUP(B3734,MSCI中国成分股!A:B,1,)</f>
        <v>#N/A</v>
      </c>
    </row>
    <row r="3735" spans="1:6" ht="20.25" hidden="1" customHeight="1" x14ac:dyDescent="0.15">
      <c r="A3735" s="2" t="s">
        <v>7723</v>
      </c>
      <c r="B3735" s="2" t="s">
        <v>7724</v>
      </c>
      <c r="C3735" s="2">
        <v>2.0299999999999998</v>
      </c>
      <c r="D3735" s="2">
        <v>8.2730999999999995</v>
      </c>
      <c r="E3735" s="2" t="s">
        <v>647</v>
      </c>
      <c r="F3735" s="2" t="e">
        <f>VLOOKUP(B3735,MSCI中国成分股!A:B,1,)</f>
        <v>#N/A</v>
      </c>
    </row>
    <row r="3736" spans="1:6" ht="20.25" hidden="1" customHeight="1" x14ac:dyDescent="0.15">
      <c r="A3736" s="2" t="s">
        <v>7725</v>
      </c>
      <c r="B3736" s="2" t="s">
        <v>7726</v>
      </c>
      <c r="C3736" s="2">
        <v>3.09</v>
      </c>
      <c r="D3736" s="2">
        <v>1.7704</v>
      </c>
      <c r="E3736" s="2" t="s">
        <v>371</v>
      </c>
      <c r="F3736" s="2" t="e">
        <f>VLOOKUP(B3736,MSCI中国成分股!A:B,1,)</f>
        <v>#N/A</v>
      </c>
    </row>
    <row r="3737" spans="1:6" ht="20.25" hidden="1" customHeight="1" x14ac:dyDescent="0.15">
      <c r="A3737" s="2" t="s">
        <v>7727</v>
      </c>
      <c r="B3737" s="2" t="s">
        <v>7728</v>
      </c>
      <c r="C3737" s="2">
        <v>-2.0699999999999998</v>
      </c>
      <c r="D3737" s="2">
        <v>504.0274</v>
      </c>
      <c r="E3737" s="2" t="s">
        <v>245</v>
      </c>
      <c r="F3737" s="2" t="e">
        <f>VLOOKUP(B3737,MSCI中国成分股!A:B,1,)</f>
        <v>#N/A</v>
      </c>
    </row>
    <row r="3738" spans="1:6" ht="20.25" hidden="1" customHeight="1" x14ac:dyDescent="0.15">
      <c r="A3738" s="2" t="s">
        <v>7729</v>
      </c>
      <c r="B3738" s="2" t="s">
        <v>7730</v>
      </c>
      <c r="C3738" s="2">
        <v>0.31</v>
      </c>
      <c r="D3738" s="2">
        <v>0.2248</v>
      </c>
      <c r="E3738" s="2" t="s">
        <v>2038</v>
      </c>
      <c r="F3738" s="2" t="e">
        <f>VLOOKUP(B3738,MSCI中国成分股!A:B,1,)</f>
        <v>#N/A</v>
      </c>
    </row>
    <row r="3739" spans="1:6" ht="20.25" hidden="1" customHeight="1" x14ac:dyDescent="0.15">
      <c r="A3739" s="2" t="s">
        <v>7731</v>
      </c>
      <c r="B3739" s="2" t="s">
        <v>7732</v>
      </c>
      <c r="C3739" s="2">
        <v>-0.11</v>
      </c>
      <c r="D3739" s="2">
        <v>1.8797999999999999</v>
      </c>
      <c r="E3739" s="2" t="s">
        <v>257</v>
      </c>
      <c r="F3739" s="2" t="e">
        <f>VLOOKUP(B3739,MSCI中国成分股!A:B,1,)</f>
        <v>#N/A</v>
      </c>
    </row>
    <row r="3740" spans="1:6" ht="20.25" hidden="1" customHeight="1" x14ac:dyDescent="0.15">
      <c r="A3740" s="2" t="s">
        <v>7733</v>
      </c>
      <c r="B3740" s="2" t="s">
        <v>7734</v>
      </c>
      <c r="C3740" s="2">
        <v>0.23</v>
      </c>
      <c r="D3740" s="2">
        <v>0.23039999999999999</v>
      </c>
      <c r="E3740" s="2" t="s">
        <v>152</v>
      </c>
      <c r="F3740" s="2" t="e">
        <f>VLOOKUP(B3740,MSCI中国成分股!A:B,1,)</f>
        <v>#N/A</v>
      </c>
    </row>
    <row r="3741" spans="1:6" ht="20.25" hidden="1" customHeight="1" x14ac:dyDescent="0.15">
      <c r="A3741" s="2" t="s">
        <v>7735</v>
      </c>
      <c r="B3741" s="2" t="s">
        <v>7736</v>
      </c>
      <c r="C3741" s="2">
        <v>0.91</v>
      </c>
      <c r="D3741" s="2">
        <v>0.9446</v>
      </c>
      <c r="E3741" s="2" t="s">
        <v>1608</v>
      </c>
      <c r="F3741" s="2" t="e">
        <f>VLOOKUP(B3741,MSCI中国成分股!A:B,1,)</f>
        <v>#N/A</v>
      </c>
    </row>
    <row r="3742" spans="1:6" ht="20.25" hidden="1" customHeight="1" x14ac:dyDescent="0.15">
      <c r="A3742" s="2" t="s">
        <v>7737</v>
      </c>
      <c r="B3742" s="2" t="s">
        <v>7738</v>
      </c>
      <c r="C3742" s="2">
        <v>-0.19</v>
      </c>
      <c r="D3742" s="2">
        <v>2.7040999999999999</v>
      </c>
      <c r="E3742" s="2" t="s">
        <v>2151</v>
      </c>
      <c r="F3742" s="2" t="e">
        <f>VLOOKUP(B3742,MSCI中国成分股!A:B,1,)</f>
        <v>#N/A</v>
      </c>
    </row>
    <row r="3743" spans="1:6" ht="20.25" hidden="1" customHeight="1" x14ac:dyDescent="0.15">
      <c r="A3743" s="2" t="s">
        <v>7739</v>
      </c>
      <c r="B3743" s="2" t="s">
        <v>7740</v>
      </c>
      <c r="C3743" s="2">
        <v>2.58</v>
      </c>
      <c r="D3743" s="2">
        <v>2.9588999999999999</v>
      </c>
      <c r="E3743" s="2" t="s">
        <v>638</v>
      </c>
      <c r="F3743" s="2" t="e">
        <f>VLOOKUP(B3743,MSCI中国成分股!A:B,1,)</f>
        <v>#N/A</v>
      </c>
    </row>
    <row r="3744" spans="1:6" ht="20.25" hidden="1" customHeight="1" x14ac:dyDescent="0.15">
      <c r="A3744" s="2" t="s">
        <v>7741</v>
      </c>
      <c r="B3744" s="2" t="s">
        <v>7742</v>
      </c>
      <c r="C3744" s="2">
        <v>1.175</v>
      </c>
      <c r="D3744" s="2">
        <v>0.84289999999999998</v>
      </c>
      <c r="E3744" s="2" t="s">
        <v>638</v>
      </c>
      <c r="F3744" s="2" t="e">
        <f>VLOOKUP(B3744,MSCI中国成分股!A:B,1,)</f>
        <v>#N/A</v>
      </c>
    </row>
    <row r="3745" spans="1:6" ht="20.25" hidden="1" customHeight="1" x14ac:dyDescent="0.15">
      <c r="A3745" s="2" t="s">
        <v>7743</v>
      </c>
      <c r="B3745" s="2" t="s">
        <v>7744</v>
      </c>
      <c r="C3745" s="2">
        <v>0.92</v>
      </c>
      <c r="D3745" s="2">
        <v>2.4828000000000001</v>
      </c>
      <c r="E3745" s="2" t="s">
        <v>1338</v>
      </c>
      <c r="F3745" s="2" t="e">
        <f>VLOOKUP(B3745,MSCI中国成分股!A:B,1,)</f>
        <v>#N/A</v>
      </c>
    </row>
    <row r="3746" spans="1:6" ht="20.25" hidden="1" customHeight="1" x14ac:dyDescent="0.15">
      <c r="A3746" s="2" t="s">
        <v>7745</v>
      </c>
      <c r="B3746" s="2" t="s">
        <v>7746</v>
      </c>
      <c r="C3746" s="2">
        <v>0.89</v>
      </c>
      <c r="D3746" s="2">
        <v>5.7104999999999997</v>
      </c>
      <c r="E3746" s="2" t="s">
        <v>257</v>
      </c>
      <c r="F3746" s="2" t="e">
        <f>VLOOKUP(B3746,MSCI中国成分股!A:B,1,)</f>
        <v>#N/A</v>
      </c>
    </row>
    <row r="3747" spans="1:6" ht="20.25" hidden="1" customHeight="1" x14ac:dyDescent="0.15">
      <c r="A3747" s="2" t="s">
        <v>7747</v>
      </c>
      <c r="B3747" s="2" t="s">
        <v>7748</v>
      </c>
      <c r="C3747" s="2">
        <v>-0.24</v>
      </c>
      <c r="D3747" s="2">
        <v>0.30590000000000001</v>
      </c>
      <c r="E3747" s="2" t="s">
        <v>123</v>
      </c>
      <c r="F3747" s="2" t="e">
        <f>VLOOKUP(B3747,MSCI中国成分股!A:B,1,)</f>
        <v>#N/A</v>
      </c>
    </row>
    <row r="3748" spans="1:6" ht="20.25" hidden="1" customHeight="1" x14ac:dyDescent="0.15">
      <c r="A3748" s="2" t="s">
        <v>7749</v>
      </c>
      <c r="B3748" s="2" t="s">
        <v>7750</v>
      </c>
      <c r="C3748" s="2">
        <v>1.7749999999999999</v>
      </c>
      <c r="D3748" s="2">
        <v>1.1594</v>
      </c>
      <c r="E3748" s="2" t="s">
        <v>1099</v>
      </c>
      <c r="F3748" s="2" t="e">
        <f>VLOOKUP(B3748,MSCI中国成分股!A:B,1,)</f>
        <v>#N/A</v>
      </c>
    </row>
    <row r="3749" spans="1:6" ht="20.25" hidden="1" customHeight="1" x14ac:dyDescent="0.15">
      <c r="A3749" s="2" t="s">
        <v>7751</v>
      </c>
      <c r="B3749" s="2" t="s">
        <v>7752</v>
      </c>
      <c r="C3749" s="2">
        <v>0.43</v>
      </c>
      <c r="D3749" s="2">
        <v>3.8586</v>
      </c>
      <c r="E3749" s="2" t="s">
        <v>356</v>
      </c>
      <c r="F3749" s="2" t="e">
        <f>VLOOKUP(B3749,MSCI中国成分股!A:B,1,)</f>
        <v>#N/A</v>
      </c>
    </row>
    <row r="3750" spans="1:6" ht="20.25" hidden="1" customHeight="1" x14ac:dyDescent="0.15">
      <c r="A3750" s="2" t="s">
        <v>7753</v>
      </c>
      <c r="B3750" s="2" t="s">
        <v>7754</v>
      </c>
      <c r="C3750" s="2">
        <v>0.59</v>
      </c>
      <c r="D3750" s="2">
        <v>0.16120000000000001</v>
      </c>
      <c r="E3750" s="2" t="s">
        <v>664</v>
      </c>
      <c r="F3750" s="2" t="e">
        <f>VLOOKUP(B3750,MSCI中国成分股!A:B,1,)</f>
        <v>#N/A</v>
      </c>
    </row>
    <row r="3751" spans="1:6" ht="20.25" hidden="1" customHeight="1" x14ac:dyDescent="0.15">
      <c r="A3751" s="2" t="s">
        <v>7755</v>
      </c>
      <c r="B3751" s="2" t="s">
        <v>7756</v>
      </c>
      <c r="C3751" s="2">
        <v>1.375</v>
      </c>
      <c r="D3751" s="2">
        <v>5.2455999999999996</v>
      </c>
      <c r="E3751" s="2" t="s">
        <v>2724</v>
      </c>
      <c r="F3751" s="2" t="e">
        <f>VLOOKUP(B3751,MSCI中国成分股!A:B,1,)</f>
        <v>#N/A</v>
      </c>
    </row>
    <row r="3752" spans="1:6" ht="20.25" hidden="1" customHeight="1" x14ac:dyDescent="0.15">
      <c r="A3752" s="2" t="s">
        <v>7757</v>
      </c>
      <c r="B3752" s="2" t="s">
        <v>7758</v>
      </c>
      <c r="C3752" s="2">
        <v>2.38</v>
      </c>
      <c r="D3752" s="2">
        <v>7.4225000000000003</v>
      </c>
      <c r="E3752" s="2" t="s">
        <v>137</v>
      </c>
      <c r="F3752" s="2" t="e">
        <f>VLOOKUP(B3752,MSCI中国成分股!A:B,1,)</f>
        <v>#N/A</v>
      </c>
    </row>
    <row r="3753" spans="1:6" ht="20.25" hidden="1" customHeight="1" x14ac:dyDescent="0.15">
      <c r="A3753" s="2" t="s">
        <v>7759</v>
      </c>
      <c r="B3753" s="2" t="s">
        <v>7760</v>
      </c>
      <c r="C3753" s="2">
        <v>1.43</v>
      </c>
      <c r="D3753" s="2">
        <v>0.71830000000000005</v>
      </c>
      <c r="E3753" s="2" t="s">
        <v>71</v>
      </c>
      <c r="F3753" s="2" t="e">
        <f>VLOOKUP(B3753,MSCI中国成分股!A:B,1,)</f>
        <v>#N/A</v>
      </c>
    </row>
    <row r="3754" spans="1:6" ht="20.25" hidden="1" customHeight="1" x14ac:dyDescent="0.15">
      <c r="A3754" s="2" t="s">
        <v>7761</v>
      </c>
      <c r="B3754" s="2" t="s">
        <v>7762</v>
      </c>
      <c r="C3754" s="2">
        <v>0.97</v>
      </c>
      <c r="D3754" s="2">
        <v>2.3050000000000002</v>
      </c>
      <c r="E3754" s="2" t="s">
        <v>2344</v>
      </c>
      <c r="F3754" s="2" t="e">
        <f>VLOOKUP(B3754,MSCI中国成分股!A:B,1,)</f>
        <v>#N/A</v>
      </c>
    </row>
    <row r="3755" spans="1:6" ht="20.25" hidden="1" customHeight="1" x14ac:dyDescent="0.15">
      <c r="A3755" s="2" t="s">
        <v>7763</v>
      </c>
      <c r="B3755" s="2" t="s">
        <v>7764</v>
      </c>
      <c r="C3755" s="2">
        <v>-0.24</v>
      </c>
      <c r="D3755" s="2">
        <v>89.612700000000004</v>
      </c>
      <c r="E3755" s="2" t="s">
        <v>3130</v>
      </c>
      <c r="F3755" s="2" t="e">
        <f>VLOOKUP(B3755,MSCI中国成分股!A:B,1,)</f>
        <v>#N/A</v>
      </c>
    </row>
    <row r="3756" spans="1:6" ht="20.25" hidden="1" customHeight="1" x14ac:dyDescent="0.15">
      <c r="A3756" s="2" t="s">
        <v>7765</v>
      </c>
      <c r="B3756" s="2" t="s">
        <v>7766</v>
      </c>
      <c r="C3756" s="2">
        <v>2.09</v>
      </c>
      <c r="D3756" s="2">
        <v>0.49780000000000002</v>
      </c>
      <c r="E3756" s="2" t="s">
        <v>257</v>
      </c>
      <c r="F3756" s="2" t="e">
        <f>VLOOKUP(B3756,MSCI中国成分股!A:B,1,)</f>
        <v>#N/A</v>
      </c>
    </row>
    <row r="3757" spans="1:6" ht="20.25" hidden="1" customHeight="1" x14ac:dyDescent="0.15">
      <c r="A3757" s="2" t="s">
        <v>7767</v>
      </c>
      <c r="B3757" s="2" t="s">
        <v>7768</v>
      </c>
      <c r="C3757" s="2">
        <v>0.5</v>
      </c>
      <c r="D3757" s="2">
        <v>6754.1696000000002</v>
      </c>
      <c r="E3757" s="2" t="s">
        <v>7</v>
      </c>
      <c r="F3757" s="2" t="e">
        <f>VLOOKUP(B3757,MSCI中国成分股!A:B,1,)</f>
        <v>#N/A</v>
      </c>
    </row>
    <row r="3758" spans="1:6" ht="20.25" hidden="1" customHeight="1" x14ac:dyDescent="0.15">
      <c r="A3758" s="2" t="s">
        <v>7769</v>
      </c>
      <c r="B3758" s="2" t="s">
        <v>7770</v>
      </c>
      <c r="C3758" s="2">
        <v>-0.86</v>
      </c>
      <c r="D3758" s="2">
        <v>1.6978</v>
      </c>
      <c r="E3758" s="2" t="s">
        <v>5703</v>
      </c>
      <c r="F3758" s="2" t="e">
        <f>VLOOKUP(B3758,MSCI中国成分股!A:B,1,)</f>
        <v>#N/A</v>
      </c>
    </row>
    <row r="3759" spans="1:6" ht="20.25" hidden="1" customHeight="1" x14ac:dyDescent="0.15">
      <c r="A3759" s="2" t="s">
        <v>7771</v>
      </c>
      <c r="B3759" s="2" t="s">
        <v>7772</v>
      </c>
      <c r="C3759" s="2">
        <v>0.47</v>
      </c>
      <c r="D3759" s="2">
        <v>0.1164</v>
      </c>
      <c r="E3759" s="2" t="s">
        <v>418</v>
      </c>
      <c r="F3759" s="2" t="e">
        <f>VLOOKUP(B3759,MSCI中国成分股!A:B,1,)</f>
        <v>#N/A</v>
      </c>
    </row>
    <row r="3760" spans="1:6" ht="20.25" hidden="1" customHeight="1" x14ac:dyDescent="0.15">
      <c r="A3760" s="2" t="s">
        <v>7773</v>
      </c>
      <c r="B3760" s="2" t="s">
        <v>7774</v>
      </c>
      <c r="C3760" s="2">
        <v>0.62</v>
      </c>
      <c r="D3760" s="2">
        <v>10.6866</v>
      </c>
      <c r="E3760" s="2" t="s">
        <v>44</v>
      </c>
      <c r="F3760" s="2" t="e">
        <f>VLOOKUP(B3760,MSCI中国成分股!A:B,1,)</f>
        <v>#N/A</v>
      </c>
    </row>
    <row r="3761" spans="1:6" ht="20.25" hidden="1" customHeight="1" x14ac:dyDescent="0.15">
      <c r="A3761" s="2" t="s">
        <v>7775</v>
      </c>
      <c r="B3761" s="2" t="s">
        <v>7776</v>
      </c>
      <c r="C3761" s="2">
        <v>1.63</v>
      </c>
      <c r="D3761" s="2">
        <v>0.10979999999999999</v>
      </c>
      <c r="E3761" s="2" t="s">
        <v>647</v>
      </c>
      <c r="F3761" s="2" t="e">
        <f>VLOOKUP(B3761,MSCI中国成分股!A:B,1,)</f>
        <v>#N/A</v>
      </c>
    </row>
    <row r="3762" spans="1:6" ht="20.25" hidden="1" customHeight="1" x14ac:dyDescent="0.15">
      <c r="A3762" s="2" t="s">
        <v>7777</v>
      </c>
      <c r="B3762" s="2" t="s">
        <v>7778</v>
      </c>
      <c r="C3762" s="2">
        <v>1.06</v>
      </c>
      <c r="D3762" s="2">
        <v>3.2928999999999999</v>
      </c>
      <c r="E3762" s="2" t="s">
        <v>371</v>
      </c>
      <c r="F3762" s="2" t="e">
        <f>VLOOKUP(B3762,MSCI中国成分股!A:B,1,)</f>
        <v>#N/A</v>
      </c>
    </row>
    <row r="3763" spans="1:6" ht="20.25" hidden="1" customHeight="1" x14ac:dyDescent="0.15">
      <c r="A3763" s="2" t="s">
        <v>7779</v>
      </c>
      <c r="B3763" s="2" t="s">
        <v>7780</v>
      </c>
      <c r="C3763" s="2">
        <v>0.55000000000000004</v>
      </c>
      <c r="D3763" s="2">
        <v>1.0034000000000001</v>
      </c>
      <c r="E3763" s="2" t="s">
        <v>220</v>
      </c>
      <c r="F3763" s="2" t="e">
        <f>VLOOKUP(B3763,MSCI中国成分股!A:B,1,)</f>
        <v>#N/A</v>
      </c>
    </row>
    <row r="3764" spans="1:6" ht="20.25" hidden="1" customHeight="1" x14ac:dyDescent="0.15">
      <c r="A3764" s="2" t="s">
        <v>7781</v>
      </c>
      <c r="B3764" s="2" t="s">
        <v>7782</v>
      </c>
      <c r="C3764" s="2">
        <v>0.15</v>
      </c>
      <c r="D3764" s="2">
        <v>5.0621999999999998</v>
      </c>
      <c r="E3764" s="2" t="s">
        <v>459</v>
      </c>
      <c r="F3764" s="2" t="e">
        <f>VLOOKUP(B3764,MSCI中国成分股!A:B,1,)</f>
        <v>#N/A</v>
      </c>
    </row>
    <row r="3765" spans="1:6" ht="20.25" hidden="1" customHeight="1" x14ac:dyDescent="0.15">
      <c r="A3765" s="2" t="s">
        <v>7783</v>
      </c>
      <c r="B3765" s="2" t="s">
        <v>7784</v>
      </c>
      <c r="C3765" s="2">
        <v>1.01</v>
      </c>
      <c r="D3765" s="2">
        <v>4.9984000000000002</v>
      </c>
      <c r="E3765" s="2" t="s">
        <v>630</v>
      </c>
      <c r="F3765" s="2" t="e">
        <f>VLOOKUP(B3765,MSCI中国成分股!A:B,1,)</f>
        <v>#N/A</v>
      </c>
    </row>
    <row r="3766" spans="1:6" ht="20.25" hidden="1" customHeight="1" x14ac:dyDescent="0.15">
      <c r="A3766" s="2" t="s">
        <v>7785</v>
      </c>
      <c r="B3766" s="2" t="s">
        <v>7786</v>
      </c>
      <c r="C3766" s="2">
        <v>1.87</v>
      </c>
      <c r="D3766" s="2">
        <v>14.4472</v>
      </c>
      <c r="E3766" s="2" t="s">
        <v>385</v>
      </c>
      <c r="F3766" s="2" t="e">
        <f>VLOOKUP(B3766,MSCI中国成分股!A:B,1,)</f>
        <v>#N/A</v>
      </c>
    </row>
    <row r="3767" spans="1:6" ht="20.25" hidden="1" customHeight="1" x14ac:dyDescent="0.15">
      <c r="A3767" s="2" t="s">
        <v>7787</v>
      </c>
      <c r="B3767" s="2" t="s">
        <v>7788</v>
      </c>
      <c r="C3767" s="2">
        <v>-3.09</v>
      </c>
      <c r="D3767" s="2">
        <v>257.31700000000001</v>
      </c>
      <c r="E3767" s="2" t="s">
        <v>10</v>
      </c>
      <c r="F3767" s="2" t="e">
        <f>VLOOKUP(B3767,MSCI中国成分股!A:B,1,)</f>
        <v>#N/A</v>
      </c>
    </row>
    <row r="3768" spans="1:6" ht="20.25" hidden="1" customHeight="1" x14ac:dyDescent="0.15">
      <c r="A3768" s="2" t="s">
        <v>7789</v>
      </c>
      <c r="B3768" s="2" t="s">
        <v>7790</v>
      </c>
      <c r="C3768" s="2">
        <v>0.66</v>
      </c>
      <c r="D3768" s="2">
        <v>1.1749000000000001</v>
      </c>
      <c r="E3768" s="2" t="s">
        <v>784</v>
      </c>
      <c r="F3768" s="2" t="e">
        <f>VLOOKUP(B3768,MSCI中国成分股!A:B,1,)</f>
        <v>#N/A</v>
      </c>
    </row>
    <row r="3769" spans="1:6" ht="20.25" hidden="1" customHeight="1" x14ac:dyDescent="0.15">
      <c r="A3769" s="2" t="s">
        <v>7791</v>
      </c>
      <c r="B3769" s="2" t="s">
        <v>7792</v>
      </c>
      <c r="C3769" s="2">
        <v>0.1</v>
      </c>
      <c r="D3769" s="2">
        <v>0.93899999999999995</v>
      </c>
      <c r="E3769" s="2" t="s">
        <v>664</v>
      </c>
      <c r="F3769" s="2" t="e">
        <f>VLOOKUP(B3769,MSCI中国成分股!A:B,1,)</f>
        <v>#N/A</v>
      </c>
    </row>
    <row r="3770" spans="1:6" ht="20.25" hidden="1" customHeight="1" x14ac:dyDescent="0.15">
      <c r="A3770" s="2" t="s">
        <v>7793</v>
      </c>
      <c r="B3770" s="2" t="s">
        <v>7794</v>
      </c>
      <c r="C3770" s="2">
        <v>1.03</v>
      </c>
      <c r="D3770" s="2">
        <v>9.0601000000000003</v>
      </c>
      <c r="E3770" s="2" t="s">
        <v>1102</v>
      </c>
      <c r="F3770" s="2" t="e">
        <f>VLOOKUP(B3770,MSCI中国成分股!A:B,1,)</f>
        <v>#N/A</v>
      </c>
    </row>
    <row r="3771" spans="1:6" ht="20.25" hidden="1" customHeight="1" x14ac:dyDescent="0.15">
      <c r="A3771" s="2" t="s">
        <v>7795</v>
      </c>
      <c r="B3771" s="2" t="s">
        <v>7796</v>
      </c>
      <c r="C3771" s="2">
        <v>-0.39</v>
      </c>
      <c r="D3771" s="2">
        <v>101.7439</v>
      </c>
      <c r="E3771" s="2" t="s">
        <v>630</v>
      </c>
      <c r="F3771" s="2" t="e">
        <f>VLOOKUP(B3771,MSCI中国成分股!A:B,1,)</f>
        <v>#N/A</v>
      </c>
    </row>
    <row r="3772" spans="1:6" ht="20.25" hidden="1" customHeight="1" x14ac:dyDescent="0.15">
      <c r="A3772" s="2" t="s">
        <v>7797</v>
      </c>
      <c r="B3772" s="2" t="s">
        <v>7798</v>
      </c>
      <c r="C3772" s="2">
        <v>1.08</v>
      </c>
      <c r="D3772" s="2">
        <v>0.36659999999999998</v>
      </c>
      <c r="E3772" s="2" t="s">
        <v>1056</v>
      </c>
      <c r="F3772" s="2" t="e">
        <f>VLOOKUP(B3772,MSCI中国成分股!A:B,1,)</f>
        <v>#N/A</v>
      </c>
    </row>
    <row r="3773" spans="1:6" ht="20.25" hidden="1" customHeight="1" x14ac:dyDescent="0.15">
      <c r="A3773" s="2" t="s">
        <v>7799</v>
      </c>
      <c r="B3773" s="2" t="s">
        <v>7800</v>
      </c>
      <c r="C3773" s="2">
        <v>1.31</v>
      </c>
      <c r="D3773" s="2">
        <v>5.1292</v>
      </c>
      <c r="E3773" s="2" t="s">
        <v>1243</v>
      </c>
      <c r="F3773" s="2" t="e">
        <f>VLOOKUP(B3773,MSCI中国成分股!A:B,1,)</f>
        <v>#N/A</v>
      </c>
    </row>
    <row r="3774" spans="1:6" ht="20.25" hidden="1" customHeight="1" x14ac:dyDescent="0.15">
      <c r="A3774" s="2" t="s">
        <v>7801</v>
      </c>
      <c r="B3774" s="2" t="s">
        <v>7802</v>
      </c>
      <c r="C3774" s="2">
        <v>3.35</v>
      </c>
      <c r="D3774" s="2">
        <v>1.7281</v>
      </c>
      <c r="E3774" s="2" t="s">
        <v>630</v>
      </c>
      <c r="F3774" s="2" t="e">
        <f>VLOOKUP(B3774,MSCI中国成分股!A:B,1,)</f>
        <v>#N/A</v>
      </c>
    </row>
    <row r="3775" spans="1:6" ht="20.25" hidden="1" customHeight="1" x14ac:dyDescent="0.15">
      <c r="A3775" s="2" t="s">
        <v>7803</v>
      </c>
      <c r="B3775" s="2" t="s">
        <v>7804</v>
      </c>
      <c r="C3775" s="2">
        <v>-0.06</v>
      </c>
      <c r="D3775" s="2">
        <v>1.3171999999999999</v>
      </c>
      <c r="E3775" s="2" t="s">
        <v>1145</v>
      </c>
      <c r="F3775" s="2" t="e">
        <f>VLOOKUP(B3775,MSCI中国成分股!A:B,1,)</f>
        <v>#N/A</v>
      </c>
    </row>
    <row r="3776" spans="1:6" ht="20.25" hidden="1" customHeight="1" x14ac:dyDescent="0.15">
      <c r="A3776" s="2" t="s">
        <v>7805</v>
      </c>
      <c r="B3776" s="2" t="s">
        <v>7806</v>
      </c>
      <c r="C3776" s="2">
        <v>0.11</v>
      </c>
      <c r="D3776" s="2">
        <v>4.1013999999999999</v>
      </c>
      <c r="E3776" s="2" t="s">
        <v>149</v>
      </c>
      <c r="F3776" s="2" t="e">
        <f>VLOOKUP(B3776,MSCI中国成分股!A:B,1,)</f>
        <v>#N/A</v>
      </c>
    </row>
    <row r="3777" spans="1:6" ht="20.25" hidden="1" customHeight="1" x14ac:dyDescent="0.15">
      <c r="A3777" s="2" t="s">
        <v>7807</v>
      </c>
      <c r="B3777" s="2" t="s">
        <v>7808</v>
      </c>
      <c r="C3777" s="2">
        <v>0.13</v>
      </c>
      <c r="D3777" s="2">
        <v>1.83E-2</v>
      </c>
      <c r="E3777" s="2" t="s">
        <v>1102</v>
      </c>
      <c r="F3777" s="2" t="e">
        <f>VLOOKUP(B3777,MSCI中国成分股!A:B,1,)</f>
        <v>#N/A</v>
      </c>
    </row>
    <row r="3778" spans="1:6" ht="20.25" hidden="1" customHeight="1" x14ac:dyDescent="0.15">
      <c r="A3778" s="2" t="s">
        <v>7809</v>
      </c>
      <c r="B3778" s="2" t="s">
        <v>7810</v>
      </c>
      <c r="C3778" s="2">
        <v>-0.01</v>
      </c>
      <c r="D3778" s="2">
        <v>3.6757</v>
      </c>
      <c r="E3778" s="2" t="s">
        <v>3102</v>
      </c>
      <c r="F3778" s="2" t="e">
        <f>VLOOKUP(B3778,MSCI中国成分股!A:B,1,)</f>
        <v>#N/A</v>
      </c>
    </row>
    <row r="3779" spans="1:6" ht="20.25" hidden="1" customHeight="1" x14ac:dyDescent="0.15">
      <c r="A3779" s="2" t="s">
        <v>7811</v>
      </c>
      <c r="B3779" s="2" t="s">
        <v>7812</v>
      </c>
      <c r="C3779" s="2">
        <v>-3.26</v>
      </c>
      <c r="D3779" s="2">
        <v>14.786</v>
      </c>
      <c r="E3779" s="2" t="s">
        <v>1145</v>
      </c>
      <c r="F3779" s="2" t="e">
        <f>VLOOKUP(B3779,MSCI中国成分股!A:B,1,)</f>
        <v>#N/A</v>
      </c>
    </row>
    <row r="3780" spans="1:6" ht="20.25" hidden="1" customHeight="1" x14ac:dyDescent="0.15">
      <c r="A3780" s="2" t="s">
        <v>7813</v>
      </c>
      <c r="B3780" s="2" t="s">
        <v>7814</v>
      </c>
      <c r="C3780" s="2">
        <v>-0.8</v>
      </c>
      <c r="D3780" s="2">
        <v>32.988</v>
      </c>
      <c r="E3780" s="2" t="s">
        <v>638</v>
      </c>
      <c r="F3780" s="2" t="e">
        <f>VLOOKUP(B3780,MSCI中国成分股!A:B,1,)</f>
        <v>#N/A</v>
      </c>
    </row>
    <row r="3781" spans="1:6" ht="20.25" hidden="1" customHeight="1" x14ac:dyDescent="0.15">
      <c r="A3781" s="2" t="s">
        <v>7815</v>
      </c>
      <c r="B3781" s="2" t="s">
        <v>7816</v>
      </c>
      <c r="C3781" s="2">
        <v>-3.16</v>
      </c>
      <c r="D3781" s="2">
        <v>8.8533000000000008</v>
      </c>
      <c r="E3781" s="2" t="s">
        <v>501</v>
      </c>
      <c r="F3781" s="2" t="e">
        <f>VLOOKUP(B3781,MSCI中国成分股!A:B,1,)</f>
        <v>#N/A</v>
      </c>
    </row>
    <row r="3782" spans="1:6" ht="20.25" hidden="1" customHeight="1" x14ac:dyDescent="0.15">
      <c r="A3782" s="2" t="s">
        <v>7817</v>
      </c>
      <c r="B3782" s="2" t="s">
        <v>7818</v>
      </c>
      <c r="C3782" s="2">
        <v>0.11</v>
      </c>
      <c r="D3782" s="2">
        <v>62.083500000000001</v>
      </c>
      <c r="E3782" s="2" t="s">
        <v>265</v>
      </c>
      <c r="F3782" s="2" t="e">
        <f>VLOOKUP(B3782,MSCI中国成分股!A:B,1,)</f>
        <v>#N/A</v>
      </c>
    </row>
    <row r="3783" spans="1:6" ht="20.25" hidden="1" customHeight="1" x14ac:dyDescent="0.15">
      <c r="A3783" s="2" t="s">
        <v>7819</v>
      </c>
      <c r="B3783" s="2" t="s">
        <v>7820</v>
      </c>
      <c r="C3783" s="2">
        <v>0.21</v>
      </c>
      <c r="D3783" s="2">
        <v>304.73399999999998</v>
      </c>
      <c r="E3783" s="2" t="s">
        <v>699</v>
      </c>
      <c r="F3783" s="2" t="e">
        <f>VLOOKUP(B3783,MSCI中国成分股!A:B,1,)</f>
        <v>#N/A</v>
      </c>
    </row>
    <row r="3784" spans="1:6" ht="20.25" hidden="1" customHeight="1" x14ac:dyDescent="0.15">
      <c r="A3784" s="2" t="s">
        <v>7821</v>
      </c>
      <c r="B3784" s="2" t="s">
        <v>7822</v>
      </c>
      <c r="C3784" s="2">
        <v>2.35</v>
      </c>
      <c r="D3784" s="2">
        <v>2.5987</v>
      </c>
      <c r="E3784" s="2" t="s">
        <v>201</v>
      </c>
      <c r="F3784" s="2" t="e">
        <f>VLOOKUP(B3784,MSCI中国成分股!A:B,1,)</f>
        <v>#N/A</v>
      </c>
    </row>
    <row r="3785" spans="1:6" ht="20.25" hidden="1" customHeight="1" x14ac:dyDescent="0.15">
      <c r="A3785" s="2" t="s">
        <v>7823</v>
      </c>
      <c r="B3785" s="2" t="s">
        <v>7824</v>
      </c>
      <c r="C3785" s="2">
        <v>1.05</v>
      </c>
      <c r="D3785" s="2">
        <v>1.5293000000000001</v>
      </c>
      <c r="E3785" s="2" t="s">
        <v>44</v>
      </c>
      <c r="F3785" s="2" t="e">
        <f>VLOOKUP(B3785,MSCI中国成分股!A:B,1,)</f>
        <v>#N/A</v>
      </c>
    </row>
    <row r="3786" spans="1:6" ht="20.25" hidden="1" customHeight="1" x14ac:dyDescent="0.15">
      <c r="A3786" s="2" t="s">
        <v>7825</v>
      </c>
      <c r="B3786" s="2" t="s">
        <v>7826</v>
      </c>
      <c r="C3786" s="2">
        <v>-1.05</v>
      </c>
      <c r="D3786" s="2">
        <v>5.8353999999999999</v>
      </c>
      <c r="E3786" s="2" t="s">
        <v>35</v>
      </c>
      <c r="F3786" s="2" t="e">
        <f>VLOOKUP(B3786,MSCI中国成分股!A:B,1,)</f>
        <v>#N/A</v>
      </c>
    </row>
    <row r="3787" spans="1:6" ht="20.25" hidden="1" customHeight="1" x14ac:dyDescent="0.15">
      <c r="A3787" s="2" t="s">
        <v>7827</v>
      </c>
      <c r="B3787" s="2" t="s">
        <v>7828</v>
      </c>
      <c r="C3787" s="2">
        <v>-1.06</v>
      </c>
      <c r="D3787" s="2">
        <v>20.733899999999998</v>
      </c>
      <c r="E3787" s="2" t="s">
        <v>551</v>
      </c>
      <c r="F3787" s="2" t="e">
        <f>VLOOKUP(B3787,MSCI中国成分股!A:B,1,)</f>
        <v>#N/A</v>
      </c>
    </row>
    <row r="3788" spans="1:6" ht="20.25" hidden="1" customHeight="1" x14ac:dyDescent="0.15">
      <c r="A3788" s="2" t="s">
        <v>7829</v>
      </c>
      <c r="B3788" s="2" t="s">
        <v>7830</v>
      </c>
      <c r="C3788" s="2">
        <v>-2.61</v>
      </c>
      <c r="D3788" s="2">
        <v>61.780099999999997</v>
      </c>
      <c r="E3788" s="2" t="s">
        <v>630</v>
      </c>
      <c r="F3788" s="2" t="e">
        <f>VLOOKUP(B3788,MSCI中国成分股!A:B,1,)</f>
        <v>#N/A</v>
      </c>
    </row>
    <row r="3789" spans="1:6" ht="20.25" hidden="1" customHeight="1" x14ac:dyDescent="0.15">
      <c r="A3789" s="2" t="s">
        <v>7831</v>
      </c>
      <c r="B3789" s="2" t="s">
        <v>7832</v>
      </c>
      <c r="C3789" s="2">
        <v>0.05</v>
      </c>
      <c r="D3789" s="2">
        <v>0.13969999999999999</v>
      </c>
      <c r="E3789" s="2" t="s">
        <v>704</v>
      </c>
      <c r="F3789" s="2" t="e">
        <f>VLOOKUP(B3789,MSCI中国成分股!A:B,1,)</f>
        <v>#N/A</v>
      </c>
    </row>
    <row r="3790" spans="1:6" ht="20.25" hidden="1" customHeight="1" x14ac:dyDescent="0.15">
      <c r="A3790" s="2" t="s">
        <v>7833</v>
      </c>
      <c r="B3790" s="2" t="s">
        <v>7834</v>
      </c>
      <c r="C3790" s="2">
        <v>3.3</v>
      </c>
      <c r="D3790" s="2">
        <v>1.9335</v>
      </c>
      <c r="E3790" s="2" t="s">
        <v>574</v>
      </c>
      <c r="F3790" s="2" t="e">
        <f>VLOOKUP(B3790,MSCI中国成分股!A:B,1,)</f>
        <v>#N/A</v>
      </c>
    </row>
    <row r="3791" spans="1:6" ht="20.25" hidden="1" customHeight="1" x14ac:dyDescent="0.15">
      <c r="A3791" s="2" t="s">
        <v>7835</v>
      </c>
      <c r="B3791" s="2" t="s">
        <v>7836</v>
      </c>
      <c r="C3791" s="2">
        <v>0.14000000000000001</v>
      </c>
      <c r="D3791" s="2">
        <v>7.8962000000000003</v>
      </c>
      <c r="E3791" s="2" t="s">
        <v>713</v>
      </c>
      <c r="F3791" s="2" t="e">
        <f>VLOOKUP(B3791,MSCI中国成分股!A:B,1,)</f>
        <v>#N/A</v>
      </c>
    </row>
    <row r="3792" spans="1:6" ht="20.25" hidden="1" customHeight="1" x14ac:dyDescent="0.15">
      <c r="A3792" s="2" t="s">
        <v>7837</v>
      </c>
      <c r="B3792" s="2" t="s">
        <v>7838</v>
      </c>
      <c r="C3792" s="2">
        <v>-0.44</v>
      </c>
      <c r="D3792" s="2">
        <v>1.5025999999999999</v>
      </c>
      <c r="E3792" s="2" t="s">
        <v>3102</v>
      </c>
      <c r="F3792" s="2" t="e">
        <f>VLOOKUP(B3792,MSCI中国成分股!A:B,1,)</f>
        <v>#N/A</v>
      </c>
    </row>
    <row r="3793" spans="1:6" ht="20.25" hidden="1" customHeight="1" x14ac:dyDescent="0.15">
      <c r="A3793" s="2" t="s">
        <v>7839</v>
      </c>
      <c r="B3793" s="2" t="s">
        <v>7840</v>
      </c>
      <c r="C3793" s="2">
        <v>0.83499999999999996</v>
      </c>
      <c r="D3793" s="2">
        <v>7.7962999999999996</v>
      </c>
      <c r="E3793" s="2" t="s">
        <v>1593</v>
      </c>
      <c r="F3793" s="2" t="e">
        <f>VLOOKUP(B3793,MSCI中国成分股!A:B,1,)</f>
        <v>#N/A</v>
      </c>
    </row>
    <row r="3794" spans="1:6" ht="20.25" hidden="1" customHeight="1" x14ac:dyDescent="0.15">
      <c r="A3794" s="2" t="s">
        <v>7841</v>
      </c>
      <c r="B3794" s="2" t="s">
        <v>7842</v>
      </c>
      <c r="C3794" s="2">
        <v>0.28000000000000003</v>
      </c>
      <c r="D3794" s="2">
        <v>50.210500000000003</v>
      </c>
      <c r="E3794" s="2" t="s">
        <v>257</v>
      </c>
      <c r="F3794" s="2" t="e">
        <f>VLOOKUP(B3794,MSCI中国成分股!A:B,1,)</f>
        <v>#N/A</v>
      </c>
    </row>
    <row r="3795" spans="1:6" ht="20.25" hidden="1" customHeight="1" x14ac:dyDescent="0.15">
      <c r="A3795" s="2" t="s">
        <v>7843</v>
      </c>
      <c r="B3795" s="2" t="s">
        <v>7844</v>
      </c>
      <c r="C3795" s="2">
        <v>-0.28000000000000003</v>
      </c>
      <c r="D3795" s="2">
        <v>0.37019999999999997</v>
      </c>
      <c r="E3795" s="2" t="s">
        <v>220</v>
      </c>
      <c r="F3795" s="2" t="e">
        <f>VLOOKUP(B3795,MSCI中国成分股!A:B,1,)</f>
        <v>#N/A</v>
      </c>
    </row>
    <row r="3796" spans="1:6" ht="20.25" hidden="1" customHeight="1" x14ac:dyDescent="0.15">
      <c r="A3796" s="2" t="s">
        <v>7845</v>
      </c>
      <c r="B3796" s="2" t="s">
        <v>7846</v>
      </c>
      <c r="C3796" s="2">
        <v>3</v>
      </c>
      <c r="D3796" s="2">
        <v>1.486</v>
      </c>
      <c r="E3796" s="2" t="s">
        <v>406</v>
      </c>
      <c r="F3796" s="2" t="e">
        <f>VLOOKUP(B3796,MSCI中国成分股!A:B,1,)</f>
        <v>#N/A</v>
      </c>
    </row>
    <row r="3797" spans="1:6" ht="20.25" hidden="1" customHeight="1" x14ac:dyDescent="0.15">
      <c r="A3797" s="2" t="s">
        <v>7847</v>
      </c>
      <c r="B3797" s="2" t="s">
        <v>7848</v>
      </c>
      <c r="C3797" s="2">
        <v>-0.41</v>
      </c>
      <c r="D3797" s="2">
        <v>13.367900000000001</v>
      </c>
      <c r="E3797" s="2" t="s">
        <v>1091</v>
      </c>
      <c r="F3797" s="2" t="e">
        <f>VLOOKUP(B3797,MSCI中国成分股!A:B,1,)</f>
        <v>#N/A</v>
      </c>
    </row>
    <row r="3798" spans="1:6" ht="20.25" hidden="1" customHeight="1" x14ac:dyDescent="0.15">
      <c r="A3798" s="2" t="s">
        <v>7849</v>
      </c>
      <c r="B3798" s="2" t="s">
        <v>7850</v>
      </c>
      <c r="C3798" s="2">
        <v>1.895</v>
      </c>
      <c r="D3798" s="2">
        <v>3.0146999999999999</v>
      </c>
      <c r="E3798" s="2" t="s">
        <v>3249</v>
      </c>
      <c r="F3798" s="2" t="e">
        <f>VLOOKUP(B3798,MSCI中国成分股!A:B,1,)</f>
        <v>#N/A</v>
      </c>
    </row>
    <row r="3799" spans="1:6" ht="20.25" hidden="1" customHeight="1" x14ac:dyDescent="0.15">
      <c r="A3799" s="2" t="s">
        <v>7851</v>
      </c>
      <c r="B3799" s="2" t="s">
        <v>7852</v>
      </c>
      <c r="C3799" s="2">
        <v>-0.47</v>
      </c>
      <c r="D3799" s="2">
        <v>22.101900000000001</v>
      </c>
      <c r="E3799" s="2" t="s">
        <v>65</v>
      </c>
      <c r="F3799" s="2" t="e">
        <f>VLOOKUP(B3799,MSCI中国成分股!A:B,1,)</f>
        <v>#N/A</v>
      </c>
    </row>
    <row r="3800" spans="1:6" ht="20.25" hidden="1" customHeight="1" x14ac:dyDescent="0.15">
      <c r="A3800" s="2" t="s">
        <v>7853</v>
      </c>
      <c r="B3800" s="2" t="s">
        <v>7854</v>
      </c>
      <c r="C3800" s="2">
        <v>0.35</v>
      </c>
      <c r="D3800" s="2">
        <v>1.3988</v>
      </c>
      <c r="E3800" s="2" t="s">
        <v>818</v>
      </c>
      <c r="F3800" s="2" t="e">
        <f>VLOOKUP(B3800,MSCI中国成分股!A:B,1,)</f>
        <v>#N/A</v>
      </c>
    </row>
    <row r="3801" spans="1:6" ht="20.25" hidden="1" customHeight="1" x14ac:dyDescent="0.15">
      <c r="A3801" s="2" t="s">
        <v>7855</v>
      </c>
      <c r="B3801" s="2" t="s">
        <v>7856</v>
      </c>
      <c r="C3801" s="2">
        <v>1.98</v>
      </c>
      <c r="D3801" s="2">
        <v>9.3882999999999992</v>
      </c>
      <c r="E3801" s="2" t="s">
        <v>1099</v>
      </c>
      <c r="F3801" s="2" t="e">
        <f>VLOOKUP(B3801,MSCI中国成分股!A:B,1,)</f>
        <v>#N/A</v>
      </c>
    </row>
    <row r="3802" spans="1:6" ht="20.25" hidden="1" customHeight="1" x14ac:dyDescent="0.15">
      <c r="A3802" s="2" t="s">
        <v>7857</v>
      </c>
      <c r="B3802" s="2" t="s">
        <v>7858</v>
      </c>
      <c r="C3802" s="2">
        <v>0.33</v>
      </c>
      <c r="D3802" s="2">
        <v>1.0017</v>
      </c>
      <c r="E3802" s="2" t="s">
        <v>2678</v>
      </c>
      <c r="F3802" s="2" t="e">
        <f>VLOOKUP(B3802,MSCI中国成分股!A:B,1,)</f>
        <v>#N/A</v>
      </c>
    </row>
    <row r="3803" spans="1:6" ht="20.25" hidden="1" customHeight="1" x14ac:dyDescent="0.15">
      <c r="A3803" s="2" t="s">
        <v>7859</v>
      </c>
      <c r="B3803" s="2" t="s">
        <v>7860</v>
      </c>
      <c r="C3803" s="2">
        <v>-5.34</v>
      </c>
      <c r="D3803" s="2">
        <v>635.59339999999997</v>
      </c>
      <c r="E3803" s="2" t="s">
        <v>1870</v>
      </c>
      <c r="F3803" s="2" t="e">
        <f>VLOOKUP(B3803,MSCI中国成分股!A:B,1,)</f>
        <v>#N/A</v>
      </c>
    </row>
    <row r="3804" spans="1:6" ht="20.25" hidden="1" customHeight="1" x14ac:dyDescent="0.15">
      <c r="A3804" s="2" t="s">
        <v>7861</v>
      </c>
      <c r="B3804" s="2" t="s">
        <v>7862</v>
      </c>
      <c r="C3804" s="2">
        <v>-2.0299999999999998</v>
      </c>
      <c r="D3804" s="2">
        <v>17.206900000000001</v>
      </c>
      <c r="E3804" s="2" t="s">
        <v>2344</v>
      </c>
      <c r="F3804" s="2" t="e">
        <f>VLOOKUP(B3804,MSCI中国成分股!A:B,1,)</f>
        <v>#N/A</v>
      </c>
    </row>
    <row r="3805" spans="1:6" ht="20.25" hidden="1" customHeight="1" x14ac:dyDescent="0.15">
      <c r="A3805" s="2" t="s">
        <v>7863</v>
      </c>
      <c r="B3805" s="2" t="s">
        <v>7864</v>
      </c>
      <c r="C3805" s="2">
        <v>1.395</v>
      </c>
      <c r="D3805" s="2">
        <v>1.54</v>
      </c>
      <c r="E3805" s="2" t="s">
        <v>86</v>
      </c>
      <c r="F3805" s="2" t="e">
        <f>VLOOKUP(B3805,MSCI中国成分股!A:B,1,)</f>
        <v>#N/A</v>
      </c>
    </row>
    <row r="3806" spans="1:6" ht="20.25" hidden="1" customHeight="1" x14ac:dyDescent="0.15">
      <c r="A3806" s="2" t="s">
        <v>7865</v>
      </c>
      <c r="B3806" s="2" t="s">
        <v>7866</v>
      </c>
      <c r="C3806" s="2">
        <v>5.35</v>
      </c>
      <c r="D3806" s="2">
        <v>2.7685</v>
      </c>
      <c r="E3806" s="2" t="s">
        <v>137</v>
      </c>
      <c r="F3806" s="2" t="e">
        <f>VLOOKUP(B3806,MSCI中国成分股!A:B,1,)</f>
        <v>#N/A</v>
      </c>
    </row>
    <row r="3807" spans="1:6" ht="20.25" hidden="1" customHeight="1" x14ac:dyDescent="0.15">
      <c r="A3807" s="2" t="s">
        <v>7867</v>
      </c>
      <c r="B3807" s="2" t="s">
        <v>7868</v>
      </c>
      <c r="C3807" s="2">
        <v>-1.02</v>
      </c>
      <c r="D3807" s="2">
        <v>7.7195999999999998</v>
      </c>
      <c r="E3807" s="2" t="s">
        <v>362</v>
      </c>
      <c r="F3807" s="2" t="e">
        <f>VLOOKUP(B3807,MSCI中国成分股!A:B,1,)</f>
        <v>#N/A</v>
      </c>
    </row>
    <row r="3808" spans="1:6" ht="20.25" hidden="1" customHeight="1" x14ac:dyDescent="0.15">
      <c r="A3808" s="2" t="s">
        <v>7869</v>
      </c>
      <c r="B3808" s="2" t="s">
        <v>7870</v>
      </c>
      <c r="C3808" s="2">
        <v>1.02</v>
      </c>
      <c r="D3808" s="2">
        <v>0.75060000000000004</v>
      </c>
      <c r="E3808" s="2" t="s">
        <v>2344</v>
      </c>
      <c r="F3808" s="2" t="e">
        <f>VLOOKUP(B3808,MSCI中国成分股!A:B,1,)</f>
        <v>#N/A</v>
      </c>
    </row>
    <row r="3809" spans="1:6" ht="20.25" hidden="1" customHeight="1" x14ac:dyDescent="0.15">
      <c r="A3809" s="2" t="s">
        <v>7871</v>
      </c>
      <c r="B3809" s="2" t="s">
        <v>7872</v>
      </c>
      <c r="C3809" s="2">
        <v>-0.19</v>
      </c>
      <c r="D3809" s="2">
        <v>2.1646999999999998</v>
      </c>
      <c r="E3809" s="2" t="s">
        <v>1282</v>
      </c>
      <c r="F3809" s="2" t="e">
        <f>VLOOKUP(B3809,MSCI中国成分股!A:B,1,)</f>
        <v>#N/A</v>
      </c>
    </row>
    <row r="3810" spans="1:6" ht="20.25" hidden="1" customHeight="1" x14ac:dyDescent="0.15">
      <c r="A3810" s="2" t="s">
        <v>7873</v>
      </c>
      <c r="B3810" s="2" t="s">
        <v>7874</v>
      </c>
      <c r="C3810" s="2">
        <v>-1.39</v>
      </c>
      <c r="D3810" s="2">
        <v>6.1433</v>
      </c>
      <c r="E3810" s="2" t="s">
        <v>916</v>
      </c>
      <c r="F3810" s="2" t="e">
        <f>VLOOKUP(B3810,MSCI中国成分股!A:B,1,)</f>
        <v>#N/A</v>
      </c>
    </row>
    <row r="3811" spans="1:6" ht="20.25" hidden="1" customHeight="1" x14ac:dyDescent="0.15">
      <c r="A3811" s="2" t="s">
        <v>7875</v>
      </c>
      <c r="B3811" s="2" t="s">
        <v>7876</v>
      </c>
      <c r="C3811" s="2">
        <v>-2.25</v>
      </c>
      <c r="D3811" s="2">
        <v>61.828200000000002</v>
      </c>
      <c r="E3811" s="2" t="s">
        <v>260</v>
      </c>
      <c r="F3811" s="2" t="e">
        <f>VLOOKUP(B3811,MSCI中国成分股!A:B,1,)</f>
        <v>#N/A</v>
      </c>
    </row>
    <row r="3812" spans="1:6" ht="20.25" hidden="1" customHeight="1" x14ac:dyDescent="0.15">
      <c r="A3812" s="2" t="s">
        <v>7877</v>
      </c>
      <c r="B3812" s="2" t="s">
        <v>7878</v>
      </c>
      <c r="C3812" s="2">
        <v>1.0900000000000001</v>
      </c>
      <c r="D3812" s="2">
        <v>15.196099999999999</v>
      </c>
      <c r="E3812" s="2" t="s">
        <v>10</v>
      </c>
      <c r="F3812" s="2" t="e">
        <f>VLOOKUP(B3812,MSCI中国成分股!A:B,1,)</f>
        <v>#N/A</v>
      </c>
    </row>
    <row r="3813" spans="1:6" ht="20.25" hidden="1" customHeight="1" x14ac:dyDescent="0.15">
      <c r="A3813" s="2" t="s">
        <v>7879</v>
      </c>
      <c r="B3813" s="2" t="s">
        <v>7880</v>
      </c>
      <c r="C3813" s="2">
        <v>-0.26</v>
      </c>
      <c r="D3813" s="2">
        <v>21.420400000000001</v>
      </c>
      <c r="E3813" s="2" t="s">
        <v>1285</v>
      </c>
      <c r="F3813" s="2" t="e">
        <f>VLOOKUP(B3813,MSCI中国成分股!A:B,1,)</f>
        <v>#N/A</v>
      </c>
    </row>
    <row r="3814" spans="1:6" ht="20.25" hidden="1" customHeight="1" x14ac:dyDescent="0.15">
      <c r="A3814" s="2" t="s">
        <v>7881</v>
      </c>
      <c r="B3814" s="2" t="s">
        <v>7882</v>
      </c>
      <c r="C3814" s="2">
        <v>1.96</v>
      </c>
      <c r="D3814" s="2">
        <v>2.9041999999999999</v>
      </c>
      <c r="E3814" s="2" t="s">
        <v>1878</v>
      </c>
      <c r="F3814" s="2" t="e">
        <f>VLOOKUP(B3814,MSCI中国成分股!A:B,1,)</f>
        <v>#N/A</v>
      </c>
    </row>
    <row r="3815" spans="1:6" ht="20.25" hidden="1" customHeight="1" x14ac:dyDescent="0.15">
      <c r="A3815" s="2" t="s">
        <v>7883</v>
      </c>
      <c r="B3815" s="2" t="s">
        <v>7884</v>
      </c>
      <c r="C3815" s="2">
        <v>1.44</v>
      </c>
      <c r="D3815" s="2">
        <v>9.8129000000000008</v>
      </c>
      <c r="E3815" s="2" t="s">
        <v>245</v>
      </c>
      <c r="F3815" s="2" t="e">
        <f>VLOOKUP(B3815,MSCI中国成分股!A:B,1,)</f>
        <v>#N/A</v>
      </c>
    </row>
    <row r="3816" spans="1:6" ht="20.25" hidden="1" customHeight="1" x14ac:dyDescent="0.15">
      <c r="A3816" s="2" t="s">
        <v>7885</v>
      </c>
      <c r="B3816" s="2" t="s">
        <v>7886</v>
      </c>
      <c r="C3816" s="2">
        <v>0.17</v>
      </c>
      <c r="D3816" s="2">
        <v>17.3931</v>
      </c>
      <c r="E3816" s="2" t="s">
        <v>430</v>
      </c>
      <c r="F3816" s="2" t="e">
        <f>VLOOKUP(B3816,MSCI中国成分股!A:B,1,)</f>
        <v>#N/A</v>
      </c>
    </row>
    <row r="3817" spans="1:6" ht="20.25" hidden="1" customHeight="1" x14ac:dyDescent="0.15">
      <c r="A3817" s="2" t="s">
        <v>7887</v>
      </c>
      <c r="B3817" s="2" t="s">
        <v>7888</v>
      </c>
      <c r="C3817" s="2">
        <v>0.69</v>
      </c>
      <c r="D3817" s="2">
        <v>5.1391999999999998</v>
      </c>
      <c r="E3817" s="2" t="s">
        <v>41</v>
      </c>
      <c r="F3817" s="2" t="e">
        <f>VLOOKUP(B3817,MSCI中国成分股!A:B,1,)</f>
        <v>#N/A</v>
      </c>
    </row>
    <row r="3818" spans="1:6" ht="20.25" hidden="1" customHeight="1" x14ac:dyDescent="0.15">
      <c r="A3818" s="2" t="s">
        <v>7889</v>
      </c>
      <c r="B3818" s="2" t="s">
        <v>7890</v>
      </c>
      <c r="C3818" s="2">
        <v>0.35</v>
      </c>
      <c r="D3818" s="2">
        <v>14.541600000000001</v>
      </c>
      <c r="E3818" s="2" t="s">
        <v>1486</v>
      </c>
      <c r="F3818" s="2" t="e">
        <f>VLOOKUP(B3818,MSCI中国成分股!A:B,1,)</f>
        <v>#N/A</v>
      </c>
    </row>
    <row r="3819" spans="1:6" ht="20.25" hidden="1" customHeight="1" x14ac:dyDescent="0.15">
      <c r="A3819" s="2" t="s">
        <v>7891</v>
      </c>
      <c r="B3819" s="2" t="s">
        <v>7892</v>
      </c>
      <c r="C3819" s="2">
        <v>0.34</v>
      </c>
      <c r="D3819" s="2">
        <v>3.8618999999999999</v>
      </c>
      <c r="E3819" s="2" t="s">
        <v>2678</v>
      </c>
      <c r="F3819" s="2" t="e">
        <f>VLOOKUP(B3819,MSCI中国成分股!A:B,1,)</f>
        <v>#N/A</v>
      </c>
    </row>
    <row r="3820" spans="1:6" ht="20.25" hidden="1" customHeight="1" x14ac:dyDescent="0.15">
      <c r="A3820" s="2" t="s">
        <v>7893</v>
      </c>
      <c r="B3820" s="2" t="s">
        <v>7894</v>
      </c>
      <c r="C3820" s="2">
        <v>1.08</v>
      </c>
      <c r="D3820" s="2">
        <v>0.64970000000000006</v>
      </c>
      <c r="E3820" s="2" t="s">
        <v>86</v>
      </c>
      <c r="F3820" s="2" t="e">
        <f>VLOOKUP(B3820,MSCI中国成分股!A:B,1,)</f>
        <v>#N/A</v>
      </c>
    </row>
    <row r="3821" spans="1:6" ht="20.25" hidden="1" customHeight="1" x14ac:dyDescent="0.15">
      <c r="A3821" s="2" t="s">
        <v>7895</v>
      </c>
      <c r="B3821" s="2" t="s">
        <v>7896</v>
      </c>
      <c r="C3821" s="2">
        <v>3.08</v>
      </c>
      <c r="D3821" s="2">
        <v>6.5296000000000003</v>
      </c>
      <c r="E3821" s="2" t="s">
        <v>670</v>
      </c>
      <c r="F3821" s="2" t="e">
        <f>VLOOKUP(B3821,MSCI中国成分股!A:B,1,)</f>
        <v>#N/A</v>
      </c>
    </row>
    <row r="3822" spans="1:6" ht="20.25" hidden="1" customHeight="1" x14ac:dyDescent="0.15">
      <c r="A3822" s="2" t="s">
        <v>7897</v>
      </c>
      <c r="B3822" s="2" t="s">
        <v>7898</v>
      </c>
      <c r="C3822" s="2">
        <v>1.84</v>
      </c>
      <c r="D3822" s="2">
        <v>6.1093999999999999</v>
      </c>
      <c r="E3822" s="2" t="s">
        <v>374</v>
      </c>
      <c r="F3822" s="2" t="e">
        <f>VLOOKUP(B3822,MSCI中国成分股!A:B,1,)</f>
        <v>#N/A</v>
      </c>
    </row>
    <row r="3823" spans="1:6" ht="20.25" hidden="1" customHeight="1" x14ac:dyDescent="0.15">
      <c r="A3823" s="2" t="s">
        <v>7899</v>
      </c>
      <c r="B3823" s="2" t="s">
        <v>7900</v>
      </c>
      <c r="C3823" s="2">
        <v>1.1200000000000001</v>
      </c>
      <c r="D3823" s="2">
        <v>52.278700000000001</v>
      </c>
      <c r="E3823" s="2" t="s">
        <v>5703</v>
      </c>
      <c r="F3823" s="2" t="e">
        <f>VLOOKUP(B3823,MSCI中国成分股!A:B,1,)</f>
        <v>#N/A</v>
      </c>
    </row>
    <row r="3824" spans="1:6" ht="20.25" hidden="1" customHeight="1" x14ac:dyDescent="0.15">
      <c r="A3824" s="2" t="s">
        <v>7901</v>
      </c>
      <c r="B3824" s="2" t="s">
        <v>7902</v>
      </c>
      <c r="C3824" s="2">
        <v>-0.33</v>
      </c>
      <c r="D3824" s="2">
        <v>9.7154000000000007</v>
      </c>
      <c r="E3824" s="2" t="s">
        <v>3971</v>
      </c>
      <c r="F3824" s="2" t="e">
        <f>VLOOKUP(B3824,MSCI中国成分股!A:B,1,)</f>
        <v>#N/A</v>
      </c>
    </row>
    <row r="3825" spans="1:6" ht="20.25" hidden="1" customHeight="1" x14ac:dyDescent="0.15">
      <c r="A3825" s="2" t="s">
        <v>7903</v>
      </c>
      <c r="B3825" s="2" t="s">
        <v>7904</v>
      </c>
      <c r="C3825" s="2">
        <v>0.51</v>
      </c>
      <c r="D3825" s="2">
        <v>19.321400000000001</v>
      </c>
      <c r="E3825" s="2" t="s">
        <v>3249</v>
      </c>
      <c r="F3825" s="2" t="e">
        <f>VLOOKUP(B3825,MSCI中国成分股!A:B,1,)</f>
        <v>#N/A</v>
      </c>
    </row>
    <row r="3826" spans="1:6" ht="20.25" hidden="1" customHeight="1" x14ac:dyDescent="0.15">
      <c r="A3826" s="2" t="s">
        <v>7905</v>
      </c>
      <c r="B3826" s="2" t="s">
        <v>7906</v>
      </c>
      <c r="C3826" s="2">
        <v>1.23</v>
      </c>
      <c r="D3826" s="2">
        <v>2.2665999999999999</v>
      </c>
      <c r="E3826" s="2" t="s">
        <v>471</v>
      </c>
      <c r="F3826" s="2" t="e">
        <f>VLOOKUP(B3826,MSCI中国成分股!A:B,1,)</f>
        <v>#N/A</v>
      </c>
    </row>
    <row r="3827" spans="1:6" ht="20.25" hidden="1" customHeight="1" x14ac:dyDescent="0.15">
      <c r="A3827" s="2" t="s">
        <v>7907</v>
      </c>
      <c r="B3827" s="2" t="s">
        <v>7908</v>
      </c>
      <c r="C3827" s="2">
        <v>1.25</v>
      </c>
      <c r="D3827" s="2">
        <v>0.92220000000000002</v>
      </c>
      <c r="E3827" s="2" t="s">
        <v>3102</v>
      </c>
      <c r="F3827" s="2" t="e">
        <f>VLOOKUP(B3827,MSCI中国成分股!A:B,1,)</f>
        <v>#N/A</v>
      </c>
    </row>
    <row r="3828" spans="1:6" ht="20.25" hidden="1" customHeight="1" x14ac:dyDescent="0.15">
      <c r="A3828" s="2" t="s">
        <v>7909</v>
      </c>
      <c r="B3828" s="2" t="s">
        <v>7910</v>
      </c>
      <c r="C3828" s="2">
        <v>-1.875</v>
      </c>
      <c r="D3828" s="2">
        <v>3.8447</v>
      </c>
      <c r="E3828" s="2" t="s">
        <v>2678</v>
      </c>
      <c r="F3828" s="2" t="e">
        <f>VLOOKUP(B3828,MSCI中国成分股!A:B,1,)</f>
        <v>#N/A</v>
      </c>
    </row>
    <row r="3829" spans="1:6" ht="20.25" hidden="1" customHeight="1" x14ac:dyDescent="0.15">
      <c r="A3829" s="2" t="s">
        <v>7911</v>
      </c>
      <c r="B3829" s="2" t="s">
        <v>7912</v>
      </c>
      <c r="C3829" s="2">
        <v>0.99</v>
      </c>
      <c r="D3829" s="2">
        <v>5.9806999999999997</v>
      </c>
      <c r="E3829" s="2" t="s">
        <v>1139</v>
      </c>
      <c r="F3829" s="2" t="e">
        <f>VLOOKUP(B3829,MSCI中国成分股!A:B,1,)</f>
        <v>#N/A</v>
      </c>
    </row>
    <row r="3830" spans="1:6" ht="20.25" hidden="1" customHeight="1" x14ac:dyDescent="0.15">
      <c r="A3830" s="2" t="s">
        <v>7913</v>
      </c>
      <c r="B3830" s="2" t="s">
        <v>7914</v>
      </c>
      <c r="C3830" s="2">
        <v>1.49</v>
      </c>
      <c r="D3830" s="2">
        <v>1.9553</v>
      </c>
      <c r="E3830" s="2" t="s">
        <v>638</v>
      </c>
      <c r="F3830" s="2" t="e">
        <f>VLOOKUP(B3830,MSCI中国成分股!A:B,1,)</f>
        <v>#N/A</v>
      </c>
    </row>
    <row r="3831" spans="1:6" ht="20.25" hidden="1" customHeight="1" x14ac:dyDescent="0.15">
      <c r="A3831" s="2" t="s">
        <v>7915</v>
      </c>
      <c r="B3831" s="2" t="s">
        <v>7916</v>
      </c>
      <c r="C3831" s="2">
        <v>1.44</v>
      </c>
      <c r="D3831" s="2">
        <v>3.3647999999999998</v>
      </c>
      <c r="E3831" s="2" t="s">
        <v>2463</v>
      </c>
      <c r="F3831" s="2" t="e">
        <f>VLOOKUP(B3831,MSCI中国成分股!A:B,1,)</f>
        <v>#N/A</v>
      </c>
    </row>
    <row r="3832" spans="1:6" ht="20.25" hidden="1" customHeight="1" x14ac:dyDescent="0.15">
      <c r="A3832" s="2" t="s">
        <v>7917</v>
      </c>
      <c r="B3832" s="2" t="s">
        <v>7918</v>
      </c>
      <c r="C3832" s="2">
        <v>0.99</v>
      </c>
      <c r="D3832" s="2">
        <v>0.7026</v>
      </c>
      <c r="E3832" s="2" t="s">
        <v>862</v>
      </c>
      <c r="F3832" s="2" t="e">
        <f>VLOOKUP(B3832,MSCI中国成分股!A:B,1,)</f>
        <v>#N/A</v>
      </c>
    </row>
    <row r="3833" spans="1:6" ht="20.25" hidden="1" customHeight="1" x14ac:dyDescent="0.15">
      <c r="A3833" s="2" t="s">
        <v>7919</v>
      </c>
      <c r="B3833" s="2" t="s">
        <v>7920</v>
      </c>
      <c r="C3833" s="2">
        <v>1</v>
      </c>
      <c r="D3833" s="2">
        <v>0.20030000000000001</v>
      </c>
      <c r="E3833" s="2" t="s">
        <v>1403</v>
      </c>
      <c r="F3833" s="2" t="e">
        <f>VLOOKUP(B3833,MSCI中国成分股!A:B,1,)</f>
        <v>#N/A</v>
      </c>
    </row>
    <row r="3834" spans="1:6" ht="20.25" hidden="1" customHeight="1" x14ac:dyDescent="0.15">
      <c r="A3834" s="2" t="s">
        <v>7921</v>
      </c>
      <c r="B3834" s="2" t="s">
        <v>7922</v>
      </c>
      <c r="C3834" s="2">
        <v>-0.3</v>
      </c>
      <c r="D3834" s="2">
        <v>28.553899999999999</v>
      </c>
      <c r="E3834" s="2" t="s">
        <v>220</v>
      </c>
      <c r="F3834" s="2" t="e">
        <f>VLOOKUP(B3834,MSCI中国成分股!A:B,1,)</f>
        <v>#N/A</v>
      </c>
    </row>
    <row r="3835" spans="1:6" ht="20.25" hidden="1" customHeight="1" x14ac:dyDescent="0.15">
      <c r="A3835" s="2" t="s">
        <v>7923</v>
      </c>
      <c r="B3835" s="2" t="s">
        <v>7924</v>
      </c>
      <c r="C3835" s="2">
        <v>0.34</v>
      </c>
      <c r="D3835" s="2">
        <v>3.6408</v>
      </c>
      <c r="E3835" s="2" t="s">
        <v>120</v>
      </c>
      <c r="F3835" s="2" t="e">
        <f>VLOOKUP(B3835,MSCI中国成分股!A:B,1,)</f>
        <v>#N/A</v>
      </c>
    </row>
    <row r="3836" spans="1:6" ht="20.25" hidden="1" customHeight="1" x14ac:dyDescent="0.15">
      <c r="A3836" s="2" t="s">
        <v>7925</v>
      </c>
      <c r="B3836" s="2" t="s">
        <v>7926</v>
      </c>
      <c r="C3836" s="2">
        <v>-0.25</v>
      </c>
      <c r="D3836" s="2">
        <v>38.479999999999997</v>
      </c>
      <c r="E3836" s="2" t="s">
        <v>228</v>
      </c>
      <c r="F3836" s="2" t="e">
        <f>VLOOKUP(B3836,MSCI中国成分股!A:B,1,)</f>
        <v>#N/A</v>
      </c>
    </row>
    <row r="3837" spans="1:6" ht="20.25" hidden="1" customHeight="1" x14ac:dyDescent="0.15">
      <c r="A3837" s="2" t="s">
        <v>7927</v>
      </c>
      <c r="B3837" s="2" t="s">
        <v>7928</v>
      </c>
      <c r="C3837" s="2">
        <v>0.91</v>
      </c>
      <c r="D3837" s="2">
        <v>8.6074999999999999</v>
      </c>
      <c r="E3837" s="2" t="s">
        <v>171</v>
      </c>
      <c r="F3837" s="2" t="e">
        <f>VLOOKUP(B3837,MSCI中国成分股!A:B,1,)</f>
        <v>#N/A</v>
      </c>
    </row>
    <row r="3838" spans="1:6" ht="20.25" hidden="1" customHeight="1" x14ac:dyDescent="0.15">
      <c r="A3838" s="2" t="s">
        <v>7929</v>
      </c>
      <c r="B3838" s="2" t="s">
        <v>7930</v>
      </c>
      <c r="C3838" s="2">
        <v>0.97</v>
      </c>
      <c r="D3838" s="2">
        <v>4.2911999999999999</v>
      </c>
      <c r="E3838" s="2" t="s">
        <v>1403</v>
      </c>
      <c r="F3838" s="2" t="e">
        <f>VLOOKUP(B3838,MSCI中国成分股!A:B,1,)</f>
        <v>#N/A</v>
      </c>
    </row>
    <row r="3839" spans="1:6" ht="20.25" hidden="1" customHeight="1" x14ac:dyDescent="0.15">
      <c r="A3839" s="2" t="s">
        <v>7931</v>
      </c>
      <c r="B3839" s="2" t="s">
        <v>7932</v>
      </c>
      <c r="C3839" s="2">
        <v>0.42</v>
      </c>
      <c r="D3839" s="2">
        <v>2.2364000000000002</v>
      </c>
      <c r="E3839" s="2" t="s">
        <v>1691</v>
      </c>
      <c r="F3839" s="2" t="e">
        <f>VLOOKUP(B3839,MSCI中国成分股!A:B,1,)</f>
        <v>#N/A</v>
      </c>
    </row>
    <row r="3840" spans="1:6" ht="20.25" hidden="1" customHeight="1" x14ac:dyDescent="0.15">
      <c r="A3840" s="2" t="s">
        <v>7933</v>
      </c>
      <c r="B3840" s="2" t="s">
        <v>7934</v>
      </c>
      <c r="C3840" s="2">
        <v>0.94</v>
      </c>
      <c r="D3840" s="2">
        <v>0.43280000000000002</v>
      </c>
      <c r="E3840" s="2" t="s">
        <v>201</v>
      </c>
      <c r="F3840" s="2" t="e">
        <f>VLOOKUP(B3840,MSCI中国成分股!A:B,1,)</f>
        <v>#N/A</v>
      </c>
    </row>
    <row r="3841" spans="1:6" ht="20.25" hidden="1" customHeight="1" x14ac:dyDescent="0.15">
      <c r="A3841" s="2" t="s">
        <v>7935</v>
      </c>
      <c r="B3841" s="2" t="s">
        <v>7936</v>
      </c>
      <c r="C3841" s="2">
        <v>0.05</v>
      </c>
      <c r="D3841" s="2">
        <v>5.0804999999999998</v>
      </c>
      <c r="E3841" s="2" t="s">
        <v>690</v>
      </c>
      <c r="F3841" s="2" t="e">
        <f>VLOOKUP(B3841,MSCI中国成分股!A:B,1,)</f>
        <v>#N/A</v>
      </c>
    </row>
    <row r="3842" spans="1:6" ht="20.25" hidden="1" customHeight="1" x14ac:dyDescent="0.15">
      <c r="A3842" s="2" t="s">
        <v>7937</v>
      </c>
      <c r="B3842" s="2" t="s">
        <v>7938</v>
      </c>
      <c r="C3842" s="2">
        <v>0.23</v>
      </c>
      <c r="D3842" s="2">
        <v>128.15549999999999</v>
      </c>
      <c r="E3842" s="2" t="s">
        <v>2678</v>
      </c>
      <c r="F3842" s="2" t="e">
        <f>VLOOKUP(B3842,MSCI中国成分股!A:B,1,)</f>
        <v>#N/A</v>
      </c>
    </row>
    <row r="3843" spans="1:6" ht="20.25" hidden="1" customHeight="1" x14ac:dyDescent="0.15">
      <c r="A3843" s="2" t="s">
        <v>7939</v>
      </c>
      <c r="B3843" s="2" t="s">
        <v>7940</v>
      </c>
      <c r="C3843" s="2">
        <v>2.3199999999999998</v>
      </c>
      <c r="D3843" s="2">
        <v>1.4527000000000001</v>
      </c>
      <c r="E3843" s="2" t="s">
        <v>418</v>
      </c>
      <c r="F3843" s="2" t="e">
        <f>VLOOKUP(B3843,MSCI中国成分股!A:B,1,)</f>
        <v>#N/A</v>
      </c>
    </row>
    <row r="3844" spans="1:6" ht="20.25" hidden="1" customHeight="1" x14ac:dyDescent="0.15">
      <c r="A3844" s="2" t="s">
        <v>7941</v>
      </c>
      <c r="B3844" s="2" t="s">
        <v>7942</v>
      </c>
      <c r="C3844" s="2">
        <v>1.2</v>
      </c>
      <c r="D3844" s="2">
        <v>0.65639999999999998</v>
      </c>
      <c r="E3844" s="2" t="s">
        <v>1102</v>
      </c>
      <c r="F3844" s="2" t="e">
        <f>VLOOKUP(B3844,MSCI中国成分股!A:B,1,)</f>
        <v>#N/A</v>
      </c>
    </row>
    <row r="3845" spans="1:6" ht="20.25" hidden="1" customHeight="1" x14ac:dyDescent="0.15">
      <c r="A3845" s="2" t="s">
        <v>7943</v>
      </c>
      <c r="B3845" s="2" t="s">
        <v>7944</v>
      </c>
      <c r="C3845" s="2">
        <v>-0.11</v>
      </c>
      <c r="D3845" s="2">
        <v>25.793199999999999</v>
      </c>
      <c r="E3845" s="2" t="s">
        <v>385</v>
      </c>
      <c r="F3845" s="2" t="e">
        <f>VLOOKUP(B3845,MSCI中国成分股!A:B,1,)</f>
        <v>#N/A</v>
      </c>
    </row>
    <row r="3846" spans="1:6" ht="20.25" hidden="1" customHeight="1" x14ac:dyDescent="0.15">
      <c r="A3846" s="2" t="s">
        <v>7945</v>
      </c>
      <c r="B3846" s="2" t="s">
        <v>7946</v>
      </c>
      <c r="C3846" s="2">
        <v>1.1399999999999999</v>
      </c>
      <c r="D3846" s="2">
        <v>23.4986</v>
      </c>
      <c r="E3846" s="2" t="s">
        <v>1061</v>
      </c>
      <c r="F3846" s="2" t="e">
        <f>VLOOKUP(B3846,MSCI中国成分股!A:B,1,)</f>
        <v>#N/A</v>
      </c>
    </row>
    <row r="3847" spans="1:6" ht="20.25" hidden="1" customHeight="1" x14ac:dyDescent="0.15">
      <c r="A3847" s="2" t="s">
        <v>7947</v>
      </c>
      <c r="B3847" s="2" t="s">
        <v>7948</v>
      </c>
      <c r="C3847" s="2">
        <v>0.03</v>
      </c>
      <c r="D3847" s="2">
        <v>5.4375</v>
      </c>
      <c r="E3847" s="2" t="s">
        <v>630</v>
      </c>
      <c r="F3847" s="2" t="e">
        <f>VLOOKUP(B3847,MSCI中国成分股!A:B,1,)</f>
        <v>#N/A</v>
      </c>
    </row>
    <row r="3848" spans="1:6" ht="20.25" hidden="1" customHeight="1" x14ac:dyDescent="0.15">
      <c r="A3848" s="2" t="s">
        <v>7949</v>
      </c>
      <c r="B3848" s="2" t="s">
        <v>7950</v>
      </c>
      <c r="C3848" s="2">
        <v>0.65</v>
      </c>
      <c r="D3848" s="2">
        <v>8.5650999999999993</v>
      </c>
      <c r="E3848" s="2" t="s">
        <v>1436</v>
      </c>
      <c r="F3848" s="2" t="e">
        <f>VLOOKUP(B3848,MSCI中国成分股!A:B,1,)</f>
        <v>#N/A</v>
      </c>
    </row>
    <row r="3849" spans="1:6" ht="20.25" hidden="1" customHeight="1" x14ac:dyDescent="0.15">
      <c r="A3849" s="2" t="s">
        <v>7951</v>
      </c>
      <c r="B3849" s="2" t="s">
        <v>7952</v>
      </c>
      <c r="C3849" s="2">
        <v>1.77</v>
      </c>
      <c r="D3849" s="2">
        <v>2.6213000000000002</v>
      </c>
      <c r="E3849" s="2" t="s">
        <v>310</v>
      </c>
      <c r="F3849" s="2" t="e">
        <f>VLOOKUP(B3849,MSCI中国成分股!A:B,1,)</f>
        <v>#N/A</v>
      </c>
    </row>
    <row r="3850" spans="1:6" ht="20.25" hidden="1" customHeight="1" x14ac:dyDescent="0.15">
      <c r="A3850" s="2" t="s">
        <v>7953</v>
      </c>
      <c r="B3850" s="2" t="s">
        <v>7954</v>
      </c>
      <c r="C3850" s="2">
        <v>1.86</v>
      </c>
      <c r="D3850" s="2">
        <v>0.58930000000000005</v>
      </c>
      <c r="E3850" s="2" t="s">
        <v>630</v>
      </c>
      <c r="F3850" s="2" t="e">
        <f>VLOOKUP(B3850,MSCI中国成分股!A:B,1,)</f>
        <v>#N/A</v>
      </c>
    </row>
    <row r="3851" spans="1:6" ht="20.25" hidden="1" customHeight="1" x14ac:dyDescent="0.15">
      <c r="A3851" s="2" t="s">
        <v>7955</v>
      </c>
      <c r="B3851" s="2" t="s">
        <v>7956</v>
      </c>
      <c r="C3851" s="2">
        <v>2.0099999999999998</v>
      </c>
      <c r="D3851" s="2">
        <v>8.2745999999999995</v>
      </c>
      <c r="E3851" s="2" t="s">
        <v>13</v>
      </c>
      <c r="F3851" s="2" t="e">
        <f>VLOOKUP(B3851,MSCI中国成分股!A:B,1,)</f>
        <v>#N/A</v>
      </c>
    </row>
    <row r="3852" spans="1:6" ht="20.25" hidden="1" customHeight="1" x14ac:dyDescent="0.15">
      <c r="A3852" s="2" t="s">
        <v>7957</v>
      </c>
      <c r="B3852" s="2" t="s">
        <v>7958</v>
      </c>
      <c r="C3852" s="2">
        <v>0.51</v>
      </c>
      <c r="D3852" s="2">
        <v>2.7555000000000001</v>
      </c>
      <c r="E3852" s="2" t="s">
        <v>897</v>
      </c>
      <c r="F3852" s="2" t="e">
        <f>VLOOKUP(B3852,MSCI中国成分股!A:B,1,)</f>
        <v>#N/A</v>
      </c>
    </row>
    <row r="3853" spans="1:6" ht="20.25" hidden="1" customHeight="1" x14ac:dyDescent="0.15">
      <c r="A3853" s="2" t="s">
        <v>7959</v>
      </c>
      <c r="B3853" s="2" t="s">
        <v>7960</v>
      </c>
      <c r="C3853" s="2">
        <v>1.56</v>
      </c>
      <c r="D3853" s="2">
        <v>0.79730000000000001</v>
      </c>
      <c r="E3853" s="2" t="s">
        <v>406</v>
      </c>
      <c r="F3853" s="2" t="e">
        <f>VLOOKUP(B3853,MSCI中国成分股!A:B,1,)</f>
        <v>#N/A</v>
      </c>
    </row>
    <row r="3854" spans="1:6" ht="20.25" hidden="1" customHeight="1" x14ac:dyDescent="0.15">
      <c r="A3854" s="2" t="s">
        <v>7961</v>
      </c>
      <c r="B3854" s="2" t="s">
        <v>7962</v>
      </c>
      <c r="C3854" s="2">
        <v>0.97</v>
      </c>
      <c r="D3854" s="2">
        <v>0.13719999999999999</v>
      </c>
      <c r="E3854" s="2" t="s">
        <v>1613</v>
      </c>
      <c r="F3854" s="2" t="e">
        <f>VLOOKUP(B3854,MSCI中国成分股!A:B,1,)</f>
        <v>#N/A</v>
      </c>
    </row>
    <row r="3855" spans="1:6" ht="20.25" hidden="1" customHeight="1" x14ac:dyDescent="0.15">
      <c r="A3855" s="2" t="s">
        <v>7963</v>
      </c>
      <c r="B3855" s="2" t="s">
        <v>7964</v>
      </c>
      <c r="C3855" s="2">
        <v>-0.7</v>
      </c>
      <c r="D3855" s="2">
        <v>9.9673999999999996</v>
      </c>
      <c r="E3855" s="2" t="s">
        <v>1263</v>
      </c>
      <c r="F3855" s="2" t="e">
        <f>VLOOKUP(B3855,MSCI中国成分股!A:B,1,)</f>
        <v>#N/A</v>
      </c>
    </row>
    <row r="3856" spans="1:6" ht="20.25" hidden="1" customHeight="1" x14ac:dyDescent="0.15">
      <c r="A3856" s="2" t="s">
        <v>7965</v>
      </c>
      <c r="B3856" s="2" t="s">
        <v>7966</v>
      </c>
      <c r="C3856" s="2">
        <v>1.52</v>
      </c>
      <c r="D3856" s="2">
        <v>1.6069</v>
      </c>
      <c r="E3856" s="2" t="s">
        <v>1608</v>
      </c>
      <c r="F3856" s="2" t="e">
        <f>VLOOKUP(B3856,MSCI中国成分股!A:B,1,)</f>
        <v>#N/A</v>
      </c>
    </row>
    <row r="3857" spans="1:6" ht="20.25" hidden="1" customHeight="1" x14ac:dyDescent="0.15">
      <c r="A3857" s="2" t="s">
        <v>7967</v>
      </c>
      <c r="B3857" s="2" t="s">
        <v>7968</v>
      </c>
      <c r="C3857" s="2">
        <v>0.51</v>
      </c>
      <c r="D3857" s="2">
        <v>1.3985000000000001</v>
      </c>
      <c r="E3857" s="2" t="s">
        <v>2063</v>
      </c>
      <c r="F3857" s="2" t="e">
        <f>VLOOKUP(B3857,MSCI中国成分股!A:B,1,)</f>
        <v>#N/A</v>
      </c>
    </row>
    <row r="3858" spans="1:6" ht="20.25" hidden="1" customHeight="1" x14ac:dyDescent="0.15">
      <c r="A3858" s="2" t="s">
        <v>7969</v>
      </c>
      <c r="B3858" s="2" t="s">
        <v>7970</v>
      </c>
      <c r="C3858" s="2">
        <v>1.47</v>
      </c>
      <c r="D3858" s="2">
        <v>2.9485000000000001</v>
      </c>
      <c r="E3858" s="2" t="s">
        <v>4127</v>
      </c>
      <c r="F3858" s="2" t="e">
        <f>VLOOKUP(B3858,MSCI中国成分股!A:B,1,)</f>
        <v>#N/A</v>
      </c>
    </row>
    <row r="3859" spans="1:6" ht="20.25" hidden="1" customHeight="1" x14ac:dyDescent="0.15">
      <c r="A3859" s="2" t="s">
        <v>7971</v>
      </c>
      <c r="B3859" s="2" t="s">
        <v>7972</v>
      </c>
      <c r="C3859" s="2">
        <v>1.51</v>
      </c>
      <c r="D3859" s="2">
        <v>1.0483</v>
      </c>
      <c r="E3859" s="2" t="s">
        <v>3130</v>
      </c>
      <c r="F3859" s="2" t="e">
        <f>VLOOKUP(B3859,MSCI中国成分股!A:B,1,)</f>
        <v>#N/A</v>
      </c>
    </row>
    <row r="3860" spans="1:6" ht="20.25" hidden="1" customHeight="1" x14ac:dyDescent="0.15">
      <c r="A3860" s="2" t="s">
        <v>7973</v>
      </c>
      <c r="B3860" s="2" t="s">
        <v>7974</v>
      </c>
      <c r="C3860" s="2">
        <v>2.5099999999999998</v>
      </c>
      <c r="D3860" s="2">
        <v>7.9234999999999998</v>
      </c>
      <c r="E3860" s="2" t="s">
        <v>1338</v>
      </c>
      <c r="F3860" s="2" t="e">
        <f>VLOOKUP(B3860,MSCI中国成分股!A:B,1,)</f>
        <v>#N/A</v>
      </c>
    </row>
    <row r="3861" spans="1:6" ht="20.25" hidden="1" customHeight="1" x14ac:dyDescent="0.15">
      <c r="A3861" s="2" t="s">
        <v>7975</v>
      </c>
      <c r="B3861" s="2" t="s">
        <v>7976</v>
      </c>
      <c r="C3861" s="2">
        <v>1.38</v>
      </c>
      <c r="D3861" s="2">
        <v>6.5648</v>
      </c>
      <c r="E3861" s="2" t="s">
        <v>89</v>
      </c>
      <c r="F3861" s="2" t="e">
        <f>VLOOKUP(B3861,MSCI中国成分股!A:B,1,)</f>
        <v>#N/A</v>
      </c>
    </row>
    <row r="3862" spans="1:6" ht="20.25" hidden="1" customHeight="1" x14ac:dyDescent="0.15">
      <c r="A3862" s="2" t="s">
        <v>7977</v>
      </c>
      <c r="B3862" s="2" t="s">
        <v>7978</v>
      </c>
      <c r="C3862" s="2">
        <v>0</v>
      </c>
      <c r="D3862" s="2">
        <v>5.4076000000000004</v>
      </c>
      <c r="E3862" s="2" t="s">
        <v>220</v>
      </c>
      <c r="F3862" s="2" t="e">
        <f>VLOOKUP(B3862,MSCI中国成分股!A:B,1,)</f>
        <v>#N/A</v>
      </c>
    </row>
    <row r="3863" spans="1:6" ht="20.25" hidden="1" customHeight="1" x14ac:dyDescent="0.15">
      <c r="A3863" s="2" t="s">
        <v>7979</v>
      </c>
      <c r="B3863" s="2" t="s">
        <v>7980</v>
      </c>
      <c r="C3863" s="2">
        <v>0.4</v>
      </c>
      <c r="D3863" s="2">
        <v>0.20080000000000001</v>
      </c>
      <c r="E3863" s="2" t="s">
        <v>1061</v>
      </c>
      <c r="F3863" s="2" t="e">
        <f>VLOOKUP(B3863,MSCI中国成分股!A:B,1,)</f>
        <v>#N/A</v>
      </c>
    </row>
    <row r="3864" spans="1:6" ht="20.25" hidden="1" customHeight="1" x14ac:dyDescent="0.15">
      <c r="A3864" s="2" t="s">
        <v>7981</v>
      </c>
      <c r="B3864" s="2" t="s">
        <v>7982</v>
      </c>
      <c r="C3864" s="2">
        <v>1.835</v>
      </c>
      <c r="D3864" s="2">
        <v>0.62670000000000003</v>
      </c>
      <c r="E3864" s="2" t="s">
        <v>1820</v>
      </c>
      <c r="F3864" s="2" t="e">
        <f>VLOOKUP(B3864,MSCI中国成分股!A:B,1,)</f>
        <v>#N/A</v>
      </c>
    </row>
    <row r="3865" spans="1:6" ht="20.25" hidden="1" customHeight="1" x14ac:dyDescent="0.15">
      <c r="A3865" s="2" t="s">
        <v>7983</v>
      </c>
      <c r="B3865" s="2" t="s">
        <v>7984</v>
      </c>
      <c r="C3865" s="2">
        <v>-0.52</v>
      </c>
      <c r="D3865" s="2">
        <v>194.68029999999999</v>
      </c>
      <c r="E3865" s="2" t="s">
        <v>140</v>
      </c>
      <c r="F3865" s="2" t="e">
        <f>VLOOKUP(B3865,MSCI中国成分股!A:B,1,)</f>
        <v>#N/A</v>
      </c>
    </row>
    <row r="3866" spans="1:6" ht="20.25" hidden="1" customHeight="1" x14ac:dyDescent="0.15">
      <c r="A3866" s="2" t="s">
        <v>7985</v>
      </c>
      <c r="B3866" s="2" t="s">
        <v>7986</v>
      </c>
      <c r="C3866" s="2">
        <v>-2.42</v>
      </c>
      <c r="D3866" s="2">
        <v>47.745899999999999</v>
      </c>
      <c r="E3866" s="2" t="s">
        <v>736</v>
      </c>
      <c r="F3866" s="2" t="e">
        <f>VLOOKUP(B3866,MSCI中国成分股!A:B,1,)</f>
        <v>#N/A</v>
      </c>
    </row>
    <row r="3867" spans="1:6" ht="20.25" hidden="1" customHeight="1" x14ac:dyDescent="0.15">
      <c r="A3867" s="2" t="s">
        <v>7987</v>
      </c>
      <c r="B3867" s="2" t="s">
        <v>7988</v>
      </c>
      <c r="C3867" s="2">
        <v>0.47</v>
      </c>
      <c r="D3867" s="2">
        <v>2.8334999999999999</v>
      </c>
      <c r="E3867" s="2" t="s">
        <v>690</v>
      </c>
      <c r="F3867" s="2" t="e">
        <f>VLOOKUP(B3867,MSCI中国成分股!A:B,1,)</f>
        <v>#N/A</v>
      </c>
    </row>
    <row r="3868" spans="1:6" ht="20.25" hidden="1" customHeight="1" x14ac:dyDescent="0.15">
      <c r="A3868" s="2" t="s">
        <v>7989</v>
      </c>
      <c r="B3868" s="2" t="s">
        <v>7990</v>
      </c>
      <c r="C3868" s="2">
        <v>2.48</v>
      </c>
      <c r="D3868" s="2">
        <v>0.71030000000000004</v>
      </c>
      <c r="E3868" s="2" t="s">
        <v>713</v>
      </c>
      <c r="F3868" s="2" t="e">
        <f>VLOOKUP(B3868,MSCI中国成分股!A:B,1,)</f>
        <v>#N/A</v>
      </c>
    </row>
    <row r="3869" spans="1:6" ht="20.25" hidden="1" customHeight="1" x14ac:dyDescent="0.15">
      <c r="A3869" s="2" t="s">
        <v>7991</v>
      </c>
      <c r="B3869" s="2" t="s">
        <v>7992</v>
      </c>
      <c r="C3869" s="2">
        <v>1.395</v>
      </c>
      <c r="D3869" s="2">
        <v>1.6059000000000001</v>
      </c>
      <c r="E3869" s="2" t="s">
        <v>374</v>
      </c>
      <c r="F3869" s="2" t="e">
        <f>VLOOKUP(B3869,MSCI中国成分股!A:B,1,)</f>
        <v>#N/A</v>
      </c>
    </row>
    <row r="3870" spans="1:6" ht="20.25" hidden="1" customHeight="1" x14ac:dyDescent="0.15">
      <c r="A3870" s="2" t="s">
        <v>7993</v>
      </c>
      <c r="B3870" s="2" t="s">
        <v>7994</v>
      </c>
      <c r="C3870" s="2">
        <v>0.78</v>
      </c>
      <c r="D3870" s="2">
        <v>4.2629000000000001</v>
      </c>
      <c r="E3870" s="2" t="s">
        <v>699</v>
      </c>
      <c r="F3870" s="2" t="e">
        <f>VLOOKUP(B3870,MSCI中国成分股!A:B,1,)</f>
        <v>#N/A</v>
      </c>
    </row>
    <row r="3871" spans="1:6" ht="20.25" hidden="1" customHeight="1" x14ac:dyDescent="0.15">
      <c r="A3871" s="2" t="s">
        <v>7995</v>
      </c>
      <c r="B3871" s="2" t="s">
        <v>7996</v>
      </c>
      <c r="C3871" s="2">
        <v>0.89</v>
      </c>
      <c r="D3871" s="2">
        <v>1.6148</v>
      </c>
      <c r="E3871" s="2" t="s">
        <v>630</v>
      </c>
      <c r="F3871" s="2" t="e">
        <f>VLOOKUP(B3871,MSCI中国成分股!A:B,1,)</f>
        <v>#N/A</v>
      </c>
    </row>
    <row r="3872" spans="1:6" ht="20.25" hidden="1" customHeight="1" x14ac:dyDescent="0.15">
      <c r="A3872" s="2" t="s">
        <v>7997</v>
      </c>
      <c r="B3872" s="2" t="s">
        <v>7998</v>
      </c>
      <c r="C3872" s="2">
        <v>0.64</v>
      </c>
      <c r="D3872" s="2">
        <v>4.8734999999999999</v>
      </c>
      <c r="E3872" s="2" t="s">
        <v>89</v>
      </c>
      <c r="F3872" s="2" t="e">
        <f>VLOOKUP(B3872,MSCI中国成分股!A:B,1,)</f>
        <v>#N/A</v>
      </c>
    </row>
    <row r="3873" spans="1:6" ht="20.25" hidden="1" customHeight="1" x14ac:dyDescent="0.15">
      <c r="A3873" s="2" t="s">
        <v>7999</v>
      </c>
      <c r="B3873" s="2" t="s">
        <v>8000</v>
      </c>
      <c r="C3873" s="2">
        <v>2.6</v>
      </c>
      <c r="D3873" s="2">
        <v>0.84960000000000002</v>
      </c>
      <c r="E3873" s="2" t="s">
        <v>68</v>
      </c>
      <c r="F3873" s="2" t="e">
        <f>VLOOKUP(B3873,MSCI中国成分股!A:B,1,)</f>
        <v>#N/A</v>
      </c>
    </row>
    <row r="3874" spans="1:6" ht="20.25" hidden="1" customHeight="1" x14ac:dyDescent="0.15">
      <c r="A3874" s="2" t="s">
        <v>8001</v>
      </c>
      <c r="B3874" s="2" t="s">
        <v>8002</v>
      </c>
      <c r="C3874" s="2">
        <v>0.2</v>
      </c>
      <c r="D3874" s="2">
        <v>5.3057999999999996</v>
      </c>
      <c r="E3874" s="2" t="s">
        <v>120</v>
      </c>
      <c r="F3874" s="2" t="e">
        <f>VLOOKUP(B3874,MSCI中国成分股!A:B,1,)</f>
        <v>#N/A</v>
      </c>
    </row>
    <row r="3875" spans="1:6" ht="20.25" hidden="1" customHeight="1" x14ac:dyDescent="0.15">
      <c r="A3875" s="2" t="s">
        <v>8003</v>
      </c>
      <c r="B3875" s="2" t="s">
        <v>8004</v>
      </c>
      <c r="C3875" s="2">
        <v>0.08</v>
      </c>
      <c r="D3875" s="2">
        <v>146.82830000000001</v>
      </c>
      <c r="E3875" s="2" t="s">
        <v>2678</v>
      </c>
      <c r="F3875" s="2" t="e">
        <f>VLOOKUP(B3875,MSCI中国成分股!A:B,1,)</f>
        <v>#N/A</v>
      </c>
    </row>
    <row r="3876" spans="1:6" ht="20.25" hidden="1" customHeight="1" x14ac:dyDescent="0.15">
      <c r="A3876" s="2" t="s">
        <v>8005</v>
      </c>
      <c r="B3876" s="2" t="s">
        <v>8006</v>
      </c>
      <c r="C3876" s="2">
        <v>0.18</v>
      </c>
      <c r="D3876" s="2">
        <v>1.8251999999999999</v>
      </c>
      <c r="E3876" s="2" t="s">
        <v>71</v>
      </c>
      <c r="F3876" s="2" t="e">
        <f>VLOOKUP(B3876,MSCI中国成分股!A:B,1,)</f>
        <v>#N/A</v>
      </c>
    </row>
    <row r="3877" spans="1:6" ht="20.25" hidden="1" customHeight="1" x14ac:dyDescent="0.15">
      <c r="A3877" s="2" t="s">
        <v>8007</v>
      </c>
      <c r="B3877" s="2" t="s">
        <v>8008</v>
      </c>
      <c r="C3877" s="2">
        <v>1.07</v>
      </c>
      <c r="D3877" s="2">
        <v>13.460699999999999</v>
      </c>
      <c r="E3877" s="2" t="s">
        <v>44</v>
      </c>
      <c r="F3877" s="2" t="e">
        <f>VLOOKUP(B3877,MSCI中国成分股!A:B,1,)</f>
        <v>#N/A</v>
      </c>
    </row>
    <row r="3878" spans="1:6" ht="20.25" hidden="1" customHeight="1" x14ac:dyDescent="0.15">
      <c r="A3878" s="2" t="s">
        <v>8009</v>
      </c>
      <c r="B3878" s="2" t="s">
        <v>8010</v>
      </c>
      <c r="C3878" s="2">
        <v>-1.04</v>
      </c>
      <c r="D3878" s="2">
        <v>32.274999999999999</v>
      </c>
      <c r="E3878" s="2" t="s">
        <v>529</v>
      </c>
      <c r="F3878" s="2" t="e">
        <f>VLOOKUP(B3878,MSCI中国成分股!A:B,1,)</f>
        <v>#N/A</v>
      </c>
    </row>
    <row r="3879" spans="1:6" ht="20.25" hidden="1" customHeight="1" x14ac:dyDescent="0.15">
      <c r="A3879" s="2" t="s">
        <v>8011</v>
      </c>
      <c r="B3879" s="2" t="s">
        <v>8012</v>
      </c>
      <c r="C3879" s="2">
        <v>1.415</v>
      </c>
      <c r="D3879" s="2">
        <v>3.6941000000000002</v>
      </c>
      <c r="E3879" s="2" t="s">
        <v>2930</v>
      </c>
      <c r="F3879" s="2" t="e">
        <f>VLOOKUP(B3879,MSCI中国成分股!A:B,1,)</f>
        <v>#N/A</v>
      </c>
    </row>
    <row r="3880" spans="1:6" ht="20.25" hidden="1" customHeight="1" x14ac:dyDescent="0.15">
      <c r="A3880" s="2" t="s">
        <v>8013</v>
      </c>
      <c r="B3880" s="2" t="s">
        <v>8014</v>
      </c>
      <c r="C3880" s="2">
        <v>1.46</v>
      </c>
      <c r="D3880" s="2">
        <v>1.5952999999999999</v>
      </c>
      <c r="E3880" s="2" t="s">
        <v>638</v>
      </c>
      <c r="F3880" s="2" t="e">
        <f>VLOOKUP(B3880,MSCI中国成分股!A:B,1,)</f>
        <v>#N/A</v>
      </c>
    </row>
    <row r="3881" spans="1:6" ht="20.25" hidden="1" customHeight="1" x14ac:dyDescent="0.15">
      <c r="A3881" s="2" t="s">
        <v>8015</v>
      </c>
      <c r="B3881" s="2" t="s">
        <v>8016</v>
      </c>
      <c r="C3881" s="2">
        <v>-1.4</v>
      </c>
      <c r="D3881" s="2">
        <v>71.790099999999995</v>
      </c>
      <c r="E3881" s="2" t="s">
        <v>1099</v>
      </c>
      <c r="F3881" s="2" t="e">
        <f>VLOOKUP(B3881,MSCI中国成分股!A:B,1,)</f>
        <v>#N/A</v>
      </c>
    </row>
    <row r="3882" spans="1:6" ht="20.25" hidden="1" customHeight="1" x14ac:dyDescent="0.15">
      <c r="A3882" s="2" t="s">
        <v>8017</v>
      </c>
      <c r="B3882" s="2" t="s">
        <v>8018</v>
      </c>
      <c r="C3882" s="2">
        <v>0.65500000000000003</v>
      </c>
      <c r="D3882" s="2">
        <v>2.7254</v>
      </c>
      <c r="E3882" s="2" t="s">
        <v>3048</v>
      </c>
      <c r="F3882" s="2" t="e">
        <f>VLOOKUP(B3882,MSCI中国成分股!A:B,1,)</f>
        <v>#N/A</v>
      </c>
    </row>
    <row r="3883" spans="1:6" ht="20.25" hidden="1" customHeight="1" x14ac:dyDescent="0.15">
      <c r="A3883" s="2" t="s">
        <v>8019</v>
      </c>
      <c r="B3883" s="2" t="s">
        <v>8020</v>
      </c>
      <c r="C3883" s="2">
        <v>1.175</v>
      </c>
      <c r="D3883" s="2">
        <v>3.0148000000000001</v>
      </c>
      <c r="E3883" s="2" t="s">
        <v>2724</v>
      </c>
      <c r="F3883" s="2" t="e">
        <f>VLOOKUP(B3883,MSCI中国成分股!A:B,1,)</f>
        <v>#N/A</v>
      </c>
    </row>
    <row r="3884" spans="1:6" ht="20.25" hidden="1" customHeight="1" x14ac:dyDescent="0.15">
      <c r="A3884" s="2" t="s">
        <v>8021</v>
      </c>
      <c r="B3884" s="2" t="s">
        <v>8022</v>
      </c>
      <c r="C3884" s="2">
        <v>4.0599999999999996</v>
      </c>
      <c r="D3884" s="2">
        <v>2.4068000000000001</v>
      </c>
      <c r="E3884" s="2" t="s">
        <v>2355</v>
      </c>
      <c r="F3884" s="2" t="e">
        <f>VLOOKUP(B3884,MSCI中国成分股!A:B,1,)</f>
        <v>#N/A</v>
      </c>
    </row>
    <row r="3885" spans="1:6" ht="20.25" hidden="1" customHeight="1" x14ac:dyDescent="0.15">
      <c r="A3885" s="2" t="s">
        <v>8023</v>
      </c>
      <c r="B3885" s="2" t="s">
        <v>8024</v>
      </c>
      <c r="C3885" s="2">
        <v>0.32</v>
      </c>
      <c r="D3885" s="2">
        <v>8.2211999999999996</v>
      </c>
      <c r="E3885" s="2" t="s">
        <v>201</v>
      </c>
      <c r="F3885" s="2" t="e">
        <f>VLOOKUP(B3885,MSCI中国成分股!A:B,1,)</f>
        <v>#N/A</v>
      </c>
    </row>
    <row r="3886" spans="1:6" ht="20.25" hidden="1" customHeight="1" x14ac:dyDescent="0.15">
      <c r="A3886" s="2" t="s">
        <v>8025</v>
      </c>
      <c r="B3886" s="2" t="s">
        <v>8026</v>
      </c>
      <c r="C3886" s="2">
        <v>-3.96</v>
      </c>
      <c r="D3886" s="2">
        <v>48.6937</v>
      </c>
      <c r="E3886" s="2" t="s">
        <v>1173</v>
      </c>
      <c r="F3886" s="2" t="e">
        <f>VLOOKUP(B3886,MSCI中国成分股!A:B,1,)</f>
        <v>#N/A</v>
      </c>
    </row>
    <row r="3887" spans="1:6" ht="20.25" hidden="1" customHeight="1" x14ac:dyDescent="0.15">
      <c r="A3887" s="2" t="s">
        <v>8027</v>
      </c>
      <c r="B3887" s="2" t="s">
        <v>8028</v>
      </c>
      <c r="C3887" s="2">
        <v>0.51</v>
      </c>
      <c r="D3887" s="2">
        <v>2.6036999999999999</v>
      </c>
      <c r="E3887" s="2" t="s">
        <v>784</v>
      </c>
      <c r="F3887" s="2" t="e">
        <f>VLOOKUP(B3887,MSCI中国成分股!A:B,1,)</f>
        <v>#N/A</v>
      </c>
    </row>
    <row r="3888" spans="1:6" ht="20.25" hidden="1" customHeight="1" x14ac:dyDescent="0.15">
      <c r="A3888" s="2" t="s">
        <v>8029</v>
      </c>
      <c r="B3888" s="2" t="s">
        <v>8030</v>
      </c>
      <c r="C3888" s="2">
        <v>-0.89</v>
      </c>
      <c r="D3888" s="2">
        <v>10.974299999999999</v>
      </c>
      <c r="E3888" s="2" t="s">
        <v>704</v>
      </c>
      <c r="F3888" s="2" t="e">
        <f>VLOOKUP(B3888,MSCI中国成分股!A:B,1,)</f>
        <v>#N/A</v>
      </c>
    </row>
    <row r="3889" spans="1:6" ht="20.25" hidden="1" customHeight="1" x14ac:dyDescent="0.15">
      <c r="A3889" s="2" t="s">
        <v>8031</v>
      </c>
      <c r="B3889" s="2" t="s">
        <v>8032</v>
      </c>
      <c r="C3889" s="2">
        <v>0.86</v>
      </c>
      <c r="D3889" s="2">
        <v>3.3449</v>
      </c>
      <c r="E3889" s="2" t="s">
        <v>862</v>
      </c>
      <c r="F3889" s="2" t="e">
        <f>VLOOKUP(B3889,MSCI中国成分股!A:B,1,)</f>
        <v>#N/A</v>
      </c>
    </row>
    <row r="3890" spans="1:6" ht="20.25" hidden="1" customHeight="1" x14ac:dyDescent="0.15">
      <c r="A3890" s="2" t="s">
        <v>8033</v>
      </c>
      <c r="B3890" s="2" t="s">
        <v>8034</v>
      </c>
      <c r="C3890" s="2">
        <v>1.31</v>
      </c>
      <c r="D3890" s="2">
        <v>4.5251999999999999</v>
      </c>
      <c r="E3890" s="2" t="s">
        <v>1102</v>
      </c>
      <c r="F3890" s="2" t="e">
        <f>VLOOKUP(B3890,MSCI中国成分股!A:B,1,)</f>
        <v>#N/A</v>
      </c>
    </row>
    <row r="3891" spans="1:6" ht="20.25" hidden="1" customHeight="1" x14ac:dyDescent="0.15">
      <c r="A3891" s="2" t="s">
        <v>8035</v>
      </c>
      <c r="B3891" s="2" t="s">
        <v>8036</v>
      </c>
      <c r="C3891" s="2">
        <v>-0.43</v>
      </c>
      <c r="D3891" s="2">
        <v>19.974299999999999</v>
      </c>
      <c r="E3891" s="2" t="s">
        <v>724</v>
      </c>
      <c r="F3891" s="2" t="e">
        <f>VLOOKUP(B3891,MSCI中国成分股!A:B,1,)</f>
        <v>#N/A</v>
      </c>
    </row>
    <row r="3892" spans="1:6" ht="20.25" hidden="1" customHeight="1" x14ac:dyDescent="0.15">
      <c r="A3892" s="2" t="s">
        <v>8037</v>
      </c>
      <c r="B3892" s="2" t="s">
        <v>8038</v>
      </c>
      <c r="C3892" s="2">
        <v>-0.53</v>
      </c>
      <c r="D3892" s="2">
        <v>2.7530000000000001</v>
      </c>
      <c r="E3892" s="2" t="s">
        <v>1570</v>
      </c>
      <c r="F3892" s="2" t="e">
        <f>VLOOKUP(B3892,MSCI中国成分股!A:B,1,)</f>
        <v>#N/A</v>
      </c>
    </row>
    <row r="3893" spans="1:6" ht="20.25" hidden="1" customHeight="1" x14ac:dyDescent="0.15">
      <c r="A3893" s="2" t="s">
        <v>8039</v>
      </c>
      <c r="B3893" s="2" t="s">
        <v>8040</v>
      </c>
      <c r="C3893" s="2">
        <v>-0.08</v>
      </c>
      <c r="D3893" s="2">
        <v>8.9896999999999991</v>
      </c>
      <c r="E3893" s="2" t="s">
        <v>329</v>
      </c>
      <c r="F3893" s="2" t="e">
        <f>VLOOKUP(B3893,MSCI中国成分股!A:B,1,)</f>
        <v>#N/A</v>
      </c>
    </row>
    <row r="3894" spans="1:6" ht="20.25" hidden="1" customHeight="1" x14ac:dyDescent="0.15">
      <c r="A3894" s="2" t="s">
        <v>8041</v>
      </c>
      <c r="B3894" s="2" t="s">
        <v>8042</v>
      </c>
      <c r="C3894" s="2">
        <v>1.68</v>
      </c>
      <c r="D3894" s="2">
        <v>2.4777</v>
      </c>
      <c r="E3894" s="2" t="s">
        <v>1061</v>
      </c>
      <c r="F3894" s="2" t="e">
        <f>VLOOKUP(B3894,MSCI中国成分股!A:B,1,)</f>
        <v>#N/A</v>
      </c>
    </row>
    <row r="3895" spans="1:6" ht="20.25" hidden="1" customHeight="1" x14ac:dyDescent="0.15">
      <c r="A3895" s="2" t="s">
        <v>8043</v>
      </c>
      <c r="B3895" s="2" t="s">
        <v>8044</v>
      </c>
      <c r="C3895" s="2">
        <v>0.69499999999999995</v>
      </c>
      <c r="D3895" s="2">
        <v>0.30359999999999998</v>
      </c>
      <c r="E3895" s="2" t="s">
        <v>1061</v>
      </c>
      <c r="F3895" s="2" t="e">
        <f>VLOOKUP(B3895,MSCI中国成分股!A:B,1,)</f>
        <v>#N/A</v>
      </c>
    </row>
    <row r="3896" spans="1:6" ht="20.25" hidden="1" customHeight="1" x14ac:dyDescent="0.15">
      <c r="A3896" s="2" t="s">
        <v>8045</v>
      </c>
      <c r="B3896" s="2" t="s">
        <v>8046</v>
      </c>
      <c r="C3896" s="2">
        <v>0.40500000000000003</v>
      </c>
      <c r="D3896" s="2">
        <v>26.9361</v>
      </c>
      <c r="E3896" s="2" t="s">
        <v>1102</v>
      </c>
      <c r="F3896" s="2" t="e">
        <f>VLOOKUP(B3896,MSCI中国成分股!A:B,1,)</f>
        <v>#N/A</v>
      </c>
    </row>
    <row r="3897" spans="1:6" ht="20.25" hidden="1" customHeight="1" x14ac:dyDescent="0.15">
      <c r="A3897" s="2" t="s">
        <v>8047</v>
      </c>
      <c r="B3897" s="2" t="s">
        <v>8048</v>
      </c>
      <c r="C3897" s="2">
        <v>1.425</v>
      </c>
      <c r="D3897" s="2">
        <v>1.0863</v>
      </c>
      <c r="E3897" s="2" t="s">
        <v>2068</v>
      </c>
      <c r="F3897" s="2" t="e">
        <f>VLOOKUP(B3897,MSCI中国成分股!A:B,1,)</f>
        <v>#N/A</v>
      </c>
    </row>
    <row r="3898" spans="1:6" ht="20.25" hidden="1" customHeight="1" x14ac:dyDescent="0.15">
      <c r="A3898" s="2" t="s">
        <v>8049</v>
      </c>
      <c r="B3898" s="2" t="s">
        <v>8050</v>
      </c>
      <c r="C3898" s="2">
        <v>1.28</v>
      </c>
      <c r="D3898" s="2">
        <v>3.7046000000000001</v>
      </c>
      <c r="E3898" s="2" t="s">
        <v>690</v>
      </c>
      <c r="F3898" s="2" t="e">
        <f>VLOOKUP(B3898,MSCI中国成分股!A:B,1,)</f>
        <v>#N/A</v>
      </c>
    </row>
    <row r="3899" spans="1:6" ht="20.25" hidden="1" customHeight="1" x14ac:dyDescent="0.15">
      <c r="A3899" s="2" t="s">
        <v>8051</v>
      </c>
      <c r="B3899" s="2" t="s">
        <v>8052</v>
      </c>
      <c r="C3899" s="2">
        <v>1.52</v>
      </c>
      <c r="D3899" s="2">
        <v>0.39500000000000002</v>
      </c>
      <c r="E3899" s="2" t="s">
        <v>2724</v>
      </c>
      <c r="F3899" s="2" t="e">
        <f>VLOOKUP(B3899,MSCI中国成分股!A:B,1,)</f>
        <v>#N/A</v>
      </c>
    </row>
    <row r="3900" spans="1:6" ht="20.25" hidden="1" customHeight="1" x14ac:dyDescent="0.15">
      <c r="A3900" s="2" t="s">
        <v>8053</v>
      </c>
      <c r="B3900" s="2" t="s">
        <v>8054</v>
      </c>
      <c r="C3900" s="2">
        <v>-0.14000000000000001</v>
      </c>
      <c r="D3900" s="2">
        <v>6.5438999999999998</v>
      </c>
      <c r="E3900" s="2" t="s">
        <v>245</v>
      </c>
      <c r="F3900" s="2" t="e">
        <f>VLOOKUP(B3900,MSCI中国成分股!A:B,1,)</f>
        <v>#N/A</v>
      </c>
    </row>
    <row r="3901" spans="1:6" ht="20.25" hidden="1" customHeight="1" x14ac:dyDescent="0.15">
      <c r="A3901" s="2" t="s">
        <v>8055</v>
      </c>
      <c r="B3901" s="2" t="s">
        <v>8056</v>
      </c>
      <c r="C3901" s="2">
        <v>0.79</v>
      </c>
      <c r="D3901" s="2">
        <v>0.41320000000000001</v>
      </c>
      <c r="E3901" s="2" t="s">
        <v>1997</v>
      </c>
      <c r="F3901" s="2" t="e">
        <f>VLOOKUP(B3901,MSCI中国成分股!A:B,1,)</f>
        <v>#N/A</v>
      </c>
    </row>
    <row r="3902" spans="1:6" ht="20.25" hidden="1" customHeight="1" x14ac:dyDescent="0.15">
      <c r="A3902" s="2" t="s">
        <v>8057</v>
      </c>
      <c r="B3902" s="2" t="s">
        <v>8058</v>
      </c>
      <c r="C3902" s="2">
        <v>3.46</v>
      </c>
      <c r="D3902" s="2">
        <v>7.7546999999999997</v>
      </c>
      <c r="E3902" s="2" t="s">
        <v>157</v>
      </c>
      <c r="F3902" s="2" t="e">
        <f>VLOOKUP(B3902,MSCI中国成分股!A:B,1,)</f>
        <v>#N/A</v>
      </c>
    </row>
    <row r="3903" spans="1:6" ht="20.25" hidden="1" customHeight="1" x14ac:dyDescent="0.15">
      <c r="A3903" s="2" t="s">
        <v>8059</v>
      </c>
      <c r="B3903" s="2" t="s">
        <v>8060</v>
      </c>
      <c r="C3903" s="2">
        <v>0.13</v>
      </c>
      <c r="D3903" s="2">
        <v>0.28660000000000002</v>
      </c>
      <c r="E3903" s="2" t="s">
        <v>638</v>
      </c>
      <c r="F3903" s="2" t="e">
        <f>VLOOKUP(B3903,MSCI中国成分股!A:B,1,)</f>
        <v>#N/A</v>
      </c>
    </row>
    <row r="3904" spans="1:6" ht="20.25" hidden="1" customHeight="1" x14ac:dyDescent="0.15">
      <c r="A3904" s="2" t="s">
        <v>8061</v>
      </c>
      <c r="B3904" s="2" t="s">
        <v>8062</v>
      </c>
      <c r="C3904" s="2">
        <v>1.95</v>
      </c>
      <c r="D3904" s="2">
        <v>1.0186999999999999</v>
      </c>
      <c r="E3904" s="2" t="s">
        <v>1338</v>
      </c>
      <c r="F3904" s="2" t="e">
        <f>VLOOKUP(B3904,MSCI中国成分股!A:B,1,)</f>
        <v>#N/A</v>
      </c>
    </row>
    <row r="3905" spans="1:6" ht="20.25" hidden="1" customHeight="1" x14ac:dyDescent="0.15">
      <c r="A3905" s="2" t="s">
        <v>8063</v>
      </c>
      <c r="B3905" s="2" t="s">
        <v>8064</v>
      </c>
      <c r="C3905" s="2">
        <v>1.97</v>
      </c>
      <c r="D3905" s="2">
        <v>655.62400000000002</v>
      </c>
      <c r="E3905" s="2" t="s">
        <v>529</v>
      </c>
      <c r="F3905" s="2" t="e">
        <f>VLOOKUP(B3905,MSCI中国成分股!A:B,1,)</f>
        <v>#N/A</v>
      </c>
    </row>
    <row r="3906" spans="1:6" ht="20.25" hidden="1" customHeight="1" x14ac:dyDescent="0.15">
      <c r="A3906" s="2" t="s">
        <v>8065</v>
      </c>
      <c r="B3906" s="2" t="s">
        <v>8066</v>
      </c>
      <c r="C3906" s="2">
        <v>2.52</v>
      </c>
      <c r="D3906" s="2">
        <v>1.2197</v>
      </c>
      <c r="E3906" s="2" t="s">
        <v>3048</v>
      </c>
      <c r="F3906" s="2" t="e">
        <f>VLOOKUP(B3906,MSCI中国成分股!A:B,1,)</f>
        <v>#N/A</v>
      </c>
    </row>
    <row r="3907" spans="1:6" ht="20.25" hidden="1" customHeight="1" x14ac:dyDescent="0.15">
      <c r="A3907" s="2" t="s">
        <v>8067</v>
      </c>
      <c r="B3907" s="2" t="s">
        <v>8068</v>
      </c>
      <c r="C3907" s="2">
        <v>-0.04</v>
      </c>
      <c r="D3907" s="2">
        <v>23.5688</v>
      </c>
      <c r="E3907" s="2" t="s">
        <v>89</v>
      </c>
      <c r="F3907" s="2" t="e">
        <f>VLOOKUP(B3907,MSCI中国成分股!A:B,1,)</f>
        <v>#N/A</v>
      </c>
    </row>
    <row r="3908" spans="1:6" ht="20.25" hidden="1" customHeight="1" x14ac:dyDescent="0.15">
      <c r="A3908" s="2" t="s">
        <v>8069</v>
      </c>
      <c r="B3908" s="2" t="s">
        <v>8070</v>
      </c>
      <c r="C3908" s="2">
        <v>-0.98</v>
      </c>
      <c r="D3908" s="2">
        <v>84.019599999999997</v>
      </c>
      <c r="E3908" s="2" t="s">
        <v>2681</v>
      </c>
      <c r="F3908" s="2" t="e">
        <f>VLOOKUP(B3908,MSCI中国成分股!A:B,1,)</f>
        <v>#N/A</v>
      </c>
    </row>
    <row r="3909" spans="1:6" ht="20.25" hidden="1" customHeight="1" x14ac:dyDescent="0.15">
      <c r="A3909" s="2" t="s">
        <v>8071</v>
      </c>
      <c r="B3909" s="2" t="s">
        <v>8072</v>
      </c>
      <c r="C3909" s="2">
        <v>1.03</v>
      </c>
      <c r="D3909" s="2">
        <v>1.052</v>
      </c>
      <c r="E3909" s="2" t="s">
        <v>713</v>
      </c>
      <c r="F3909" s="2" t="e">
        <f>VLOOKUP(B3909,MSCI中国成分股!A:B,1,)</f>
        <v>#N/A</v>
      </c>
    </row>
    <row r="3910" spans="1:6" ht="20.25" hidden="1" customHeight="1" x14ac:dyDescent="0.15">
      <c r="A3910" s="2" t="s">
        <v>8073</v>
      </c>
      <c r="B3910" s="2" t="s">
        <v>8074</v>
      </c>
      <c r="C3910" s="2">
        <v>2.65</v>
      </c>
      <c r="D3910" s="2">
        <v>136.4778</v>
      </c>
      <c r="E3910" s="2" t="s">
        <v>827</v>
      </c>
      <c r="F3910" s="2" t="e">
        <f>VLOOKUP(B3910,MSCI中国成分股!A:B,1,)</f>
        <v>#N/A</v>
      </c>
    </row>
    <row r="3911" spans="1:6" ht="20.25" hidden="1" customHeight="1" x14ac:dyDescent="0.15">
      <c r="A3911" s="2" t="s">
        <v>8075</v>
      </c>
      <c r="B3911" s="2" t="s">
        <v>8076</v>
      </c>
      <c r="C3911" s="2">
        <v>0.24</v>
      </c>
      <c r="D3911" s="2">
        <v>2.7562000000000002</v>
      </c>
      <c r="E3911" s="2" t="s">
        <v>68</v>
      </c>
      <c r="F3911" s="2" t="e">
        <f>VLOOKUP(B3911,MSCI中国成分股!A:B,1,)</f>
        <v>#N/A</v>
      </c>
    </row>
    <row r="3912" spans="1:6" ht="20.25" hidden="1" customHeight="1" x14ac:dyDescent="0.15">
      <c r="A3912" s="2" t="s">
        <v>8077</v>
      </c>
      <c r="B3912" s="2" t="s">
        <v>8078</v>
      </c>
      <c r="C3912" s="2">
        <v>-0.74</v>
      </c>
      <c r="D3912" s="2">
        <v>15.023999999999999</v>
      </c>
      <c r="E3912" s="2" t="s">
        <v>667</v>
      </c>
      <c r="F3912" s="2" t="e">
        <f>VLOOKUP(B3912,MSCI中国成分股!A:B,1,)</f>
        <v>#N/A</v>
      </c>
    </row>
    <row r="3913" spans="1:6" ht="20.25" hidden="1" customHeight="1" x14ac:dyDescent="0.15">
      <c r="A3913" s="2" t="s">
        <v>8079</v>
      </c>
      <c r="B3913" s="2" t="s">
        <v>8080</v>
      </c>
      <c r="C3913" s="2">
        <v>-0.54</v>
      </c>
      <c r="D3913" s="2">
        <v>0.53129999999999999</v>
      </c>
      <c r="E3913" s="2" t="s">
        <v>799</v>
      </c>
      <c r="F3913" s="2" t="e">
        <f>VLOOKUP(B3913,MSCI中国成分股!A:B,1,)</f>
        <v>#N/A</v>
      </c>
    </row>
    <row r="3914" spans="1:6" ht="20.25" hidden="1" customHeight="1" x14ac:dyDescent="0.15">
      <c r="A3914" s="2" t="s">
        <v>8081</v>
      </c>
      <c r="B3914" s="2" t="s">
        <v>8082</v>
      </c>
      <c r="C3914" s="2">
        <v>2.06</v>
      </c>
      <c r="D3914" s="2">
        <v>0.74960000000000004</v>
      </c>
      <c r="E3914" s="2" t="s">
        <v>630</v>
      </c>
      <c r="F3914" s="2" t="e">
        <f>VLOOKUP(B3914,MSCI中国成分股!A:B,1,)</f>
        <v>#N/A</v>
      </c>
    </row>
    <row r="3915" spans="1:6" ht="20.25" hidden="1" customHeight="1" x14ac:dyDescent="0.15">
      <c r="A3915" s="2" t="s">
        <v>8083</v>
      </c>
      <c r="B3915" s="2" t="s">
        <v>8084</v>
      </c>
      <c r="C3915" s="2">
        <v>-0.22</v>
      </c>
      <c r="D3915" s="2">
        <v>1.9939</v>
      </c>
      <c r="E3915" s="2" t="s">
        <v>1608</v>
      </c>
      <c r="F3915" s="2" t="e">
        <f>VLOOKUP(B3915,MSCI中国成分股!A:B,1,)</f>
        <v>#N/A</v>
      </c>
    </row>
    <row r="3916" spans="1:6" ht="20.25" hidden="1" customHeight="1" x14ac:dyDescent="0.15">
      <c r="A3916" s="2" t="s">
        <v>8085</v>
      </c>
      <c r="B3916" s="2" t="s">
        <v>8086</v>
      </c>
      <c r="C3916" s="2">
        <v>-0.48</v>
      </c>
      <c r="D3916" s="2">
        <v>1.2002999999999999</v>
      </c>
      <c r="E3916" s="2" t="s">
        <v>769</v>
      </c>
      <c r="F3916" s="2" t="e">
        <f>VLOOKUP(B3916,MSCI中国成分股!A:B,1,)</f>
        <v>#N/A</v>
      </c>
    </row>
    <row r="3917" spans="1:6" ht="20.25" hidden="1" customHeight="1" x14ac:dyDescent="0.15">
      <c r="A3917" s="2" t="s">
        <v>8087</v>
      </c>
      <c r="B3917" s="2" t="s">
        <v>8088</v>
      </c>
      <c r="C3917" s="2">
        <v>0.06</v>
      </c>
      <c r="D3917" s="2">
        <v>128.24789999999999</v>
      </c>
      <c r="E3917" s="2" t="s">
        <v>406</v>
      </c>
      <c r="F3917" s="2" t="e">
        <f>VLOOKUP(B3917,MSCI中国成分股!A:B,1,)</f>
        <v>#N/A</v>
      </c>
    </row>
    <row r="3918" spans="1:6" ht="20.25" hidden="1" customHeight="1" x14ac:dyDescent="0.15">
      <c r="A3918" s="2" t="s">
        <v>8089</v>
      </c>
      <c r="B3918" s="2" t="s">
        <v>8090</v>
      </c>
      <c r="C3918" s="2">
        <v>1.7150000000000001</v>
      </c>
      <c r="D3918" s="2">
        <v>1.1625000000000001</v>
      </c>
      <c r="E3918" s="2" t="s">
        <v>1099</v>
      </c>
      <c r="F3918" s="2" t="e">
        <f>VLOOKUP(B3918,MSCI中国成分股!A:B,1,)</f>
        <v>#N/A</v>
      </c>
    </row>
    <row r="3919" spans="1:6" ht="20.25" hidden="1" customHeight="1" x14ac:dyDescent="0.15">
      <c r="A3919" s="2" t="s">
        <v>8091</v>
      </c>
      <c r="B3919" s="2" t="s">
        <v>8092</v>
      </c>
      <c r="C3919" s="2">
        <v>-3.32</v>
      </c>
      <c r="D3919" s="2">
        <v>286.5136</v>
      </c>
      <c r="E3919" s="2" t="s">
        <v>713</v>
      </c>
      <c r="F3919" s="2" t="e">
        <f>VLOOKUP(B3919,MSCI中国成分股!A:B,1,)</f>
        <v>#N/A</v>
      </c>
    </row>
    <row r="3920" spans="1:6" ht="20.25" hidden="1" customHeight="1" x14ac:dyDescent="0.15">
      <c r="A3920" s="2" t="s">
        <v>8093</v>
      </c>
      <c r="B3920" s="2" t="s">
        <v>8094</v>
      </c>
      <c r="C3920" s="2">
        <v>0.98499999999999999</v>
      </c>
      <c r="D3920" s="2">
        <v>0.77129999999999999</v>
      </c>
      <c r="E3920" s="2" t="s">
        <v>589</v>
      </c>
      <c r="F3920" s="2" t="e">
        <f>VLOOKUP(B3920,MSCI中国成分股!A:B,1,)</f>
        <v>#N/A</v>
      </c>
    </row>
    <row r="3921" spans="1:6" ht="20.25" hidden="1" customHeight="1" x14ac:dyDescent="0.15">
      <c r="A3921" s="2" t="s">
        <v>8095</v>
      </c>
      <c r="B3921" s="2" t="s">
        <v>8096</v>
      </c>
      <c r="C3921" s="2">
        <v>-0.46</v>
      </c>
      <c r="D3921" s="2">
        <v>6.085</v>
      </c>
      <c r="E3921" s="2" t="s">
        <v>371</v>
      </c>
      <c r="F3921" s="2" t="e">
        <f>VLOOKUP(B3921,MSCI中国成分股!A:B,1,)</f>
        <v>#N/A</v>
      </c>
    </row>
    <row r="3922" spans="1:6" ht="20.25" hidden="1" customHeight="1" x14ac:dyDescent="0.15">
      <c r="A3922" s="2" t="s">
        <v>8097</v>
      </c>
      <c r="B3922" s="2" t="s">
        <v>8098</v>
      </c>
      <c r="C3922" s="2">
        <v>0.42499999999999999</v>
      </c>
      <c r="D3922" s="2">
        <v>14.284599999999999</v>
      </c>
      <c r="E3922" s="2" t="s">
        <v>2344</v>
      </c>
      <c r="F3922" s="2" t="e">
        <f>VLOOKUP(B3922,MSCI中国成分股!A:B,1,)</f>
        <v>#N/A</v>
      </c>
    </row>
    <row r="3923" spans="1:6" ht="20.25" hidden="1" customHeight="1" x14ac:dyDescent="0.15">
      <c r="A3923" s="2" t="s">
        <v>8099</v>
      </c>
      <c r="B3923" s="2" t="s">
        <v>8100</v>
      </c>
      <c r="C3923" s="2">
        <v>-2.19</v>
      </c>
      <c r="D3923" s="2">
        <v>272.92349999999999</v>
      </c>
      <c r="E3923" s="2" t="s">
        <v>1139</v>
      </c>
      <c r="F3923" s="2" t="e">
        <f>VLOOKUP(B3923,MSCI中国成分股!A:B,1,)</f>
        <v>#N/A</v>
      </c>
    </row>
    <row r="3924" spans="1:6" ht="20.25" hidden="1" customHeight="1" x14ac:dyDescent="0.15">
      <c r="A3924" s="2" t="s">
        <v>8101</v>
      </c>
      <c r="B3924" s="2" t="s">
        <v>8102</v>
      </c>
      <c r="C3924" s="2">
        <v>0.87</v>
      </c>
      <c r="D3924" s="2">
        <v>1.3278000000000001</v>
      </c>
      <c r="E3924" s="2" t="s">
        <v>257</v>
      </c>
      <c r="F3924" s="2" t="e">
        <f>VLOOKUP(B3924,MSCI中国成分股!A:B,1,)</f>
        <v>#N/A</v>
      </c>
    </row>
    <row r="3925" spans="1:6" ht="20.25" hidden="1" customHeight="1" x14ac:dyDescent="0.15">
      <c r="A3925" s="2" t="s">
        <v>8103</v>
      </c>
      <c r="B3925" s="2" t="s">
        <v>8104</v>
      </c>
      <c r="C3925" s="2">
        <v>1.07</v>
      </c>
      <c r="D3925" s="2">
        <v>0.41320000000000001</v>
      </c>
      <c r="E3925" s="2" t="s">
        <v>1061</v>
      </c>
      <c r="F3925" s="2" t="e">
        <f>VLOOKUP(B3925,MSCI中国成分股!A:B,1,)</f>
        <v>#N/A</v>
      </c>
    </row>
    <row r="3926" spans="1:6" ht="20.25" hidden="1" customHeight="1" x14ac:dyDescent="0.15">
      <c r="A3926" s="2" t="s">
        <v>8105</v>
      </c>
      <c r="B3926" s="2" t="s">
        <v>8106</v>
      </c>
      <c r="C3926" s="2">
        <v>1.68</v>
      </c>
      <c r="D3926" s="2">
        <v>1.0311999999999999</v>
      </c>
      <c r="E3926" s="2" t="s">
        <v>1091</v>
      </c>
      <c r="F3926" s="2" t="e">
        <f>VLOOKUP(B3926,MSCI中国成分股!A:B,1,)</f>
        <v>#N/A</v>
      </c>
    </row>
    <row r="3927" spans="1:6" ht="20.25" hidden="1" customHeight="1" x14ac:dyDescent="0.15">
      <c r="A3927" s="2" t="s">
        <v>8107</v>
      </c>
      <c r="B3927" s="2" t="s">
        <v>8108</v>
      </c>
      <c r="C3927" s="2">
        <v>-0.3</v>
      </c>
      <c r="D3927" s="2">
        <v>0.92620000000000002</v>
      </c>
      <c r="E3927" s="2" t="s">
        <v>257</v>
      </c>
      <c r="F3927" s="2" t="e">
        <f>VLOOKUP(B3927,MSCI中国成分股!A:B,1,)</f>
        <v>#N/A</v>
      </c>
    </row>
    <row r="3928" spans="1:6" ht="20.25" hidden="1" customHeight="1" x14ac:dyDescent="0.15">
      <c r="A3928" s="2" t="s">
        <v>8109</v>
      </c>
      <c r="B3928" s="2" t="s">
        <v>8110</v>
      </c>
      <c r="C3928" s="2">
        <v>1.1399999999999999</v>
      </c>
      <c r="D3928" s="2">
        <v>4.0827999999999998</v>
      </c>
      <c r="E3928" s="2" t="s">
        <v>2678</v>
      </c>
      <c r="F3928" s="2" t="e">
        <f>VLOOKUP(B3928,MSCI中国成分股!A:B,1,)</f>
        <v>#N/A</v>
      </c>
    </row>
    <row r="3929" spans="1:6" ht="20.25" hidden="1" customHeight="1" x14ac:dyDescent="0.15">
      <c r="A3929" s="2" t="s">
        <v>8111</v>
      </c>
      <c r="B3929" s="2" t="s">
        <v>8112</v>
      </c>
      <c r="C3929" s="2">
        <v>-0.93</v>
      </c>
      <c r="D3929" s="2">
        <v>19.882000000000001</v>
      </c>
      <c r="E3929" s="2" t="s">
        <v>1712</v>
      </c>
      <c r="F3929" s="2" t="e">
        <f>VLOOKUP(B3929,MSCI中国成分股!A:B,1,)</f>
        <v>#N/A</v>
      </c>
    </row>
    <row r="3930" spans="1:6" ht="20.25" hidden="1" customHeight="1" x14ac:dyDescent="0.15">
      <c r="A3930" s="2" t="s">
        <v>8113</v>
      </c>
      <c r="B3930" s="2" t="s">
        <v>8114</v>
      </c>
      <c r="C3930" s="2">
        <v>0.08</v>
      </c>
      <c r="D3930" s="2">
        <v>2.9339</v>
      </c>
      <c r="E3930" s="2" t="s">
        <v>86</v>
      </c>
      <c r="F3930" s="2" t="e">
        <f>VLOOKUP(B3930,MSCI中国成分股!A:B,1,)</f>
        <v>#N/A</v>
      </c>
    </row>
    <row r="3931" spans="1:6" ht="20.25" hidden="1" customHeight="1" x14ac:dyDescent="0.15">
      <c r="A3931" s="2" t="s">
        <v>8115</v>
      </c>
      <c r="B3931" s="2" t="s">
        <v>8116</v>
      </c>
      <c r="C3931" s="2">
        <v>0.78</v>
      </c>
      <c r="D3931" s="2">
        <v>1.8156000000000001</v>
      </c>
      <c r="E3931" s="2" t="s">
        <v>140</v>
      </c>
      <c r="F3931" s="2" t="e">
        <f>VLOOKUP(B3931,MSCI中国成分股!A:B,1,)</f>
        <v>#N/A</v>
      </c>
    </row>
    <row r="3932" spans="1:6" ht="20.25" hidden="1" customHeight="1" x14ac:dyDescent="0.15">
      <c r="A3932" s="2" t="s">
        <v>8117</v>
      </c>
      <c r="B3932" s="2" t="s">
        <v>8118</v>
      </c>
      <c r="C3932" s="2">
        <v>0.04</v>
      </c>
      <c r="D3932" s="2">
        <v>0.81040000000000001</v>
      </c>
      <c r="E3932" s="2" t="s">
        <v>2865</v>
      </c>
      <c r="F3932" s="2" t="e">
        <f>VLOOKUP(B3932,MSCI中国成分股!A:B,1,)</f>
        <v>#N/A</v>
      </c>
    </row>
    <row r="3933" spans="1:6" ht="20.25" hidden="1" customHeight="1" x14ac:dyDescent="0.15">
      <c r="A3933" s="2" t="s">
        <v>8119</v>
      </c>
      <c r="B3933" s="2" t="s">
        <v>8120</v>
      </c>
      <c r="C3933" s="2">
        <v>-0.86</v>
      </c>
      <c r="D3933" s="2">
        <v>4.6444000000000001</v>
      </c>
      <c r="E3933" s="2" t="s">
        <v>1870</v>
      </c>
      <c r="F3933" s="2" t="e">
        <f>VLOOKUP(B3933,MSCI中国成分股!A:B,1,)</f>
        <v>#N/A</v>
      </c>
    </row>
    <row r="3934" spans="1:6" ht="20.25" hidden="1" customHeight="1" x14ac:dyDescent="0.15">
      <c r="A3934" s="2" t="s">
        <v>8121</v>
      </c>
      <c r="B3934" s="2" t="s">
        <v>8122</v>
      </c>
      <c r="C3934" s="2">
        <v>0.53</v>
      </c>
      <c r="D3934" s="2">
        <v>0.29520000000000002</v>
      </c>
      <c r="E3934" s="2" t="s">
        <v>38</v>
      </c>
      <c r="F3934" s="2" t="e">
        <f>VLOOKUP(B3934,MSCI中国成分股!A:B,1,)</f>
        <v>#N/A</v>
      </c>
    </row>
    <row r="3935" spans="1:6" ht="20.25" hidden="1" customHeight="1" x14ac:dyDescent="0.15">
      <c r="A3935" s="2" t="s">
        <v>8123</v>
      </c>
      <c r="B3935" s="2" t="s">
        <v>8124</v>
      </c>
      <c r="C3935" s="2">
        <v>-0.67</v>
      </c>
      <c r="D3935" s="2">
        <v>10.2996</v>
      </c>
      <c r="E3935" s="2" t="s">
        <v>204</v>
      </c>
      <c r="F3935" s="2" t="e">
        <f>VLOOKUP(B3935,MSCI中国成分股!A:B,1,)</f>
        <v>#N/A</v>
      </c>
    </row>
    <row r="3936" spans="1:6" ht="20.25" hidden="1" customHeight="1" x14ac:dyDescent="0.15">
      <c r="A3936" s="2" t="s">
        <v>8125</v>
      </c>
      <c r="B3936" s="2" t="s">
        <v>8126</v>
      </c>
      <c r="C3936" s="2">
        <v>0.53</v>
      </c>
      <c r="D3936" s="2">
        <v>0.92530000000000001</v>
      </c>
      <c r="E3936" s="2" t="s">
        <v>2724</v>
      </c>
      <c r="F3936" s="2" t="e">
        <f>VLOOKUP(B3936,MSCI中国成分股!A:B,1,)</f>
        <v>#N/A</v>
      </c>
    </row>
    <row r="3937" spans="1:6" ht="20.25" hidden="1" customHeight="1" x14ac:dyDescent="0.15">
      <c r="A3937" s="2" t="s">
        <v>8127</v>
      </c>
      <c r="B3937" s="2" t="s">
        <v>8128</v>
      </c>
      <c r="C3937" s="2">
        <v>-1.46</v>
      </c>
      <c r="D3937" s="2">
        <v>39.494700000000002</v>
      </c>
      <c r="E3937" s="2" t="s">
        <v>4939</v>
      </c>
      <c r="F3937" s="2" t="e">
        <f>VLOOKUP(B3937,MSCI中国成分股!A:B,1,)</f>
        <v>#N/A</v>
      </c>
    </row>
    <row r="3938" spans="1:6" ht="20.25" hidden="1" customHeight="1" x14ac:dyDescent="0.15">
      <c r="A3938" s="2" t="s">
        <v>8129</v>
      </c>
      <c r="B3938" s="2" t="s">
        <v>8130</v>
      </c>
      <c r="C3938" s="2">
        <v>-0.3</v>
      </c>
      <c r="D3938" s="2">
        <v>31.595300000000002</v>
      </c>
      <c r="E3938" s="2" t="s">
        <v>690</v>
      </c>
      <c r="F3938" s="2" t="e">
        <f>VLOOKUP(B3938,MSCI中国成分股!A:B,1,)</f>
        <v>#N/A</v>
      </c>
    </row>
    <row r="3939" spans="1:6" ht="20.25" hidden="1" customHeight="1" x14ac:dyDescent="0.15">
      <c r="A3939" s="2" t="s">
        <v>8131</v>
      </c>
      <c r="B3939" s="2" t="s">
        <v>8132</v>
      </c>
      <c r="C3939" s="2">
        <v>-1.18</v>
      </c>
      <c r="D3939" s="2">
        <v>6.1578999999999997</v>
      </c>
      <c r="E3939" s="2" t="s">
        <v>385</v>
      </c>
      <c r="F3939" s="2" t="e">
        <f>VLOOKUP(B3939,MSCI中国成分股!A:B,1,)</f>
        <v>#N/A</v>
      </c>
    </row>
    <row r="3940" spans="1:6" ht="20.25" hidden="1" customHeight="1" x14ac:dyDescent="0.15">
      <c r="A3940" s="2" t="s">
        <v>8133</v>
      </c>
      <c r="B3940" s="2" t="s">
        <v>8134</v>
      </c>
      <c r="C3940" s="2">
        <v>2.4</v>
      </c>
      <c r="D3940" s="2">
        <v>2.5017999999999998</v>
      </c>
      <c r="E3940" s="2" t="s">
        <v>647</v>
      </c>
      <c r="F3940" s="2" t="e">
        <f>VLOOKUP(B3940,MSCI中国成分股!A:B,1,)</f>
        <v>#N/A</v>
      </c>
    </row>
    <row r="3941" spans="1:6" ht="20.25" hidden="1" customHeight="1" x14ac:dyDescent="0.15">
      <c r="A3941" s="2" t="s">
        <v>8135</v>
      </c>
      <c r="B3941" s="2" t="s">
        <v>8136</v>
      </c>
      <c r="C3941" s="2">
        <v>1.63</v>
      </c>
      <c r="D3941" s="2">
        <v>5.3544</v>
      </c>
      <c r="E3941" s="2" t="s">
        <v>3190</v>
      </c>
      <c r="F3941" s="2" t="e">
        <f>VLOOKUP(B3941,MSCI中国成分股!A:B,1,)</f>
        <v>#N/A</v>
      </c>
    </row>
    <row r="3942" spans="1:6" ht="20.25" hidden="1" customHeight="1" x14ac:dyDescent="0.15">
      <c r="A3942" s="2" t="s">
        <v>8137</v>
      </c>
      <c r="B3942" s="2" t="s">
        <v>8138</v>
      </c>
      <c r="C3942" s="2">
        <v>0.76500000000000001</v>
      </c>
      <c r="D3942" s="2">
        <v>9.4366000000000003</v>
      </c>
      <c r="E3942" s="2" t="s">
        <v>2151</v>
      </c>
      <c r="F3942" s="2" t="e">
        <f>VLOOKUP(B3942,MSCI中国成分股!A:B,1,)</f>
        <v>#N/A</v>
      </c>
    </row>
    <row r="3943" spans="1:6" ht="20.25" hidden="1" customHeight="1" x14ac:dyDescent="0.15">
      <c r="A3943" s="2" t="s">
        <v>8139</v>
      </c>
      <c r="B3943" s="2" t="s">
        <v>8140</v>
      </c>
      <c r="C3943" s="2">
        <v>1.21</v>
      </c>
      <c r="D3943" s="2">
        <v>2.2787999999999999</v>
      </c>
      <c r="E3943" s="2" t="s">
        <v>529</v>
      </c>
      <c r="F3943" s="2" t="e">
        <f>VLOOKUP(B3943,MSCI中国成分股!A:B,1,)</f>
        <v>#N/A</v>
      </c>
    </row>
    <row r="3944" spans="1:6" ht="20.25" hidden="1" customHeight="1" x14ac:dyDescent="0.15">
      <c r="A3944" s="2" t="s">
        <v>8141</v>
      </c>
      <c r="B3944" s="2" t="s">
        <v>8142</v>
      </c>
      <c r="C3944" s="2">
        <v>-4.6500000000000004</v>
      </c>
      <c r="D3944" s="2">
        <v>63.083599999999997</v>
      </c>
      <c r="E3944" s="2" t="s">
        <v>605</v>
      </c>
      <c r="F3944" s="2" t="e">
        <f>VLOOKUP(B3944,MSCI中国成分股!A:B,1,)</f>
        <v>#N/A</v>
      </c>
    </row>
    <row r="3945" spans="1:6" ht="20.25" hidden="1" customHeight="1" x14ac:dyDescent="0.15">
      <c r="A3945" s="2" t="s">
        <v>8143</v>
      </c>
      <c r="B3945" s="2" t="s">
        <v>8144</v>
      </c>
      <c r="C3945" s="2">
        <v>-1.345</v>
      </c>
      <c r="D3945" s="2">
        <v>17.014399999999998</v>
      </c>
      <c r="E3945" s="2" t="s">
        <v>1608</v>
      </c>
      <c r="F3945" s="2" t="e">
        <f>VLOOKUP(B3945,MSCI中国成分股!A:B,1,)</f>
        <v>#N/A</v>
      </c>
    </row>
    <row r="3946" spans="1:6" ht="20.25" hidden="1" customHeight="1" x14ac:dyDescent="0.15">
      <c r="A3946" s="2" t="s">
        <v>8145</v>
      </c>
      <c r="B3946" s="2" t="s">
        <v>8146</v>
      </c>
      <c r="C3946" s="2">
        <v>0.27</v>
      </c>
      <c r="D3946" s="2">
        <v>1.1861999999999999</v>
      </c>
      <c r="E3946" s="2" t="s">
        <v>120</v>
      </c>
      <c r="F3946" s="2" t="e">
        <f>VLOOKUP(B3946,MSCI中国成分股!A:B,1,)</f>
        <v>#N/A</v>
      </c>
    </row>
    <row r="3947" spans="1:6" ht="20.25" hidden="1" customHeight="1" x14ac:dyDescent="0.15">
      <c r="A3947" s="2" t="s">
        <v>8147</v>
      </c>
      <c r="B3947" s="2" t="s">
        <v>8148</v>
      </c>
      <c r="C3947" s="2">
        <v>0.24</v>
      </c>
      <c r="D3947" s="2">
        <v>326.01670000000001</v>
      </c>
      <c r="E3947" s="2" t="s">
        <v>359</v>
      </c>
      <c r="F3947" s="2" t="e">
        <f>VLOOKUP(B3947,MSCI中国成分股!A:B,1,)</f>
        <v>#N/A</v>
      </c>
    </row>
    <row r="3948" spans="1:6" ht="20.25" hidden="1" customHeight="1" x14ac:dyDescent="0.15">
      <c r="A3948" s="2" t="s">
        <v>8149</v>
      </c>
      <c r="B3948" s="2" t="s">
        <v>8150</v>
      </c>
      <c r="C3948" s="2">
        <v>-0.08</v>
      </c>
      <c r="D3948" s="2">
        <v>24.3916</v>
      </c>
      <c r="E3948" s="2" t="s">
        <v>3190</v>
      </c>
      <c r="F3948" s="2" t="e">
        <f>VLOOKUP(B3948,MSCI中国成分股!A:B,1,)</f>
        <v>#N/A</v>
      </c>
    </row>
    <row r="3949" spans="1:6" ht="20.25" hidden="1" customHeight="1" x14ac:dyDescent="0.15">
      <c r="A3949" s="2" t="s">
        <v>8151</v>
      </c>
      <c r="B3949" s="2" t="s">
        <v>8152</v>
      </c>
      <c r="C3949" s="2">
        <v>0.76</v>
      </c>
      <c r="D3949" s="2">
        <v>0.72899999999999998</v>
      </c>
      <c r="E3949" s="2" t="s">
        <v>1403</v>
      </c>
      <c r="F3949" s="2" t="e">
        <f>VLOOKUP(B3949,MSCI中国成分股!A:B,1,)</f>
        <v>#N/A</v>
      </c>
    </row>
    <row r="3950" spans="1:6" ht="20.25" hidden="1" customHeight="1" x14ac:dyDescent="0.15">
      <c r="A3950" s="2" t="s">
        <v>8153</v>
      </c>
      <c r="B3950" s="2" t="s">
        <v>8154</v>
      </c>
      <c r="C3950" s="2">
        <v>-0.84499999999999997</v>
      </c>
      <c r="D3950" s="2">
        <v>8.0587999999999997</v>
      </c>
      <c r="E3950" s="2" t="s">
        <v>1243</v>
      </c>
      <c r="F3950" s="2" t="e">
        <f>VLOOKUP(B3950,MSCI中国成分股!A:B,1,)</f>
        <v>#N/A</v>
      </c>
    </row>
    <row r="3951" spans="1:6" ht="20.25" hidden="1" customHeight="1" x14ac:dyDescent="0.15">
      <c r="A3951" s="2" t="s">
        <v>8155</v>
      </c>
      <c r="B3951" s="2" t="s">
        <v>8156</v>
      </c>
      <c r="C3951" s="2">
        <v>1.49</v>
      </c>
      <c r="D3951" s="2">
        <v>0.24929999999999999</v>
      </c>
      <c r="E3951" s="2" t="s">
        <v>667</v>
      </c>
      <c r="F3951" s="2" t="e">
        <f>VLOOKUP(B3951,MSCI中国成分股!A:B,1,)</f>
        <v>#N/A</v>
      </c>
    </row>
    <row r="3952" spans="1:6" ht="20.25" hidden="1" customHeight="1" x14ac:dyDescent="0.15">
      <c r="A3952" s="2" t="s">
        <v>8157</v>
      </c>
      <c r="B3952" s="2" t="s">
        <v>8158</v>
      </c>
      <c r="C3952" s="2">
        <v>1.7050000000000001</v>
      </c>
      <c r="D3952" s="2">
        <v>0.96740000000000004</v>
      </c>
      <c r="E3952" s="2" t="s">
        <v>406</v>
      </c>
      <c r="F3952" s="2" t="e">
        <f>VLOOKUP(B3952,MSCI中国成分股!A:B,1,)</f>
        <v>#N/A</v>
      </c>
    </row>
    <row r="3953" spans="1:6" ht="20.25" hidden="1" customHeight="1" x14ac:dyDescent="0.15">
      <c r="A3953" s="2" t="s">
        <v>8159</v>
      </c>
      <c r="B3953" s="2" t="s">
        <v>8160</v>
      </c>
      <c r="C3953" s="2">
        <v>0.09</v>
      </c>
      <c r="D3953" s="2">
        <v>1.5750999999999999</v>
      </c>
      <c r="E3953" s="2" t="s">
        <v>344</v>
      </c>
      <c r="F3953" s="2" t="e">
        <f>VLOOKUP(B3953,MSCI中国成分股!A:B,1,)</f>
        <v>#N/A</v>
      </c>
    </row>
    <row r="3954" spans="1:6" ht="20.25" hidden="1" customHeight="1" x14ac:dyDescent="0.15">
      <c r="A3954" s="2" t="s">
        <v>8161</v>
      </c>
      <c r="B3954" s="2" t="s">
        <v>8162</v>
      </c>
      <c r="C3954" s="2">
        <v>1.06</v>
      </c>
      <c r="D3954" s="2">
        <v>39.3157</v>
      </c>
      <c r="E3954" s="2" t="s">
        <v>529</v>
      </c>
      <c r="F3954" s="2" t="e">
        <f>VLOOKUP(B3954,MSCI中国成分股!A:B,1,)</f>
        <v>#N/A</v>
      </c>
    </row>
    <row r="3955" spans="1:6" ht="20.25" hidden="1" customHeight="1" x14ac:dyDescent="0.15">
      <c r="A3955" s="2" t="s">
        <v>8163</v>
      </c>
      <c r="B3955" s="2" t="s">
        <v>8164</v>
      </c>
      <c r="C3955" s="2">
        <v>-0.98</v>
      </c>
      <c r="D3955" s="2">
        <v>2.4666000000000001</v>
      </c>
      <c r="E3955" s="2" t="s">
        <v>204</v>
      </c>
      <c r="F3955" s="2" t="e">
        <f>VLOOKUP(B3955,MSCI中国成分股!A:B,1,)</f>
        <v>#N/A</v>
      </c>
    </row>
    <row r="3956" spans="1:6" ht="20.25" hidden="1" customHeight="1" x14ac:dyDescent="0.15">
      <c r="A3956" s="2" t="s">
        <v>8165</v>
      </c>
      <c r="B3956" s="2" t="s">
        <v>8166</v>
      </c>
      <c r="C3956" s="2">
        <v>0.98</v>
      </c>
      <c r="D3956" s="2">
        <v>1.5003</v>
      </c>
      <c r="E3956" s="2" t="s">
        <v>406</v>
      </c>
      <c r="F3956" s="2" t="e">
        <f>VLOOKUP(B3956,MSCI中国成分股!A:B,1,)</f>
        <v>#N/A</v>
      </c>
    </row>
    <row r="3957" spans="1:6" ht="20.25" hidden="1" customHeight="1" x14ac:dyDescent="0.15">
      <c r="A3957" s="2" t="s">
        <v>8167</v>
      </c>
      <c r="B3957" s="2" t="s">
        <v>8168</v>
      </c>
      <c r="C3957" s="2">
        <v>0.64</v>
      </c>
      <c r="D3957" s="2">
        <v>168.60579999999999</v>
      </c>
      <c r="E3957" s="2" t="s">
        <v>704</v>
      </c>
      <c r="F3957" s="2" t="e">
        <f>VLOOKUP(B3957,MSCI中国成分股!A:B,1,)</f>
        <v>#N/A</v>
      </c>
    </row>
    <row r="3958" spans="1:6" ht="20.25" hidden="1" customHeight="1" x14ac:dyDescent="0.15">
      <c r="A3958" s="2" t="s">
        <v>8169</v>
      </c>
      <c r="B3958" s="2" t="s">
        <v>8170</v>
      </c>
      <c r="C3958" s="2">
        <v>1.4950000000000001</v>
      </c>
      <c r="D3958" s="2">
        <v>1.4316</v>
      </c>
      <c r="E3958" s="2" t="s">
        <v>589</v>
      </c>
      <c r="F3958" s="2" t="e">
        <f>VLOOKUP(B3958,MSCI中国成分股!A:B,1,)</f>
        <v>#N/A</v>
      </c>
    </row>
    <row r="3959" spans="1:6" ht="20.25" hidden="1" customHeight="1" x14ac:dyDescent="0.15">
      <c r="A3959" s="2" t="s">
        <v>8171</v>
      </c>
      <c r="B3959" s="2" t="s">
        <v>8172</v>
      </c>
      <c r="C3959" s="2">
        <v>-0.22</v>
      </c>
      <c r="D3959" s="2">
        <v>1.6153</v>
      </c>
      <c r="E3959" s="2" t="s">
        <v>265</v>
      </c>
      <c r="F3959" s="2" t="e">
        <f>VLOOKUP(B3959,MSCI中国成分股!A:B,1,)</f>
        <v>#N/A</v>
      </c>
    </row>
    <row r="3960" spans="1:6" ht="20.25" hidden="1" customHeight="1" x14ac:dyDescent="0.15">
      <c r="A3960" s="2" t="s">
        <v>8173</v>
      </c>
      <c r="B3960" s="2" t="s">
        <v>8174</v>
      </c>
      <c r="C3960" s="2">
        <v>0.59499999999999997</v>
      </c>
      <c r="D3960" s="2">
        <v>1.7665</v>
      </c>
      <c r="E3960" s="2" t="s">
        <v>1173</v>
      </c>
      <c r="F3960" s="2" t="e">
        <f>VLOOKUP(B3960,MSCI中国成分股!A:B,1,)</f>
        <v>#N/A</v>
      </c>
    </row>
    <row r="3961" spans="1:6" ht="20.25" hidden="1" customHeight="1" x14ac:dyDescent="0.15">
      <c r="A3961" s="2" t="s">
        <v>8175</v>
      </c>
      <c r="B3961" s="2" t="s">
        <v>8176</v>
      </c>
      <c r="C3961" s="2">
        <v>1.48</v>
      </c>
      <c r="D3961" s="2">
        <v>7.5716999999999999</v>
      </c>
      <c r="E3961" s="2" t="s">
        <v>2678</v>
      </c>
      <c r="F3961" s="2" t="e">
        <f>VLOOKUP(B3961,MSCI中国成分股!A:B,1,)</f>
        <v>#N/A</v>
      </c>
    </row>
    <row r="3962" spans="1:6" ht="20.25" hidden="1" customHeight="1" x14ac:dyDescent="0.15">
      <c r="A3962" s="2" t="s">
        <v>8177</v>
      </c>
      <c r="B3962" s="2" t="s">
        <v>8178</v>
      </c>
      <c r="C3962" s="2">
        <v>1.1599999999999999</v>
      </c>
      <c r="D3962" s="2">
        <v>0.98050000000000004</v>
      </c>
      <c r="E3962" s="2" t="s">
        <v>1608</v>
      </c>
      <c r="F3962" s="2" t="e">
        <f>VLOOKUP(B3962,MSCI中国成分股!A:B,1,)</f>
        <v>#N/A</v>
      </c>
    </row>
    <row r="3963" spans="1:6" ht="20.25" hidden="1" customHeight="1" x14ac:dyDescent="0.15">
      <c r="A3963" s="2" t="s">
        <v>8179</v>
      </c>
      <c r="B3963" s="2" t="s">
        <v>8180</v>
      </c>
      <c r="C3963" s="2">
        <v>0.42</v>
      </c>
      <c r="D3963" s="2">
        <v>1.9511000000000001</v>
      </c>
      <c r="E3963" s="2" t="s">
        <v>140</v>
      </c>
      <c r="F3963" s="2" t="e">
        <f>VLOOKUP(B3963,MSCI中国成分股!A:B,1,)</f>
        <v>#N/A</v>
      </c>
    </row>
    <row r="3964" spans="1:6" ht="20.25" hidden="1" customHeight="1" x14ac:dyDescent="0.15">
      <c r="A3964" s="2" t="s">
        <v>8181</v>
      </c>
      <c r="B3964" s="2" t="s">
        <v>8182</v>
      </c>
      <c r="C3964" s="2">
        <v>5.62</v>
      </c>
      <c r="D3964" s="2">
        <v>64062.1204</v>
      </c>
      <c r="E3964" s="2" t="s">
        <v>2355</v>
      </c>
      <c r="F3964" s="2" t="e">
        <f>VLOOKUP(B3964,MSCI中国成分股!A:B,1,)</f>
        <v>#N/A</v>
      </c>
    </row>
    <row r="3965" spans="1:6" ht="20.25" hidden="1" customHeight="1" x14ac:dyDescent="0.15">
      <c r="A3965" s="2" t="s">
        <v>8183</v>
      </c>
      <c r="B3965" s="2" t="s">
        <v>8184</v>
      </c>
      <c r="C3965" s="2">
        <v>-1.56</v>
      </c>
      <c r="D3965" s="2">
        <v>34.940399999999997</v>
      </c>
      <c r="E3965" s="2" t="s">
        <v>299</v>
      </c>
      <c r="F3965" s="2" t="e">
        <f>VLOOKUP(B3965,MSCI中国成分股!A:B,1,)</f>
        <v>#N/A</v>
      </c>
    </row>
    <row r="3966" spans="1:6" ht="20.25" hidden="1" customHeight="1" x14ac:dyDescent="0.15">
      <c r="A3966" s="2" t="s">
        <v>8185</v>
      </c>
      <c r="B3966" s="2" t="s">
        <v>8186</v>
      </c>
      <c r="C3966" s="2">
        <v>0.38</v>
      </c>
      <c r="D3966" s="2">
        <v>3.2376999999999998</v>
      </c>
      <c r="E3966" s="2" t="s">
        <v>344</v>
      </c>
      <c r="F3966" s="2" t="e">
        <f>VLOOKUP(B3966,MSCI中国成分股!A:B,1,)</f>
        <v>#N/A</v>
      </c>
    </row>
    <row r="3967" spans="1:6" ht="20.25" hidden="1" customHeight="1" x14ac:dyDescent="0.15">
      <c r="A3967" s="2" t="s">
        <v>8187</v>
      </c>
      <c r="B3967" s="2" t="s">
        <v>8188</v>
      </c>
      <c r="C3967" s="2">
        <v>0.1</v>
      </c>
      <c r="D3967" s="2">
        <v>12.149100000000001</v>
      </c>
      <c r="E3967" s="2" t="s">
        <v>1102</v>
      </c>
      <c r="F3967" s="2" t="e">
        <f>VLOOKUP(B3967,MSCI中国成分股!A:B,1,)</f>
        <v>#N/A</v>
      </c>
    </row>
    <row r="3968" spans="1:6" ht="20.25" hidden="1" customHeight="1" x14ac:dyDescent="0.15">
      <c r="A3968" s="2" t="s">
        <v>8189</v>
      </c>
      <c r="B3968" s="2" t="s">
        <v>8190</v>
      </c>
      <c r="C3968" s="2">
        <v>-9.8800000000000008</v>
      </c>
      <c r="D3968" s="2">
        <v>12.4404</v>
      </c>
      <c r="E3968" s="2" t="s">
        <v>299</v>
      </c>
      <c r="F3968" s="2" t="e">
        <f>VLOOKUP(B3968,MSCI中国成分股!A:B,1,)</f>
        <v>#N/A</v>
      </c>
    </row>
    <row r="3969" spans="1:6" ht="20.25" hidden="1" customHeight="1" x14ac:dyDescent="0.15">
      <c r="A3969" s="2" t="s">
        <v>8191</v>
      </c>
      <c r="B3969" s="2" t="s">
        <v>8192</v>
      </c>
      <c r="C3969" s="2">
        <v>0.54</v>
      </c>
      <c r="D3969" s="2">
        <v>15.4777</v>
      </c>
      <c r="E3969" s="2" t="s">
        <v>2898</v>
      </c>
      <c r="F3969" s="2" t="e">
        <f>VLOOKUP(B3969,MSCI中国成分股!A:B,1,)</f>
        <v>#N/A</v>
      </c>
    </row>
    <row r="3970" spans="1:6" ht="20.25" hidden="1" customHeight="1" x14ac:dyDescent="0.15">
      <c r="A3970" s="2" t="s">
        <v>8193</v>
      </c>
      <c r="B3970" s="2" t="s">
        <v>8194</v>
      </c>
      <c r="C3970" s="2">
        <v>-0.08</v>
      </c>
      <c r="D3970" s="2">
        <v>3.5758999999999999</v>
      </c>
      <c r="E3970" s="2" t="s">
        <v>339</v>
      </c>
      <c r="F3970" s="2" t="e">
        <f>VLOOKUP(B3970,MSCI中国成分股!A:B,1,)</f>
        <v>#N/A</v>
      </c>
    </row>
    <row r="3971" spans="1:6" ht="20.25" hidden="1" customHeight="1" x14ac:dyDescent="0.15">
      <c r="A3971" s="2" t="s">
        <v>8195</v>
      </c>
      <c r="B3971" s="2" t="s">
        <v>8196</v>
      </c>
      <c r="C3971" s="2">
        <v>0.28000000000000003</v>
      </c>
      <c r="D3971" s="2">
        <v>7.0805999999999996</v>
      </c>
      <c r="E3971" s="2" t="s">
        <v>630</v>
      </c>
      <c r="F3971" s="2" t="e">
        <f>VLOOKUP(B3971,MSCI中国成分股!A:B,1,)</f>
        <v>#N/A</v>
      </c>
    </row>
    <row r="3972" spans="1:6" ht="20.25" hidden="1" customHeight="1" x14ac:dyDescent="0.15">
      <c r="A3972" s="2" t="s">
        <v>8197</v>
      </c>
      <c r="B3972" s="2" t="s">
        <v>8198</v>
      </c>
      <c r="C3972" s="2">
        <v>0.95</v>
      </c>
      <c r="D3972" s="2">
        <v>2.4257</v>
      </c>
      <c r="E3972" s="2" t="s">
        <v>286</v>
      </c>
      <c r="F3972" s="2" t="e">
        <f>VLOOKUP(B3972,MSCI中国成分股!A:B,1,)</f>
        <v>#N/A</v>
      </c>
    </row>
    <row r="3973" spans="1:6" ht="20.25" hidden="1" customHeight="1" x14ac:dyDescent="0.15">
      <c r="A3973" s="2" t="s">
        <v>8199</v>
      </c>
      <c r="B3973" s="2" t="s">
        <v>8200</v>
      </c>
      <c r="C3973" s="2">
        <v>1.35</v>
      </c>
      <c r="D3973" s="2">
        <v>0.86619999999999997</v>
      </c>
      <c r="E3973" s="2" t="s">
        <v>2678</v>
      </c>
      <c r="F3973" s="2" t="e">
        <f>VLOOKUP(B3973,MSCI中国成分股!A:B,1,)</f>
        <v>#N/A</v>
      </c>
    </row>
    <row r="3974" spans="1:6" ht="20.25" hidden="1" customHeight="1" x14ac:dyDescent="0.15">
      <c r="A3974" s="2" t="s">
        <v>8201</v>
      </c>
      <c r="B3974" s="2" t="s">
        <v>8202</v>
      </c>
      <c r="C3974" s="2">
        <v>-1.28</v>
      </c>
      <c r="D3974" s="2">
        <v>53.218299999999999</v>
      </c>
      <c r="E3974" s="2" t="s">
        <v>126</v>
      </c>
      <c r="F3974" s="2" t="e">
        <f>VLOOKUP(B3974,MSCI中国成分股!A:B,1,)</f>
        <v>#N/A</v>
      </c>
    </row>
    <row r="3975" spans="1:6" ht="20.25" hidden="1" customHeight="1" x14ac:dyDescent="0.15">
      <c r="A3975" s="2" t="s">
        <v>8203</v>
      </c>
      <c r="B3975" s="2" t="s">
        <v>8204</v>
      </c>
      <c r="C3975" s="2">
        <v>0.13</v>
      </c>
      <c r="D3975" s="2">
        <v>35.1571</v>
      </c>
      <c r="E3975" s="2" t="s">
        <v>1820</v>
      </c>
      <c r="F3975" s="2" t="e">
        <f>VLOOKUP(B3975,MSCI中国成分股!A:B,1,)</f>
        <v>#N/A</v>
      </c>
    </row>
    <row r="3976" spans="1:6" ht="20.25" hidden="1" customHeight="1" x14ac:dyDescent="0.15">
      <c r="A3976" s="2" t="s">
        <v>8205</v>
      </c>
      <c r="B3976" s="2" t="s">
        <v>8206</v>
      </c>
      <c r="C3976" s="2">
        <v>1.58</v>
      </c>
      <c r="D3976" s="2">
        <v>7.633</v>
      </c>
      <c r="E3976" s="2" t="s">
        <v>1820</v>
      </c>
      <c r="F3976" s="2" t="e">
        <f>VLOOKUP(B3976,MSCI中国成分股!A:B,1,)</f>
        <v>#N/A</v>
      </c>
    </row>
    <row r="3977" spans="1:6" ht="20.25" hidden="1" customHeight="1" x14ac:dyDescent="0.15">
      <c r="A3977" s="2" t="s">
        <v>8207</v>
      </c>
      <c r="B3977" s="2" t="s">
        <v>8208</v>
      </c>
      <c r="C3977" s="2">
        <v>3.9950000000000001</v>
      </c>
      <c r="D3977" s="2">
        <v>3.3149999999999999</v>
      </c>
      <c r="E3977" s="2" t="s">
        <v>1608</v>
      </c>
      <c r="F3977" s="2" t="e">
        <f>VLOOKUP(B3977,MSCI中国成分股!A:B,1,)</f>
        <v>#N/A</v>
      </c>
    </row>
    <row r="3978" spans="1:6" ht="20.25" hidden="1" customHeight="1" x14ac:dyDescent="0.15">
      <c r="A3978" s="2" t="s">
        <v>8209</v>
      </c>
      <c r="B3978" s="2" t="s">
        <v>8210</v>
      </c>
      <c r="C3978" s="2">
        <v>-3.92</v>
      </c>
      <c r="D3978" s="2">
        <v>190.9819</v>
      </c>
      <c r="E3978" s="2" t="s">
        <v>430</v>
      </c>
      <c r="F3978" s="2" t="e">
        <f>VLOOKUP(B3978,MSCI中国成分股!A:B,1,)</f>
        <v>#N/A</v>
      </c>
    </row>
    <row r="3979" spans="1:6" ht="20.25" hidden="1" customHeight="1" x14ac:dyDescent="0.15">
      <c r="A3979" s="2" t="s">
        <v>8211</v>
      </c>
      <c r="B3979" s="2" t="s">
        <v>8212</v>
      </c>
      <c r="C3979" s="2">
        <v>2.21</v>
      </c>
      <c r="D3979" s="2">
        <v>3.1709999999999998</v>
      </c>
      <c r="E3979" s="2" t="s">
        <v>157</v>
      </c>
      <c r="F3979" s="2" t="e">
        <f>VLOOKUP(B3979,MSCI中国成分股!A:B,1,)</f>
        <v>#N/A</v>
      </c>
    </row>
    <row r="3980" spans="1:6" ht="20.25" hidden="1" customHeight="1" x14ac:dyDescent="0.15">
      <c r="A3980" s="2" t="s">
        <v>8213</v>
      </c>
      <c r="B3980" s="2" t="s">
        <v>8214</v>
      </c>
      <c r="C3980" s="2">
        <v>3.7149999999999999</v>
      </c>
      <c r="D3980" s="2">
        <v>2.7732999999999999</v>
      </c>
      <c r="E3980" s="2" t="s">
        <v>13</v>
      </c>
      <c r="F3980" s="2" t="e">
        <f>VLOOKUP(B3980,MSCI中国成分股!A:B,1,)</f>
        <v>#N/A</v>
      </c>
    </row>
    <row r="3981" spans="1:6" ht="20.25" hidden="1" customHeight="1" x14ac:dyDescent="0.15">
      <c r="A3981" s="2" t="s">
        <v>8215</v>
      </c>
      <c r="B3981" s="2" t="s">
        <v>8216</v>
      </c>
      <c r="C3981" s="2">
        <v>-0.1</v>
      </c>
      <c r="D3981" s="2">
        <v>9.4347999999999992</v>
      </c>
      <c r="E3981" s="2" t="s">
        <v>371</v>
      </c>
      <c r="F3981" s="2" t="e">
        <f>VLOOKUP(B3981,MSCI中国成分股!A:B,1,)</f>
        <v>#N/A</v>
      </c>
    </row>
    <row r="3982" spans="1:6" ht="20.25" hidden="1" customHeight="1" x14ac:dyDescent="0.15">
      <c r="A3982" s="2" t="s">
        <v>8217</v>
      </c>
      <c r="B3982" s="2" t="s">
        <v>8218</v>
      </c>
      <c r="C3982" s="2">
        <v>0.84</v>
      </c>
      <c r="D3982" s="2">
        <v>0.2331</v>
      </c>
      <c r="E3982" s="2" t="s">
        <v>690</v>
      </c>
      <c r="F3982" s="2" t="e">
        <f>VLOOKUP(B3982,MSCI中国成分股!A:B,1,)</f>
        <v>#N/A</v>
      </c>
    </row>
    <row r="3983" spans="1:6" ht="20.25" hidden="1" customHeight="1" x14ac:dyDescent="0.15">
      <c r="A3983" s="2" t="s">
        <v>8219</v>
      </c>
      <c r="B3983" s="2" t="s">
        <v>8220</v>
      </c>
      <c r="C3983" s="2">
        <v>2.61</v>
      </c>
      <c r="D3983" s="2">
        <v>1.1878</v>
      </c>
      <c r="E3983" s="2" t="s">
        <v>1608</v>
      </c>
      <c r="F3983" s="2" t="e">
        <f>VLOOKUP(B3983,MSCI中国成分股!A:B,1,)</f>
        <v>#N/A</v>
      </c>
    </row>
    <row r="3984" spans="1:6" ht="20.25" hidden="1" customHeight="1" x14ac:dyDescent="0.15">
      <c r="A3984" s="2" t="s">
        <v>8221</v>
      </c>
      <c r="B3984" s="2" t="s">
        <v>8222</v>
      </c>
      <c r="C3984" s="2">
        <v>-1.01</v>
      </c>
      <c r="D3984" s="2">
        <v>5.6889000000000003</v>
      </c>
      <c r="E3984" s="2" t="s">
        <v>1608</v>
      </c>
      <c r="F3984" s="2" t="e">
        <f>VLOOKUP(B3984,MSCI中国成分股!A:B,1,)</f>
        <v>#N/A</v>
      </c>
    </row>
    <row r="3985" spans="1:6" ht="20.25" hidden="1" customHeight="1" x14ac:dyDescent="0.15">
      <c r="A3985" s="2" t="s">
        <v>8223</v>
      </c>
      <c r="B3985" s="2" t="s">
        <v>8224</v>
      </c>
      <c r="C3985" s="2">
        <v>-5.98</v>
      </c>
      <c r="D3985" s="2">
        <v>148.32400000000001</v>
      </c>
      <c r="E3985" s="2" t="s">
        <v>1994</v>
      </c>
      <c r="F3985" s="2" t="e">
        <f>VLOOKUP(B3985,MSCI中国成分股!A:B,1,)</f>
        <v>#N/A</v>
      </c>
    </row>
    <row r="3986" spans="1:6" ht="20.25" hidden="1" customHeight="1" x14ac:dyDescent="0.15">
      <c r="A3986" s="2" t="s">
        <v>8225</v>
      </c>
      <c r="B3986" s="2" t="s">
        <v>8226</v>
      </c>
      <c r="C3986" s="2">
        <v>-0.85</v>
      </c>
      <c r="D3986" s="2">
        <v>29.301200000000001</v>
      </c>
      <c r="E3986" s="2" t="s">
        <v>260</v>
      </c>
      <c r="F3986" s="2" t="e">
        <f>VLOOKUP(B3986,MSCI中国成分股!A:B,1,)</f>
        <v>#N/A</v>
      </c>
    </row>
    <row r="3987" spans="1:6" ht="20.25" hidden="1" customHeight="1" x14ac:dyDescent="0.15">
      <c r="A3987" s="2" t="s">
        <v>8227</v>
      </c>
      <c r="B3987" s="2" t="s">
        <v>8228</v>
      </c>
      <c r="C3987" s="2">
        <v>3.895</v>
      </c>
      <c r="D3987" s="2">
        <v>1.6177999999999999</v>
      </c>
      <c r="E3987" s="2" t="s">
        <v>137</v>
      </c>
      <c r="F3987" s="2" t="e">
        <f>VLOOKUP(B3987,MSCI中国成分股!A:B,1,)</f>
        <v>#N/A</v>
      </c>
    </row>
    <row r="3988" spans="1:6" ht="20.25" hidden="1" customHeight="1" x14ac:dyDescent="0.15">
      <c r="A3988" s="2" t="s">
        <v>8229</v>
      </c>
      <c r="B3988" s="2" t="s">
        <v>8230</v>
      </c>
      <c r="C3988" s="2">
        <v>0.96499999999999997</v>
      </c>
      <c r="D3988" s="2">
        <v>1.2595000000000001</v>
      </c>
      <c r="E3988" s="2" t="s">
        <v>1102</v>
      </c>
      <c r="F3988" s="2" t="e">
        <f>VLOOKUP(B3988,MSCI中国成分股!A:B,1,)</f>
        <v>#N/A</v>
      </c>
    </row>
    <row r="3989" spans="1:6" ht="20.25" hidden="1" customHeight="1" x14ac:dyDescent="0.15">
      <c r="A3989" s="2" t="s">
        <v>8231</v>
      </c>
      <c r="B3989" s="2" t="s">
        <v>8232</v>
      </c>
      <c r="C3989" s="2">
        <v>-0.75</v>
      </c>
      <c r="D3989" s="2">
        <v>2.7637</v>
      </c>
      <c r="E3989" s="2" t="s">
        <v>713</v>
      </c>
      <c r="F3989" s="2" t="e">
        <f>VLOOKUP(B3989,MSCI中国成分股!A:B,1,)</f>
        <v>#N/A</v>
      </c>
    </row>
    <row r="3990" spans="1:6" ht="20.25" hidden="1" customHeight="1" x14ac:dyDescent="0.15">
      <c r="A3990" s="2" t="s">
        <v>8233</v>
      </c>
      <c r="B3990" s="2" t="s">
        <v>8234</v>
      </c>
      <c r="C3990" s="2">
        <v>0.1</v>
      </c>
      <c r="D3990" s="2">
        <v>16.139399999999998</v>
      </c>
      <c r="E3990" s="2" t="s">
        <v>1608</v>
      </c>
      <c r="F3990" s="2" t="e">
        <f>VLOOKUP(B3990,MSCI中国成分股!A:B,1,)</f>
        <v>#N/A</v>
      </c>
    </row>
    <row r="3991" spans="1:6" ht="20.25" hidden="1" customHeight="1" x14ac:dyDescent="0.15">
      <c r="A3991" s="2" t="s">
        <v>8235</v>
      </c>
      <c r="B3991" s="2" t="s">
        <v>8236</v>
      </c>
      <c r="C3991" s="2">
        <v>-0.36</v>
      </c>
      <c r="D3991" s="2">
        <v>9.0416000000000007</v>
      </c>
      <c r="E3991" s="2" t="s">
        <v>271</v>
      </c>
      <c r="F3991" s="2" t="e">
        <f>VLOOKUP(B3991,MSCI中国成分股!A:B,1,)</f>
        <v>#N/A</v>
      </c>
    </row>
    <row r="3992" spans="1:6" ht="20.25" hidden="1" customHeight="1" x14ac:dyDescent="0.15">
      <c r="A3992" s="2" t="s">
        <v>8237</v>
      </c>
      <c r="B3992" s="2" t="s">
        <v>8238</v>
      </c>
      <c r="C3992" s="2">
        <v>-0.34</v>
      </c>
      <c r="D3992" s="2">
        <v>22.550899999999999</v>
      </c>
      <c r="E3992" s="2" t="s">
        <v>690</v>
      </c>
      <c r="F3992" s="2" t="e">
        <f>VLOOKUP(B3992,MSCI中国成分股!A:B,1,)</f>
        <v>#N/A</v>
      </c>
    </row>
    <row r="3993" spans="1:6" ht="20.25" hidden="1" customHeight="1" x14ac:dyDescent="0.15">
      <c r="A3993" s="2" t="s">
        <v>8239</v>
      </c>
      <c r="B3993" s="2" t="s">
        <v>8240</v>
      </c>
      <c r="C3993" s="2">
        <v>-1.7</v>
      </c>
      <c r="D3993" s="2">
        <v>66.768600000000006</v>
      </c>
      <c r="E3993" s="2" t="s">
        <v>204</v>
      </c>
      <c r="F3993" s="2" t="e">
        <f>VLOOKUP(B3993,MSCI中国成分股!A:B,1,)</f>
        <v>#N/A</v>
      </c>
    </row>
    <row r="3994" spans="1:6" ht="20.25" hidden="1" customHeight="1" x14ac:dyDescent="0.15">
      <c r="A3994" s="2" t="s">
        <v>8241</v>
      </c>
      <c r="B3994" s="2" t="s">
        <v>8242</v>
      </c>
      <c r="C3994" s="2">
        <v>0.71</v>
      </c>
      <c r="D3994" s="2">
        <v>12.3627</v>
      </c>
      <c r="E3994" s="2" t="s">
        <v>1173</v>
      </c>
      <c r="F3994" s="2" t="e">
        <f>VLOOKUP(B3994,MSCI中国成分股!A:B,1,)</f>
        <v>#N/A</v>
      </c>
    </row>
    <row r="3995" spans="1:6" ht="20.25" hidden="1" customHeight="1" x14ac:dyDescent="0.15">
      <c r="A3995" s="2" t="s">
        <v>8243</v>
      </c>
      <c r="B3995" s="2" t="s">
        <v>8244</v>
      </c>
      <c r="C3995" s="2">
        <v>-0.995</v>
      </c>
      <c r="D3995" s="2">
        <v>7.2267000000000001</v>
      </c>
      <c r="E3995" s="2" t="s">
        <v>52</v>
      </c>
      <c r="F3995" s="2" t="e">
        <f>VLOOKUP(B3995,MSCI中国成分股!A:B,1,)</f>
        <v>#N/A</v>
      </c>
    </row>
    <row r="3996" spans="1:6" ht="20.25" hidden="1" customHeight="1" x14ac:dyDescent="0.15">
      <c r="A3996" s="2" t="s">
        <v>8245</v>
      </c>
      <c r="B3996" s="2" t="s">
        <v>8246</v>
      </c>
      <c r="C3996" s="2">
        <v>-1.175</v>
      </c>
      <c r="D3996" s="2">
        <v>20.3979</v>
      </c>
      <c r="E3996" s="2" t="s">
        <v>1403</v>
      </c>
      <c r="F3996" s="2" t="e">
        <f>VLOOKUP(B3996,MSCI中国成分股!A:B,1,)</f>
        <v>#N/A</v>
      </c>
    </row>
    <row r="3997" spans="1:6" ht="20.25" hidden="1" customHeight="1" x14ac:dyDescent="0.15">
      <c r="A3997" s="2" t="s">
        <v>8247</v>
      </c>
      <c r="B3997" s="2" t="s">
        <v>8248</v>
      </c>
      <c r="C3997" s="2">
        <v>-0.74</v>
      </c>
      <c r="D3997" s="2">
        <v>10.0657</v>
      </c>
      <c r="E3997" s="2" t="s">
        <v>315</v>
      </c>
      <c r="F3997" s="2" t="e">
        <f>VLOOKUP(B3997,MSCI中国成分股!A:B,1,)</f>
        <v>#N/A</v>
      </c>
    </row>
    <row r="3998" spans="1:6" ht="20.25" hidden="1" customHeight="1" x14ac:dyDescent="0.15">
      <c r="A3998" s="2" t="s">
        <v>8249</v>
      </c>
      <c r="B3998" s="2" t="s">
        <v>8250</v>
      </c>
      <c r="C3998" s="2">
        <v>0.28999999999999998</v>
      </c>
      <c r="D3998" s="2">
        <v>2.5994000000000002</v>
      </c>
      <c r="E3998" s="2" t="s">
        <v>1608</v>
      </c>
      <c r="F3998" s="2" t="e">
        <f>VLOOKUP(B3998,MSCI中国成分股!A:B,1,)</f>
        <v>#N/A</v>
      </c>
    </row>
    <row r="3999" spans="1:6" ht="20.25" hidden="1" customHeight="1" x14ac:dyDescent="0.15">
      <c r="A3999" s="2" t="s">
        <v>8251</v>
      </c>
      <c r="B3999" s="2" t="s">
        <v>8252</v>
      </c>
      <c r="C3999" s="2">
        <v>-12.15</v>
      </c>
      <c r="D3999" s="2">
        <v>770.3723</v>
      </c>
      <c r="E3999" s="2" t="s">
        <v>356</v>
      </c>
      <c r="F3999" s="2" t="e">
        <f>VLOOKUP(B3999,MSCI中国成分股!A:B,1,)</f>
        <v>#N/A</v>
      </c>
    </row>
    <row r="4000" spans="1:6" ht="20.25" hidden="1" customHeight="1" x14ac:dyDescent="0.15">
      <c r="A4000" s="2" t="s">
        <v>8253</v>
      </c>
      <c r="B4000" s="2" t="s">
        <v>8254</v>
      </c>
      <c r="C4000" s="2">
        <v>0.17</v>
      </c>
      <c r="D4000" s="2">
        <v>2.6198999999999999</v>
      </c>
      <c r="E4000" s="2" t="s">
        <v>3190</v>
      </c>
      <c r="F4000" s="2" t="e">
        <f>VLOOKUP(B4000,MSCI中国成分股!A:B,1,)</f>
        <v>#N/A</v>
      </c>
    </row>
    <row r="4001" spans="1:6" ht="20.25" hidden="1" customHeight="1" x14ac:dyDescent="0.15">
      <c r="A4001" s="2" t="s">
        <v>8255</v>
      </c>
      <c r="B4001" s="2" t="s">
        <v>8256</v>
      </c>
      <c r="C4001" s="2">
        <v>-2.23</v>
      </c>
      <c r="D4001" s="2">
        <v>48.286499999999997</v>
      </c>
      <c r="E4001" s="2" t="s">
        <v>704</v>
      </c>
      <c r="F4001" s="2" t="e">
        <f>VLOOKUP(B4001,MSCI中国成分股!A:B,1,)</f>
        <v>#N/A</v>
      </c>
    </row>
    <row r="4002" spans="1:6" ht="20.25" hidden="1" customHeight="1" x14ac:dyDescent="0.15">
      <c r="A4002" s="2" t="s">
        <v>8257</v>
      </c>
      <c r="B4002" s="2" t="s">
        <v>8258</v>
      </c>
      <c r="C4002" s="2">
        <v>0.47</v>
      </c>
      <c r="D4002" s="2">
        <v>29.681799999999999</v>
      </c>
      <c r="E4002" s="2" t="s">
        <v>1338</v>
      </c>
      <c r="F4002" s="2" t="e">
        <f>VLOOKUP(B4002,MSCI中国成分股!A:B,1,)</f>
        <v>#N/A</v>
      </c>
    </row>
    <row r="4003" spans="1:6" ht="20.25" hidden="1" customHeight="1" x14ac:dyDescent="0.15">
      <c r="A4003" s="2" t="s">
        <v>8259</v>
      </c>
      <c r="B4003" s="2" t="s">
        <v>8260</v>
      </c>
      <c r="C4003" s="2">
        <v>1.58</v>
      </c>
      <c r="D4003" s="2">
        <v>2.1261999999999999</v>
      </c>
      <c r="E4003" s="2" t="s">
        <v>1145</v>
      </c>
      <c r="F4003" s="2" t="e">
        <f>VLOOKUP(B4003,MSCI中国成分股!A:B,1,)</f>
        <v>#N/A</v>
      </c>
    </row>
    <row r="4004" spans="1:6" ht="20.25" hidden="1" customHeight="1" x14ac:dyDescent="0.15">
      <c r="A4004" s="2" t="s">
        <v>8261</v>
      </c>
      <c r="B4004" s="2" t="s">
        <v>8262</v>
      </c>
      <c r="C4004" s="2">
        <v>2.35</v>
      </c>
      <c r="D4004" s="2">
        <v>14.0783</v>
      </c>
      <c r="E4004" s="2" t="s">
        <v>299</v>
      </c>
      <c r="F4004" s="2" t="e">
        <f>VLOOKUP(B4004,MSCI中国成分股!A:B,1,)</f>
        <v>#N/A</v>
      </c>
    </row>
    <row r="4005" spans="1:6" ht="20.25" hidden="1" customHeight="1" x14ac:dyDescent="0.15">
      <c r="A4005" s="2" t="s">
        <v>8263</v>
      </c>
      <c r="B4005" s="2" t="s">
        <v>8264</v>
      </c>
      <c r="C4005" s="2">
        <v>0.4</v>
      </c>
      <c r="D4005" s="2">
        <v>8.3463999999999992</v>
      </c>
      <c r="E4005" s="2" t="s">
        <v>2678</v>
      </c>
      <c r="F4005" s="2" t="e">
        <f>VLOOKUP(B4005,MSCI中国成分股!A:B,1,)</f>
        <v>#N/A</v>
      </c>
    </row>
    <row r="4006" spans="1:6" ht="20.25" hidden="1" customHeight="1" x14ac:dyDescent="0.15">
      <c r="A4006" s="2" t="s">
        <v>8265</v>
      </c>
      <c r="B4006" s="2" t="s">
        <v>8266</v>
      </c>
      <c r="C4006" s="2">
        <v>-0.66</v>
      </c>
      <c r="D4006" s="2">
        <v>83.623999999999995</v>
      </c>
      <c r="E4006" s="2" t="s">
        <v>1820</v>
      </c>
      <c r="F4006" s="2" t="e">
        <f>VLOOKUP(B4006,MSCI中国成分股!A:B,1,)</f>
        <v>#N/A</v>
      </c>
    </row>
    <row r="4007" spans="1:6" ht="20.25" hidden="1" customHeight="1" x14ac:dyDescent="0.15">
      <c r="A4007" s="2" t="s">
        <v>8267</v>
      </c>
      <c r="B4007" s="2" t="s">
        <v>8268</v>
      </c>
      <c r="C4007" s="2">
        <v>-0.5</v>
      </c>
      <c r="D4007" s="2">
        <v>6.3872</v>
      </c>
      <c r="E4007" s="2" t="s">
        <v>406</v>
      </c>
      <c r="F4007" s="2" t="e">
        <f>VLOOKUP(B4007,MSCI中国成分股!A:B,1,)</f>
        <v>#N/A</v>
      </c>
    </row>
    <row r="4008" spans="1:6" ht="20.25" hidden="1" customHeight="1" x14ac:dyDescent="0.15">
      <c r="A4008" s="2" t="s">
        <v>8269</v>
      </c>
      <c r="B4008" s="2" t="s">
        <v>8270</v>
      </c>
      <c r="C4008" s="2">
        <v>1.17</v>
      </c>
      <c r="D4008" s="2">
        <v>15.4794</v>
      </c>
      <c r="E4008" s="2" t="s">
        <v>827</v>
      </c>
      <c r="F4008" s="2" t="e">
        <f>VLOOKUP(B4008,MSCI中国成分股!A:B,1,)</f>
        <v>#N/A</v>
      </c>
    </row>
    <row r="4009" spans="1:6" ht="20.25" hidden="1" customHeight="1" x14ac:dyDescent="0.15">
      <c r="A4009" s="2" t="s">
        <v>8271</v>
      </c>
      <c r="B4009" s="2" t="s">
        <v>8272</v>
      </c>
      <c r="C4009" s="2">
        <v>0.24</v>
      </c>
      <c r="D4009" s="2">
        <v>7.8494000000000002</v>
      </c>
      <c r="E4009" s="2" t="s">
        <v>862</v>
      </c>
      <c r="F4009" s="2" t="e">
        <f>VLOOKUP(B4009,MSCI中国成分股!A:B,1,)</f>
        <v>#N/A</v>
      </c>
    </row>
    <row r="4010" spans="1:6" ht="20.25" hidden="1" customHeight="1" x14ac:dyDescent="0.15">
      <c r="A4010" s="2" t="s">
        <v>8273</v>
      </c>
      <c r="B4010" s="2" t="s">
        <v>8274</v>
      </c>
      <c r="C4010" s="2">
        <v>0.96</v>
      </c>
      <c r="D4010" s="2">
        <v>2.6772</v>
      </c>
      <c r="E4010" s="2" t="s">
        <v>551</v>
      </c>
      <c r="F4010" s="2" t="e">
        <f>VLOOKUP(B4010,MSCI中国成分股!A:B,1,)</f>
        <v>#N/A</v>
      </c>
    </row>
    <row r="4011" spans="1:6" ht="20.25" hidden="1" customHeight="1" x14ac:dyDescent="0.15">
      <c r="A4011" s="2" t="s">
        <v>8275</v>
      </c>
      <c r="B4011" s="2" t="s">
        <v>8276</v>
      </c>
      <c r="C4011" s="2">
        <v>-7.76</v>
      </c>
      <c r="D4011" s="2">
        <v>1845.6008999999999</v>
      </c>
      <c r="E4011" s="2" t="s">
        <v>2678</v>
      </c>
      <c r="F4011" s="2" t="e">
        <f>VLOOKUP(B4011,MSCI中国成分股!A:B,1,)</f>
        <v>#N/A</v>
      </c>
    </row>
    <row r="4012" spans="1:6" ht="20.25" hidden="1" customHeight="1" x14ac:dyDescent="0.15">
      <c r="A4012" s="2" t="s">
        <v>8277</v>
      </c>
      <c r="B4012" s="2" t="s">
        <v>8278</v>
      </c>
      <c r="C4012" s="2">
        <v>0.36</v>
      </c>
      <c r="D4012" s="2">
        <v>3.6101999999999999</v>
      </c>
      <c r="E4012" s="2" t="s">
        <v>1145</v>
      </c>
      <c r="F4012" s="2" t="e">
        <f>VLOOKUP(B4012,MSCI中国成分股!A:B,1,)</f>
        <v>#N/A</v>
      </c>
    </row>
    <row r="4013" spans="1:6" ht="20.25" hidden="1" customHeight="1" x14ac:dyDescent="0.15">
      <c r="A4013" s="2" t="s">
        <v>8279</v>
      </c>
      <c r="B4013" s="2" t="s">
        <v>8280</v>
      </c>
      <c r="C4013" s="2">
        <v>-2.93</v>
      </c>
      <c r="D4013" s="2">
        <v>41.508600000000001</v>
      </c>
      <c r="E4013" s="2" t="s">
        <v>744</v>
      </c>
      <c r="F4013" s="2" t="e">
        <f>VLOOKUP(B4013,MSCI中国成分股!A:B,1,)</f>
        <v>#N/A</v>
      </c>
    </row>
    <row r="4014" spans="1:6" ht="20.25" hidden="1" customHeight="1" x14ac:dyDescent="0.15">
      <c r="A4014" s="2" t="s">
        <v>8281</v>
      </c>
      <c r="B4014" s="2" t="s">
        <v>8282</v>
      </c>
      <c r="C4014" s="2">
        <v>-0.69</v>
      </c>
      <c r="D4014" s="2">
        <v>16.1052</v>
      </c>
      <c r="E4014" s="2" t="s">
        <v>220</v>
      </c>
      <c r="F4014" s="2" t="e">
        <f>VLOOKUP(B4014,MSCI中国成分股!A:B,1,)</f>
        <v>#N/A</v>
      </c>
    </row>
    <row r="4015" spans="1:6" ht="20.25" hidden="1" customHeight="1" x14ac:dyDescent="0.15">
      <c r="A4015" s="2" t="s">
        <v>8283</v>
      </c>
      <c r="B4015" s="2" t="s">
        <v>8284</v>
      </c>
      <c r="C4015" s="2">
        <v>0.21</v>
      </c>
      <c r="D4015" s="2">
        <v>4.9381000000000004</v>
      </c>
      <c r="E4015" s="2" t="s">
        <v>371</v>
      </c>
      <c r="F4015" s="2" t="e">
        <f>VLOOKUP(B4015,MSCI中国成分股!A:B,1,)</f>
        <v>#N/A</v>
      </c>
    </row>
    <row r="4016" spans="1:6" ht="20.25" hidden="1" customHeight="1" x14ac:dyDescent="0.15">
      <c r="A4016" s="2" t="s">
        <v>8285</v>
      </c>
      <c r="B4016" s="2" t="s">
        <v>8286</v>
      </c>
      <c r="C4016" s="2">
        <v>0.01</v>
      </c>
      <c r="D4016" s="2">
        <v>44.933599999999998</v>
      </c>
      <c r="E4016" s="2" t="s">
        <v>690</v>
      </c>
      <c r="F4016" s="2" t="e">
        <f>VLOOKUP(B4016,MSCI中国成分股!A:B,1,)</f>
        <v>#N/A</v>
      </c>
    </row>
    <row r="4017" spans="1:6" ht="20.25" hidden="1" customHeight="1" x14ac:dyDescent="0.15">
      <c r="A4017" s="2" t="s">
        <v>8287</v>
      </c>
      <c r="B4017" s="2" t="s">
        <v>8288</v>
      </c>
      <c r="C4017" s="2">
        <v>3.34</v>
      </c>
      <c r="D4017" s="2">
        <v>5.5519999999999996</v>
      </c>
      <c r="E4017" s="2" t="s">
        <v>1873</v>
      </c>
      <c r="F4017" s="2" t="e">
        <f>VLOOKUP(B4017,MSCI中国成分股!A:B,1,)</f>
        <v>#N/A</v>
      </c>
    </row>
    <row r="4018" spans="1:6" ht="20.25" hidden="1" customHeight="1" x14ac:dyDescent="0.15">
      <c r="A4018" s="2" t="s">
        <v>8289</v>
      </c>
      <c r="B4018" s="2" t="s">
        <v>8290</v>
      </c>
      <c r="C4018" s="2">
        <v>-1.1299999999999999</v>
      </c>
      <c r="D4018" s="2">
        <v>32.325699999999998</v>
      </c>
      <c r="E4018" s="2" t="s">
        <v>1691</v>
      </c>
      <c r="F4018" s="2" t="e">
        <f>VLOOKUP(B4018,MSCI中国成分股!A:B,1,)</f>
        <v>#N/A</v>
      </c>
    </row>
    <row r="4019" spans="1:6" ht="20.25" hidden="1" customHeight="1" x14ac:dyDescent="0.15">
      <c r="A4019" s="2" t="s">
        <v>8291</v>
      </c>
      <c r="B4019" s="2" t="s">
        <v>8292</v>
      </c>
      <c r="C4019" s="2">
        <v>0.19</v>
      </c>
      <c r="D4019" s="2">
        <v>17.388300000000001</v>
      </c>
      <c r="E4019" s="2" t="s">
        <v>647</v>
      </c>
      <c r="F4019" s="2" t="e">
        <f>VLOOKUP(B4019,MSCI中国成分股!A:B,1,)</f>
        <v>#N/A</v>
      </c>
    </row>
    <row r="4020" spans="1:6" ht="20.25" hidden="1" customHeight="1" x14ac:dyDescent="0.15">
      <c r="A4020" s="2" t="s">
        <v>8293</v>
      </c>
      <c r="B4020" s="2" t="s">
        <v>8294</v>
      </c>
      <c r="C4020" s="2">
        <v>0.38</v>
      </c>
      <c r="D4020" s="2">
        <v>1.4723999999999999</v>
      </c>
      <c r="E4020" s="2" t="s">
        <v>2678</v>
      </c>
      <c r="F4020" s="2" t="e">
        <f>VLOOKUP(B4020,MSCI中国成分股!A:B,1,)</f>
        <v>#N/A</v>
      </c>
    </row>
    <row r="4021" spans="1:6" ht="20.25" hidden="1" customHeight="1" x14ac:dyDescent="0.15">
      <c r="A4021" s="2" t="s">
        <v>8295</v>
      </c>
      <c r="B4021" s="2" t="s">
        <v>8296</v>
      </c>
      <c r="C4021" s="2">
        <v>0.08</v>
      </c>
      <c r="D4021" s="2">
        <v>1.274</v>
      </c>
      <c r="E4021" s="2" t="s">
        <v>2678</v>
      </c>
      <c r="F4021" s="2" t="e">
        <f>VLOOKUP(B4021,MSCI中国成分股!A:B,1,)</f>
        <v>#N/A</v>
      </c>
    </row>
    <row r="4022" spans="1:6" ht="20.25" hidden="1" customHeight="1" x14ac:dyDescent="0.15">
      <c r="A4022" s="2" t="s">
        <v>8297</v>
      </c>
      <c r="B4022" s="2" t="s">
        <v>8298</v>
      </c>
      <c r="C4022" s="2">
        <v>3.58</v>
      </c>
      <c r="D4022" s="2">
        <v>1.014</v>
      </c>
      <c r="E4022" s="2" t="s">
        <v>44</v>
      </c>
      <c r="F4022" s="2" t="e">
        <f>VLOOKUP(B4022,MSCI中国成分股!A:B,1,)</f>
        <v>#N/A</v>
      </c>
    </row>
    <row r="4023" spans="1:6" ht="20.25" hidden="1" customHeight="1" x14ac:dyDescent="0.15">
      <c r="A4023" s="2" t="s">
        <v>8299</v>
      </c>
      <c r="B4023" s="2" t="s">
        <v>8300</v>
      </c>
      <c r="C4023" s="2">
        <v>-2.25</v>
      </c>
      <c r="D4023" s="2">
        <v>37.597099999999998</v>
      </c>
      <c r="E4023" s="2" t="s">
        <v>265</v>
      </c>
      <c r="F4023" s="2" t="e">
        <f>VLOOKUP(B4023,MSCI中国成分股!A:B,1,)</f>
        <v>#N/A</v>
      </c>
    </row>
    <row r="4024" spans="1:6" ht="20.25" hidden="1" customHeight="1" x14ac:dyDescent="0.15">
      <c r="A4024" s="2" t="s">
        <v>8301</v>
      </c>
      <c r="B4024" s="2" t="s">
        <v>8302</v>
      </c>
      <c r="C4024" s="2">
        <v>1.32</v>
      </c>
      <c r="D4024" s="2">
        <v>5.5594999999999999</v>
      </c>
      <c r="E4024" s="2" t="s">
        <v>140</v>
      </c>
      <c r="F4024" s="2" t="e">
        <f>VLOOKUP(B4024,MSCI中国成分股!A:B,1,)</f>
        <v>#N/A</v>
      </c>
    </row>
    <row r="4025" spans="1:6" ht="20.25" hidden="1" customHeight="1" x14ac:dyDescent="0.15">
      <c r="A4025" s="2" t="s">
        <v>8303</v>
      </c>
      <c r="B4025" s="2" t="s">
        <v>8304</v>
      </c>
      <c r="C4025" s="2">
        <v>-1.335</v>
      </c>
      <c r="D4025" s="2">
        <v>8.3635999999999999</v>
      </c>
      <c r="E4025" s="2" t="s">
        <v>2678</v>
      </c>
      <c r="F4025" s="2" t="e">
        <f>VLOOKUP(B4025,MSCI中国成分股!A:B,1,)</f>
        <v>#N/A</v>
      </c>
    </row>
    <row r="4026" spans="1:6" ht="20.25" hidden="1" customHeight="1" x14ac:dyDescent="0.15">
      <c r="A4026" s="2" t="s">
        <v>8305</v>
      </c>
      <c r="B4026" s="2" t="s">
        <v>8306</v>
      </c>
      <c r="C4026" s="2">
        <v>0.03</v>
      </c>
      <c r="D4026" s="2">
        <v>3.4316</v>
      </c>
      <c r="E4026" s="2" t="s">
        <v>4127</v>
      </c>
      <c r="F4026" s="2" t="e">
        <f>VLOOKUP(B4026,MSCI中国成分股!A:B,1,)</f>
        <v>#N/A</v>
      </c>
    </row>
    <row r="4027" spans="1:6" ht="20.25" hidden="1" customHeight="1" x14ac:dyDescent="0.15">
      <c r="A4027" s="2" t="s">
        <v>8307</v>
      </c>
      <c r="B4027" s="2" t="s">
        <v>8308</v>
      </c>
      <c r="C4027" s="2">
        <v>0.05</v>
      </c>
      <c r="D4027" s="2">
        <v>154.13579999999999</v>
      </c>
      <c r="E4027" s="2" t="s">
        <v>207</v>
      </c>
      <c r="F4027" s="2" t="e">
        <f>VLOOKUP(B4027,MSCI中国成分股!A:B,1,)</f>
        <v>#N/A</v>
      </c>
    </row>
    <row r="4028" spans="1:6" ht="20.25" hidden="1" customHeight="1" x14ac:dyDescent="0.15">
      <c r="A4028" s="2" t="s">
        <v>8309</v>
      </c>
      <c r="B4028" s="2" t="s">
        <v>8310</v>
      </c>
      <c r="C4028" s="2">
        <v>2.1</v>
      </c>
      <c r="D4028" s="2">
        <v>7.3659999999999997</v>
      </c>
      <c r="E4028" s="2" t="s">
        <v>1853</v>
      </c>
      <c r="F4028" s="2" t="e">
        <f>VLOOKUP(B4028,MSCI中国成分股!A:B,1,)</f>
        <v>#N/A</v>
      </c>
    </row>
    <row r="4029" spans="1:6" ht="20.25" hidden="1" customHeight="1" x14ac:dyDescent="0.15">
      <c r="A4029" s="2" t="s">
        <v>8311</v>
      </c>
      <c r="B4029" s="2" t="s">
        <v>8312</v>
      </c>
      <c r="C4029" s="2">
        <v>0.06</v>
      </c>
      <c r="D4029" s="2">
        <v>250.64109999999999</v>
      </c>
      <c r="E4029" s="2" t="s">
        <v>2678</v>
      </c>
      <c r="F4029" s="2" t="e">
        <f>VLOOKUP(B4029,MSCI中国成分股!A:B,1,)</f>
        <v>#N/A</v>
      </c>
    </row>
    <row r="4030" spans="1:6" ht="20.25" hidden="1" customHeight="1" x14ac:dyDescent="0.15">
      <c r="A4030" s="2" t="s">
        <v>8313</v>
      </c>
      <c r="B4030" s="2" t="s">
        <v>8314</v>
      </c>
      <c r="C4030" s="2">
        <v>1.2949999999999999</v>
      </c>
      <c r="D4030" s="2">
        <v>9.1456</v>
      </c>
      <c r="E4030" s="2" t="s">
        <v>68</v>
      </c>
      <c r="F4030" s="2" t="e">
        <f>VLOOKUP(B4030,MSCI中国成分股!A:B,1,)</f>
        <v>#N/A</v>
      </c>
    </row>
    <row r="4031" spans="1:6" ht="20.25" hidden="1" customHeight="1" x14ac:dyDescent="0.15">
      <c r="A4031" s="2" t="s">
        <v>8315</v>
      </c>
      <c r="B4031" s="2" t="s">
        <v>8316</v>
      </c>
      <c r="C4031" s="2">
        <v>0.4</v>
      </c>
      <c r="D4031" s="2">
        <v>36.377000000000002</v>
      </c>
      <c r="E4031" s="2" t="s">
        <v>89</v>
      </c>
      <c r="F4031" s="2" t="e">
        <f>VLOOKUP(B4031,MSCI中国成分股!A:B,1,)</f>
        <v>#N/A</v>
      </c>
    </row>
    <row r="4032" spans="1:6" ht="20.25" hidden="1" customHeight="1" x14ac:dyDescent="0.15">
      <c r="A4032" s="2" t="s">
        <v>8317</v>
      </c>
      <c r="B4032" s="2" t="s">
        <v>8318</v>
      </c>
      <c r="C4032" s="2">
        <v>0.53</v>
      </c>
      <c r="D4032" s="2">
        <v>5.9112</v>
      </c>
      <c r="E4032" s="2" t="s">
        <v>140</v>
      </c>
      <c r="F4032" s="2" t="e">
        <f>VLOOKUP(B4032,MSCI中国成分股!A:B,1,)</f>
        <v>#N/A</v>
      </c>
    </row>
    <row r="4033" spans="1:6" ht="20.25" hidden="1" customHeight="1" x14ac:dyDescent="0.15">
      <c r="A4033" s="2" t="s">
        <v>8319</v>
      </c>
      <c r="B4033" s="2" t="s">
        <v>8320</v>
      </c>
      <c r="C4033" s="2">
        <v>0.69</v>
      </c>
      <c r="D4033" s="2">
        <v>6.9138999999999999</v>
      </c>
      <c r="E4033" s="2" t="s">
        <v>41</v>
      </c>
      <c r="F4033" s="2" t="e">
        <f>VLOOKUP(B4033,MSCI中国成分股!A:B,1,)</f>
        <v>#N/A</v>
      </c>
    </row>
    <row r="4034" spans="1:6" ht="20.25" hidden="1" customHeight="1" x14ac:dyDescent="0.15">
      <c r="A4034" s="2" t="s">
        <v>8321</v>
      </c>
      <c r="B4034" s="2" t="s">
        <v>8322</v>
      </c>
      <c r="C4034" s="2">
        <v>-2.6</v>
      </c>
      <c r="D4034" s="2">
        <v>14.9664</v>
      </c>
      <c r="E4034" s="2" t="s">
        <v>265</v>
      </c>
      <c r="F4034" s="2" t="e">
        <f>VLOOKUP(B4034,MSCI中国成分股!A:B,1,)</f>
        <v>#N/A</v>
      </c>
    </row>
    <row r="4035" spans="1:6" ht="20.25" hidden="1" customHeight="1" x14ac:dyDescent="0.15">
      <c r="A4035" s="2" t="s">
        <v>8323</v>
      </c>
      <c r="B4035" s="2" t="s">
        <v>8324</v>
      </c>
      <c r="C4035" s="2">
        <v>-1.54</v>
      </c>
      <c r="D4035" s="2">
        <v>186.78749999999999</v>
      </c>
      <c r="E4035" s="2" t="s">
        <v>1173</v>
      </c>
      <c r="F4035" s="2" t="e">
        <f>VLOOKUP(B4035,MSCI中国成分股!A:B,1,)</f>
        <v>#N/A</v>
      </c>
    </row>
    <row r="4036" spans="1:6" ht="20.25" hidden="1" customHeight="1" x14ac:dyDescent="0.15">
      <c r="A4036" s="2" t="s">
        <v>8325</v>
      </c>
      <c r="B4036" s="2" t="s">
        <v>8326</v>
      </c>
      <c r="C4036" s="2">
        <v>1.54</v>
      </c>
      <c r="D4036" s="2">
        <v>1.1758</v>
      </c>
      <c r="E4036" s="2" t="s">
        <v>2681</v>
      </c>
      <c r="F4036" s="2" t="e">
        <f>VLOOKUP(B4036,MSCI中国成分股!A:B,1,)</f>
        <v>#N/A</v>
      </c>
    </row>
    <row r="4037" spans="1:6" ht="20.25" hidden="1" customHeight="1" x14ac:dyDescent="0.15">
      <c r="A4037" s="2" t="s">
        <v>8327</v>
      </c>
      <c r="B4037" s="2" t="s">
        <v>8328</v>
      </c>
      <c r="C4037" s="2">
        <v>1.415</v>
      </c>
      <c r="D4037" s="2">
        <v>2.7795000000000001</v>
      </c>
      <c r="E4037" s="2" t="s">
        <v>374</v>
      </c>
      <c r="F4037" s="2" t="e">
        <f>VLOOKUP(B4037,MSCI中国成分股!A:B,1,)</f>
        <v>#N/A</v>
      </c>
    </row>
    <row r="4038" spans="1:6" ht="20.25" hidden="1" customHeight="1" x14ac:dyDescent="0.15">
      <c r="A4038" s="2" t="s">
        <v>8329</v>
      </c>
      <c r="B4038" s="2" t="s">
        <v>8330</v>
      </c>
      <c r="C4038" s="2">
        <v>-3.29</v>
      </c>
      <c r="D4038" s="2">
        <v>30.183599999999998</v>
      </c>
      <c r="E4038" s="2" t="s">
        <v>630</v>
      </c>
      <c r="F4038" s="2" t="e">
        <f>VLOOKUP(B4038,MSCI中国成分股!A:B,1,)</f>
        <v>#N/A</v>
      </c>
    </row>
    <row r="4039" spans="1:6" ht="20.25" hidden="1" customHeight="1" x14ac:dyDescent="0.15">
      <c r="A4039" s="2" t="s">
        <v>8331</v>
      </c>
      <c r="B4039" s="2" t="s">
        <v>8332</v>
      </c>
      <c r="C4039" s="2">
        <v>-0.72</v>
      </c>
      <c r="D4039" s="2">
        <v>38.744100000000003</v>
      </c>
      <c r="E4039" s="2" t="s">
        <v>2678</v>
      </c>
      <c r="F4039" s="2" t="e">
        <f>VLOOKUP(B4039,MSCI中国成分股!A:B,1,)</f>
        <v>#N/A</v>
      </c>
    </row>
    <row r="4040" spans="1:6" ht="20.25" hidden="1" customHeight="1" x14ac:dyDescent="0.15">
      <c r="A4040" s="2" t="s">
        <v>8333</v>
      </c>
      <c r="B4040" s="2" t="s">
        <v>8334</v>
      </c>
      <c r="C4040" s="2">
        <v>2.8050000000000002</v>
      </c>
      <c r="D4040" s="2">
        <v>0.95130000000000003</v>
      </c>
      <c r="E4040" s="2" t="s">
        <v>201</v>
      </c>
      <c r="F4040" s="2" t="e">
        <f>VLOOKUP(B4040,MSCI中国成分股!A:B,1,)</f>
        <v>#N/A</v>
      </c>
    </row>
    <row r="4041" spans="1:6" ht="20.25" hidden="1" customHeight="1" x14ac:dyDescent="0.15">
      <c r="A4041" s="2" t="s">
        <v>8335</v>
      </c>
      <c r="B4041" s="2" t="s">
        <v>8336</v>
      </c>
      <c r="C4041" s="2">
        <v>-2.93</v>
      </c>
      <c r="D4041" s="2">
        <v>29.8094</v>
      </c>
      <c r="E4041" s="2" t="s">
        <v>257</v>
      </c>
      <c r="F4041" s="2" t="e">
        <f>VLOOKUP(B4041,MSCI中国成分股!A:B,1,)</f>
        <v>#N/A</v>
      </c>
    </row>
    <row r="4042" spans="1:6" ht="20.25" hidden="1" customHeight="1" x14ac:dyDescent="0.15">
      <c r="A4042" s="2" t="s">
        <v>8337</v>
      </c>
      <c r="B4042" s="2" t="s">
        <v>8338</v>
      </c>
      <c r="C4042" s="2">
        <v>0.13</v>
      </c>
      <c r="D4042" s="2">
        <v>13.095599999999999</v>
      </c>
      <c r="E4042" s="2" t="s">
        <v>1593</v>
      </c>
      <c r="F4042" s="2" t="e">
        <f>VLOOKUP(B4042,MSCI中国成分股!A:B,1,)</f>
        <v>#N/A</v>
      </c>
    </row>
    <row r="4043" spans="1:6" ht="20.25" hidden="1" customHeight="1" x14ac:dyDescent="0.15">
      <c r="A4043" s="2" t="s">
        <v>8339</v>
      </c>
      <c r="B4043" s="2" t="s">
        <v>8340</v>
      </c>
      <c r="C4043" s="2">
        <v>1.1200000000000001</v>
      </c>
      <c r="D4043" s="2">
        <v>2.7341000000000002</v>
      </c>
      <c r="E4043" s="2" t="s">
        <v>1066</v>
      </c>
      <c r="F4043" s="2" t="e">
        <f>VLOOKUP(B4043,MSCI中国成分股!A:B,1,)</f>
        <v>#N/A</v>
      </c>
    </row>
    <row r="4044" spans="1:6" ht="20.25" hidden="1" customHeight="1" x14ac:dyDescent="0.15">
      <c r="A4044" s="2" t="s">
        <v>8341</v>
      </c>
      <c r="B4044" s="2" t="s">
        <v>8342</v>
      </c>
      <c r="C4044" s="2">
        <v>0.96</v>
      </c>
      <c r="D4044" s="2">
        <v>4.9522000000000004</v>
      </c>
      <c r="E4044" s="2" t="s">
        <v>1820</v>
      </c>
      <c r="F4044" s="2" t="e">
        <f>VLOOKUP(B4044,MSCI中国成分股!A:B,1,)</f>
        <v>#N/A</v>
      </c>
    </row>
    <row r="4045" spans="1:6" ht="20.25" hidden="1" customHeight="1" x14ac:dyDescent="0.15">
      <c r="A4045" s="2" t="s">
        <v>8343</v>
      </c>
      <c r="B4045" s="2" t="s">
        <v>8344</v>
      </c>
      <c r="C4045" s="2">
        <v>0.61499999999999999</v>
      </c>
      <c r="D4045" s="2">
        <v>6.3188000000000004</v>
      </c>
      <c r="E4045" s="2" t="s">
        <v>406</v>
      </c>
      <c r="F4045" s="2" t="e">
        <f>VLOOKUP(B4045,MSCI中国成分股!A:B,1,)</f>
        <v>#N/A</v>
      </c>
    </row>
    <row r="4046" spans="1:6" ht="20.25" hidden="1" customHeight="1" x14ac:dyDescent="0.15">
      <c r="A4046" s="2" t="s">
        <v>8345</v>
      </c>
      <c r="B4046" s="2" t="s">
        <v>8346</v>
      </c>
      <c r="C4046" s="2">
        <v>2.54</v>
      </c>
      <c r="D4046" s="2">
        <v>0.47810000000000002</v>
      </c>
      <c r="E4046" s="2" t="s">
        <v>1158</v>
      </c>
      <c r="F4046" s="2" t="e">
        <f>VLOOKUP(B4046,MSCI中国成分股!A:B,1,)</f>
        <v>#N/A</v>
      </c>
    </row>
    <row r="4047" spans="1:6" ht="20.25" hidden="1" customHeight="1" x14ac:dyDescent="0.15">
      <c r="A4047" s="2" t="s">
        <v>8347</v>
      </c>
      <c r="B4047" s="2" t="s">
        <v>8348</v>
      </c>
      <c r="C4047" s="2">
        <v>2.27</v>
      </c>
      <c r="D4047" s="2">
        <v>1.0716000000000001</v>
      </c>
      <c r="E4047" s="2" t="s">
        <v>368</v>
      </c>
      <c r="F4047" s="2" t="e">
        <f>VLOOKUP(B4047,MSCI中国成分股!A:B,1,)</f>
        <v>#N/A</v>
      </c>
    </row>
    <row r="4048" spans="1:6" ht="20.25" hidden="1" customHeight="1" x14ac:dyDescent="0.15">
      <c r="A4048" s="2" t="s">
        <v>8349</v>
      </c>
      <c r="B4048" s="2" t="s">
        <v>8350</v>
      </c>
      <c r="C4048" s="2">
        <v>0.65500000000000003</v>
      </c>
      <c r="D4048" s="2">
        <v>1.2285999999999999</v>
      </c>
      <c r="E4048" s="2" t="s">
        <v>699</v>
      </c>
      <c r="F4048" s="2" t="e">
        <f>VLOOKUP(B4048,MSCI中国成分股!A:B,1,)</f>
        <v>#N/A</v>
      </c>
    </row>
    <row r="4049" spans="1:6" ht="20.25" hidden="1" customHeight="1" x14ac:dyDescent="0.15">
      <c r="A4049" s="2" t="s">
        <v>8351</v>
      </c>
      <c r="B4049" s="2" t="s">
        <v>8352</v>
      </c>
      <c r="C4049" s="2">
        <v>-0.58499999999999996</v>
      </c>
      <c r="D4049" s="2">
        <v>4.7577999999999996</v>
      </c>
      <c r="E4049" s="2" t="s">
        <v>299</v>
      </c>
      <c r="F4049" s="2" t="e">
        <f>VLOOKUP(B4049,MSCI中国成分股!A:B,1,)</f>
        <v>#N/A</v>
      </c>
    </row>
    <row r="4050" spans="1:6" ht="20.25" hidden="1" customHeight="1" x14ac:dyDescent="0.15">
      <c r="A4050" s="2" t="s">
        <v>8353</v>
      </c>
      <c r="B4050" s="2" t="s">
        <v>8354</v>
      </c>
      <c r="C4050" s="2">
        <v>2.3199999999999998</v>
      </c>
      <c r="D4050" s="2">
        <v>3.056</v>
      </c>
      <c r="E4050" s="2" t="s">
        <v>41</v>
      </c>
      <c r="F4050" s="2" t="e">
        <f>VLOOKUP(B4050,MSCI中国成分股!A:B,1,)</f>
        <v>#N/A</v>
      </c>
    </row>
    <row r="4051" spans="1:6" ht="20.25" hidden="1" customHeight="1" x14ac:dyDescent="0.15">
      <c r="A4051" s="2" t="s">
        <v>8355</v>
      </c>
      <c r="B4051" s="2" t="s">
        <v>8356</v>
      </c>
      <c r="C4051" s="2">
        <v>0.6</v>
      </c>
      <c r="D4051" s="2">
        <v>13.5296</v>
      </c>
      <c r="E4051" s="2" t="s">
        <v>1853</v>
      </c>
      <c r="F4051" s="2" t="e">
        <f>VLOOKUP(B4051,MSCI中国成分股!A:B,1,)</f>
        <v>#N/A</v>
      </c>
    </row>
    <row r="4052" spans="1:6" ht="20.25" hidden="1" customHeight="1" x14ac:dyDescent="0.15">
      <c r="A4052" s="2" t="s">
        <v>8357</v>
      </c>
      <c r="B4052" s="2" t="s">
        <v>8358</v>
      </c>
      <c r="C4052" s="2">
        <v>1</v>
      </c>
      <c r="D4052" s="2">
        <v>1.0515000000000001</v>
      </c>
      <c r="E4052" s="2" t="s">
        <v>374</v>
      </c>
      <c r="F4052" s="2" t="e">
        <f>VLOOKUP(B4052,MSCI中国成分股!A:B,1,)</f>
        <v>#N/A</v>
      </c>
    </row>
    <row r="4053" spans="1:6" ht="20.25" hidden="1" customHeight="1" x14ac:dyDescent="0.15">
      <c r="A4053" s="2" t="s">
        <v>8359</v>
      </c>
      <c r="B4053" s="2" t="s">
        <v>8360</v>
      </c>
      <c r="C4053" s="2">
        <v>0.15</v>
      </c>
      <c r="D4053" s="2">
        <v>69.755899999999997</v>
      </c>
      <c r="E4053" s="2" t="s">
        <v>52</v>
      </c>
      <c r="F4053" s="2" t="e">
        <f>VLOOKUP(B4053,MSCI中国成分股!A:B,1,)</f>
        <v>#N/A</v>
      </c>
    </row>
    <row r="4054" spans="1:6" ht="20.25" hidden="1" customHeight="1" x14ac:dyDescent="0.15">
      <c r="A4054" s="2" t="s">
        <v>8361</v>
      </c>
      <c r="B4054" s="2" t="s">
        <v>8362</v>
      </c>
      <c r="C4054" s="2">
        <v>-12.16</v>
      </c>
      <c r="D4054" s="2">
        <v>1093.9775999999999</v>
      </c>
      <c r="E4054" s="2" t="s">
        <v>430</v>
      </c>
      <c r="F4054" s="2" t="e">
        <f>VLOOKUP(B4054,MSCI中国成分股!A:B,1,)</f>
        <v>#N/A</v>
      </c>
    </row>
    <row r="4055" spans="1:6" ht="20.25" hidden="1" customHeight="1" x14ac:dyDescent="0.15">
      <c r="A4055" s="2" t="s">
        <v>8363</v>
      </c>
      <c r="B4055" s="2" t="s">
        <v>8364</v>
      </c>
      <c r="C4055" s="2">
        <v>0.93</v>
      </c>
      <c r="D4055" s="2">
        <v>1.6879999999999999</v>
      </c>
      <c r="E4055" s="2" t="s">
        <v>371</v>
      </c>
      <c r="F4055" s="2" t="e">
        <f>VLOOKUP(B4055,MSCI中国成分股!A:B,1,)</f>
        <v>#N/A</v>
      </c>
    </row>
    <row r="4056" spans="1:6" ht="20.25" hidden="1" customHeight="1" x14ac:dyDescent="0.15">
      <c r="A4056" s="2" t="s">
        <v>8365</v>
      </c>
      <c r="B4056" s="2" t="s">
        <v>8366</v>
      </c>
      <c r="C4056" s="2">
        <v>1.22</v>
      </c>
      <c r="D4056" s="2">
        <v>3.0548000000000002</v>
      </c>
      <c r="E4056" s="2" t="s">
        <v>1102</v>
      </c>
      <c r="F4056" s="2" t="e">
        <f>VLOOKUP(B4056,MSCI中国成分股!A:B,1,)</f>
        <v>#N/A</v>
      </c>
    </row>
    <row r="4057" spans="1:6" ht="20.25" hidden="1" customHeight="1" x14ac:dyDescent="0.15">
      <c r="A4057" s="2" t="s">
        <v>8367</v>
      </c>
      <c r="B4057" s="2" t="s">
        <v>8368</v>
      </c>
      <c r="C4057" s="2">
        <v>3.0150000000000001</v>
      </c>
      <c r="D4057" s="2">
        <v>0.71350000000000002</v>
      </c>
      <c r="E4057" s="2" t="s">
        <v>1243</v>
      </c>
      <c r="F4057" s="2" t="e">
        <f>VLOOKUP(B4057,MSCI中国成分股!A:B,1,)</f>
        <v>#N/A</v>
      </c>
    </row>
    <row r="4058" spans="1:6" ht="20.25" hidden="1" customHeight="1" x14ac:dyDescent="0.15">
      <c r="A4058" s="2" t="s">
        <v>8369</v>
      </c>
      <c r="B4058" s="2" t="s">
        <v>8370</v>
      </c>
      <c r="C4058" s="2">
        <v>0.98</v>
      </c>
      <c r="D4058" s="2">
        <v>6.5688000000000004</v>
      </c>
      <c r="E4058" s="2" t="s">
        <v>1099</v>
      </c>
      <c r="F4058" s="2" t="e">
        <f>VLOOKUP(B4058,MSCI中国成分股!A:B,1,)</f>
        <v>#N/A</v>
      </c>
    </row>
    <row r="4059" spans="1:6" ht="20.25" hidden="1" customHeight="1" x14ac:dyDescent="0.15">
      <c r="A4059" s="2" t="s">
        <v>8371</v>
      </c>
      <c r="B4059" s="2" t="s">
        <v>8372</v>
      </c>
      <c r="C4059" s="2">
        <v>4.53</v>
      </c>
      <c r="D4059" s="2">
        <v>4.6026999999999996</v>
      </c>
      <c r="E4059" s="2" t="s">
        <v>638</v>
      </c>
      <c r="F4059" s="2" t="e">
        <f>VLOOKUP(B4059,MSCI中国成分股!A:B,1,)</f>
        <v>#N/A</v>
      </c>
    </row>
    <row r="4060" spans="1:6" ht="20.25" hidden="1" customHeight="1" x14ac:dyDescent="0.15">
      <c r="A4060" s="2" t="s">
        <v>8373</v>
      </c>
      <c r="B4060" s="2" t="s">
        <v>8374</v>
      </c>
      <c r="C4060" s="2">
        <v>0.28000000000000003</v>
      </c>
      <c r="D4060" s="2">
        <v>6.4581999999999997</v>
      </c>
      <c r="E4060" s="2" t="s">
        <v>299</v>
      </c>
      <c r="F4060" s="2" t="e">
        <f>VLOOKUP(B4060,MSCI中国成分股!A:B,1,)</f>
        <v>#N/A</v>
      </c>
    </row>
    <row r="4061" spans="1:6" ht="20.25" hidden="1" customHeight="1" x14ac:dyDescent="0.15">
      <c r="A4061" s="2" t="s">
        <v>8375</v>
      </c>
      <c r="B4061" s="2" t="s">
        <v>8376</v>
      </c>
      <c r="C4061" s="2">
        <v>3.48</v>
      </c>
      <c r="D4061" s="2">
        <v>4.4120999999999997</v>
      </c>
      <c r="E4061" s="2" t="s">
        <v>1041</v>
      </c>
      <c r="F4061" s="2" t="e">
        <f>VLOOKUP(B4061,MSCI中国成分股!A:B,1,)</f>
        <v>#N/A</v>
      </c>
    </row>
    <row r="4062" spans="1:6" ht="20.25" hidden="1" customHeight="1" x14ac:dyDescent="0.15">
      <c r="A4062" s="2" t="s">
        <v>8377</v>
      </c>
      <c r="B4062" s="2" t="s">
        <v>8378</v>
      </c>
      <c r="C4062" s="2">
        <v>1.2</v>
      </c>
      <c r="D4062" s="2">
        <v>0.5716</v>
      </c>
      <c r="E4062" s="2" t="s">
        <v>4261</v>
      </c>
      <c r="F4062" s="2" t="e">
        <f>VLOOKUP(B4062,MSCI中国成分股!A:B,1,)</f>
        <v>#N/A</v>
      </c>
    </row>
    <row r="4063" spans="1:6" ht="20.25" hidden="1" customHeight="1" x14ac:dyDescent="0.15">
      <c r="A4063" s="2" t="s">
        <v>8379</v>
      </c>
      <c r="B4063" s="2" t="s">
        <v>8380</v>
      </c>
      <c r="C4063" s="2">
        <v>0.08</v>
      </c>
      <c r="D4063" s="2">
        <v>10.899800000000001</v>
      </c>
      <c r="E4063" s="2" t="s">
        <v>1102</v>
      </c>
      <c r="F4063" s="2" t="e">
        <f>VLOOKUP(B4063,MSCI中国成分股!A:B,1,)</f>
        <v>#N/A</v>
      </c>
    </row>
    <row r="4064" spans="1:6" ht="20.25" hidden="1" customHeight="1" x14ac:dyDescent="0.15">
      <c r="A4064" s="2" t="s">
        <v>8381</v>
      </c>
      <c r="B4064" s="2" t="s">
        <v>8382</v>
      </c>
      <c r="C4064" s="2">
        <v>1.1299999999999999</v>
      </c>
      <c r="D4064" s="2">
        <v>6.0186999999999999</v>
      </c>
      <c r="E4064" s="2" t="s">
        <v>171</v>
      </c>
      <c r="F4064" s="2" t="e">
        <f>VLOOKUP(B4064,MSCI中国成分股!A:B,1,)</f>
        <v>#N/A</v>
      </c>
    </row>
    <row r="4065" spans="1:6" ht="20.25" hidden="1" customHeight="1" x14ac:dyDescent="0.15">
      <c r="A4065" s="2" t="s">
        <v>8383</v>
      </c>
      <c r="B4065" s="2" t="s">
        <v>8384</v>
      </c>
      <c r="C4065" s="2">
        <v>2.5</v>
      </c>
      <c r="D4065" s="2">
        <v>1.7284999999999999</v>
      </c>
      <c r="E4065" s="2" t="s">
        <v>630</v>
      </c>
      <c r="F4065" s="2" t="e">
        <f>VLOOKUP(B4065,MSCI中国成分股!A:B,1,)</f>
        <v>#N/A</v>
      </c>
    </row>
    <row r="4066" spans="1:6" ht="20.25" hidden="1" customHeight="1" x14ac:dyDescent="0.15">
      <c r="A4066" s="2" t="s">
        <v>8385</v>
      </c>
      <c r="B4066" s="2" t="s">
        <v>8386</v>
      </c>
      <c r="C4066" s="2">
        <v>0.49</v>
      </c>
      <c r="D4066" s="2">
        <v>1.1601999999999999</v>
      </c>
      <c r="E4066" s="2" t="s">
        <v>1282</v>
      </c>
      <c r="F4066" s="2" t="e">
        <f>VLOOKUP(B4066,MSCI中国成分股!A:B,1,)</f>
        <v>#N/A</v>
      </c>
    </row>
    <row r="4067" spans="1:6" ht="20.25" hidden="1" customHeight="1" x14ac:dyDescent="0.15">
      <c r="A4067" s="2" t="s">
        <v>8387</v>
      </c>
      <c r="B4067" s="2" t="s">
        <v>8388</v>
      </c>
      <c r="C4067" s="2">
        <v>0.16</v>
      </c>
      <c r="D4067" s="2">
        <v>8.7903000000000002</v>
      </c>
      <c r="E4067" s="2" t="s">
        <v>68</v>
      </c>
      <c r="F4067" s="2" t="e">
        <f>VLOOKUP(B4067,MSCI中国成分股!A:B,1,)</f>
        <v>#N/A</v>
      </c>
    </row>
    <row r="4068" spans="1:6" ht="20.25" hidden="1" customHeight="1" x14ac:dyDescent="0.15">
      <c r="A4068" s="2" t="s">
        <v>8389</v>
      </c>
      <c r="B4068" s="2" t="s">
        <v>8390</v>
      </c>
      <c r="C4068" s="2">
        <v>3.72</v>
      </c>
      <c r="D4068" s="2">
        <v>7.4507000000000003</v>
      </c>
      <c r="E4068" s="2" t="s">
        <v>257</v>
      </c>
      <c r="F4068" s="2" t="e">
        <f>VLOOKUP(B4068,MSCI中国成分股!A:B,1,)</f>
        <v>#N/A</v>
      </c>
    </row>
    <row r="4069" spans="1:6" ht="20.25" hidden="1" customHeight="1" x14ac:dyDescent="0.15">
      <c r="A4069" s="2" t="s">
        <v>8391</v>
      </c>
      <c r="B4069" s="2" t="s">
        <v>8392</v>
      </c>
      <c r="C4069" s="2">
        <v>-0.84</v>
      </c>
      <c r="D4069" s="2">
        <v>16.9316</v>
      </c>
      <c r="E4069" s="2" t="s">
        <v>201</v>
      </c>
      <c r="F4069" s="2" t="e">
        <f>VLOOKUP(B4069,MSCI中国成分股!A:B,1,)</f>
        <v>#N/A</v>
      </c>
    </row>
    <row r="4070" spans="1:6" ht="20.25" hidden="1" customHeight="1" x14ac:dyDescent="0.15">
      <c r="A4070" s="2" t="s">
        <v>8393</v>
      </c>
      <c r="B4070" s="2" t="s">
        <v>8394</v>
      </c>
      <c r="C4070" s="2">
        <v>-0.52</v>
      </c>
      <c r="D4070" s="2">
        <v>3.8862999999999999</v>
      </c>
      <c r="E4070" s="2" t="s">
        <v>41</v>
      </c>
      <c r="F4070" s="2" t="e">
        <f>VLOOKUP(B4070,MSCI中国成分股!A:B,1,)</f>
        <v>#N/A</v>
      </c>
    </row>
    <row r="4071" spans="1:6" ht="20.25" hidden="1" customHeight="1" x14ac:dyDescent="0.15">
      <c r="A4071" s="2" t="s">
        <v>8395</v>
      </c>
      <c r="B4071" s="2" t="s">
        <v>8396</v>
      </c>
      <c r="C4071" s="2">
        <v>0.74</v>
      </c>
      <c r="D4071" s="2">
        <v>1.4233</v>
      </c>
      <c r="E4071" s="2" t="s">
        <v>1403</v>
      </c>
      <c r="F4071" s="2" t="e">
        <f>VLOOKUP(B4071,MSCI中国成分股!A:B,1,)</f>
        <v>#N/A</v>
      </c>
    </row>
    <row r="4072" spans="1:6" ht="20.25" hidden="1" customHeight="1" x14ac:dyDescent="0.15">
      <c r="A4072" s="2" t="s">
        <v>8397</v>
      </c>
      <c r="B4072" s="2" t="s">
        <v>8398</v>
      </c>
      <c r="C4072" s="2">
        <v>-1.18</v>
      </c>
      <c r="D4072" s="2">
        <v>23.6097</v>
      </c>
      <c r="E4072" s="2" t="s">
        <v>1099</v>
      </c>
      <c r="F4072" s="2" t="e">
        <f>VLOOKUP(B4072,MSCI中国成分股!A:B,1,)</f>
        <v>#N/A</v>
      </c>
    </row>
    <row r="4073" spans="1:6" ht="20.25" hidden="1" customHeight="1" x14ac:dyDescent="0.15">
      <c r="A4073" s="2" t="s">
        <v>8399</v>
      </c>
      <c r="B4073" s="2" t="s">
        <v>8400</v>
      </c>
      <c r="C4073" s="2">
        <v>0.76</v>
      </c>
      <c r="D4073" s="2">
        <v>9.9266000000000005</v>
      </c>
      <c r="E4073" s="2" t="s">
        <v>699</v>
      </c>
      <c r="F4073" s="2" t="e">
        <f>VLOOKUP(B4073,MSCI中国成分股!A:B,1,)</f>
        <v>#N/A</v>
      </c>
    </row>
    <row r="4074" spans="1:6" ht="20.25" hidden="1" customHeight="1" x14ac:dyDescent="0.15">
      <c r="A4074" s="2" t="s">
        <v>8401</v>
      </c>
      <c r="B4074" s="2" t="s">
        <v>8402</v>
      </c>
      <c r="C4074" s="2">
        <v>2.23</v>
      </c>
      <c r="D4074" s="2">
        <v>1.6157999999999999</v>
      </c>
      <c r="E4074" s="2" t="s">
        <v>1853</v>
      </c>
      <c r="F4074" s="2" t="e">
        <f>VLOOKUP(B4074,MSCI中国成分股!A:B,1,)</f>
        <v>#N/A</v>
      </c>
    </row>
    <row r="4075" spans="1:6" ht="20.25" hidden="1" customHeight="1" x14ac:dyDescent="0.15">
      <c r="A4075" s="2" t="s">
        <v>8403</v>
      </c>
      <c r="B4075" s="2" t="s">
        <v>8404</v>
      </c>
      <c r="C4075" s="2">
        <v>0.52</v>
      </c>
      <c r="D4075" s="2">
        <v>0.88080000000000003</v>
      </c>
      <c r="E4075" s="2" t="s">
        <v>1158</v>
      </c>
      <c r="F4075" s="2" t="e">
        <f>VLOOKUP(B4075,MSCI中国成分股!A:B,1,)</f>
        <v>#N/A</v>
      </c>
    </row>
    <row r="4076" spans="1:6" ht="20.25" hidden="1" customHeight="1" x14ac:dyDescent="0.15">
      <c r="A4076" s="2" t="s">
        <v>8405</v>
      </c>
      <c r="B4076" s="2" t="s">
        <v>8406</v>
      </c>
      <c r="C4076" s="2">
        <v>1.46</v>
      </c>
      <c r="D4076" s="2">
        <v>6.5792999999999999</v>
      </c>
      <c r="E4076" s="2" t="s">
        <v>3102</v>
      </c>
      <c r="F4076" s="2" t="e">
        <f>VLOOKUP(B4076,MSCI中国成分股!A:B,1,)</f>
        <v>#N/A</v>
      </c>
    </row>
    <row r="4077" spans="1:6" ht="20.25" hidden="1" customHeight="1" x14ac:dyDescent="0.15">
      <c r="A4077" s="2" t="s">
        <v>8407</v>
      </c>
      <c r="B4077" s="2" t="s">
        <v>8408</v>
      </c>
      <c r="C4077" s="2">
        <v>1.44</v>
      </c>
      <c r="D4077" s="2">
        <v>2.0937999999999999</v>
      </c>
      <c r="E4077" s="2" t="s">
        <v>3971</v>
      </c>
      <c r="F4077" s="2" t="e">
        <f>VLOOKUP(B4077,MSCI中国成分股!A:B,1,)</f>
        <v>#N/A</v>
      </c>
    </row>
    <row r="4078" spans="1:6" ht="20.25" hidden="1" customHeight="1" x14ac:dyDescent="0.15">
      <c r="A4078" s="2" t="s">
        <v>8409</v>
      </c>
      <c r="B4078" s="2" t="s">
        <v>8410</v>
      </c>
      <c r="C4078" s="2">
        <v>-1.38</v>
      </c>
      <c r="D4078" s="2">
        <v>95.315399999999997</v>
      </c>
      <c r="E4078" s="2" t="s">
        <v>385</v>
      </c>
      <c r="F4078" s="2" t="e">
        <f>VLOOKUP(B4078,MSCI中国成分股!A:B,1,)</f>
        <v>#N/A</v>
      </c>
    </row>
    <row r="4079" spans="1:6" ht="20.25" hidden="1" customHeight="1" x14ac:dyDescent="0.15">
      <c r="A4079" s="2" t="s">
        <v>8411</v>
      </c>
      <c r="B4079" s="2" t="s">
        <v>8412</v>
      </c>
      <c r="C4079" s="2">
        <v>4.62</v>
      </c>
      <c r="D4079" s="2">
        <v>11.656700000000001</v>
      </c>
      <c r="E4079" s="2" t="s">
        <v>713</v>
      </c>
      <c r="F4079" s="2" t="e">
        <f>VLOOKUP(B4079,MSCI中国成分股!A:B,1,)</f>
        <v>#N/A</v>
      </c>
    </row>
    <row r="4080" spans="1:6" ht="20.25" hidden="1" customHeight="1" x14ac:dyDescent="0.15">
      <c r="A4080" s="2" t="s">
        <v>8413</v>
      </c>
      <c r="B4080" s="2" t="s">
        <v>8414</v>
      </c>
      <c r="C4080" s="2">
        <v>1.4950000000000001</v>
      </c>
      <c r="D4080" s="2">
        <v>4.3838999999999997</v>
      </c>
      <c r="E4080" s="2" t="s">
        <v>3048</v>
      </c>
      <c r="F4080" s="2" t="e">
        <f>VLOOKUP(B4080,MSCI中国成分股!A:B,1,)</f>
        <v>#N/A</v>
      </c>
    </row>
    <row r="4081" spans="1:6" ht="20.25" hidden="1" customHeight="1" x14ac:dyDescent="0.15">
      <c r="A4081" s="2" t="s">
        <v>8415</v>
      </c>
      <c r="B4081" s="2" t="s">
        <v>8416</v>
      </c>
      <c r="C4081" s="2">
        <v>0.71</v>
      </c>
      <c r="D4081" s="2">
        <v>3.6846000000000001</v>
      </c>
      <c r="E4081" s="2" t="s">
        <v>1338</v>
      </c>
      <c r="F4081" s="2" t="e">
        <f>VLOOKUP(B4081,MSCI中国成分股!A:B,1,)</f>
        <v>#N/A</v>
      </c>
    </row>
    <row r="4082" spans="1:6" ht="20.25" hidden="1" customHeight="1" x14ac:dyDescent="0.15">
      <c r="A4082" s="2" t="s">
        <v>8417</v>
      </c>
      <c r="B4082" s="2" t="s">
        <v>8418</v>
      </c>
      <c r="C4082" s="2">
        <v>1.91</v>
      </c>
      <c r="D4082" s="2">
        <v>6.6158000000000001</v>
      </c>
      <c r="E4082" s="2" t="s">
        <v>1145</v>
      </c>
      <c r="F4082" s="2" t="e">
        <f>VLOOKUP(B4082,MSCI中国成分股!A:B,1,)</f>
        <v>#N/A</v>
      </c>
    </row>
  </sheetData>
  <autoFilter ref="A1:F4082">
    <filterColumn colId="5">
      <filters>
        <filter val="000002"/>
        <filter val="000009"/>
        <filter val="000021"/>
        <filter val="000027"/>
        <filter val="000039"/>
        <filter val="000050"/>
        <filter val="000063"/>
        <filter val="000100"/>
        <filter val="000157"/>
        <filter val="000301"/>
        <filter val="000333"/>
        <filter val="000338"/>
        <filter val="000400"/>
        <filter val="000403"/>
        <filter val="000408"/>
        <filter val="000423"/>
        <filter val="000425"/>
        <filter val="000513"/>
        <filter val="000519"/>
        <filter val="000538"/>
        <filter val="000568"/>
        <filter val="000596"/>
        <filter val="000598"/>
        <filter val="000617"/>
        <filter val="000625"/>
        <filter val="000629"/>
        <filter val="000630"/>
        <filter val="000651"/>
        <filter val="000661"/>
        <filter val="000683"/>
        <filter val="000703"/>
        <filter val="000708"/>
        <filter val="000709"/>
        <filter val="000723"/>
        <filter val="000725"/>
        <filter val="000729"/>
        <filter val="000733"/>
        <filter val="000738"/>
        <filter val="000768"/>
        <filter val="000786"/>
        <filter val="000792"/>
        <filter val="000800"/>
        <filter val="000807"/>
        <filter val="000825"/>
        <filter val="000830"/>
        <filter val="000831"/>
        <filter val="000858"/>
        <filter val="000876"/>
        <filter val="000878"/>
        <filter val="000895"/>
        <filter val="000921"/>
        <filter val="000932"/>
        <filter val="000933"/>
        <filter val="000938"/>
        <filter val="000960"/>
        <filter val="000963"/>
        <filter val="000975"/>
        <filter val="000977"/>
        <filter val="000983"/>
        <filter val="000988"/>
        <filter val="000999"/>
        <filter val="001965"/>
        <filter val="001979"/>
        <filter val="002001"/>
        <filter val="002007"/>
        <filter val="002008"/>
        <filter val="002025"/>
        <filter val="002027"/>
        <filter val="002028"/>
        <filter val="002032"/>
        <filter val="002049"/>
        <filter val="002050"/>
        <filter val="002056"/>
        <filter val="002064"/>
        <filter val="002074"/>
        <filter val="002078"/>
        <filter val="002080"/>
        <filter val="002085"/>
        <filter val="002120"/>
        <filter val="002128"/>
        <filter val="002129"/>
        <filter val="002138"/>
        <filter val="002152"/>
        <filter val="002156"/>
        <filter val="002179"/>
        <filter val="002180"/>
        <filter val="002185"/>
        <filter val="002202"/>
        <filter val="002223"/>
        <filter val="002230"/>
        <filter val="002236"/>
        <filter val="002241"/>
        <filter val="002244"/>
        <filter val="002252"/>
        <filter val="002262"/>
        <filter val="002271"/>
        <filter val="002273"/>
        <filter val="002281"/>
        <filter val="002294"/>
        <filter val="002304"/>
        <filter val="002311"/>
        <filter val="002340"/>
        <filter val="002352"/>
        <filter val="002353"/>
        <filter val="002371"/>
        <filter val="002372"/>
        <filter val="002384"/>
        <filter val="002409"/>
        <filter val="002414"/>
        <filter val="002415"/>
        <filter val="002422"/>
        <filter val="002429"/>
        <filter val="002430"/>
        <filter val="002432"/>
        <filter val="002439"/>
        <filter val="002444"/>
        <filter val="002456"/>
        <filter val="002459"/>
        <filter val="002460"/>
        <filter val="002463"/>
        <filter val="002465"/>
        <filter val="002466"/>
        <filter val="002472"/>
        <filter val="002475"/>
        <filter val="002493"/>
        <filter val="002508"/>
        <filter val="002517"/>
        <filter val="002532"/>
        <filter val="002555"/>
        <filter val="002558"/>
        <filter val="002594"/>
        <filter val="002595"/>
        <filter val="002600"/>
        <filter val="002601"/>
        <filter val="002602"/>
        <filter val="002603"/>
        <filter val="002625"/>
        <filter val="002648"/>
        <filter val="002709"/>
        <filter val="002714"/>
        <filter val="002738"/>
        <filter val="002739"/>
        <filter val="002756"/>
        <filter val="002812"/>
        <filter val="002821"/>
        <filter val="002831"/>
        <filter val="002841"/>
        <filter val="002850"/>
        <filter val="002916"/>
        <filter val="002920"/>
        <filter val="002938"/>
        <filter val="002984"/>
        <filter val="003816"/>
        <filter val="300001"/>
        <filter val="300003"/>
        <filter val="300012"/>
        <filter val="300014"/>
        <filter val="300015"/>
        <filter val="300017"/>
        <filter val="300033"/>
        <filter val="300037"/>
        <filter val="300054"/>
        <filter val="300059"/>
        <filter val="300114"/>
        <filter val="300122"/>
        <filter val="300124"/>
        <filter val="300136"/>
        <filter val="300142"/>
        <filter val="300144"/>
        <filter val="300146"/>
        <filter val="300207"/>
        <filter val="300223"/>
        <filter val="300251"/>
        <filter val="300274"/>
        <filter val="300285"/>
        <filter val="300308"/>
        <filter val="300316"/>
        <filter val="300347"/>
        <filter val="300373"/>
        <filter val="300394"/>
        <filter val="300408"/>
        <filter val="300413"/>
        <filter val="300418"/>
        <filter val="300433"/>
        <filter val="300442"/>
        <filter val="300450"/>
        <filter val="300454"/>
        <filter val="300474"/>
        <filter val="300476"/>
        <filter val="300487"/>
        <filter val="300496"/>
        <filter val="300498"/>
        <filter val="300502"/>
        <filter val="300529"/>
        <filter val="300628"/>
        <filter val="300661"/>
        <filter val="300699"/>
        <filter val="300724"/>
        <filter val="300750"/>
        <filter val="300751"/>
        <filter val="300759"/>
        <filter val="300760"/>
        <filter val="300763"/>
        <filter val="300765"/>
        <filter val="300782"/>
        <filter val="300832"/>
        <filter val="300866"/>
        <filter val="300896"/>
        <filter val="300919"/>
        <filter val="300999"/>
        <filter val="600004"/>
        <filter val="600008"/>
        <filter val="600009"/>
        <filter val="600010"/>
        <filter val="600011"/>
        <filter val="600018"/>
        <filter val="600019"/>
        <filter val="600021"/>
        <filter val="600023"/>
        <filter val="600025"/>
        <filter val="600026"/>
        <filter val="600027"/>
        <filter val="600028"/>
        <filter val="600029"/>
        <filter val="600031"/>
        <filter val="600038"/>
        <filter val="600039"/>
        <filter val="600048"/>
        <filter val="600050"/>
        <filter val="600060"/>
        <filter val="600061"/>
        <filter val="600062"/>
        <filter val="600066"/>
        <filter val="600079"/>
        <filter val="600085"/>
        <filter val="600089"/>
        <filter val="600096"/>
        <filter val="600104"/>
        <filter val="600111"/>
        <filter val="600115"/>
        <filter val="600118"/>
        <filter val="600132"/>
        <filter val="600141"/>
        <filter val="600150"/>
        <filter val="600153"/>
        <filter val="600157"/>
        <filter val="600160"/>
        <filter val="600161"/>
        <filter val="600166"/>
        <filter val="600170"/>
        <filter val="600176"/>
        <filter val="600177"/>
        <filter val="600183"/>
        <filter val="600188"/>
        <filter val="600196"/>
        <filter val="600219"/>
        <filter val="600221"/>
        <filter val="600233"/>
        <filter val="600256"/>
        <filter val="600276"/>
        <filter val="600282"/>
        <filter val="600298"/>
        <filter val="600309"/>
        <filter val="600329"/>
        <filter val="600332"/>
        <filter val="600346"/>
        <filter val="600348"/>
        <filter val="600352"/>
        <filter val="600362"/>
        <filter val="600372"/>
        <filter val="600380"/>
        <filter val="600390"/>
        <filter val="600398"/>
        <filter val="600406"/>
        <filter val="600415"/>
        <filter val="600418"/>
        <filter val="600426"/>
        <filter val="600436"/>
        <filter val="600438"/>
        <filter val="600460"/>
        <filter val="600482"/>
        <filter val="600486"/>
        <filter val="600487"/>
        <filter val="600489"/>
        <filter val="600497"/>
        <filter val="600498"/>
        <filter val="600511"/>
        <filter val="600515"/>
        <filter val="600517"/>
        <filter val="600519"/>
        <filter val="600521"/>
        <filter val="600522"/>
        <filter val="600535"/>
        <filter val="600536"/>
        <filter val="600546"/>
        <filter val="600547"/>
        <filter val="600549"/>
        <filter val="600563"/>
        <filter val="600566"/>
        <filter val="600570"/>
        <filter val="600582"/>
        <filter val="600583"/>
        <filter val="600584"/>
        <filter val="600585"/>
        <filter val="600588"/>
        <filter val="600598"/>
        <filter val="600600"/>
        <filter val="600637"/>
        <filter val="600642"/>
        <filter val="600655"/>
        <filter val="600660"/>
        <filter val="600673"/>
        <filter val="600674"/>
        <filter val="600685"/>
        <filter val="600690"/>
        <filter val="600699"/>
        <filter val="600702"/>
        <filter val="600703"/>
        <filter val="600704"/>
        <filter val="600705"/>
        <filter val="600733"/>
        <filter val="600737"/>
        <filter val="600741"/>
        <filter val="600745"/>
        <filter val="600754"/>
        <filter val="600760"/>
        <filter val="600763"/>
        <filter val="600765"/>
        <filter val="600779"/>
        <filter val="600795"/>
        <filter val="600801"/>
        <filter val="600803"/>
        <filter val="600809"/>
        <filter val="600816"/>
        <filter val="600820"/>
        <filter val="600827"/>
        <filter val="600839"/>
        <filter val="600845"/>
        <filter val="600848"/>
        <filter val="600862"/>
        <filter val="600863"/>
        <filter val="600873"/>
        <filter val="600875"/>
        <filter val="600879"/>
        <filter val="600885"/>
        <filter val="600886"/>
        <filter val="600887"/>
        <filter val="600893"/>
        <filter val="600895"/>
        <filter val="600900"/>
        <filter val="600968"/>
        <filter val="600970"/>
        <filter val="600985"/>
        <filter val="600988"/>
        <filter val="600989"/>
        <filter val="600998"/>
        <filter val="601000"/>
        <filter val="601001"/>
        <filter val="601006"/>
        <filter val="601012"/>
        <filter val="601016"/>
        <filter val="601018"/>
        <filter val="601021"/>
        <filter val="601058"/>
        <filter val="601088"/>
        <filter val="601100"/>
        <filter val="601111"/>
        <filter val="601117"/>
        <filter val="601118"/>
        <filter val="601127"/>
        <filter val="601138"/>
        <filter val="601155"/>
        <filter val="601168"/>
        <filter val="601179"/>
        <filter val="601186"/>
        <filter val="601216"/>
        <filter val="601225"/>
        <filter val="601231"/>
        <filter val="601233"/>
        <filter val="601238"/>
        <filter val="601333"/>
        <filter val="601360"/>
        <filter val="601390"/>
        <filter val="601567"/>
        <filter val="601600"/>
        <filter val="601607"/>
        <filter val="601615"/>
        <filter val="601618"/>
        <filter val="601633"/>
        <filter val="601666"/>
        <filter val="601668"/>
        <filter val="601669"/>
        <filter val="601689"/>
        <filter val="601699"/>
        <filter val="601717"/>
        <filter val="601727"/>
        <filter val="601766"/>
        <filter val="601799"/>
        <filter val="601800"/>
        <filter val="601816"/>
        <filter val="601857"/>
        <filter val="601865"/>
        <filter val="601866"/>
        <filter val="601872"/>
        <filter val="601877"/>
        <filter val="601880"/>
        <filter val="601888"/>
        <filter val="601899"/>
        <filter val="601919"/>
        <filter val="601928"/>
        <filter val="601933"/>
        <filter val="601958"/>
        <filter val="601966"/>
        <filter val="601985"/>
        <filter val="601989"/>
        <filter val="601991"/>
        <filter val="603000"/>
        <filter val="603019"/>
        <filter val="603087"/>
        <filter val="603156"/>
        <filter val="603160"/>
        <filter val="603179"/>
        <filter val="603195"/>
        <filter val="603198"/>
        <filter val="603259"/>
        <filter val="603260"/>
        <filter val="603288"/>
        <filter val="603290"/>
        <filter val="603298"/>
        <filter val="603338"/>
        <filter val="603345"/>
        <filter val="603369"/>
        <filter val="603392"/>
        <filter val="603486"/>
        <filter val="603501"/>
        <filter val="603568"/>
        <filter val="603589"/>
        <filter val="603596"/>
        <filter val="603605"/>
        <filter val="603606"/>
        <filter val="603658"/>
        <filter val="603659"/>
        <filter val="603799"/>
        <filter val="603806"/>
        <filter val="603816"/>
        <filter val="603833"/>
        <filter val="603885"/>
        <filter val="603893"/>
        <filter val="603899"/>
        <filter val="603939"/>
        <filter val="603979"/>
        <filter val="603980"/>
        <filter val="603986"/>
        <filter val="603993"/>
        <filter val="688008"/>
        <filter val="688009"/>
        <filter val="688012"/>
        <filter val="688036"/>
        <filter val="688065"/>
        <filter val="688082"/>
        <filter val="688099"/>
        <filter val="688111"/>
        <filter val="688122"/>
        <filter val="688126"/>
        <filter val="688169"/>
        <filter val="688180"/>
        <filter val="688187"/>
        <filter val="688188"/>
        <filter val="688235"/>
        <filter val="688256"/>
        <filter val="688303"/>
        <filter val="688363"/>
        <filter val="688599"/>
        <filter val="688617"/>
        <filter val="688728"/>
        <filter val="688777"/>
        <filter val="688981"/>
      </filters>
    </filterColumn>
    <sortState ref="A2:F3222">
      <sortCondition descending="1" ref="C1:C4082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28"/>
  <sheetViews>
    <sheetView workbookViewId="0"/>
  </sheetViews>
  <sheetFormatPr defaultRowHeight="14.25" x14ac:dyDescent="0.15"/>
  <cols>
    <col min="2" max="2" width="14.625" customWidth="1"/>
    <col min="6" max="6" width="15.5" bestFit="1" customWidth="1"/>
  </cols>
  <sheetData>
    <row r="1" spans="1:6" ht="24.75" thickBot="1" x14ac:dyDescent="0.2">
      <c r="A1" s="28" t="s">
        <v>8613</v>
      </c>
      <c r="B1" s="24" t="s">
        <v>8613</v>
      </c>
      <c r="C1" s="28" t="s">
        <v>8614</v>
      </c>
      <c r="D1" s="28" t="s">
        <v>8615</v>
      </c>
      <c r="E1" s="28" t="s">
        <v>8616</v>
      </c>
      <c r="F1" s="29" t="s">
        <v>8617</v>
      </c>
    </row>
    <row r="2" spans="1:6" ht="15" thickBot="1" x14ac:dyDescent="0.2">
      <c r="A2" s="30" t="s">
        <v>14913</v>
      </c>
      <c r="B2" s="26" t="str">
        <f>LEFT(A2,6)</f>
        <v>600519</v>
      </c>
      <c r="C2" s="30" t="s">
        <v>5</v>
      </c>
      <c r="D2" s="31">
        <v>1266.9000000000001</v>
      </c>
      <c r="E2" s="31">
        <v>-2.86</v>
      </c>
      <c r="F2" s="31">
        <v>1591477000000</v>
      </c>
    </row>
    <row r="3" spans="1:6" ht="15" thickBot="1" x14ac:dyDescent="0.2">
      <c r="A3" s="30" t="s">
        <v>8618</v>
      </c>
      <c r="B3" s="26" t="str">
        <f t="shared" ref="B3:B66" si="0">LEFT(A3,6)</f>
        <v>601398</v>
      </c>
      <c r="C3" s="30" t="s">
        <v>8512</v>
      </c>
      <c r="D3" s="31">
        <v>5.68</v>
      </c>
      <c r="E3" s="31">
        <v>2.16</v>
      </c>
      <c r="F3" s="31">
        <v>1531397400000</v>
      </c>
    </row>
    <row r="4" spans="1:6" ht="15" thickBot="1" x14ac:dyDescent="0.2">
      <c r="A4" s="30" t="s">
        <v>8619</v>
      </c>
      <c r="B4" s="26" t="str">
        <f t="shared" si="0"/>
        <v>601288</v>
      </c>
      <c r="C4" s="30" t="s">
        <v>8471</v>
      </c>
      <c r="D4" s="31">
        <v>4.5</v>
      </c>
      <c r="E4" s="31">
        <v>1.35</v>
      </c>
      <c r="F4" s="31">
        <v>1436598900000</v>
      </c>
    </row>
    <row r="5" spans="1:6" ht="15" thickBot="1" x14ac:dyDescent="0.2">
      <c r="A5" s="30" t="s">
        <v>8620</v>
      </c>
      <c r="B5" s="26" t="str">
        <f t="shared" si="0"/>
        <v>601857</v>
      </c>
      <c r="C5" s="30" t="s">
        <v>8</v>
      </c>
      <c r="D5" s="31">
        <v>8.06</v>
      </c>
      <c r="E5" s="31">
        <v>2.0299999999999998</v>
      </c>
      <c r="F5" s="31">
        <v>1305091950000</v>
      </c>
    </row>
    <row r="6" spans="1:6" ht="15" thickBot="1" x14ac:dyDescent="0.2">
      <c r="A6" s="30" t="s">
        <v>8621</v>
      </c>
      <c r="B6" s="26" t="str">
        <f t="shared" si="0"/>
        <v>601988</v>
      </c>
      <c r="C6" s="30" t="s">
        <v>8504</v>
      </c>
      <c r="D6" s="31">
        <v>4.6500000000000004</v>
      </c>
      <c r="E6" s="31">
        <v>1.53</v>
      </c>
      <c r="F6" s="31">
        <v>980059640000</v>
      </c>
    </row>
    <row r="7" spans="1:6" ht="15" thickBot="1" x14ac:dyDescent="0.2">
      <c r="A7" s="30" t="s">
        <v>8622</v>
      </c>
      <c r="B7" s="26" t="str">
        <f t="shared" si="0"/>
        <v>601628</v>
      </c>
      <c r="C7" s="30" t="s">
        <v>8461</v>
      </c>
      <c r="D7" s="31">
        <v>35.119999999999997</v>
      </c>
      <c r="E7" s="31">
        <v>3.05</v>
      </c>
      <c r="F7" s="31">
        <v>731322370000</v>
      </c>
    </row>
    <row r="8" spans="1:6" ht="15" thickBot="1" x14ac:dyDescent="0.2">
      <c r="A8" s="30" t="s">
        <v>8623</v>
      </c>
      <c r="B8" s="26" t="str">
        <f t="shared" si="0"/>
        <v>300750</v>
      </c>
      <c r="C8" s="30" t="s">
        <v>11</v>
      </c>
      <c r="D8" s="31">
        <v>186.4</v>
      </c>
      <c r="E8" s="31">
        <v>1.58</v>
      </c>
      <c r="F8" s="31">
        <v>726000880000</v>
      </c>
    </row>
    <row r="9" spans="1:6" ht="15" thickBot="1" x14ac:dyDescent="0.2">
      <c r="A9" s="30" t="s">
        <v>8624</v>
      </c>
      <c r="B9" s="26" t="str">
        <f t="shared" si="0"/>
        <v>600900</v>
      </c>
      <c r="C9" s="30" t="s">
        <v>22</v>
      </c>
      <c r="D9" s="31">
        <v>28.32</v>
      </c>
      <c r="E9" s="31">
        <v>7.0000000000000007E-2</v>
      </c>
      <c r="F9" s="31">
        <v>679885500000</v>
      </c>
    </row>
    <row r="10" spans="1:6" ht="15" thickBot="1" x14ac:dyDescent="0.2">
      <c r="A10" s="30" t="s">
        <v>8625</v>
      </c>
      <c r="B10" s="26" t="str">
        <f t="shared" si="0"/>
        <v>600036</v>
      </c>
      <c r="C10" s="30" t="s">
        <v>8465</v>
      </c>
      <c r="D10" s="31">
        <v>31.11</v>
      </c>
      <c r="E10" s="31">
        <v>1.67</v>
      </c>
      <c r="F10" s="31">
        <v>641766460000</v>
      </c>
    </row>
    <row r="11" spans="1:6" ht="15" thickBot="1" x14ac:dyDescent="0.2">
      <c r="A11" s="30" t="s">
        <v>8626</v>
      </c>
      <c r="B11" s="26" t="str">
        <f t="shared" si="0"/>
        <v>601088</v>
      </c>
      <c r="C11" s="30" t="s">
        <v>19</v>
      </c>
      <c r="D11" s="31">
        <v>38.24</v>
      </c>
      <c r="E11" s="31">
        <v>1.03</v>
      </c>
      <c r="F11" s="31">
        <v>630617290000</v>
      </c>
    </row>
    <row r="12" spans="1:6" ht="15" thickBot="1" x14ac:dyDescent="0.2">
      <c r="A12" s="30" t="s">
        <v>8627</v>
      </c>
      <c r="B12" s="26" t="str">
        <f t="shared" si="0"/>
        <v>600028</v>
      </c>
      <c r="C12" s="30" t="s">
        <v>14</v>
      </c>
      <c r="D12" s="31">
        <v>6.39</v>
      </c>
      <c r="E12" s="31">
        <v>3.23</v>
      </c>
      <c r="F12" s="31">
        <v>606870890000</v>
      </c>
    </row>
    <row r="13" spans="1:6" ht="15" thickBot="1" x14ac:dyDescent="0.2">
      <c r="A13" s="30" t="s">
        <v>8628</v>
      </c>
      <c r="B13" s="26" t="str">
        <f t="shared" si="0"/>
        <v>601318</v>
      </c>
      <c r="C13" s="30" t="s">
        <v>8492</v>
      </c>
      <c r="D13" s="31">
        <v>43.7</v>
      </c>
      <c r="E13" s="31">
        <v>1.89</v>
      </c>
      <c r="F13" s="31">
        <v>470328140000</v>
      </c>
    </row>
    <row r="14" spans="1:6" ht="15" thickBot="1" x14ac:dyDescent="0.2">
      <c r="A14" s="30" t="s">
        <v>8629</v>
      </c>
      <c r="B14" s="26" t="str">
        <f t="shared" si="0"/>
        <v>000333</v>
      </c>
      <c r="C14" s="30" t="s">
        <v>30</v>
      </c>
      <c r="D14" s="31">
        <v>65.25</v>
      </c>
      <c r="E14" s="31">
        <v>2.74</v>
      </c>
      <c r="F14" s="31">
        <v>448826560000</v>
      </c>
    </row>
    <row r="15" spans="1:6" ht="15" thickBot="1" x14ac:dyDescent="0.2">
      <c r="A15" s="30" t="s">
        <v>8630</v>
      </c>
      <c r="B15" s="26" t="str">
        <f t="shared" si="0"/>
        <v>000858</v>
      </c>
      <c r="C15" s="30" t="s">
        <v>28</v>
      </c>
      <c r="D15" s="31">
        <v>107.69</v>
      </c>
      <c r="E15" s="31">
        <v>-1.38</v>
      </c>
      <c r="F15" s="31">
        <v>418001520000</v>
      </c>
    </row>
    <row r="16" spans="1:6" ht="15" thickBot="1" x14ac:dyDescent="0.2">
      <c r="A16" s="30" t="s">
        <v>8631</v>
      </c>
      <c r="B16" s="26" t="str">
        <f t="shared" si="0"/>
        <v>601138</v>
      </c>
      <c r="C16" s="30" t="s">
        <v>33</v>
      </c>
      <c r="D16" s="31">
        <v>18.75</v>
      </c>
      <c r="E16" s="31">
        <v>-2.6</v>
      </c>
      <c r="F16" s="31">
        <v>372419740000</v>
      </c>
    </row>
    <row r="17" spans="1:6" ht="15" thickBot="1" x14ac:dyDescent="0.2">
      <c r="A17" s="30" t="s">
        <v>8632</v>
      </c>
      <c r="B17" s="26" t="str">
        <f t="shared" si="0"/>
        <v>601166</v>
      </c>
      <c r="C17" s="30" t="s">
        <v>8438</v>
      </c>
      <c r="D17" s="31">
        <v>16.07</v>
      </c>
      <c r="E17" s="31">
        <v>0.63</v>
      </c>
      <c r="F17" s="31">
        <v>333843010000</v>
      </c>
    </row>
    <row r="18" spans="1:6" ht="15" thickBot="1" x14ac:dyDescent="0.2">
      <c r="A18" s="30" t="s">
        <v>8633</v>
      </c>
      <c r="B18" s="26" t="str">
        <f t="shared" si="0"/>
        <v>601658</v>
      </c>
      <c r="C18" s="30" t="s">
        <v>8634</v>
      </c>
      <c r="D18" s="31">
        <v>4.6500000000000004</v>
      </c>
      <c r="E18" s="31">
        <v>1.75</v>
      </c>
      <c r="F18" s="31">
        <v>312119140000</v>
      </c>
    </row>
    <row r="19" spans="1:6" ht="15" thickBot="1" x14ac:dyDescent="0.2">
      <c r="A19" s="30" t="s">
        <v>8635</v>
      </c>
      <c r="B19" s="26" t="str">
        <f t="shared" si="0"/>
        <v>601899</v>
      </c>
      <c r="C19" s="30" t="s">
        <v>36</v>
      </c>
      <c r="D19" s="31">
        <v>15.04</v>
      </c>
      <c r="E19" s="31">
        <v>2.4500000000000002</v>
      </c>
      <c r="F19" s="31">
        <v>309166650000</v>
      </c>
    </row>
    <row r="20" spans="1:6" ht="15" thickBot="1" x14ac:dyDescent="0.2">
      <c r="A20" s="30" t="s">
        <v>8636</v>
      </c>
      <c r="B20" s="26" t="str">
        <f t="shared" si="0"/>
        <v>002594</v>
      </c>
      <c r="C20" s="30" t="s">
        <v>16</v>
      </c>
      <c r="D20" s="31">
        <v>258.43</v>
      </c>
      <c r="E20" s="31">
        <v>1.35</v>
      </c>
      <c r="F20" s="31">
        <v>300413900000</v>
      </c>
    </row>
    <row r="21" spans="1:6" ht="15" thickBot="1" x14ac:dyDescent="0.2">
      <c r="A21" s="30" t="s">
        <v>8637</v>
      </c>
      <c r="B21" s="26" t="str">
        <f t="shared" si="0"/>
        <v>600276</v>
      </c>
      <c r="C21" s="30" t="s">
        <v>42</v>
      </c>
      <c r="D21" s="31">
        <v>45.12</v>
      </c>
      <c r="E21" s="31">
        <v>0.78</v>
      </c>
      <c r="F21" s="31">
        <v>287820580000</v>
      </c>
    </row>
    <row r="22" spans="1:6" ht="15" thickBot="1" x14ac:dyDescent="0.2">
      <c r="A22" s="30" t="s">
        <v>8638</v>
      </c>
      <c r="B22" s="26" t="str">
        <f t="shared" si="0"/>
        <v>300760</v>
      </c>
      <c r="C22" s="30" t="s">
        <v>39</v>
      </c>
      <c r="D22" s="31">
        <v>228.07</v>
      </c>
      <c r="E22" s="31">
        <v>-1.55</v>
      </c>
      <c r="F22" s="31">
        <v>276521290000</v>
      </c>
    </row>
    <row r="23" spans="1:6" ht="15" thickBot="1" x14ac:dyDescent="0.2">
      <c r="A23" s="30" t="s">
        <v>8639</v>
      </c>
      <c r="B23" s="26" t="str">
        <f t="shared" si="0"/>
        <v>601816</v>
      </c>
      <c r="C23" s="30" t="s">
        <v>47</v>
      </c>
      <c r="D23" s="31">
        <v>5.3</v>
      </c>
      <c r="E23" s="31">
        <v>0.56999999999999995</v>
      </c>
      <c r="F23" s="31">
        <v>260264370000</v>
      </c>
    </row>
    <row r="24" spans="1:6" ht="15" thickBot="1" x14ac:dyDescent="0.2">
      <c r="A24" s="30" t="s">
        <v>8640</v>
      </c>
      <c r="B24" s="26" t="str">
        <f t="shared" si="0"/>
        <v>002475</v>
      </c>
      <c r="C24" s="30" t="s">
        <v>45</v>
      </c>
      <c r="D24" s="31">
        <v>35.9</v>
      </c>
      <c r="E24" s="31">
        <v>-3.37</v>
      </c>
      <c r="F24" s="31">
        <v>258040090000</v>
      </c>
    </row>
    <row r="25" spans="1:6" ht="15" thickBot="1" x14ac:dyDescent="0.2">
      <c r="A25" s="30" t="s">
        <v>8641</v>
      </c>
      <c r="B25" s="26" t="str">
        <f t="shared" si="0"/>
        <v>601328</v>
      </c>
      <c r="C25" s="30" t="s">
        <v>8494</v>
      </c>
      <c r="D25" s="31">
        <v>6.55</v>
      </c>
      <c r="E25" s="31">
        <v>1.08</v>
      </c>
      <c r="F25" s="31">
        <v>257093160000</v>
      </c>
    </row>
    <row r="26" spans="1:6" ht="15" thickBot="1" x14ac:dyDescent="0.2">
      <c r="A26" s="30" t="s">
        <v>8642</v>
      </c>
      <c r="B26" s="26" t="str">
        <f t="shared" si="0"/>
        <v>600000</v>
      </c>
      <c r="C26" s="30" t="s">
        <v>8426</v>
      </c>
      <c r="D26" s="31">
        <v>8.32</v>
      </c>
      <c r="E26" s="31">
        <v>-0.36</v>
      </c>
      <c r="F26" s="31">
        <v>244210120000</v>
      </c>
    </row>
    <row r="27" spans="1:6" ht="15" thickBot="1" x14ac:dyDescent="0.2">
      <c r="A27" s="30" t="s">
        <v>8643</v>
      </c>
      <c r="B27" s="26" t="str">
        <f t="shared" si="0"/>
        <v>600030</v>
      </c>
      <c r="C27" s="30" t="s">
        <v>8560</v>
      </c>
      <c r="D27" s="31">
        <v>18.940000000000001</v>
      </c>
      <c r="E27" s="31">
        <v>0.11</v>
      </c>
      <c r="F27" s="31">
        <v>230623880000</v>
      </c>
    </row>
    <row r="28" spans="1:6" ht="15" thickBot="1" x14ac:dyDescent="0.2">
      <c r="A28" s="30" t="s">
        <v>8644</v>
      </c>
      <c r="B28" s="26" t="str">
        <f t="shared" si="0"/>
        <v>002415</v>
      </c>
      <c r="C28" s="30" t="s">
        <v>50</v>
      </c>
      <c r="D28" s="31">
        <v>25.13</v>
      </c>
      <c r="E28" s="31">
        <v>0.2</v>
      </c>
      <c r="F28" s="31">
        <v>228833750000</v>
      </c>
    </row>
    <row r="29" spans="1:6" ht="15" thickBot="1" x14ac:dyDescent="0.2">
      <c r="A29" s="30" t="s">
        <v>8645</v>
      </c>
      <c r="B29" s="26" t="str">
        <f t="shared" si="0"/>
        <v>600309</v>
      </c>
      <c r="C29" s="30" t="s">
        <v>53</v>
      </c>
      <c r="D29" s="31">
        <v>72.760000000000005</v>
      </c>
      <c r="E29" s="31">
        <v>2.67</v>
      </c>
      <c r="F29" s="31">
        <v>228447960000</v>
      </c>
    </row>
    <row r="30" spans="1:6" ht="15" thickBot="1" x14ac:dyDescent="0.2">
      <c r="A30" s="30" t="s">
        <v>8646</v>
      </c>
      <c r="B30" s="26" t="str">
        <f t="shared" si="0"/>
        <v>601225</v>
      </c>
      <c r="C30" s="30" t="s">
        <v>61</v>
      </c>
      <c r="D30" s="31">
        <v>23.25</v>
      </c>
      <c r="E30" s="31">
        <v>4.4000000000000004</v>
      </c>
      <c r="F30" s="31">
        <v>225408750000</v>
      </c>
    </row>
    <row r="31" spans="1:6" ht="15" thickBot="1" x14ac:dyDescent="0.2">
      <c r="A31" s="30" t="s">
        <v>8647</v>
      </c>
      <c r="B31" s="26" t="str">
        <f t="shared" si="0"/>
        <v>601998</v>
      </c>
      <c r="C31" s="30" t="s">
        <v>8648</v>
      </c>
      <c r="D31" s="31">
        <v>5.84</v>
      </c>
      <c r="E31" s="31">
        <v>0.52</v>
      </c>
      <c r="F31" s="31">
        <v>225276640000</v>
      </c>
    </row>
    <row r="32" spans="1:6" ht="15" thickBot="1" x14ac:dyDescent="0.2">
      <c r="A32" s="30" t="s">
        <v>8649</v>
      </c>
      <c r="B32" s="26" t="str">
        <f t="shared" si="0"/>
        <v>000651</v>
      </c>
      <c r="C32" s="30" t="s">
        <v>56</v>
      </c>
      <c r="D32" s="31">
        <v>40.520000000000003</v>
      </c>
      <c r="E32" s="31">
        <v>3.26</v>
      </c>
      <c r="F32" s="31">
        <v>224701480000</v>
      </c>
    </row>
    <row r="33" spans="1:6" ht="15" thickBot="1" x14ac:dyDescent="0.2">
      <c r="A33" s="30" t="s">
        <v>8650</v>
      </c>
      <c r="B33" s="26" t="str">
        <f t="shared" si="0"/>
        <v>601319</v>
      </c>
      <c r="C33" s="30" t="s">
        <v>8549</v>
      </c>
      <c r="D33" s="31">
        <v>6.05</v>
      </c>
      <c r="E33" s="31">
        <v>1.51</v>
      </c>
      <c r="F33" s="31">
        <v>214761430000</v>
      </c>
    </row>
    <row r="34" spans="1:6" ht="15" thickBot="1" x14ac:dyDescent="0.2">
      <c r="A34" s="30" t="s">
        <v>8651</v>
      </c>
      <c r="B34" s="26" t="str">
        <f t="shared" si="0"/>
        <v>601601</v>
      </c>
      <c r="C34" s="30" t="s">
        <v>8573</v>
      </c>
      <c r="D34" s="31">
        <v>30.45</v>
      </c>
      <c r="E34" s="31">
        <v>2.7</v>
      </c>
      <c r="F34" s="31">
        <v>208431510000</v>
      </c>
    </row>
    <row r="35" spans="1:6" ht="15" thickBot="1" x14ac:dyDescent="0.2">
      <c r="A35" s="30" t="s">
        <v>8652</v>
      </c>
      <c r="B35" s="26" t="str">
        <f t="shared" si="0"/>
        <v>600406</v>
      </c>
      <c r="C35" s="30" t="s">
        <v>66</v>
      </c>
      <c r="D35" s="31">
        <v>26.07</v>
      </c>
      <c r="E35" s="31">
        <v>0.89</v>
      </c>
      <c r="F35" s="31">
        <v>208155520000</v>
      </c>
    </row>
    <row r="36" spans="1:6" ht="15" thickBot="1" x14ac:dyDescent="0.2">
      <c r="A36" s="30" t="s">
        <v>8653</v>
      </c>
      <c r="B36" s="26" t="str">
        <f t="shared" si="0"/>
        <v>603288</v>
      </c>
      <c r="C36" s="30" t="s">
        <v>69</v>
      </c>
      <c r="D36" s="31">
        <v>36.14</v>
      </c>
      <c r="E36" s="31">
        <v>0.81</v>
      </c>
      <c r="F36" s="31">
        <v>200960100000</v>
      </c>
    </row>
    <row r="37" spans="1:6" ht="15" thickBot="1" x14ac:dyDescent="0.2">
      <c r="A37" s="30" t="s">
        <v>8654</v>
      </c>
      <c r="B37" s="26" t="str">
        <f t="shared" si="0"/>
        <v>601668</v>
      </c>
      <c r="C37" s="30" t="s">
        <v>72</v>
      </c>
      <c r="D37" s="31">
        <v>4.8</v>
      </c>
      <c r="E37" s="31">
        <v>0.63</v>
      </c>
      <c r="F37" s="31">
        <v>198337870000</v>
      </c>
    </row>
    <row r="38" spans="1:6" ht="15" thickBot="1" x14ac:dyDescent="0.2">
      <c r="A38" s="30" t="s">
        <v>8655</v>
      </c>
      <c r="B38" s="26" t="str">
        <f t="shared" si="0"/>
        <v>000001</v>
      </c>
      <c r="C38" s="30" t="s">
        <v>8444</v>
      </c>
      <c r="D38" s="31">
        <v>9.77</v>
      </c>
      <c r="E38" s="31">
        <v>0.72</v>
      </c>
      <c r="F38" s="31">
        <v>189592880000</v>
      </c>
    </row>
    <row r="39" spans="1:6" ht="15" thickBot="1" x14ac:dyDescent="0.2">
      <c r="A39" s="30" t="s">
        <v>8656</v>
      </c>
      <c r="B39" s="26" t="str">
        <f t="shared" si="0"/>
        <v>600025</v>
      </c>
      <c r="C39" s="30" t="s">
        <v>77</v>
      </c>
      <c r="D39" s="31">
        <v>10.39</v>
      </c>
      <c r="E39" s="31">
        <v>-0.19</v>
      </c>
      <c r="F39" s="31">
        <v>187020000000</v>
      </c>
    </row>
    <row r="40" spans="1:6" ht="15" thickBot="1" x14ac:dyDescent="0.2">
      <c r="A40" s="30" t="s">
        <v>8657</v>
      </c>
      <c r="B40" s="26" t="str">
        <f t="shared" si="0"/>
        <v>601985</v>
      </c>
      <c r="C40" s="30" t="s">
        <v>82</v>
      </c>
      <c r="D40" s="31">
        <v>9.84</v>
      </c>
      <c r="E40" s="31">
        <v>1.24</v>
      </c>
      <c r="F40" s="31">
        <v>185811520000</v>
      </c>
    </row>
    <row r="41" spans="1:6" ht="15" thickBot="1" x14ac:dyDescent="0.2">
      <c r="A41" s="30" t="s">
        <v>8658</v>
      </c>
      <c r="B41" s="26" t="str">
        <f t="shared" si="0"/>
        <v>600809</v>
      </c>
      <c r="C41" s="30" t="s">
        <v>75</v>
      </c>
      <c r="D41" s="31">
        <v>147.79</v>
      </c>
      <c r="E41" s="31">
        <v>-1.61</v>
      </c>
      <c r="F41" s="31">
        <v>180298510000</v>
      </c>
    </row>
    <row r="42" spans="1:6" ht="15" thickBot="1" x14ac:dyDescent="0.2">
      <c r="A42" s="30" t="s">
        <v>8659</v>
      </c>
      <c r="B42" s="26" t="str">
        <f t="shared" si="0"/>
        <v>002352</v>
      </c>
      <c r="C42" s="30" t="s">
        <v>87</v>
      </c>
      <c r="D42" s="31">
        <v>36.590000000000003</v>
      </c>
      <c r="E42" s="31">
        <v>1.3</v>
      </c>
      <c r="F42" s="31">
        <v>175211020000</v>
      </c>
    </row>
    <row r="43" spans="1:6" ht="15" thickBot="1" x14ac:dyDescent="0.2">
      <c r="A43" s="30" t="s">
        <v>8660</v>
      </c>
      <c r="B43" s="26" t="str">
        <f t="shared" si="0"/>
        <v>601766</v>
      </c>
      <c r="C43" s="30" t="s">
        <v>84</v>
      </c>
      <c r="D43" s="31">
        <v>6.86</v>
      </c>
      <c r="E43" s="31">
        <v>1.18</v>
      </c>
      <c r="F43" s="31">
        <v>166888690000</v>
      </c>
    </row>
    <row r="44" spans="1:6" ht="15" thickBot="1" x14ac:dyDescent="0.2">
      <c r="A44" s="30" t="s">
        <v>8661</v>
      </c>
      <c r="B44" s="26" t="str">
        <f t="shared" si="0"/>
        <v>600690</v>
      </c>
      <c r="C44" s="30" t="s">
        <v>58</v>
      </c>
      <c r="D44" s="31">
        <v>26.11</v>
      </c>
      <c r="E44" s="31">
        <v>3.28</v>
      </c>
      <c r="F44" s="31">
        <v>163305020000</v>
      </c>
    </row>
    <row r="45" spans="1:6" ht="15" thickBot="1" x14ac:dyDescent="0.2">
      <c r="A45" s="30" t="s">
        <v>8662</v>
      </c>
      <c r="B45" s="26" t="str">
        <f t="shared" si="0"/>
        <v>601919</v>
      </c>
      <c r="C45" s="30" t="s">
        <v>90</v>
      </c>
      <c r="D45" s="31">
        <v>12.3</v>
      </c>
      <c r="E45" s="31">
        <v>3.19</v>
      </c>
      <c r="F45" s="31">
        <v>156959070000</v>
      </c>
    </row>
    <row r="46" spans="1:6" ht="15" thickBot="1" x14ac:dyDescent="0.2">
      <c r="A46" s="30" t="s">
        <v>8663</v>
      </c>
      <c r="B46" s="26" t="str">
        <f t="shared" si="0"/>
        <v>002371</v>
      </c>
      <c r="C46" s="30" t="s">
        <v>104</v>
      </c>
      <c r="D46" s="31">
        <v>294.68</v>
      </c>
      <c r="E46" s="31">
        <v>0.56999999999999995</v>
      </c>
      <c r="F46" s="31">
        <v>156849060000</v>
      </c>
    </row>
    <row r="47" spans="1:6" ht="15" thickBot="1" x14ac:dyDescent="0.2">
      <c r="A47" s="30" t="s">
        <v>8664</v>
      </c>
      <c r="B47" s="26" t="str">
        <f t="shared" si="0"/>
        <v>600150</v>
      </c>
      <c r="C47" s="30" t="s">
        <v>109</v>
      </c>
      <c r="D47" s="31">
        <v>34.9</v>
      </c>
      <c r="E47" s="30" t="s">
        <v>8665</v>
      </c>
      <c r="F47" s="31">
        <v>156087760000</v>
      </c>
    </row>
    <row r="48" spans="1:6" ht="15" thickBot="1" x14ac:dyDescent="0.2">
      <c r="A48" s="30" t="s">
        <v>8666</v>
      </c>
      <c r="B48" s="26" t="str">
        <f t="shared" si="0"/>
        <v>003816</v>
      </c>
      <c r="C48" s="30" t="s">
        <v>79</v>
      </c>
      <c r="D48" s="31">
        <v>3.96</v>
      </c>
      <c r="E48" s="31">
        <v>0.25</v>
      </c>
      <c r="F48" s="31">
        <v>155766540000</v>
      </c>
    </row>
    <row r="49" spans="1:6" ht="15" thickBot="1" x14ac:dyDescent="0.2">
      <c r="A49" s="30" t="s">
        <v>8667</v>
      </c>
      <c r="B49" s="26" t="str">
        <f t="shared" si="0"/>
        <v>601633</v>
      </c>
      <c r="C49" s="30" t="s">
        <v>96</v>
      </c>
      <c r="D49" s="31">
        <v>23.88</v>
      </c>
      <c r="E49" s="31">
        <v>3.24</v>
      </c>
      <c r="F49" s="31">
        <v>147520570000</v>
      </c>
    </row>
    <row r="50" spans="1:6" ht="15" thickBot="1" x14ac:dyDescent="0.2">
      <c r="A50" s="30" t="s">
        <v>8668</v>
      </c>
      <c r="B50" s="26" t="str">
        <f t="shared" si="0"/>
        <v>000568</v>
      </c>
      <c r="C50" s="30" t="s">
        <v>107</v>
      </c>
      <c r="D50" s="31">
        <v>100.02</v>
      </c>
      <c r="E50" s="31">
        <v>-0.79</v>
      </c>
      <c r="F50" s="31">
        <v>146743430000</v>
      </c>
    </row>
    <row r="51" spans="1:6" ht="15" thickBot="1" x14ac:dyDescent="0.2">
      <c r="A51" s="30" t="s">
        <v>8669</v>
      </c>
      <c r="B51" s="26" t="str">
        <f t="shared" si="0"/>
        <v>601818</v>
      </c>
      <c r="C51" s="30" t="s">
        <v>8442</v>
      </c>
      <c r="D51" s="31">
        <v>3.05</v>
      </c>
      <c r="E51" s="31">
        <v>0.33</v>
      </c>
      <c r="F51" s="31">
        <v>141540790000</v>
      </c>
    </row>
    <row r="52" spans="1:6" ht="15" thickBot="1" x14ac:dyDescent="0.2">
      <c r="A52" s="30" t="s">
        <v>8670</v>
      </c>
      <c r="B52" s="26" t="str">
        <f t="shared" si="0"/>
        <v>300059</v>
      </c>
      <c r="C52" s="30" t="s">
        <v>98</v>
      </c>
      <c r="D52" s="31">
        <v>10.43</v>
      </c>
      <c r="E52" s="31">
        <v>0.48</v>
      </c>
      <c r="F52" s="31">
        <v>139337280000</v>
      </c>
    </row>
    <row r="53" spans="1:6" ht="15" thickBot="1" x14ac:dyDescent="0.2">
      <c r="A53" s="30" t="s">
        <v>8671</v>
      </c>
      <c r="B53" s="26" t="str">
        <f t="shared" si="0"/>
        <v>600050</v>
      </c>
      <c r="C53" s="30" t="s">
        <v>116</v>
      </c>
      <c r="D53" s="31">
        <v>4.4800000000000004</v>
      </c>
      <c r="E53" s="31">
        <v>0.22</v>
      </c>
      <c r="F53" s="31">
        <v>138726120000</v>
      </c>
    </row>
    <row r="54" spans="1:6" ht="15" thickBot="1" x14ac:dyDescent="0.2">
      <c r="A54" s="30" t="s">
        <v>8672</v>
      </c>
      <c r="B54" s="26" t="str">
        <f t="shared" si="0"/>
        <v>600919</v>
      </c>
      <c r="C54" s="30" t="s">
        <v>8449</v>
      </c>
      <c r="D54" s="31">
        <v>7.53</v>
      </c>
      <c r="E54" s="31">
        <v>0.53</v>
      </c>
      <c r="F54" s="31">
        <v>138185470000</v>
      </c>
    </row>
    <row r="55" spans="1:6" ht="15" thickBot="1" x14ac:dyDescent="0.2">
      <c r="A55" s="30" t="s">
        <v>8673</v>
      </c>
      <c r="B55" s="26" t="str">
        <f t="shared" si="0"/>
        <v>002714</v>
      </c>
      <c r="C55" s="30" t="s">
        <v>63</v>
      </c>
      <c r="D55" s="31">
        <v>36.159999999999997</v>
      </c>
      <c r="E55" s="31">
        <v>-3.34</v>
      </c>
      <c r="F55" s="31">
        <v>137795530000</v>
      </c>
    </row>
    <row r="56" spans="1:6" ht="15" thickBot="1" x14ac:dyDescent="0.2">
      <c r="A56" s="30" t="s">
        <v>8674</v>
      </c>
      <c r="B56" s="26" t="str">
        <f t="shared" si="0"/>
        <v>600104</v>
      </c>
      <c r="C56" s="30" t="s">
        <v>127</v>
      </c>
      <c r="D56" s="31">
        <v>11.78</v>
      </c>
      <c r="E56" s="31">
        <v>1.99</v>
      </c>
      <c r="F56" s="31">
        <v>136357030000</v>
      </c>
    </row>
    <row r="57" spans="1:6" ht="15" thickBot="1" x14ac:dyDescent="0.2">
      <c r="A57" s="30" t="s">
        <v>8675</v>
      </c>
      <c r="B57" s="26" t="str">
        <f t="shared" si="0"/>
        <v>600887</v>
      </c>
      <c r="C57" s="30" t="s">
        <v>118</v>
      </c>
      <c r="D57" s="31">
        <v>21.37</v>
      </c>
      <c r="E57" s="31">
        <v>-0.93</v>
      </c>
      <c r="F57" s="31">
        <v>134739860000</v>
      </c>
    </row>
    <row r="58" spans="1:6" ht="15" thickBot="1" x14ac:dyDescent="0.2">
      <c r="A58" s="30" t="s">
        <v>8676</v>
      </c>
      <c r="B58" s="26" t="str">
        <f t="shared" si="0"/>
        <v>600031</v>
      </c>
      <c r="C58" s="30" t="s">
        <v>135</v>
      </c>
      <c r="D58" s="31">
        <v>15.84</v>
      </c>
      <c r="E58" s="31">
        <v>3.67</v>
      </c>
      <c r="F58" s="31">
        <v>134073179000</v>
      </c>
    </row>
    <row r="59" spans="1:6" ht="15" thickBot="1" x14ac:dyDescent="0.2">
      <c r="A59" s="30" t="s">
        <v>8677</v>
      </c>
      <c r="B59" s="26" t="str">
        <f t="shared" si="0"/>
        <v>000725</v>
      </c>
      <c r="C59" s="30" t="s">
        <v>121</v>
      </c>
      <c r="D59" s="31">
        <v>3.63</v>
      </c>
      <c r="E59" s="31">
        <v>-0.55000000000000004</v>
      </c>
      <c r="F59" s="31">
        <v>133775322000</v>
      </c>
    </row>
    <row r="60" spans="1:6" ht="15" thickBot="1" x14ac:dyDescent="0.2">
      <c r="A60" s="30" t="s">
        <v>8678</v>
      </c>
      <c r="B60" s="26" t="str">
        <f t="shared" si="0"/>
        <v>600018</v>
      </c>
      <c r="C60" s="30" t="s">
        <v>132</v>
      </c>
      <c r="D60" s="31">
        <v>5.75</v>
      </c>
      <c r="E60" s="31">
        <v>1.23</v>
      </c>
      <c r="F60" s="31">
        <v>133483822000</v>
      </c>
    </row>
    <row r="61" spans="1:6" ht="15" thickBot="1" x14ac:dyDescent="0.2">
      <c r="A61" s="30" t="s">
        <v>8679</v>
      </c>
      <c r="B61" s="26" t="str">
        <f t="shared" si="0"/>
        <v>300308</v>
      </c>
      <c r="C61" s="30" t="s">
        <v>147</v>
      </c>
      <c r="D61" s="31">
        <v>113.64</v>
      </c>
      <c r="E61" s="31">
        <v>-1.98</v>
      </c>
      <c r="F61" s="31">
        <v>126789802000</v>
      </c>
    </row>
    <row r="62" spans="1:6" ht="15" thickBot="1" x14ac:dyDescent="0.2">
      <c r="A62" s="30" t="s">
        <v>8680</v>
      </c>
      <c r="B62" s="26" t="str">
        <f t="shared" si="0"/>
        <v>300274</v>
      </c>
      <c r="C62" s="30" t="s">
        <v>101</v>
      </c>
      <c r="D62" s="31">
        <v>78.77</v>
      </c>
      <c r="E62" s="31">
        <v>0.83</v>
      </c>
      <c r="F62" s="31">
        <v>125244391000</v>
      </c>
    </row>
    <row r="63" spans="1:6" ht="15" thickBot="1" x14ac:dyDescent="0.2">
      <c r="A63" s="30" t="s">
        <v>8681</v>
      </c>
      <c r="B63" s="26" t="str">
        <f t="shared" si="0"/>
        <v>600019</v>
      </c>
      <c r="C63" s="30" t="s">
        <v>144</v>
      </c>
      <c r="D63" s="31">
        <v>5.58</v>
      </c>
      <c r="E63" s="31">
        <v>0</v>
      </c>
      <c r="F63" s="31">
        <v>121967188000</v>
      </c>
    </row>
    <row r="64" spans="1:6" ht="15" thickBot="1" x14ac:dyDescent="0.2">
      <c r="A64" s="30" t="s">
        <v>8682</v>
      </c>
      <c r="B64" s="26" t="str">
        <f t="shared" si="0"/>
        <v>002142</v>
      </c>
      <c r="C64" s="30" t="s">
        <v>8518</v>
      </c>
      <c r="D64" s="31">
        <v>18.61</v>
      </c>
      <c r="E64" s="31">
        <v>0.98</v>
      </c>
      <c r="F64" s="31">
        <v>121404162000</v>
      </c>
    </row>
    <row r="65" spans="1:6" ht="15" thickBot="1" x14ac:dyDescent="0.2">
      <c r="A65" s="30" t="s">
        <v>8683</v>
      </c>
      <c r="B65" s="26" t="str">
        <f t="shared" si="0"/>
        <v>601728</v>
      </c>
      <c r="C65" s="30" t="s">
        <v>25</v>
      </c>
      <c r="D65" s="31">
        <v>5.93</v>
      </c>
      <c r="E65" s="31">
        <v>-0.34</v>
      </c>
      <c r="F65" s="31">
        <v>120098365000</v>
      </c>
    </row>
    <row r="66" spans="1:6" ht="15" thickBot="1" x14ac:dyDescent="0.2">
      <c r="A66" s="30" t="s">
        <v>8684</v>
      </c>
      <c r="B66" s="26" t="str">
        <f t="shared" si="0"/>
        <v>600016</v>
      </c>
      <c r="C66" s="30" t="s">
        <v>8432</v>
      </c>
      <c r="D66" s="31">
        <v>3.38</v>
      </c>
      <c r="E66" s="31">
        <v>1.81</v>
      </c>
      <c r="F66" s="31">
        <v>119861976000</v>
      </c>
    </row>
    <row r="67" spans="1:6" ht="15" thickBot="1" x14ac:dyDescent="0.2">
      <c r="A67" s="30" t="s">
        <v>8685</v>
      </c>
      <c r="B67" s="26" t="str">
        <f t="shared" ref="B67:B130" si="1">LEFT(A67,6)</f>
        <v>601898</v>
      </c>
      <c r="C67" s="30" t="s">
        <v>114</v>
      </c>
      <c r="D67" s="31">
        <v>13.07</v>
      </c>
      <c r="E67" s="31">
        <v>2.67</v>
      </c>
      <c r="F67" s="31">
        <v>119616645000</v>
      </c>
    </row>
    <row r="68" spans="1:6" ht="15" thickBot="1" x14ac:dyDescent="0.2">
      <c r="A68" s="30" t="s">
        <v>8686</v>
      </c>
      <c r="B68" s="26" t="str">
        <f t="shared" si="1"/>
        <v>603993</v>
      </c>
      <c r="C68" s="30" t="s">
        <v>129</v>
      </c>
      <c r="D68" s="31">
        <v>6.74</v>
      </c>
      <c r="E68" s="31">
        <v>3.22</v>
      </c>
      <c r="F68" s="31">
        <v>119067307000</v>
      </c>
    </row>
    <row r="69" spans="1:6" ht="15" thickBot="1" x14ac:dyDescent="0.2">
      <c r="A69" s="30" t="s">
        <v>8687</v>
      </c>
      <c r="B69" s="26" t="str">
        <f t="shared" si="1"/>
        <v>600436</v>
      </c>
      <c r="C69" s="30" t="s">
        <v>138</v>
      </c>
      <c r="D69" s="31">
        <v>193.5</v>
      </c>
      <c r="E69" s="31">
        <v>-3.27</v>
      </c>
      <c r="F69" s="31">
        <v>116741880000</v>
      </c>
    </row>
    <row r="70" spans="1:6" ht="15" thickBot="1" x14ac:dyDescent="0.2">
      <c r="A70" s="30" t="s">
        <v>8688</v>
      </c>
      <c r="B70" s="26" t="str">
        <f t="shared" si="1"/>
        <v>600905</v>
      </c>
      <c r="C70" s="30" t="s">
        <v>153</v>
      </c>
      <c r="D70" s="31">
        <v>4.05</v>
      </c>
      <c r="E70" s="31">
        <v>-0.49</v>
      </c>
      <c r="F70" s="31">
        <v>115772719000</v>
      </c>
    </row>
    <row r="71" spans="1:6" ht="15" thickBot="1" x14ac:dyDescent="0.2">
      <c r="A71" s="30" t="s">
        <v>8689</v>
      </c>
      <c r="B71" s="26" t="str">
        <f t="shared" si="1"/>
        <v>601127</v>
      </c>
      <c r="C71" s="30" t="s">
        <v>158</v>
      </c>
      <c r="D71" s="31">
        <v>75.319999999999993</v>
      </c>
      <c r="E71" s="31">
        <v>2.14</v>
      </c>
      <c r="F71" s="31">
        <v>113716795000</v>
      </c>
    </row>
    <row r="72" spans="1:6" ht="15" thickBot="1" x14ac:dyDescent="0.2">
      <c r="A72" s="30" t="s">
        <v>8690</v>
      </c>
      <c r="B72" s="26" t="str">
        <f t="shared" si="1"/>
        <v>601989</v>
      </c>
      <c r="C72" s="30" t="s">
        <v>160</v>
      </c>
      <c r="D72" s="31">
        <v>4.9800000000000004</v>
      </c>
      <c r="E72" s="30" t="s">
        <v>8665</v>
      </c>
      <c r="F72" s="31">
        <v>113554136000</v>
      </c>
    </row>
    <row r="73" spans="1:6" ht="15" thickBot="1" x14ac:dyDescent="0.2">
      <c r="A73" s="30" t="s">
        <v>8691</v>
      </c>
      <c r="B73" s="26" t="str">
        <f t="shared" si="1"/>
        <v>600999</v>
      </c>
      <c r="C73" s="30" t="s">
        <v>8527</v>
      </c>
      <c r="D73" s="31">
        <v>15.03</v>
      </c>
      <c r="E73" s="31">
        <v>0.33</v>
      </c>
      <c r="F73" s="31">
        <v>111552739000</v>
      </c>
    </row>
    <row r="74" spans="1:6" ht="15" thickBot="1" x14ac:dyDescent="0.2">
      <c r="A74" s="30" t="s">
        <v>8692</v>
      </c>
      <c r="B74" s="26" t="str">
        <f t="shared" si="1"/>
        <v>600760</v>
      </c>
      <c r="C74" s="30" t="s">
        <v>169</v>
      </c>
      <c r="D74" s="31">
        <v>40.15</v>
      </c>
      <c r="E74" s="31">
        <v>-0.82</v>
      </c>
      <c r="F74" s="31">
        <v>110201183000</v>
      </c>
    </row>
    <row r="75" spans="1:6" ht="15" thickBot="1" x14ac:dyDescent="0.2">
      <c r="A75" s="30" t="s">
        <v>8693</v>
      </c>
      <c r="B75" s="26" t="str">
        <f t="shared" si="1"/>
        <v>601211</v>
      </c>
      <c r="C75" s="30" t="s">
        <v>8514</v>
      </c>
      <c r="D75" s="31">
        <v>14.7</v>
      </c>
      <c r="E75" s="30" t="s">
        <v>8665</v>
      </c>
      <c r="F75" s="31">
        <v>109960746000</v>
      </c>
    </row>
    <row r="76" spans="1:6" ht="15" thickBot="1" x14ac:dyDescent="0.2">
      <c r="A76" s="30" t="s">
        <v>8694</v>
      </c>
      <c r="B76" s="26" t="str">
        <f t="shared" si="1"/>
        <v>601006</v>
      </c>
      <c r="C76" s="30" t="s">
        <v>179</v>
      </c>
      <c r="D76" s="31">
        <v>5.99</v>
      </c>
      <c r="E76" s="31">
        <v>1.18</v>
      </c>
      <c r="F76" s="31">
        <v>109360909000</v>
      </c>
    </row>
    <row r="77" spans="1:6" ht="15" thickBot="1" x14ac:dyDescent="0.2">
      <c r="A77" s="30" t="s">
        <v>8695</v>
      </c>
      <c r="B77" s="26" t="str">
        <f t="shared" si="1"/>
        <v>002304</v>
      </c>
      <c r="C77" s="30" t="s">
        <v>167</v>
      </c>
      <c r="D77" s="31">
        <v>72.16</v>
      </c>
      <c r="E77" s="31">
        <v>-1.03</v>
      </c>
      <c r="F77" s="31">
        <v>108435320000</v>
      </c>
    </row>
    <row r="78" spans="1:6" ht="15" thickBot="1" x14ac:dyDescent="0.2">
      <c r="A78" s="30" t="s">
        <v>8696</v>
      </c>
      <c r="B78" s="26" t="str">
        <f t="shared" si="1"/>
        <v>600886</v>
      </c>
      <c r="C78" s="30" t="s">
        <v>162</v>
      </c>
      <c r="D78" s="31">
        <v>15.44</v>
      </c>
      <c r="E78" s="31">
        <v>0.2</v>
      </c>
      <c r="F78" s="31">
        <v>107553084000</v>
      </c>
    </row>
    <row r="79" spans="1:6" ht="15" thickBot="1" x14ac:dyDescent="0.2">
      <c r="A79" s="30" t="s">
        <v>8697</v>
      </c>
      <c r="B79" s="26" t="str">
        <f t="shared" si="1"/>
        <v>600989</v>
      </c>
      <c r="C79" s="30" t="s">
        <v>186</v>
      </c>
      <c r="D79" s="31">
        <v>14.63</v>
      </c>
      <c r="E79" s="31">
        <v>1.25</v>
      </c>
      <c r="F79" s="31">
        <v>107287057000</v>
      </c>
    </row>
    <row r="80" spans="1:6" ht="15" thickBot="1" x14ac:dyDescent="0.2">
      <c r="A80" s="30" t="s">
        <v>8698</v>
      </c>
      <c r="B80" s="26" t="str">
        <f t="shared" si="1"/>
        <v>601888</v>
      </c>
      <c r="C80" s="30" t="s">
        <v>164</v>
      </c>
      <c r="D80" s="31">
        <v>53.76</v>
      </c>
      <c r="E80" s="31">
        <v>-1.97</v>
      </c>
      <c r="F80" s="31">
        <v>104965085000</v>
      </c>
    </row>
    <row r="81" spans="1:6" ht="15" thickBot="1" x14ac:dyDescent="0.2">
      <c r="A81" s="30" t="s">
        <v>8699</v>
      </c>
      <c r="B81" s="26" t="str">
        <f t="shared" si="1"/>
        <v>601169</v>
      </c>
      <c r="C81" s="30" t="s">
        <v>8457</v>
      </c>
      <c r="D81" s="31">
        <v>4.91</v>
      </c>
      <c r="E81" s="31">
        <v>0.2</v>
      </c>
      <c r="F81" s="31">
        <v>103812053000</v>
      </c>
    </row>
    <row r="82" spans="1:6" ht="15" thickBot="1" x14ac:dyDescent="0.2">
      <c r="A82" s="30" t="s">
        <v>8700</v>
      </c>
      <c r="B82" s="26" t="str">
        <f t="shared" si="1"/>
        <v>600660</v>
      </c>
      <c r="C82" s="30" t="s">
        <v>141</v>
      </c>
      <c r="D82" s="31">
        <v>51.75</v>
      </c>
      <c r="E82" s="31">
        <v>4.34</v>
      </c>
      <c r="F82" s="31">
        <v>103654543000</v>
      </c>
    </row>
    <row r="83" spans="1:6" ht="15" thickBot="1" x14ac:dyDescent="0.2">
      <c r="A83" s="30" t="s">
        <v>8701</v>
      </c>
      <c r="B83" s="26" t="str">
        <f t="shared" si="1"/>
        <v>603501</v>
      </c>
      <c r="C83" s="30" t="s">
        <v>183</v>
      </c>
      <c r="D83" s="31">
        <v>84.97</v>
      </c>
      <c r="E83" s="31">
        <v>0.71</v>
      </c>
      <c r="F83" s="31">
        <v>103189863000</v>
      </c>
    </row>
    <row r="84" spans="1:6" ht="15" thickBot="1" x14ac:dyDescent="0.2">
      <c r="A84" s="30" t="s">
        <v>8702</v>
      </c>
      <c r="B84" s="26" t="str">
        <f t="shared" si="1"/>
        <v>601390</v>
      </c>
      <c r="C84" s="30" t="s">
        <v>150</v>
      </c>
      <c r="D84" s="31">
        <v>5.04</v>
      </c>
      <c r="E84" s="31">
        <v>0.4</v>
      </c>
      <c r="F84" s="31">
        <v>102914029000</v>
      </c>
    </row>
    <row r="85" spans="1:6" ht="15" thickBot="1" x14ac:dyDescent="0.2">
      <c r="A85" s="30" t="s">
        <v>8703</v>
      </c>
      <c r="B85" s="26" t="str">
        <f t="shared" si="1"/>
        <v>603259</v>
      </c>
      <c r="C85" s="30" t="s">
        <v>174</v>
      </c>
      <c r="D85" s="31">
        <v>40.020000000000003</v>
      </c>
      <c r="E85" s="31">
        <v>0.5</v>
      </c>
      <c r="F85" s="31">
        <v>101044539000</v>
      </c>
    </row>
    <row r="86" spans="1:6" ht="15" thickBot="1" x14ac:dyDescent="0.2">
      <c r="A86" s="30" t="s">
        <v>8704</v>
      </c>
      <c r="B86" s="26" t="str">
        <f t="shared" si="1"/>
        <v>300124</v>
      </c>
      <c r="C86" s="30" t="s">
        <v>155</v>
      </c>
      <c r="D86" s="31">
        <v>43.86</v>
      </c>
      <c r="E86" s="31">
        <v>1.34</v>
      </c>
      <c r="F86" s="31">
        <v>99435176000</v>
      </c>
    </row>
    <row r="87" spans="1:6" ht="15" thickBot="1" x14ac:dyDescent="0.2">
      <c r="A87" s="30" t="s">
        <v>8705</v>
      </c>
      <c r="B87" s="26" t="str">
        <f t="shared" si="1"/>
        <v>601012</v>
      </c>
      <c r="C87" s="30" t="s">
        <v>196</v>
      </c>
      <c r="D87" s="31">
        <v>12.96</v>
      </c>
      <c r="E87" s="31">
        <v>-1.37</v>
      </c>
      <c r="F87" s="31">
        <v>98211362000</v>
      </c>
    </row>
    <row r="88" spans="1:6" ht="15" thickBot="1" x14ac:dyDescent="0.2">
      <c r="A88" s="30" t="s">
        <v>8706</v>
      </c>
      <c r="B88" s="26" t="str">
        <f t="shared" si="1"/>
        <v>000625</v>
      </c>
      <c r="C88" s="30" t="s">
        <v>189</v>
      </c>
      <c r="D88" s="31">
        <v>11.64</v>
      </c>
      <c r="E88" s="31">
        <v>-0.09</v>
      </c>
      <c r="F88" s="31">
        <v>95592726000</v>
      </c>
    </row>
    <row r="89" spans="1:6" ht="15" thickBot="1" x14ac:dyDescent="0.2">
      <c r="A89" s="30" t="s">
        <v>8707</v>
      </c>
      <c r="B89" s="26" t="str">
        <f t="shared" si="1"/>
        <v>000063</v>
      </c>
      <c r="C89" s="30" t="s">
        <v>181</v>
      </c>
      <c r="D89" s="31">
        <v>23.65</v>
      </c>
      <c r="E89" s="31">
        <v>0.47</v>
      </c>
      <c r="F89" s="31">
        <v>95240690000</v>
      </c>
    </row>
    <row r="90" spans="1:6" ht="15" thickBot="1" x14ac:dyDescent="0.2">
      <c r="A90" s="30" t="s">
        <v>8708</v>
      </c>
      <c r="B90" s="26" t="str">
        <f t="shared" si="1"/>
        <v>601229</v>
      </c>
      <c r="C90" s="30" t="s">
        <v>8475</v>
      </c>
      <c r="D90" s="31">
        <v>6.86</v>
      </c>
      <c r="E90" s="31">
        <v>0.15</v>
      </c>
      <c r="F90" s="31">
        <v>94994685000</v>
      </c>
    </row>
    <row r="91" spans="1:6" ht="15" thickBot="1" x14ac:dyDescent="0.2">
      <c r="A91" s="30" t="s">
        <v>8709</v>
      </c>
      <c r="B91" s="26" t="str">
        <f t="shared" si="1"/>
        <v>600015</v>
      </c>
      <c r="C91" s="30" t="s">
        <v>8535</v>
      </c>
      <c r="D91" s="31">
        <v>6.17</v>
      </c>
      <c r="E91" s="31">
        <v>0.65</v>
      </c>
      <c r="F91" s="31">
        <v>94939172000</v>
      </c>
    </row>
    <row r="92" spans="1:6" ht="15" thickBot="1" x14ac:dyDescent="0.2">
      <c r="A92" s="30" t="s">
        <v>8710</v>
      </c>
      <c r="B92" s="26" t="str">
        <f t="shared" si="1"/>
        <v>000166</v>
      </c>
      <c r="C92" s="30" t="s">
        <v>8545</v>
      </c>
      <c r="D92" s="31">
        <v>4.2</v>
      </c>
      <c r="E92" s="31">
        <v>-0.71</v>
      </c>
      <c r="F92" s="31">
        <v>94649131000</v>
      </c>
    </row>
    <row r="93" spans="1:6" ht="15" thickBot="1" x14ac:dyDescent="0.2">
      <c r="A93" s="30" t="s">
        <v>8711</v>
      </c>
      <c r="B93" s="26" t="str">
        <f t="shared" si="1"/>
        <v>601688</v>
      </c>
      <c r="C93" s="30" t="s">
        <v>8541</v>
      </c>
      <c r="D93" s="31">
        <v>12.8</v>
      </c>
      <c r="E93" s="31">
        <v>-0.08</v>
      </c>
      <c r="F93" s="31">
        <v>93367433000</v>
      </c>
    </row>
    <row r="94" spans="1:6" ht="15" thickBot="1" x14ac:dyDescent="0.2">
      <c r="A94" s="30" t="s">
        <v>8712</v>
      </c>
      <c r="B94" s="26" t="str">
        <f t="shared" si="1"/>
        <v>600547</v>
      </c>
      <c r="C94" s="30" t="s">
        <v>191</v>
      </c>
      <c r="D94" s="31">
        <v>25.64</v>
      </c>
      <c r="E94" s="31">
        <v>0.27</v>
      </c>
      <c r="F94" s="31">
        <v>92674327000</v>
      </c>
    </row>
    <row r="95" spans="1:6" ht="15" thickBot="1" x14ac:dyDescent="0.2">
      <c r="A95" s="30" t="s">
        <v>8713</v>
      </c>
      <c r="B95" s="26" t="str">
        <f t="shared" si="1"/>
        <v>601009</v>
      </c>
      <c r="C95" s="30" t="s">
        <v>8434</v>
      </c>
      <c r="D95" s="31">
        <v>10.02</v>
      </c>
      <c r="E95" s="31">
        <v>1.1100000000000001</v>
      </c>
      <c r="F95" s="31">
        <v>92311106000</v>
      </c>
    </row>
    <row r="96" spans="1:6" ht="15" thickBot="1" x14ac:dyDescent="0.2">
      <c r="A96" s="30" t="s">
        <v>8714</v>
      </c>
      <c r="B96" s="26" t="str">
        <f t="shared" si="1"/>
        <v>600893</v>
      </c>
      <c r="C96" s="30" t="s">
        <v>210</v>
      </c>
      <c r="D96" s="31">
        <v>34.53</v>
      </c>
      <c r="E96" s="31">
        <v>0.41</v>
      </c>
      <c r="F96" s="31">
        <v>92026758000</v>
      </c>
    </row>
    <row r="97" spans="1:6" ht="15" thickBot="1" x14ac:dyDescent="0.2">
      <c r="A97" s="30" t="s">
        <v>8715</v>
      </c>
      <c r="B97" s="26" t="str">
        <f t="shared" si="1"/>
        <v>600048</v>
      </c>
      <c r="C97" s="30" t="s">
        <v>218</v>
      </c>
      <c r="D97" s="31">
        <v>7.63</v>
      </c>
      <c r="E97" s="31">
        <v>2.0099999999999998</v>
      </c>
      <c r="F97" s="31">
        <v>91334483000</v>
      </c>
    </row>
    <row r="98" spans="1:6" ht="15" thickBot="1" x14ac:dyDescent="0.2">
      <c r="A98" s="30" t="s">
        <v>8716</v>
      </c>
      <c r="B98" s="26" t="str">
        <f t="shared" si="1"/>
        <v>605499</v>
      </c>
      <c r="C98" s="30" t="s">
        <v>8537</v>
      </c>
      <c r="D98" s="31">
        <v>226.32</v>
      </c>
      <c r="E98" s="31">
        <v>0.99</v>
      </c>
      <c r="F98" s="31">
        <v>90530263000</v>
      </c>
    </row>
    <row r="99" spans="1:6" ht="15" thickBot="1" x14ac:dyDescent="0.2">
      <c r="A99" s="30" t="s">
        <v>8717</v>
      </c>
      <c r="B99" s="26" t="str">
        <f t="shared" si="1"/>
        <v>688036</v>
      </c>
      <c r="C99" s="30" t="s">
        <v>212</v>
      </c>
      <c r="D99" s="31">
        <v>79.5</v>
      </c>
      <c r="E99" s="31">
        <v>4.22</v>
      </c>
      <c r="F99" s="31">
        <v>89770707000</v>
      </c>
    </row>
    <row r="100" spans="1:6" ht="15" thickBot="1" x14ac:dyDescent="0.2">
      <c r="A100" s="30" t="s">
        <v>8718</v>
      </c>
      <c r="B100" s="26" t="str">
        <f t="shared" si="1"/>
        <v>000538</v>
      </c>
      <c r="C100" s="30" t="s">
        <v>208</v>
      </c>
      <c r="D100" s="31">
        <v>50.46</v>
      </c>
      <c r="E100" s="31">
        <v>-0.3</v>
      </c>
      <c r="F100" s="31">
        <v>89283926000</v>
      </c>
    </row>
    <row r="101" spans="1:6" ht="15" thickBot="1" x14ac:dyDescent="0.2">
      <c r="A101" s="30" t="s">
        <v>8719</v>
      </c>
      <c r="B101" s="26" t="str">
        <f t="shared" si="1"/>
        <v>688256</v>
      </c>
      <c r="C101" s="30" t="s">
        <v>221</v>
      </c>
      <c r="D101" s="31">
        <v>210.01</v>
      </c>
      <c r="E101" s="31">
        <v>-4.76</v>
      </c>
      <c r="F101" s="31">
        <v>87670093000</v>
      </c>
    </row>
    <row r="102" spans="1:6" ht="15" thickBot="1" x14ac:dyDescent="0.2">
      <c r="A102" s="30" t="s">
        <v>8720</v>
      </c>
      <c r="B102" s="26" t="str">
        <f t="shared" si="1"/>
        <v>600795</v>
      </c>
      <c r="C102" s="30" t="s">
        <v>241</v>
      </c>
      <c r="D102" s="31">
        <v>4.87</v>
      </c>
      <c r="E102" s="31">
        <v>0.41</v>
      </c>
      <c r="F102" s="31">
        <v>86859465000</v>
      </c>
    </row>
    <row r="103" spans="1:6" ht="15" thickBot="1" x14ac:dyDescent="0.2">
      <c r="A103" s="30" t="s">
        <v>8721</v>
      </c>
      <c r="B103" s="26" t="str">
        <f t="shared" si="1"/>
        <v>603392</v>
      </c>
      <c r="C103" s="30" t="s">
        <v>229</v>
      </c>
      <c r="D103" s="31">
        <v>68.61</v>
      </c>
      <c r="E103" s="31">
        <v>0.91</v>
      </c>
      <c r="F103" s="31">
        <v>86800074000</v>
      </c>
    </row>
    <row r="104" spans="1:6" ht="15" thickBot="1" x14ac:dyDescent="0.2">
      <c r="A104" s="30" t="s">
        <v>8722</v>
      </c>
      <c r="B104" s="26" t="str">
        <f t="shared" si="1"/>
        <v>601600</v>
      </c>
      <c r="C104" s="30" t="s">
        <v>205</v>
      </c>
      <c r="D104" s="31">
        <v>6.58</v>
      </c>
      <c r="E104" s="31">
        <v>4.1100000000000003</v>
      </c>
      <c r="F104" s="31">
        <v>86349996000</v>
      </c>
    </row>
    <row r="105" spans="1:6" ht="15" thickBot="1" x14ac:dyDescent="0.2">
      <c r="A105" s="30" t="s">
        <v>8723</v>
      </c>
      <c r="B105" s="26" t="str">
        <f t="shared" si="1"/>
        <v>600346</v>
      </c>
      <c r="C105" s="30" t="s">
        <v>236</v>
      </c>
      <c r="D105" s="31">
        <v>12.26</v>
      </c>
      <c r="E105" s="31">
        <v>-1.61</v>
      </c>
      <c r="F105" s="31">
        <v>86299363000</v>
      </c>
    </row>
    <row r="106" spans="1:6" ht="15" thickBot="1" x14ac:dyDescent="0.2">
      <c r="A106" s="30" t="s">
        <v>8724</v>
      </c>
      <c r="B106" s="26" t="str">
        <f t="shared" si="1"/>
        <v>688981</v>
      </c>
      <c r="C106" s="30" t="s">
        <v>93</v>
      </c>
      <c r="D106" s="31">
        <v>43.17</v>
      </c>
      <c r="E106" s="31">
        <v>1.82</v>
      </c>
      <c r="F106" s="31">
        <v>85837464000</v>
      </c>
    </row>
    <row r="107" spans="1:6" ht="15" thickBot="1" x14ac:dyDescent="0.2">
      <c r="A107" s="30" t="s">
        <v>8725</v>
      </c>
      <c r="B107" s="26" t="str">
        <f t="shared" si="1"/>
        <v>600674</v>
      </c>
      <c r="C107" s="30" t="s">
        <v>246</v>
      </c>
      <c r="D107" s="31">
        <v>17.54</v>
      </c>
      <c r="E107" s="31">
        <v>1.98</v>
      </c>
      <c r="F107" s="31">
        <v>85500604000</v>
      </c>
    </row>
    <row r="108" spans="1:6" ht="15" thickBot="1" x14ac:dyDescent="0.2">
      <c r="A108" s="30" t="s">
        <v>8726</v>
      </c>
      <c r="B108" s="26" t="str">
        <f t="shared" si="1"/>
        <v>688111</v>
      </c>
      <c r="C108" s="30" t="s">
        <v>243</v>
      </c>
      <c r="D108" s="31">
        <v>183.82</v>
      </c>
      <c r="E108" s="31">
        <v>1.51</v>
      </c>
      <c r="F108" s="31">
        <v>85021464000</v>
      </c>
    </row>
    <row r="109" spans="1:6" ht="15" thickBot="1" x14ac:dyDescent="0.2">
      <c r="A109" s="30" t="s">
        <v>8727</v>
      </c>
      <c r="B109" s="26" t="str">
        <f t="shared" si="1"/>
        <v>600837</v>
      </c>
      <c r="C109" s="30" t="s">
        <v>8516</v>
      </c>
      <c r="D109" s="31">
        <v>8.77</v>
      </c>
      <c r="E109" s="30" t="s">
        <v>8665</v>
      </c>
      <c r="F109" s="31">
        <v>84671115000</v>
      </c>
    </row>
    <row r="110" spans="1:6" ht="15" thickBot="1" x14ac:dyDescent="0.2">
      <c r="A110" s="30" t="s">
        <v>8728</v>
      </c>
      <c r="B110" s="26" t="str">
        <f t="shared" si="1"/>
        <v>601800</v>
      </c>
      <c r="C110" s="30" t="s">
        <v>194</v>
      </c>
      <c r="D110" s="31">
        <v>7.18</v>
      </c>
      <c r="E110" s="31">
        <v>0.7</v>
      </c>
      <c r="F110" s="31">
        <v>84345150000</v>
      </c>
    </row>
    <row r="111" spans="1:6" ht="15" thickBot="1" x14ac:dyDescent="0.2">
      <c r="A111" s="30" t="s">
        <v>8729</v>
      </c>
      <c r="B111" s="26" t="str">
        <f t="shared" si="1"/>
        <v>601995</v>
      </c>
      <c r="C111" s="30" t="s">
        <v>8562</v>
      </c>
      <c r="D111" s="31">
        <v>28.5</v>
      </c>
      <c r="E111" s="31">
        <v>-0.21</v>
      </c>
      <c r="F111" s="31">
        <v>83320960000</v>
      </c>
    </row>
    <row r="112" spans="1:6" ht="15" thickBot="1" x14ac:dyDescent="0.2">
      <c r="A112" s="30" t="s">
        <v>8730</v>
      </c>
      <c r="B112" s="26" t="str">
        <f t="shared" si="1"/>
        <v>603195</v>
      </c>
      <c r="C112" s="30" t="s">
        <v>255</v>
      </c>
      <c r="D112" s="31">
        <v>64.56</v>
      </c>
      <c r="E112" s="31">
        <v>2.9</v>
      </c>
      <c r="F112" s="31">
        <v>83053963000</v>
      </c>
    </row>
    <row r="113" spans="1:6" ht="15" thickBot="1" x14ac:dyDescent="0.2">
      <c r="A113" s="30" t="s">
        <v>8731</v>
      </c>
      <c r="B113" s="26" t="str">
        <f t="shared" si="1"/>
        <v>300498</v>
      </c>
      <c r="C113" s="30" t="s">
        <v>177</v>
      </c>
      <c r="D113" s="31">
        <v>15.2</v>
      </c>
      <c r="E113" s="31">
        <v>-3.68</v>
      </c>
      <c r="F113" s="31">
        <v>82661279000</v>
      </c>
    </row>
    <row r="114" spans="1:6" ht="15" thickBot="1" x14ac:dyDescent="0.2">
      <c r="A114" s="30" t="s">
        <v>8732</v>
      </c>
      <c r="B114" s="26" t="str">
        <f t="shared" si="1"/>
        <v>600438</v>
      </c>
      <c r="C114" s="30" t="s">
        <v>238</v>
      </c>
      <c r="D114" s="31">
        <v>18.309999999999999</v>
      </c>
      <c r="E114" s="31">
        <v>-1.56</v>
      </c>
      <c r="F114" s="31">
        <v>82431219000</v>
      </c>
    </row>
    <row r="115" spans="1:6" ht="15" thickBot="1" x14ac:dyDescent="0.2">
      <c r="A115" s="30" t="s">
        <v>8733</v>
      </c>
      <c r="B115" s="26" t="str">
        <f t="shared" si="1"/>
        <v>601881</v>
      </c>
      <c r="C115" s="30" t="s">
        <v>8553</v>
      </c>
      <c r="D115" s="31">
        <v>11.23</v>
      </c>
      <c r="E115" s="31">
        <v>0.36</v>
      </c>
      <c r="F115" s="31">
        <v>81343580000</v>
      </c>
    </row>
    <row r="116" spans="1:6" ht="15" thickBot="1" x14ac:dyDescent="0.2">
      <c r="A116" s="30" t="s">
        <v>8734</v>
      </c>
      <c r="B116" s="26" t="str">
        <f t="shared" si="1"/>
        <v>600585</v>
      </c>
      <c r="C116" s="30" t="s">
        <v>202</v>
      </c>
      <c r="D116" s="31">
        <v>20.23</v>
      </c>
      <c r="E116" s="31">
        <v>0.75</v>
      </c>
      <c r="F116" s="31">
        <v>80913983000</v>
      </c>
    </row>
    <row r="117" spans="1:6" ht="15" thickBot="1" x14ac:dyDescent="0.2">
      <c r="A117" s="30" t="s">
        <v>8735</v>
      </c>
      <c r="B117" s="26" t="str">
        <f t="shared" si="1"/>
        <v>001965</v>
      </c>
      <c r="C117" s="30" t="s">
        <v>274</v>
      </c>
      <c r="D117" s="31">
        <v>11.86</v>
      </c>
      <c r="E117" s="31">
        <v>0.68</v>
      </c>
      <c r="F117" s="31">
        <v>80889201000</v>
      </c>
    </row>
    <row r="118" spans="1:6" ht="15" thickBot="1" x14ac:dyDescent="0.2">
      <c r="A118" s="30" t="s">
        <v>8736</v>
      </c>
      <c r="B118" s="26" t="str">
        <f t="shared" si="1"/>
        <v>000792</v>
      </c>
      <c r="C118" s="30" t="s">
        <v>252</v>
      </c>
      <c r="D118" s="31">
        <v>14.68</v>
      </c>
      <c r="E118" s="31">
        <v>-0.34</v>
      </c>
      <c r="F118" s="31">
        <v>79753348000</v>
      </c>
    </row>
    <row r="119" spans="1:6" ht="15" thickBot="1" x14ac:dyDescent="0.2">
      <c r="A119" s="30" t="s">
        <v>8737</v>
      </c>
      <c r="B119" s="26" t="str">
        <f t="shared" si="1"/>
        <v>000895</v>
      </c>
      <c r="C119" s="30" t="s">
        <v>266</v>
      </c>
      <c r="D119" s="31">
        <v>22.93</v>
      </c>
      <c r="E119" s="31">
        <v>-0.04</v>
      </c>
      <c r="F119" s="31">
        <v>79432357000</v>
      </c>
    </row>
    <row r="120" spans="1:6" ht="15" thickBot="1" x14ac:dyDescent="0.2">
      <c r="A120" s="30" t="s">
        <v>8738</v>
      </c>
      <c r="B120" s="26" t="str">
        <f t="shared" si="1"/>
        <v>002736</v>
      </c>
      <c r="C120" s="30" t="s">
        <v>8440</v>
      </c>
      <c r="D120" s="31">
        <v>8.69</v>
      </c>
      <c r="E120" s="31">
        <v>0.46</v>
      </c>
      <c r="F120" s="31">
        <v>79416535000</v>
      </c>
    </row>
    <row r="121" spans="1:6" ht="15" thickBot="1" x14ac:dyDescent="0.2">
      <c r="A121" s="30" t="s">
        <v>8739</v>
      </c>
      <c r="B121" s="26" t="str">
        <f t="shared" si="1"/>
        <v>601186</v>
      </c>
      <c r="C121" s="30" t="s">
        <v>232</v>
      </c>
      <c r="D121" s="31">
        <v>6.83</v>
      </c>
      <c r="E121" s="31">
        <v>0</v>
      </c>
      <c r="F121" s="31">
        <v>78567167000</v>
      </c>
    </row>
    <row r="122" spans="1:6" ht="15" thickBot="1" x14ac:dyDescent="0.2">
      <c r="A122" s="30" t="s">
        <v>8740</v>
      </c>
      <c r="B122" s="26" t="str">
        <f t="shared" si="1"/>
        <v>300979</v>
      </c>
      <c r="C122" s="30" t="s">
        <v>8741</v>
      </c>
      <c r="D122" s="31">
        <v>67.2</v>
      </c>
      <c r="E122" s="31">
        <v>3.23</v>
      </c>
      <c r="F122" s="31">
        <v>78421886000</v>
      </c>
    </row>
    <row r="123" spans="1:6" ht="15" thickBot="1" x14ac:dyDescent="0.2">
      <c r="A123" s="30" t="s">
        <v>8742</v>
      </c>
      <c r="B123" s="26" t="str">
        <f t="shared" si="1"/>
        <v>600188</v>
      </c>
      <c r="C123" s="30" t="s">
        <v>172</v>
      </c>
      <c r="D123" s="31">
        <v>13.2</v>
      </c>
      <c r="E123" s="31">
        <v>3.13</v>
      </c>
      <c r="F123" s="31">
        <v>77710675000</v>
      </c>
    </row>
    <row r="124" spans="1:6" ht="15" thickBot="1" x14ac:dyDescent="0.2">
      <c r="A124" s="30" t="s">
        <v>8743</v>
      </c>
      <c r="B124" s="26" t="str">
        <f t="shared" si="1"/>
        <v>002493</v>
      </c>
      <c r="C124" s="30" t="s">
        <v>250</v>
      </c>
      <c r="D124" s="31">
        <v>8.15</v>
      </c>
      <c r="E124" s="31">
        <v>0.62</v>
      </c>
      <c r="F124" s="31">
        <v>77410992000</v>
      </c>
    </row>
    <row r="125" spans="1:6" ht="15" thickBot="1" x14ac:dyDescent="0.2">
      <c r="A125" s="30" t="s">
        <v>8744</v>
      </c>
      <c r="B125" s="26" t="str">
        <f t="shared" si="1"/>
        <v>002027</v>
      </c>
      <c r="C125" s="30" t="s">
        <v>258</v>
      </c>
      <c r="D125" s="31">
        <v>5.36</v>
      </c>
      <c r="E125" s="31">
        <v>1.52</v>
      </c>
      <c r="F125" s="31">
        <v>77410191000</v>
      </c>
    </row>
    <row r="126" spans="1:6" ht="15" thickBot="1" x14ac:dyDescent="0.2">
      <c r="A126" s="30" t="s">
        <v>8745</v>
      </c>
      <c r="B126" s="26" t="str">
        <f t="shared" si="1"/>
        <v>688012</v>
      </c>
      <c r="C126" s="30" t="s">
        <v>261</v>
      </c>
      <c r="D126" s="31">
        <v>124.07</v>
      </c>
      <c r="E126" s="31">
        <v>-1.1200000000000001</v>
      </c>
      <c r="F126" s="31">
        <v>77085373000</v>
      </c>
    </row>
    <row r="127" spans="1:6" ht="15" thickBot="1" x14ac:dyDescent="0.2">
      <c r="A127" s="30" t="s">
        <v>8746</v>
      </c>
      <c r="B127" s="26" t="str">
        <f t="shared" si="1"/>
        <v>001979</v>
      </c>
      <c r="C127" s="30" t="s">
        <v>269</v>
      </c>
      <c r="D127" s="31">
        <v>9.19</v>
      </c>
      <c r="E127" s="31">
        <v>4.3099999999999996</v>
      </c>
      <c r="F127" s="31">
        <v>76484119000</v>
      </c>
    </row>
    <row r="128" spans="1:6" ht="15" thickBot="1" x14ac:dyDescent="0.2">
      <c r="A128" s="30" t="s">
        <v>8747</v>
      </c>
      <c r="B128" s="26" t="str">
        <f t="shared" si="1"/>
        <v>002179</v>
      </c>
      <c r="C128" s="30" t="s">
        <v>263</v>
      </c>
      <c r="D128" s="31">
        <v>37.06</v>
      </c>
      <c r="E128" s="31">
        <v>0.3</v>
      </c>
      <c r="F128" s="31">
        <v>76481109000</v>
      </c>
    </row>
    <row r="129" spans="1:6" ht="15" thickBot="1" x14ac:dyDescent="0.2">
      <c r="A129" s="30" t="s">
        <v>8748</v>
      </c>
      <c r="B129" s="26" t="str">
        <f t="shared" si="1"/>
        <v>600941</v>
      </c>
      <c r="C129" s="30" t="s">
        <v>8558</v>
      </c>
      <c r="D129" s="31">
        <v>100.71</v>
      </c>
      <c r="E129" s="31">
        <v>0.46</v>
      </c>
      <c r="F129" s="31">
        <v>76400909000</v>
      </c>
    </row>
    <row r="130" spans="1:6" ht="15" thickBot="1" x14ac:dyDescent="0.2">
      <c r="A130" s="30" t="s">
        <v>8749</v>
      </c>
      <c r="B130" s="26" t="str">
        <f t="shared" si="1"/>
        <v>600023</v>
      </c>
      <c r="C130" s="30" t="s">
        <v>287</v>
      </c>
      <c r="D130" s="31">
        <v>5.69</v>
      </c>
      <c r="E130" s="31">
        <v>-0.35</v>
      </c>
      <c r="F130" s="31">
        <v>76295689000</v>
      </c>
    </row>
    <row r="131" spans="1:6" ht="15" thickBot="1" x14ac:dyDescent="0.2">
      <c r="A131" s="30" t="s">
        <v>8750</v>
      </c>
      <c r="B131" s="26" t="str">
        <f t="shared" ref="B131:B194" si="2">LEFT(A131,6)</f>
        <v>600938</v>
      </c>
      <c r="C131" s="30" t="s">
        <v>8751</v>
      </c>
      <c r="D131" s="31">
        <v>26.31</v>
      </c>
      <c r="E131" s="31">
        <v>0.5</v>
      </c>
      <c r="F131" s="31">
        <v>74769122000</v>
      </c>
    </row>
    <row r="132" spans="1:6" ht="15" thickBot="1" x14ac:dyDescent="0.2">
      <c r="A132" s="30" t="s">
        <v>8752</v>
      </c>
      <c r="B132" s="26" t="str">
        <f t="shared" si="2"/>
        <v>601066</v>
      </c>
      <c r="C132" s="30" t="s">
        <v>8531</v>
      </c>
      <c r="D132" s="31">
        <v>19.559999999999999</v>
      </c>
      <c r="E132" s="31">
        <v>0.98</v>
      </c>
      <c r="F132" s="31">
        <v>74550241000</v>
      </c>
    </row>
    <row r="133" spans="1:6" ht="15" thickBot="1" x14ac:dyDescent="0.2">
      <c r="A133" s="30" t="s">
        <v>8753</v>
      </c>
      <c r="B133" s="26" t="str">
        <f t="shared" si="2"/>
        <v>300433</v>
      </c>
      <c r="C133" s="30" t="s">
        <v>277</v>
      </c>
      <c r="D133" s="31">
        <v>15</v>
      </c>
      <c r="E133" s="31">
        <v>-2.5299999999999998</v>
      </c>
      <c r="F133" s="31">
        <v>74413350000</v>
      </c>
    </row>
    <row r="134" spans="1:6" ht="15" thickBot="1" x14ac:dyDescent="0.2">
      <c r="A134" s="30" t="s">
        <v>8754</v>
      </c>
      <c r="B134" s="26" t="str">
        <f t="shared" si="2"/>
        <v>002230</v>
      </c>
      <c r="C134" s="30" t="s">
        <v>272</v>
      </c>
      <c r="D134" s="31">
        <v>33.840000000000003</v>
      </c>
      <c r="E134" s="31">
        <v>0.06</v>
      </c>
      <c r="F134" s="31">
        <v>73923002000</v>
      </c>
    </row>
    <row r="135" spans="1:6" ht="15" thickBot="1" x14ac:dyDescent="0.2">
      <c r="A135" s="30" t="s">
        <v>8755</v>
      </c>
      <c r="B135" s="26" t="str">
        <f t="shared" si="2"/>
        <v>300015</v>
      </c>
      <c r="C135" s="30" t="s">
        <v>226</v>
      </c>
      <c r="D135" s="31">
        <v>9.34</v>
      </c>
      <c r="E135" s="31">
        <v>0.11</v>
      </c>
      <c r="F135" s="31">
        <v>73832738000</v>
      </c>
    </row>
    <row r="136" spans="1:6" ht="15" thickBot="1" x14ac:dyDescent="0.2">
      <c r="A136" s="30" t="s">
        <v>8756</v>
      </c>
      <c r="B136" s="26" t="str">
        <f t="shared" si="2"/>
        <v>601111</v>
      </c>
      <c r="C136" s="30" t="s">
        <v>215</v>
      </c>
      <c r="D136" s="31">
        <v>6.32</v>
      </c>
      <c r="E136" s="31">
        <v>-1.71</v>
      </c>
      <c r="F136" s="31">
        <v>73552852000</v>
      </c>
    </row>
    <row r="137" spans="1:6" ht="15" thickBot="1" x14ac:dyDescent="0.2">
      <c r="A137" s="30" t="s">
        <v>8757</v>
      </c>
      <c r="B137" s="26" t="str">
        <f t="shared" si="2"/>
        <v>002938</v>
      </c>
      <c r="C137" s="30" t="s">
        <v>284</v>
      </c>
      <c r="D137" s="31">
        <v>31.6</v>
      </c>
      <c r="E137" s="31">
        <v>-6.37</v>
      </c>
      <c r="F137" s="31">
        <v>73157510000</v>
      </c>
    </row>
    <row r="138" spans="1:6" ht="15" thickBot="1" x14ac:dyDescent="0.2">
      <c r="A138" s="30" t="s">
        <v>8758</v>
      </c>
      <c r="B138" s="26" t="str">
        <f t="shared" si="2"/>
        <v>000776</v>
      </c>
      <c r="C138" s="30" t="s">
        <v>8502</v>
      </c>
      <c r="D138" s="31">
        <v>12.29</v>
      </c>
      <c r="E138" s="31">
        <v>-0.49</v>
      </c>
      <c r="F138" s="31">
        <v>72748092000</v>
      </c>
    </row>
    <row r="139" spans="1:6" ht="15" thickBot="1" x14ac:dyDescent="0.2">
      <c r="A139" s="30" t="s">
        <v>8759</v>
      </c>
      <c r="B139" s="26" t="str">
        <f t="shared" si="2"/>
        <v>600011</v>
      </c>
      <c r="C139" s="30" t="s">
        <v>223</v>
      </c>
      <c r="D139" s="31">
        <v>6.44</v>
      </c>
      <c r="E139" s="31">
        <v>0.31</v>
      </c>
      <c r="F139" s="31">
        <v>70825252000</v>
      </c>
    </row>
    <row r="140" spans="1:6" ht="15" thickBot="1" x14ac:dyDescent="0.2">
      <c r="A140" s="30" t="s">
        <v>8760</v>
      </c>
      <c r="B140" s="26" t="str">
        <f t="shared" si="2"/>
        <v>601100</v>
      </c>
      <c r="C140" s="30" t="s">
        <v>302</v>
      </c>
      <c r="D140" s="31">
        <v>52.57</v>
      </c>
      <c r="E140" s="31">
        <v>0.9</v>
      </c>
      <c r="F140" s="31">
        <v>70486960000</v>
      </c>
    </row>
    <row r="141" spans="1:6" ht="15" thickBot="1" x14ac:dyDescent="0.2">
      <c r="A141" s="30" t="s">
        <v>8761</v>
      </c>
      <c r="B141" s="26" t="str">
        <f t="shared" si="2"/>
        <v>601939</v>
      </c>
      <c r="C141" s="30" t="s">
        <v>8543</v>
      </c>
      <c r="D141" s="31">
        <v>7.23</v>
      </c>
      <c r="E141" s="31">
        <v>1.55</v>
      </c>
      <c r="F141" s="31">
        <v>69362144000</v>
      </c>
    </row>
    <row r="142" spans="1:6" ht="15" thickBot="1" x14ac:dyDescent="0.2">
      <c r="A142" s="30" t="s">
        <v>8762</v>
      </c>
      <c r="B142" s="26" t="str">
        <f t="shared" si="2"/>
        <v>601336</v>
      </c>
      <c r="C142" s="30" t="s">
        <v>8498</v>
      </c>
      <c r="D142" s="31">
        <v>32.51</v>
      </c>
      <c r="E142" s="31">
        <v>1.5</v>
      </c>
      <c r="F142" s="31">
        <v>67797633000</v>
      </c>
    </row>
    <row r="143" spans="1:6" ht="15" thickBot="1" x14ac:dyDescent="0.2">
      <c r="A143" s="30" t="s">
        <v>8763</v>
      </c>
      <c r="B143" s="26" t="str">
        <f t="shared" si="2"/>
        <v>600029</v>
      </c>
      <c r="C143" s="30" t="s">
        <v>248</v>
      </c>
      <c r="D143" s="31">
        <v>5.27</v>
      </c>
      <c r="E143" s="31">
        <v>-2.59</v>
      </c>
      <c r="F143" s="31">
        <v>66788503000</v>
      </c>
    </row>
    <row r="144" spans="1:6" ht="15" thickBot="1" x14ac:dyDescent="0.2">
      <c r="A144" s="30" t="s">
        <v>8764</v>
      </c>
      <c r="B144" s="26" t="str">
        <f t="shared" si="2"/>
        <v>688041</v>
      </c>
      <c r="C144" s="30" t="s">
        <v>8591</v>
      </c>
      <c r="D144" s="31">
        <v>74.73</v>
      </c>
      <c r="E144" s="31">
        <v>-4.17</v>
      </c>
      <c r="F144" s="31">
        <v>66252418000</v>
      </c>
    </row>
    <row r="145" spans="1:6" ht="15" thickBot="1" x14ac:dyDescent="0.2">
      <c r="A145" s="30" t="s">
        <v>8765</v>
      </c>
      <c r="B145" s="26" t="str">
        <f t="shared" si="2"/>
        <v>000100</v>
      </c>
      <c r="C145" s="30" t="s">
        <v>300</v>
      </c>
      <c r="D145" s="31">
        <v>3.61</v>
      </c>
      <c r="E145" s="31">
        <v>-0.55000000000000004</v>
      </c>
      <c r="F145" s="31">
        <v>65334244000</v>
      </c>
    </row>
    <row r="146" spans="1:6" ht="15" thickBot="1" x14ac:dyDescent="0.2">
      <c r="A146" s="30" t="s">
        <v>8766</v>
      </c>
      <c r="B146" s="26" t="str">
        <f t="shared" si="2"/>
        <v>600926</v>
      </c>
      <c r="C146" s="30" t="s">
        <v>8463</v>
      </c>
      <c r="D146" s="31">
        <v>12.03</v>
      </c>
      <c r="E146" s="31">
        <v>1.26</v>
      </c>
      <c r="F146" s="31">
        <v>64513840000</v>
      </c>
    </row>
    <row r="147" spans="1:6" ht="15" thickBot="1" x14ac:dyDescent="0.2">
      <c r="A147" s="30" t="s">
        <v>8767</v>
      </c>
      <c r="B147" s="26" t="str">
        <f t="shared" si="2"/>
        <v>002050</v>
      </c>
      <c r="C147" s="30" t="s">
        <v>308</v>
      </c>
      <c r="D147" s="31">
        <v>17.5</v>
      </c>
      <c r="E147" s="31">
        <v>0.11</v>
      </c>
      <c r="F147" s="31">
        <v>64232876000</v>
      </c>
    </row>
    <row r="148" spans="1:6" ht="15" thickBot="1" x14ac:dyDescent="0.2">
      <c r="A148" s="30" t="s">
        <v>8768</v>
      </c>
      <c r="B148" s="26" t="str">
        <f t="shared" si="2"/>
        <v>002463</v>
      </c>
      <c r="C148" s="30" t="s">
        <v>350</v>
      </c>
      <c r="D148" s="31">
        <v>33.42</v>
      </c>
      <c r="E148" s="31">
        <v>-1.62</v>
      </c>
      <c r="F148" s="31">
        <v>63966444000</v>
      </c>
    </row>
    <row r="149" spans="1:6" ht="15" thickBot="1" x14ac:dyDescent="0.2">
      <c r="A149" s="30" t="s">
        <v>8769</v>
      </c>
      <c r="B149" s="26" t="str">
        <f t="shared" si="2"/>
        <v>600958</v>
      </c>
      <c r="C149" s="30" t="s">
        <v>8525</v>
      </c>
      <c r="D149" s="31">
        <v>8.5</v>
      </c>
      <c r="E149" s="31">
        <v>0.83</v>
      </c>
      <c r="F149" s="31">
        <v>63490604000</v>
      </c>
    </row>
    <row r="150" spans="1:6" ht="15" thickBot="1" x14ac:dyDescent="0.2">
      <c r="A150" s="30" t="s">
        <v>8770</v>
      </c>
      <c r="B150" s="26" t="str">
        <f t="shared" si="2"/>
        <v>000617</v>
      </c>
      <c r="C150" s="30" t="s">
        <v>320</v>
      </c>
      <c r="D150" s="31">
        <v>5.0199999999999996</v>
      </c>
      <c r="E150" s="31">
        <v>1.01</v>
      </c>
      <c r="F150" s="31">
        <v>63463237000</v>
      </c>
    </row>
    <row r="151" spans="1:6" ht="15" thickBot="1" x14ac:dyDescent="0.2">
      <c r="A151" s="30" t="s">
        <v>8771</v>
      </c>
      <c r="B151" s="26" t="str">
        <f t="shared" si="2"/>
        <v>000002</v>
      </c>
      <c r="C151" s="30" t="s">
        <v>304</v>
      </c>
      <c r="D151" s="31">
        <v>6.49</v>
      </c>
      <c r="E151" s="31">
        <v>2.69</v>
      </c>
      <c r="F151" s="31">
        <v>63062914000</v>
      </c>
    </row>
    <row r="152" spans="1:6" ht="15" thickBot="1" x14ac:dyDescent="0.2">
      <c r="A152" s="30" t="s">
        <v>8772</v>
      </c>
      <c r="B152" s="26" t="str">
        <f t="shared" si="2"/>
        <v>000768</v>
      </c>
      <c r="C152" s="30" t="s">
        <v>316</v>
      </c>
      <c r="D152" s="31">
        <v>22.59</v>
      </c>
      <c r="E152" s="31">
        <v>-1.83</v>
      </c>
      <c r="F152" s="31">
        <v>62543692000</v>
      </c>
    </row>
    <row r="153" spans="1:6" ht="15" thickBot="1" x14ac:dyDescent="0.2">
      <c r="A153" s="30" t="s">
        <v>8773</v>
      </c>
      <c r="B153" s="26" t="str">
        <f t="shared" si="2"/>
        <v>300502</v>
      </c>
      <c r="C153" s="30" t="s">
        <v>311</v>
      </c>
      <c r="D153" s="31">
        <v>99.57</v>
      </c>
      <c r="E153" s="31">
        <v>-0.76</v>
      </c>
      <c r="F153" s="31">
        <v>62370870000</v>
      </c>
    </row>
    <row r="154" spans="1:6" ht="15" thickBot="1" x14ac:dyDescent="0.2">
      <c r="A154" s="30" t="s">
        <v>8774</v>
      </c>
      <c r="B154" s="26" t="str">
        <f t="shared" si="2"/>
        <v>600845</v>
      </c>
      <c r="C154" s="30" t="s">
        <v>297</v>
      </c>
      <c r="D154" s="31">
        <v>29.37</v>
      </c>
      <c r="E154" s="31">
        <v>0.62</v>
      </c>
      <c r="F154" s="31">
        <v>62298300000</v>
      </c>
    </row>
    <row r="155" spans="1:6" ht="15" thickBot="1" x14ac:dyDescent="0.2">
      <c r="A155" s="30" t="s">
        <v>8775</v>
      </c>
      <c r="B155" s="26" t="str">
        <f t="shared" si="2"/>
        <v>601825</v>
      </c>
      <c r="C155" s="30" t="s">
        <v>8436</v>
      </c>
      <c r="D155" s="31">
        <v>6.61</v>
      </c>
      <c r="E155" s="31">
        <v>0.46</v>
      </c>
      <c r="F155" s="31">
        <v>61582618000</v>
      </c>
    </row>
    <row r="156" spans="1:6" ht="15" thickBot="1" x14ac:dyDescent="0.2">
      <c r="A156" s="30" t="s">
        <v>8776</v>
      </c>
      <c r="B156" s="26" t="str">
        <f t="shared" si="2"/>
        <v>600489</v>
      </c>
      <c r="C156" s="30" t="s">
        <v>348</v>
      </c>
      <c r="D156" s="31">
        <v>12.53</v>
      </c>
      <c r="E156" s="31">
        <v>-0.4</v>
      </c>
      <c r="F156" s="31">
        <v>60736826000</v>
      </c>
    </row>
    <row r="157" spans="1:6" ht="15" thickBot="1" x14ac:dyDescent="0.2">
      <c r="A157" s="30" t="s">
        <v>8777</v>
      </c>
      <c r="B157" s="26" t="str">
        <f t="shared" si="2"/>
        <v>300014</v>
      </c>
      <c r="C157" s="30" t="s">
        <v>306</v>
      </c>
      <c r="D157" s="31">
        <v>32.479999999999997</v>
      </c>
      <c r="E157" s="31">
        <v>-0.98</v>
      </c>
      <c r="F157" s="31">
        <v>60459397000</v>
      </c>
    </row>
    <row r="158" spans="1:6" ht="15" thickBot="1" x14ac:dyDescent="0.2">
      <c r="A158" s="30" t="s">
        <v>8778</v>
      </c>
      <c r="B158" s="26" t="str">
        <f t="shared" si="2"/>
        <v>601689</v>
      </c>
      <c r="C158" s="30" t="s">
        <v>332</v>
      </c>
      <c r="D158" s="31">
        <v>35.6</v>
      </c>
      <c r="E158" s="31">
        <v>1.54</v>
      </c>
      <c r="F158" s="31">
        <v>60022495000</v>
      </c>
    </row>
    <row r="159" spans="1:6" ht="15" thickBot="1" x14ac:dyDescent="0.2">
      <c r="A159" s="30" t="s">
        <v>8779</v>
      </c>
      <c r="B159" s="26" t="str">
        <f t="shared" si="2"/>
        <v>600089</v>
      </c>
      <c r="C159" s="30" t="s">
        <v>342</v>
      </c>
      <c r="D159" s="31">
        <v>11.87</v>
      </c>
      <c r="E159" s="31">
        <v>0.51</v>
      </c>
      <c r="F159" s="31">
        <v>59976647000</v>
      </c>
    </row>
    <row r="160" spans="1:6" ht="15" thickBot="1" x14ac:dyDescent="0.2">
      <c r="A160" s="30" t="s">
        <v>8780</v>
      </c>
      <c r="B160" s="26" t="str">
        <f t="shared" si="2"/>
        <v>000338</v>
      </c>
      <c r="C160" s="30" t="s">
        <v>199</v>
      </c>
      <c r="D160" s="31">
        <v>12.03</v>
      </c>
      <c r="E160" s="31">
        <v>2.65</v>
      </c>
      <c r="F160" s="31">
        <v>59779028000</v>
      </c>
    </row>
    <row r="161" spans="1:6" ht="15" thickBot="1" x14ac:dyDescent="0.2">
      <c r="A161" s="30" t="s">
        <v>8781</v>
      </c>
      <c r="B161" s="26" t="str">
        <f t="shared" si="2"/>
        <v>601698</v>
      </c>
      <c r="C161" s="30" t="s">
        <v>334</v>
      </c>
      <c r="D161" s="31">
        <v>14.14</v>
      </c>
      <c r="E161" s="31">
        <v>-0.42</v>
      </c>
      <c r="F161" s="31">
        <v>59732810000</v>
      </c>
    </row>
    <row r="162" spans="1:6" ht="15" thickBot="1" x14ac:dyDescent="0.2">
      <c r="A162" s="30" t="s">
        <v>8782</v>
      </c>
      <c r="B162" s="26" t="str">
        <f t="shared" si="2"/>
        <v>603260</v>
      </c>
      <c r="C162" s="30" t="s">
        <v>354</v>
      </c>
      <c r="D162" s="31">
        <v>50.01</v>
      </c>
      <c r="E162" s="31">
        <v>1.24</v>
      </c>
      <c r="F162" s="31">
        <v>59122169000</v>
      </c>
    </row>
    <row r="163" spans="1:6" ht="15" thickBot="1" x14ac:dyDescent="0.2">
      <c r="A163" s="30" t="s">
        <v>8783</v>
      </c>
      <c r="B163" s="26" t="str">
        <f t="shared" si="2"/>
        <v>002001</v>
      </c>
      <c r="C163" s="30" t="s">
        <v>357</v>
      </c>
      <c r="D163" s="31">
        <v>19.079999999999998</v>
      </c>
      <c r="E163" s="31">
        <v>2.31</v>
      </c>
      <c r="F163" s="31">
        <v>58279814000</v>
      </c>
    </row>
    <row r="164" spans="1:6" ht="15" thickBot="1" x14ac:dyDescent="0.2">
      <c r="A164" s="30" t="s">
        <v>8784</v>
      </c>
      <c r="B164" s="26" t="str">
        <f t="shared" si="2"/>
        <v>600009</v>
      </c>
      <c r="C164" s="30" t="s">
        <v>279</v>
      </c>
      <c r="D164" s="31">
        <v>30.24</v>
      </c>
      <c r="E164" s="31">
        <v>-1.79</v>
      </c>
      <c r="F164" s="31">
        <v>58271223000</v>
      </c>
    </row>
    <row r="165" spans="1:6" ht="15" thickBot="1" x14ac:dyDescent="0.2">
      <c r="A165" s="30" t="s">
        <v>8785</v>
      </c>
      <c r="B165" s="26" t="str">
        <f t="shared" si="2"/>
        <v>600111</v>
      </c>
      <c r="C165" s="30" t="s">
        <v>345</v>
      </c>
      <c r="D165" s="31">
        <v>16.079999999999998</v>
      </c>
      <c r="E165" s="31">
        <v>-0.5</v>
      </c>
      <c r="F165" s="31">
        <v>58130259000</v>
      </c>
    </row>
    <row r="166" spans="1:6" ht="15" thickBot="1" x14ac:dyDescent="0.2">
      <c r="A166" s="30" t="s">
        <v>8786</v>
      </c>
      <c r="B166" s="26" t="str">
        <f t="shared" si="2"/>
        <v>601669</v>
      </c>
      <c r="C166" s="30" t="s">
        <v>282</v>
      </c>
      <c r="D166" s="31">
        <v>4.4000000000000004</v>
      </c>
      <c r="E166" s="31">
        <v>0.23</v>
      </c>
      <c r="F166" s="31">
        <v>57514714000</v>
      </c>
    </row>
    <row r="167" spans="1:6" ht="15" thickBot="1" x14ac:dyDescent="0.2">
      <c r="A167" s="30" t="s">
        <v>8787</v>
      </c>
      <c r="B167" s="26" t="str">
        <f t="shared" si="2"/>
        <v>002311</v>
      </c>
      <c r="C167" s="30" t="s">
        <v>327</v>
      </c>
      <c r="D167" s="31">
        <v>34.56</v>
      </c>
      <c r="E167" s="31">
        <v>-2.65</v>
      </c>
      <c r="F167" s="31">
        <v>57456736000</v>
      </c>
    </row>
    <row r="168" spans="1:6" ht="15" thickBot="1" x14ac:dyDescent="0.2">
      <c r="A168" s="30" t="s">
        <v>8788</v>
      </c>
      <c r="B168" s="26" t="str">
        <f t="shared" si="2"/>
        <v>000596</v>
      </c>
      <c r="C168" s="30" t="s">
        <v>289</v>
      </c>
      <c r="D168" s="31">
        <v>140.6</v>
      </c>
      <c r="E168" s="31">
        <v>-1.1200000000000001</v>
      </c>
      <c r="F168" s="31">
        <v>57449160000</v>
      </c>
    </row>
    <row r="169" spans="1:6" ht="15" thickBot="1" x14ac:dyDescent="0.2">
      <c r="A169" s="30" t="s">
        <v>8789</v>
      </c>
      <c r="B169" s="26" t="str">
        <f t="shared" si="2"/>
        <v>605117</v>
      </c>
      <c r="C169" s="30" t="s">
        <v>8547</v>
      </c>
      <c r="D169" s="31">
        <v>93.64</v>
      </c>
      <c r="E169" s="31">
        <v>4.01</v>
      </c>
      <c r="F169" s="31">
        <v>56991091000</v>
      </c>
    </row>
    <row r="170" spans="1:6" ht="15" thickBot="1" x14ac:dyDescent="0.2">
      <c r="A170" s="30" t="s">
        <v>8790</v>
      </c>
      <c r="B170" s="26" t="str">
        <f t="shared" si="2"/>
        <v>688008</v>
      </c>
      <c r="C170" s="30" t="s">
        <v>352</v>
      </c>
      <c r="D170" s="31">
        <v>49.3</v>
      </c>
      <c r="E170" s="31">
        <v>-3.47</v>
      </c>
      <c r="F170" s="31">
        <v>56327109000</v>
      </c>
    </row>
    <row r="171" spans="1:6" ht="15" thickBot="1" x14ac:dyDescent="0.2">
      <c r="A171" s="30" t="s">
        <v>8791</v>
      </c>
      <c r="B171" s="26" t="str">
        <f t="shared" si="2"/>
        <v>601901</v>
      </c>
      <c r="C171" s="30" t="s">
        <v>8483</v>
      </c>
      <c r="D171" s="31">
        <v>6.83</v>
      </c>
      <c r="E171" s="31">
        <v>-0.28999999999999998</v>
      </c>
      <c r="F171" s="31">
        <v>56225253000</v>
      </c>
    </row>
    <row r="172" spans="1:6" ht="15" thickBot="1" x14ac:dyDescent="0.2">
      <c r="A172" s="30" t="s">
        <v>8792</v>
      </c>
      <c r="B172" s="26" t="str">
        <f t="shared" si="2"/>
        <v>300408</v>
      </c>
      <c r="C172" s="30" t="s">
        <v>360</v>
      </c>
      <c r="D172" s="31">
        <v>29.77</v>
      </c>
      <c r="E172" s="31">
        <v>0.47</v>
      </c>
      <c r="F172" s="31">
        <v>55664185000</v>
      </c>
    </row>
    <row r="173" spans="1:6" ht="15" thickBot="1" x14ac:dyDescent="0.2">
      <c r="A173" s="30" t="s">
        <v>8793</v>
      </c>
      <c r="B173" s="26" t="str">
        <f t="shared" si="2"/>
        <v>601788</v>
      </c>
      <c r="C173" s="30" t="s">
        <v>8566</v>
      </c>
      <c r="D173" s="31">
        <v>14.2</v>
      </c>
      <c r="E173" s="31">
        <v>0.42</v>
      </c>
      <c r="F173" s="31">
        <v>55475124000</v>
      </c>
    </row>
    <row r="174" spans="1:6" ht="15" thickBot="1" x14ac:dyDescent="0.2">
      <c r="A174" s="30" t="s">
        <v>8794</v>
      </c>
      <c r="B174" s="26" t="str">
        <f t="shared" si="2"/>
        <v>688271</v>
      </c>
      <c r="C174" s="30" t="s">
        <v>8576</v>
      </c>
      <c r="D174" s="31">
        <v>93.2</v>
      </c>
      <c r="E174" s="31">
        <v>-4.43</v>
      </c>
      <c r="F174" s="31">
        <v>55295465000</v>
      </c>
    </row>
    <row r="175" spans="1:6" ht="15" thickBot="1" x14ac:dyDescent="0.2">
      <c r="A175" s="30" t="s">
        <v>8795</v>
      </c>
      <c r="B175" s="26" t="str">
        <f t="shared" si="2"/>
        <v>002241</v>
      </c>
      <c r="C175" s="30" t="s">
        <v>318</v>
      </c>
      <c r="D175" s="31">
        <v>18.04</v>
      </c>
      <c r="E175" s="31">
        <v>-2.64</v>
      </c>
      <c r="F175" s="31">
        <v>54299927000</v>
      </c>
    </row>
    <row r="176" spans="1:6" ht="15" thickBot="1" x14ac:dyDescent="0.2">
      <c r="A176" s="30" t="s">
        <v>8796</v>
      </c>
      <c r="B176" s="26" t="str">
        <f t="shared" si="2"/>
        <v>601872</v>
      </c>
      <c r="C176" s="30" t="s">
        <v>412</v>
      </c>
      <c r="D176" s="31">
        <v>6.58</v>
      </c>
      <c r="E176" s="31">
        <v>2.4900000000000002</v>
      </c>
      <c r="F176" s="31">
        <v>53586246000</v>
      </c>
    </row>
    <row r="177" spans="1:6" ht="15" thickBot="1" x14ac:dyDescent="0.2">
      <c r="A177" s="30" t="s">
        <v>8797</v>
      </c>
      <c r="B177" s="26" t="str">
        <f t="shared" si="2"/>
        <v>601916</v>
      </c>
      <c r="C177" s="30" t="s">
        <v>8447</v>
      </c>
      <c r="D177" s="31">
        <v>2.48</v>
      </c>
      <c r="E177" s="31">
        <v>0</v>
      </c>
      <c r="F177" s="31">
        <v>53430201000</v>
      </c>
    </row>
    <row r="178" spans="1:6" ht="15" thickBot="1" x14ac:dyDescent="0.2">
      <c r="A178" s="30" t="s">
        <v>8798</v>
      </c>
      <c r="B178" s="26" t="str">
        <f t="shared" si="2"/>
        <v>000708</v>
      </c>
      <c r="C178" s="30" t="s">
        <v>363</v>
      </c>
      <c r="D178" s="31">
        <v>10.55</v>
      </c>
      <c r="E178" s="31">
        <v>2.0299999999999998</v>
      </c>
      <c r="F178" s="31">
        <v>53247502000</v>
      </c>
    </row>
    <row r="179" spans="1:6" ht="15" thickBot="1" x14ac:dyDescent="0.2">
      <c r="A179" s="30" t="s">
        <v>8799</v>
      </c>
      <c r="B179" s="26" t="str">
        <f t="shared" si="2"/>
        <v>600233</v>
      </c>
      <c r="C179" s="30" t="s">
        <v>381</v>
      </c>
      <c r="D179" s="31">
        <v>15.43</v>
      </c>
      <c r="E179" s="31">
        <v>2.25</v>
      </c>
      <c r="F179" s="31">
        <v>53160435000</v>
      </c>
    </row>
    <row r="180" spans="1:6" ht="15" thickBot="1" x14ac:dyDescent="0.2">
      <c r="A180" s="30" t="s">
        <v>8800</v>
      </c>
      <c r="B180" s="26" t="str">
        <f t="shared" si="2"/>
        <v>000938</v>
      </c>
      <c r="C180" s="30" t="s">
        <v>379</v>
      </c>
      <c r="D180" s="31">
        <v>18.38</v>
      </c>
      <c r="E180" s="31">
        <v>-0.22</v>
      </c>
      <c r="F180" s="31">
        <v>52568268000</v>
      </c>
    </row>
    <row r="181" spans="1:6" ht="15" thickBot="1" x14ac:dyDescent="0.2">
      <c r="A181" s="30" t="s">
        <v>8801</v>
      </c>
      <c r="B181" s="26" t="str">
        <f t="shared" si="2"/>
        <v>600377</v>
      </c>
      <c r="C181" s="30" t="s">
        <v>330</v>
      </c>
      <c r="D181" s="31">
        <v>13.82</v>
      </c>
      <c r="E181" s="31">
        <v>1.62</v>
      </c>
      <c r="F181" s="31">
        <v>52546169000</v>
      </c>
    </row>
    <row r="182" spans="1:6" ht="15" thickBot="1" x14ac:dyDescent="0.2">
      <c r="A182" s="30" t="s">
        <v>8802</v>
      </c>
      <c r="B182" s="26" t="str">
        <f t="shared" si="2"/>
        <v>601238</v>
      </c>
      <c r="C182" s="30" t="s">
        <v>340</v>
      </c>
      <c r="D182" s="31">
        <v>7.13</v>
      </c>
      <c r="E182" s="31">
        <v>-0.28000000000000003</v>
      </c>
      <c r="F182" s="31">
        <v>52492837000</v>
      </c>
    </row>
    <row r="183" spans="1:6" ht="15" thickBot="1" x14ac:dyDescent="0.2">
      <c r="A183" s="30" t="s">
        <v>8803</v>
      </c>
      <c r="B183" s="26" t="str">
        <f t="shared" si="2"/>
        <v>603019</v>
      </c>
      <c r="C183" s="30" t="s">
        <v>383</v>
      </c>
      <c r="D183" s="31">
        <v>35.57</v>
      </c>
      <c r="E183" s="31">
        <v>0.31</v>
      </c>
      <c r="F183" s="31">
        <v>51882818000</v>
      </c>
    </row>
    <row r="184" spans="1:6" ht="15" thickBot="1" x14ac:dyDescent="0.2">
      <c r="A184" s="30" t="s">
        <v>8804</v>
      </c>
      <c r="B184" s="26" t="str">
        <f t="shared" si="2"/>
        <v>002920</v>
      </c>
      <c r="C184" s="30" t="s">
        <v>394</v>
      </c>
      <c r="D184" s="31">
        <v>93.8</v>
      </c>
      <c r="E184" s="31">
        <v>4.41</v>
      </c>
      <c r="F184" s="31">
        <v>51731887000</v>
      </c>
    </row>
    <row r="185" spans="1:6" ht="15" thickBot="1" x14ac:dyDescent="0.2">
      <c r="A185" s="30" t="s">
        <v>8805</v>
      </c>
      <c r="B185" s="26" t="str">
        <f t="shared" si="2"/>
        <v>601018</v>
      </c>
      <c r="C185" s="30" t="s">
        <v>325</v>
      </c>
      <c r="D185" s="31">
        <v>3.25</v>
      </c>
      <c r="E185" s="31">
        <v>0.93</v>
      </c>
      <c r="F185" s="31">
        <v>51374106000</v>
      </c>
    </row>
    <row r="186" spans="1:6" ht="15" thickBot="1" x14ac:dyDescent="0.2">
      <c r="A186" s="30" t="s">
        <v>8806</v>
      </c>
      <c r="B186" s="26" t="str">
        <f t="shared" si="2"/>
        <v>600482</v>
      </c>
      <c r="C186" s="30" t="s">
        <v>431</v>
      </c>
      <c r="D186" s="31">
        <v>23.35</v>
      </c>
      <c r="E186" s="31">
        <v>2.5</v>
      </c>
      <c r="F186" s="31">
        <v>51345297000</v>
      </c>
    </row>
    <row r="187" spans="1:6" ht="15" thickBot="1" x14ac:dyDescent="0.2">
      <c r="A187" s="30" t="s">
        <v>8807</v>
      </c>
      <c r="B187" s="26" t="str">
        <f t="shared" si="2"/>
        <v>600803</v>
      </c>
      <c r="C187" s="30" t="s">
        <v>366</v>
      </c>
      <c r="D187" s="31">
        <v>18.03</v>
      </c>
      <c r="E187" s="31">
        <v>1.41</v>
      </c>
      <c r="F187" s="31">
        <v>51202786000</v>
      </c>
    </row>
    <row r="188" spans="1:6" ht="15" thickBot="1" x14ac:dyDescent="0.2">
      <c r="A188" s="30" t="s">
        <v>8808</v>
      </c>
      <c r="B188" s="26" t="str">
        <f t="shared" si="2"/>
        <v>600115</v>
      </c>
      <c r="C188" s="30" t="s">
        <v>295</v>
      </c>
      <c r="D188" s="31">
        <v>3.49</v>
      </c>
      <c r="E188" s="31">
        <v>-3.06</v>
      </c>
      <c r="F188" s="31">
        <v>51022362000</v>
      </c>
    </row>
    <row r="189" spans="1:6" ht="15" thickBot="1" x14ac:dyDescent="0.2">
      <c r="A189" s="30" t="s">
        <v>8809</v>
      </c>
      <c r="B189" s="26" t="str">
        <f t="shared" si="2"/>
        <v>600066</v>
      </c>
      <c r="C189" s="30" t="s">
        <v>460</v>
      </c>
      <c r="D189" s="31">
        <v>22.98</v>
      </c>
      <c r="E189" s="31">
        <v>5.37</v>
      </c>
      <c r="F189" s="31">
        <v>50876323000</v>
      </c>
    </row>
    <row r="190" spans="1:6" ht="15" thickBot="1" x14ac:dyDescent="0.2">
      <c r="A190" s="30" t="s">
        <v>8810</v>
      </c>
      <c r="B190" s="26" t="str">
        <f t="shared" si="2"/>
        <v>000425</v>
      </c>
      <c r="C190" s="30" t="s">
        <v>291</v>
      </c>
      <c r="D190" s="31">
        <v>6.25</v>
      </c>
      <c r="E190" s="31">
        <v>2.97</v>
      </c>
      <c r="F190" s="31">
        <v>50750577000</v>
      </c>
    </row>
    <row r="191" spans="1:6" ht="15" thickBot="1" x14ac:dyDescent="0.2">
      <c r="A191" s="30" t="s">
        <v>8811</v>
      </c>
      <c r="B191" s="26" t="str">
        <f t="shared" si="2"/>
        <v>002648</v>
      </c>
      <c r="C191" s="30" t="s">
        <v>404</v>
      </c>
      <c r="D191" s="31">
        <v>15.06</v>
      </c>
      <c r="E191" s="31">
        <v>2.1</v>
      </c>
      <c r="F191" s="31">
        <v>50697822000</v>
      </c>
    </row>
    <row r="192" spans="1:6" ht="15" thickBot="1" x14ac:dyDescent="0.2">
      <c r="A192" s="30" t="s">
        <v>8812</v>
      </c>
      <c r="B192" s="26" t="str">
        <f t="shared" si="2"/>
        <v>600741</v>
      </c>
      <c r="C192" s="30" t="s">
        <v>422</v>
      </c>
      <c r="D192" s="31">
        <v>15.97</v>
      </c>
      <c r="E192" s="31">
        <v>2.44</v>
      </c>
      <c r="F192" s="31">
        <v>50349002000</v>
      </c>
    </row>
    <row r="193" spans="1:6" ht="15" thickBot="1" x14ac:dyDescent="0.2">
      <c r="A193" s="30" t="s">
        <v>8813</v>
      </c>
      <c r="B193" s="26" t="str">
        <f t="shared" si="2"/>
        <v>601838</v>
      </c>
      <c r="C193" s="30" t="s">
        <v>8424</v>
      </c>
      <c r="D193" s="31">
        <v>13.22</v>
      </c>
      <c r="E193" s="31">
        <v>1.23</v>
      </c>
      <c r="F193" s="31">
        <v>50322888000</v>
      </c>
    </row>
    <row r="194" spans="1:6" ht="15" thickBot="1" x14ac:dyDescent="0.2">
      <c r="A194" s="30" t="s">
        <v>8814</v>
      </c>
      <c r="B194" s="26" t="str">
        <f t="shared" si="2"/>
        <v>600372</v>
      </c>
      <c r="C194" s="30" t="s">
        <v>397</v>
      </c>
      <c r="D194" s="31">
        <v>10.47</v>
      </c>
      <c r="E194" s="31">
        <v>-0.48</v>
      </c>
      <c r="F194" s="31">
        <v>49803715000</v>
      </c>
    </row>
    <row r="195" spans="1:6" ht="15" thickBot="1" x14ac:dyDescent="0.2">
      <c r="A195" s="30" t="s">
        <v>8815</v>
      </c>
      <c r="B195" s="26" t="str">
        <f t="shared" ref="B195:B258" si="3">LEFT(A195,6)</f>
        <v>600584</v>
      </c>
      <c r="C195" s="30" t="s">
        <v>386</v>
      </c>
      <c r="D195" s="31">
        <v>27.78</v>
      </c>
      <c r="E195" s="31">
        <v>-4.08</v>
      </c>
      <c r="F195" s="31">
        <v>49709937000</v>
      </c>
    </row>
    <row r="196" spans="1:6" ht="15" thickBot="1" x14ac:dyDescent="0.2">
      <c r="A196" s="30" t="s">
        <v>8816</v>
      </c>
      <c r="B196" s="26" t="str">
        <f t="shared" si="3"/>
        <v>002916</v>
      </c>
      <c r="C196" s="30" t="s">
        <v>455</v>
      </c>
      <c r="D196" s="31">
        <v>96.64</v>
      </c>
      <c r="E196" s="31">
        <v>1.1000000000000001</v>
      </c>
      <c r="F196" s="31">
        <v>49364875000</v>
      </c>
    </row>
    <row r="197" spans="1:6" ht="15" thickBot="1" x14ac:dyDescent="0.2">
      <c r="A197" s="30" t="s">
        <v>8817</v>
      </c>
      <c r="B197" s="26" t="str">
        <f t="shared" si="3"/>
        <v>600236</v>
      </c>
      <c r="C197" s="30" t="s">
        <v>442</v>
      </c>
      <c r="D197" s="31">
        <v>6.25</v>
      </c>
      <c r="E197" s="31">
        <v>-1.26</v>
      </c>
      <c r="F197" s="31">
        <v>49264861000</v>
      </c>
    </row>
    <row r="198" spans="1:6" ht="15" thickBot="1" x14ac:dyDescent="0.2">
      <c r="A198" s="30" t="s">
        <v>8818</v>
      </c>
      <c r="B198" s="26" t="str">
        <f t="shared" si="3"/>
        <v>601360</v>
      </c>
      <c r="C198" s="30" t="s">
        <v>433</v>
      </c>
      <c r="D198" s="31">
        <v>6.81</v>
      </c>
      <c r="E198" s="31">
        <v>-0.15</v>
      </c>
      <c r="F198" s="31">
        <v>48659923000</v>
      </c>
    </row>
    <row r="199" spans="1:6" ht="15" thickBot="1" x14ac:dyDescent="0.2">
      <c r="A199" s="30" t="s">
        <v>8819</v>
      </c>
      <c r="B199" s="26" t="str">
        <f t="shared" si="3"/>
        <v>601727</v>
      </c>
      <c r="C199" s="30" t="s">
        <v>401</v>
      </c>
      <c r="D199" s="31">
        <v>3.83</v>
      </c>
      <c r="E199" s="31">
        <v>2.41</v>
      </c>
      <c r="F199" s="31">
        <v>48469903000</v>
      </c>
    </row>
    <row r="200" spans="1:6" ht="15" thickBot="1" x14ac:dyDescent="0.2">
      <c r="A200" s="30" t="s">
        <v>8820</v>
      </c>
      <c r="B200" s="26" t="str">
        <f t="shared" si="3"/>
        <v>000963</v>
      </c>
      <c r="C200" s="30" t="s">
        <v>424</v>
      </c>
      <c r="D200" s="31">
        <v>27.56</v>
      </c>
      <c r="E200" s="31">
        <v>0.92</v>
      </c>
      <c r="F200" s="31">
        <v>48254914000</v>
      </c>
    </row>
    <row r="201" spans="1:6" ht="15" thickBot="1" x14ac:dyDescent="0.2">
      <c r="A201" s="30" t="s">
        <v>8821</v>
      </c>
      <c r="B201" s="26" t="str">
        <f t="shared" si="3"/>
        <v>000999</v>
      </c>
      <c r="C201" s="30" t="s">
        <v>426</v>
      </c>
      <c r="D201" s="31">
        <v>37.369999999999997</v>
      </c>
      <c r="E201" s="31">
        <v>2.64</v>
      </c>
      <c r="F201" s="31">
        <v>47672954000</v>
      </c>
    </row>
    <row r="202" spans="1:6" ht="15" thickBot="1" x14ac:dyDescent="0.2">
      <c r="A202" s="30" t="s">
        <v>8822</v>
      </c>
      <c r="B202" s="26" t="str">
        <f t="shared" si="3"/>
        <v>600703</v>
      </c>
      <c r="C202" s="30" t="s">
        <v>419</v>
      </c>
      <c r="D202" s="31">
        <v>9.5399999999999991</v>
      </c>
      <c r="E202" s="31">
        <v>-2.0499999999999998</v>
      </c>
      <c r="F202" s="31">
        <v>47595239000</v>
      </c>
    </row>
    <row r="203" spans="1:6" ht="15" thickBot="1" x14ac:dyDescent="0.2">
      <c r="A203" s="30" t="s">
        <v>8823</v>
      </c>
      <c r="B203" s="26" t="str">
        <f t="shared" si="3"/>
        <v>300832</v>
      </c>
      <c r="C203" s="30" t="s">
        <v>372</v>
      </c>
      <c r="D203" s="31">
        <v>69.86</v>
      </c>
      <c r="E203" s="31">
        <v>0.63</v>
      </c>
      <c r="F203" s="31">
        <v>47519298000</v>
      </c>
    </row>
    <row r="204" spans="1:6" ht="15" thickBot="1" x14ac:dyDescent="0.2">
      <c r="A204" s="30" t="s">
        <v>8824</v>
      </c>
      <c r="B204" s="26" t="str">
        <f t="shared" si="3"/>
        <v>601567</v>
      </c>
      <c r="C204" s="30" t="s">
        <v>465</v>
      </c>
      <c r="D204" s="31">
        <v>33.79</v>
      </c>
      <c r="E204" s="31">
        <v>3.71</v>
      </c>
      <c r="F204" s="31">
        <v>47407568000</v>
      </c>
    </row>
    <row r="205" spans="1:6" ht="15" thickBot="1" x14ac:dyDescent="0.2">
      <c r="A205" s="30" t="s">
        <v>8825</v>
      </c>
      <c r="B205" s="26" t="str">
        <f t="shared" si="3"/>
        <v>600418</v>
      </c>
      <c r="C205" s="30" t="s">
        <v>435</v>
      </c>
      <c r="D205" s="31">
        <v>21.64</v>
      </c>
      <c r="E205" s="31">
        <v>-2.7</v>
      </c>
      <c r="F205" s="31">
        <v>47261972000</v>
      </c>
    </row>
    <row r="206" spans="1:6" ht="15" thickBot="1" x14ac:dyDescent="0.2">
      <c r="A206" s="30" t="s">
        <v>8826</v>
      </c>
      <c r="B206" s="26" t="str">
        <f t="shared" si="3"/>
        <v>601021</v>
      </c>
      <c r="C206" s="30" t="s">
        <v>440</v>
      </c>
      <c r="D206" s="31">
        <v>48.26</v>
      </c>
      <c r="E206" s="31">
        <v>-0.7</v>
      </c>
      <c r="F206" s="31">
        <v>47224765000</v>
      </c>
    </row>
    <row r="207" spans="1:6" ht="15" thickBot="1" x14ac:dyDescent="0.2">
      <c r="A207" s="30" t="s">
        <v>8827</v>
      </c>
      <c r="B207" s="26" t="str">
        <f t="shared" si="3"/>
        <v>600196</v>
      </c>
      <c r="C207" s="30" t="s">
        <v>375</v>
      </c>
      <c r="D207" s="31">
        <v>22.28</v>
      </c>
      <c r="E207" s="31">
        <v>0.27</v>
      </c>
      <c r="F207" s="31">
        <v>47199931000</v>
      </c>
    </row>
    <row r="208" spans="1:6" ht="15" thickBot="1" x14ac:dyDescent="0.2">
      <c r="A208" s="30" t="s">
        <v>8828</v>
      </c>
      <c r="B208" s="26" t="str">
        <f t="shared" si="3"/>
        <v>600350</v>
      </c>
      <c r="C208" s="30" t="s">
        <v>502</v>
      </c>
      <c r="D208" s="31">
        <v>9.6999999999999993</v>
      </c>
      <c r="E208" s="31">
        <v>4.53</v>
      </c>
      <c r="F208" s="31">
        <v>47065186000</v>
      </c>
    </row>
    <row r="209" spans="1:6" ht="15" thickBot="1" x14ac:dyDescent="0.2">
      <c r="A209" s="30" t="s">
        <v>8829</v>
      </c>
      <c r="B209" s="26" t="str">
        <f t="shared" si="3"/>
        <v>600415</v>
      </c>
      <c r="C209" s="30" t="s">
        <v>457</v>
      </c>
      <c r="D209" s="31">
        <v>8.6</v>
      </c>
      <c r="E209" s="31">
        <v>0.7</v>
      </c>
      <c r="F209" s="31">
        <v>47037958000</v>
      </c>
    </row>
    <row r="210" spans="1:6" ht="15" thickBot="1" x14ac:dyDescent="0.2">
      <c r="A210" s="30" t="s">
        <v>8830</v>
      </c>
      <c r="B210" s="26" t="str">
        <f t="shared" si="3"/>
        <v>601298</v>
      </c>
      <c r="C210" s="30" t="s">
        <v>438</v>
      </c>
      <c r="D210" s="31">
        <v>8.7200000000000006</v>
      </c>
      <c r="E210" s="31">
        <v>6.08</v>
      </c>
      <c r="F210" s="31">
        <v>47018894000</v>
      </c>
    </row>
    <row r="211" spans="1:6" ht="15" thickBot="1" x14ac:dyDescent="0.2">
      <c r="A211" s="30" t="s">
        <v>8831</v>
      </c>
      <c r="B211" s="26" t="str">
        <f t="shared" si="3"/>
        <v>601618</v>
      </c>
      <c r="C211" s="30" t="s">
        <v>416</v>
      </c>
      <c r="D211" s="31">
        <v>2.6</v>
      </c>
      <c r="E211" s="31">
        <v>1.17</v>
      </c>
      <c r="F211" s="31">
        <v>46416810000</v>
      </c>
    </row>
    <row r="212" spans="1:6" ht="15" thickBot="1" x14ac:dyDescent="0.2">
      <c r="A212" s="30" t="s">
        <v>8832</v>
      </c>
      <c r="B212" s="26" t="str">
        <f t="shared" si="3"/>
        <v>000977</v>
      </c>
      <c r="C212" s="30" t="s">
        <v>463</v>
      </c>
      <c r="D212" s="31">
        <v>31.18</v>
      </c>
      <c r="E212" s="31">
        <v>0.06</v>
      </c>
      <c r="F212" s="31">
        <v>45846460000</v>
      </c>
    </row>
    <row r="213" spans="1:6" ht="15" thickBot="1" x14ac:dyDescent="0.2">
      <c r="A213" s="30" t="s">
        <v>8833</v>
      </c>
      <c r="B213" s="26" t="str">
        <f t="shared" si="3"/>
        <v>600522</v>
      </c>
      <c r="C213" s="30" t="s">
        <v>469</v>
      </c>
      <c r="D213" s="31">
        <v>13.42</v>
      </c>
      <c r="E213" s="31">
        <v>1.67</v>
      </c>
      <c r="F213" s="31">
        <v>45801784000</v>
      </c>
    </row>
    <row r="214" spans="1:6" ht="15" thickBot="1" x14ac:dyDescent="0.2">
      <c r="A214" s="30" t="s">
        <v>8834</v>
      </c>
      <c r="B214" s="26" t="str">
        <f t="shared" si="3"/>
        <v>601058</v>
      </c>
      <c r="C214" s="30" t="s">
        <v>481</v>
      </c>
      <c r="D214" s="31">
        <v>13.9</v>
      </c>
      <c r="E214" s="31">
        <v>2.13</v>
      </c>
      <c r="F214" s="31">
        <v>45704594000</v>
      </c>
    </row>
    <row r="215" spans="1:6" ht="15" thickBot="1" x14ac:dyDescent="0.2">
      <c r="A215" s="30" t="s">
        <v>8835</v>
      </c>
      <c r="B215" s="26" t="str">
        <f t="shared" si="3"/>
        <v>603369</v>
      </c>
      <c r="C215" s="30" t="s">
        <v>451</v>
      </c>
      <c r="D215" s="31">
        <v>36.06</v>
      </c>
      <c r="E215" s="31">
        <v>1.32</v>
      </c>
      <c r="F215" s="31">
        <v>45237270000</v>
      </c>
    </row>
    <row r="216" spans="1:6" ht="15" thickBot="1" x14ac:dyDescent="0.2">
      <c r="A216" s="30" t="s">
        <v>8836</v>
      </c>
      <c r="B216" s="26" t="str">
        <f t="shared" si="3"/>
        <v>688169</v>
      </c>
      <c r="C216" s="30" t="s">
        <v>504</v>
      </c>
      <c r="D216" s="31">
        <v>245.17</v>
      </c>
      <c r="E216" s="31">
        <v>3.43</v>
      </c>
      <c r="F216" s="31">
        <v>45223468000</v>
      </c>
    </row>
    <row r="217" spans="1:6" ht="15" thickBot="1" x14ac:dyDescent="0.2">
      <c r="A217" s="30" t="s">
        <v>8837</v>
      </c>
      <c r="B217" s="26" t="str">
        <f t="shared" si="3"/>
        <v>600160</v>
      </c>
      <c r="C217" s="30" t="s">
        <v>509</v>
      </c>
      <c r="D217" s="31">
        <v>16.690000000000001</v>
      </c>
      <c r="E217" s="31">
        <v>4.57</v>
      </c>
      <c r="F217" s="31">
        <v>45058762000</v>
      </c>
    </row>
    <row r="218" spans="1:6" ht="15" thickBot="1" x14ac:dyDescent="0.2">
      <c r="A218" s="30" t="s">
        <v>8838</v>
      </c>
      <c r="B218" s="26" t="str">
        <f t="shared" si="3"/>
        <v>688396</v>
      </c>
      <c r="C218" s="30" t="s">
        <v>472</v>
      </c>
      <c r="D218" s="31">
        <v>33.99</v>
      </c>
      <c r="E218" s="31">
        <v>-2.5499999999999998</v>
      </c>
      <c r="F218" s="31">
        <v>44986343000</v>
      </c>
    </row>
    <row r="219" spans="1:6" ht="15" thickBot="1" x14ac:dyDescent="0.2">
      <c r="A219" s="30" t="s">
        <v>8839</v>
      </c>
      <c r="B219" s="26" t="str">
        <f t="shared" si="3"/>
        <v>600026</v>
      </c>
      <c r="C219" s="30" t="s">
        <v>392</v>
      </c>
      <c r="D219" s="31">
        <v>12.82</v>
      </c>
      <c r="E219" s="31">
        <v>1.67</v>
      </c>
      <c r="F219" s="31">
        <v>44546633000</v>
      </c>
    </row>
    <row r="220" spans="1:6" ht="15" thickBot="1" x14ac:dyDescent="0.2">
      <c r="A220" s="30" t="s">
        <v>8840</v>
      </c>
      <c r="B220" s="26" t="str">
        <f t="shared" si="3"/>
        <v>601377</v>
      </c>
      <c r="C220" s="30" t="s">
        <v>8459</v>
      </c>
      <c r="D220" s="31">
        <v>5.12</v>
      </c>
      <c r="E220" s="31">
        <v>0</v>
      </c>
      <c r="F220" s="31">
        <v>44216255000</v>
      </c>
    </row>
    <row r="221" spans="1:6" ht="15" thickBot="1" x14ac:dyDescent="0.2">
      <c r="A221" s="30" t="s">
        <v>8841</v>
      </c>
      <c r="B221" s="26" t="str">
        <f t="shared" si="3"/>
        <v>600010</v>
      </c>
      <c r="C221" s="30" t="s">
        <v>323</v>
      </c>
      <c r="D221" s="31">
        <v>1.38</v>
      </c>
      <c r="E221" s="31">
        <v>-0.72</v>
      </c>
      <c r="F221" s="31">
        <v>43466027000</v>
      </c>
    </row>
    <row r="222" spans="1:6" ht="15" thickBot="1" x14ac:dyDescent="0.2">
      <c r="A222" s="30" t="s">
        <v>8842</v>
      </c>
      <c r="B222" s="26" t="str">
        <f t="shared" si="3"/>
        <v>002252</v>
      </c>
      <c r="C222" s="30" t="s">
        <v>484</v>
      </c>
      <c r="D222" s="31">
        <v>6.51</v>
      </c>
      <c r="E222" s="31">
        <v>-0.76</v>
      </c>
      <c r="F222" s="31">
        <v>43192480000</v>
      </c>
    </row>
    <row r="223" spans="1:6" ht="15" thickBot="1" x14ac:dyDescent="0.2">
      <c r="A223" s="30" t="s">
        <v>8843</v>
      </c>
      <c r="B223" s="26" t="str">
        <f t="shared" si="3"/>
        <v>603986</v>
      </c>
      <c r="C223" s="30" t="s">
        <v>488</v>
      </c>
      <c r="D223" s="31">
        <v>64.78</v>
      </c>
      <c r="E223" s="31">
        <v>-0.8</v>
      </c>
      <c r="F223" s="31">
        <v>43061560000</v>
      </c>
    </row>
    <row r="224" spans="1:6" ht="15" thickBot="1" x14ac:dyDescent="0.2">
      <c r="A224" s="30" t="s">
        <v>8844</v>
      </c>
      <c r="B224" s="26" t="str">
        <f t="shared" si="3"/>
        <v>600426</v>
      </c>
      <c r="C224" s="30" t="s">
        <v>496</v>
      </c>
      <c r="D224" s="31">
        <v>20.239999999999998</v>
      </c>
      <c r="E224" s="31">
        <v>1.4</v>
      </c>
      <c r="F224" s="31">
        <v>42815965000</v>
      </c>
    </row>
    <row r="225" spans="1:6" ht="15" thickBot="1" x14ac:dyDescent="0.2">
      <c r="A225" s="30" t="s">
        <v>8845</v>
      </c>
      <c r="B225" s="26" t="str">
        <f t="shared" si="3"/>
        <v>600085</v>
      </c>
      <c r="C225" s="30" t="s">
        <v>494</v>
      </c>
      <c r="D225" s="31">
        <v>31.21</v>
      </c>
      <c r="E225" s="31">
        <v>-0.98</v>
      </c>
      <c r="F225" s="31">
        <v>42803587000</v>
      </c>
    </row>
    <row r="226" spans="1:6" ht="15" thickBot="1" x14ac:dyDescent="0.2">
      <c r="A226" s="30" t="s">
        <v>8846</v>
      </c>
      <c r="B226" s="26" t="str">
        <f t="shared" si="3"/>
        <v>601077</v>
      </c>
      <c r="C226" s="30" t="s">
        <v>8579</v>
      </c>
      <c r="D226" s="31">
        <v>4.84</v>
      </c>
      <c r="E226" s="31">
        <v>1.26</v>
      </c>
      <c r="F226" s="31">
        <v>42766597000</v>
      </c>
    </row>
    <row r="227" spans="1:6" ht="15" thickBot="1" x14ac:dyDescent="0.2">
      <c r="A227" s="30" t="s">
        <v>8847</v>
      </c>
      <c r="B227" s="26" t="str">
        <f t="shared" si="3"/>
        <v>600027</v>
      </c>
      <c r="C227" s="30" t="s">
        <v>444</v>
      </c>
      <c r="D227" s="31">
        <v>4.99</v>
      </c>
      <c r="E227" s="31">
        <v>-1.58</v>
      </c>
      <c r="F227" s="31">
        <v>42466534000</v>
      </c>
    </row>
    <row r="228" spans="1:6" ht="15" thickBot="1" x14ac:dyDescent="0.2">
      <c r="A228" s="30" t="s">
        <v>8848</v>
      </c>
      <c r="B228" s="26" t="str">
        <f t="shared" si="3"/>
        <v>002032</v>
      </c>
      <c r="C228" s="30" t="s">
        <v>517</v>
      </c>
      <c r="D228" s="31">
        <v>52.66</v>
      </c>
      <c r="E228" s="31">
        <v>0.84</v>
      </c>
      <c r="F228" s="31">
        <v>42095737000</v>
      </c>
    </row>
    <row r="229" spans="1:6" ht="15" thickBot="1" x14ac:dyDescent="0.2">
      <c r="A229" s="30" t="s">
        <v>8849</v>
      </c>
      <c r="B229" s="26" t="str">
        <f t="shared" si="3"/>
        <v>601878</v>
      </c>
      <c r="C229" s="30" t="s">
        <v>8506</v>
      </c>
      <c r="D229" s="31">
        <v>10.83</v>
      </c>
      <c r="E229" s="31">
        <v>0.09</v>
      </c>
      <c r="F229" s="31">
        <v>42044170000</v>
      </c>
    </row>
    <row r="230" spans="1:6" ht="15" thickBot="1" x14ac:dyDescent="0.2">
      <c r="A230" s="30" t="s">
        <v>8850</v>
      </c>
      <c r="B230" s="26" t="str">
        <f t="shared" si="3"/>
        <v>000157</v>
      </c>
      <c r="C230" s="30" t="s">
        <v>446</v>
      </c>
      <c r="D230" s="31">
        <v>5.92</v>
      </c>
      <c r="E230" s="31">
        <v>2.96</v>
      </c>
      <c r="F230" s="31">
        <v>41857420000</v>
      </c>
    </row>
    <row r="231" spans="1:6" ht="15" thickBot="1" x14ac:dyDescent="0.2">
      <c r="A231" s="30" t="s">
        <v>8851</v>
      </c>
      <c r="B231" s="26" t="str">
        <f t="shared" si="3"/>
        <v>300394</v>
      </c>
      <c r="C231" s="30" t="s">
        <v>521</v>
      </c>
      <c r="D231" s="31">
        <v>75.680000000000007</v>
      </c>
      <c r="E231" s="31">
        <v>-1.47</v>
      </c>
      <c r="F231" s="31">
        <v>41831665000</v>
      </c>
    </row>
    <row r="232" spans="1:6" ht="15" thickBot="1" x14ac:dyDescent="0.2">
      <c r="A232" s="30" t="s">
        <v>8852</v>
      </c>
      <c r="B232" s="26" t="str">
        <f t="shared" si="3"/>
        <v>002028</v>
      </c>
      <c r="C232" s="30" t="s">
        <v>389</v>
      </c>
      <c r="D232" s="31">
        <v>69.22</v>
      </c>
      <c r="E232" s="31">
        <v>4.4800000000000004</v>
      </c>
      <c r="F232" s="31">
        <v>41714513000</v>
      </c>
    </row>
    <row r="233" spans="1:6" ht="15" thickBot="1" x14ac:dyDescent="0.2">
      <c r="A233" s="30" t="s">
        <v>8853</v>
      </c>
      <c r="B233" s="26" t="str">
        <f t="shared" si="3"/>
        <v>002600</v>
      </c>
      <c r="C233" s="30" t="s">
        <v>479</v>
      </c>
      <c r="D233" s="31">
        <v>6.04</v>
      </c>
      <c r="E233" s="31">
        <v>-2.74</v>
      </c>
      <c r="F233" s="31">
        <v>41636966000</v>
      </c>
    </row>
    <row r="234" spans="1:6" ht="15" thickBot="1" x14ac:dyDescent="0.2">
      <c r="A234" s="30" t="s">
        <v>8854</v>
      </c>
      <c r="B234" s="26" t="str">
        <f t="shared" si="3"/>
        <v>600161</v>
      </c>
      <c r="C234" s="30" t="s">
        <v>474</v>
      </c>
      <c r="D234" s="31">
        <v>20.9</v>
      </c>
      <c r="E234" s="31">
        <v>-0.62</v>
      </c>
      <c r="F234" s="31">
        <v>41327063000</v>
      </c>
    </row>
    <row r="235" spans="1:6" ht="15" thickBot="1" x14ac:dyDescent="0.2">
      <c r="A235" s="30" t="s">
        <v>8855</v>
      </c>
      <c r="B235" s="26" t="str">
        <f t="shared" si="3"/>
        <v>600219</v>
      </c>
      <c r="C235" s="30" t="s">
        <v>525</v>
      </c>
      <c r="D235" s="31">
        <v>3.52</v>
      </c>
      <c r="E235" s="31">
        <v>0.56999999999999995</v>
      </c>
      <c r="F235" s="31">
        <v>41214106000</v>
      </c>
    </row>
    <row r="236" spans="1:6" ht="15" thickBot="1" x14ac:dyDescent="0.2">
      <c r="A236" s="30" t="s">
        <v>8856</v>
      </c>
      <c r="B236" s="26" t="str">
        <f t="shared" si="3"/>
        <v>000807</v>
      </c>
      <c r="C236" s="30" t="s">
        <v>547</v>
      </c>
      <c r="D236" s="31">
        <v>11.82</v>
      </c>
      <c r="E236" s="31">
        <v>3.32</v>
      </c>
      <c r="F236" s="31">
        <v>40990574000</v>
      </c>
    </row>
    <row r="237" spans="1:6" ht="15" thickBot="1" x14ac:dyDescent="0.2">
      <c r="A237" s="30" t="s">
        <v>8857</v>
      </c>
      <c r="B237" s="26" t="str">
        <f t="shared" si="3"/>
        <v>688009</v>
      </c>
      <c r="C237" s="30" t="s">
        <v>467</v>
      </c>
      <c r="D237" s="31">
        <v>4.71</v>
      </c>
      <c r="E237" s="31">
        <v>-4.07</v>
      </c>
      <c r="F237" s="31">
        <v>40604995000</v>
      </c>
    </row>
    <row r="238" spans="1:6" ht="15" thickBot="1" x14ac:dyDescent="0.2">
      <c r="A238" s="30" t="s">
        <v>8858</v>
      </c>
      <c r="B238" s="26" t="str">
        <f t="shared" si="3"/>
        <v>000975</v>
      </c>
      <c r="C238" s="30" t="s">
        <v>492</v>
      </c>
      <c r="D238" s="31">
        <v>16.18</v>
      </c>
      <c r="E238" s="31">
        <v>-3.11</v>
      </c>
      <c r="F238" s="31">
        <v>40241137000</v>
      </c>
    </row>
    <row r="239" spans="1:6" ht="15" thickBot="1" x14ac:dyDescent="0.2">
      <c r="A239" s="30" t="s">
        <v>8859</v>
      </c>
      <c r="B239" s="26" t="str">
        <f t="shared" si="3"/>
        <v>601877</v>
      </c>
      <c r="C239" s="30" t="s">
        <v>532</v>
      </c>
      <c r="D239" s="31">
        <v>18.64</v>
      </c>
      <c r="E239" s="31">
        <v>0.05</v>
      </c>
      <c r="F239" s="31">
        <v>40056782000</v>
      </c>
    </row>
    <row r="240" spans="1:6" ht="15" thickBot="1" x14ac:dyDescent="0.2">
      <c r="A240" s="30" t="s">
        <v>8860</v>
      </c>
      <c r="B240" s="26" t="str">
        <f t="shared" si="3"/>
        <v>601699</v>
      </c>
      <c r="C240" s="30" t="s">
        <v>543</v>
      </c>
      <c r="D240" s="31">
        <v>13.38</v>
      </c>
      <c r="E240" s="31">
        <v>2.69</v>
      </c>
      <c r="F240" s="31">
        <v>40025055000</v>
      </c>
    </row>
    <row r="241" spans="1:6" ht="15" thickBot="1" x14ac:dyDescent="0.2">
      <c r="A241" s="30" t="s">
        <v>8861</v>
      </c>
      <c r="B241" s="26" t="str">
        <f t="shared" si="3"/>
        <v>600183</v>
      </c>
      <c r="C241" s="30" t="s">
        <v>515</v>
      </c>
      <c r="D241" s="31">
        <v>16.75</v>
      </c>
      <c r="E241" s="31">
        <v>-1.93</v>
      </c>
      <c r="F241" s="31">
        <v>39719926000</v>
      </c>
    </row>
    <row r="242" spans="1:6" ht="15" thickBot="1" x14ac:dyDescent="0.2">
      <c r="A242" s="30" t="s">
        <v>8862</v>
      </c>
      <c r="B242" s="26" t="str">
        <f t="shared" si="3"/>
        <v>601808</v>
      </c>
      <c r="C242" s="30" t="s">
        <v>428</v>
      </c>
      <c r="D242" s="31">
        <v>13.39</v>
      </c>
      <c r="E242" s="31">
        <v>1.67</v>
      </c>
      <c r="F242" s="31">
        <v>39640667000</v>
      </c>
    </row>
    <row r="243" spans="1:6" ht="15" thickBot="1" x14ac:dyDescent="0.2">
      <c r="A243" s="30" t="s">
        <v>8863</v>
      </c>
      <c r="B243" s="26" t="str">
        <f t="shared" si="3"/>
        <v>600968</v>
      </c>
      <c r="C243" s="30" t="s">
        <v>538</v>
      </c>
      <c r="D243" s="31">
        <v>3.88</v>
      </c>
      <c r="E243" s="31">
        <v>-0.77</v>
      </c>
      <c r="F243" s="31">
        <v>39440604000</v>
      </c>
    </row>
    <row r="244" spans="1:6" ht="15" thickBot="1" x14ac:dyDescent="0.2">
      <c r="A244" s="30" t="s">
        <v>8864</v>
      </c>
      <c r="B244" s="26" t="str">
        <f t="shared" si="3"/>
        <v>600362</v>
      </c>
      <c r="C244" s="30" t="s">
        <v>377</v>
      </c>
      <c r="D244" s="31">
        <v>18.940000000000001</v>
      </c>
      <c r="E244" s="31">
        <v>1.88</v>
      </c>
      <c r="F244" s="31">
        <v>39305186000</v>
      </c>
    </row>
    <row r="245" spans="1:6" ht="15" thickBot="1" x14ac:dyDescent="0.2">
      <c r="A245" s="30" t="s">
        <v>8865</v>
      </c>
      <c r="B245" s="26" t="str">
        <f t="shared" si="3"/>
        <v>000786</v>
      </c>
      <c r="C245" s="30" t="s">
        <v>527</v>
      </c>
      <c r="D245" s="31">
        <v>24.05</v>
      </c>
      <c r="E245" s="31">
        <v>3.66</v>
      </c>
      <c r="F245" s="31">
        <v>39260400000</v>
      </c>
    </row>
    <row r="246" spans="1:6" ht="15" thickBot="1" x14ac:dyDescent="0.2">
      <c r="A246" s="30" t="s">
        <v>8866</v>
      </c>
      <c r="B246" s="26" t="str">
        <f t="shared" si="3"/>
        <v>603198</v>
      </c>
      <c r="C246" s="30" t="s">
        <v>530</v>
      </c>
      <c r="D246" s="31">
        <v>49</v>
      </c>
      <c r="E246" s="31">
        <v>3.59</v>
      </c>
      <c r="F246" s="31">
        <v>39200000000</v>
      </c>
    </row>
    <row r="247" spans="1:6" ht="15" thickBot="1" x14ac:dyDescent="0.2">
      <c r="A247" s="30" t="s">
        <v>8867</v>
      </c>
      <c r="B247" s="26" t="str">
        <f t="shared" si="3"/>
        <v>002422</v>
      </c>
      <c r="C247" s="30" t="s">
        <v>414</v>
      </c>
      <c r="D247" s="31">
        <v>29.94</v>
      </c>
      <c r="E247" s="31">
        <v>-0.37</v>
      </c>
      <c r="F247" s="31">
        <v>39181343000</v>
      </c>
    </row>
    <row r="248" spans="1:6" ht="15" thickBot="1" x14ac:dyDescent="0.2">
      <c r="A248" s="30" t="s">
        <v>8868</v>
      </c>
      <c r="B248" s="26" t="str">
        <f t="shared" si="3"/>
        <v>600600</v>
      </c>
      <c r="C248" s="30" t="s">
        <v>313</v>
      </c>
      <c r="D248" s="31">
        <v>54.46</v>
      </c>
      <c r="E248" s="31">
        <v>0.93</v>
      </c>
      <c r="F248" s="31">
        <v>38613825000</v>
      </c>
    </row>
    <row r="249" spans="1:6" ht="15" thickBot="1" x14ac:dyDescent="0.2">
      <c r="A249" s="30" t="s">
        <v>8869</v>
      </c>
      <c r="B249" s="26" t="str">
        <f t="shared" si="3"/>
        <v>000301</v>
      </c>
      <c r="C249" s="30" t="s">
        <v>448</v>
      </c>
      <c r="D249" s="31">
        <v>6.99</v>
      </c>
      <c r="E249" s="31">
        <v>-2.1</v>
      </c>
      <c r="F249" s="31">
        <v>38424112000</v>
      </c>
    </row>
    <row r="250" spans="1:6" ht="15" thickBot="1" x14ac:dyDescent="0.2">
      <c r="A250" s="30" t="s">
        <v>8870</v>
      </c>
      <c r="B250" s="26" t="str">
        <f t="shared" si="3"/>
        <v>002049</v>
      </c>
      <c r="C250" s="30" t="s">
        <v>534</v>
      </c>
      <c r="D250" s="31">
        <v>45.19</v>
      </c>
      <c r="E250" s="31">
        <v>0.33</v>
      </c>
      <c r="F250" s="31">
        <v>38387636000</v>
      </c>
    </row>
    <row r="251" spans="1:6" ht="15" thickBot="1" x14ac:dyDescent="0.2">
      <c r="A251" s="30" t="s">
        <v>8871</v>
      </c>
      <c r="B251" s="26" t="str">
        <f t="shared" si="3"/>
        <v>600256</v>
      </c>
      <c r="C251" s="30" t="s">
        <v>566</v>
      </c>
      <c r="D251" s="31">
        <v>5.82</v>
      </c>
      <c r="E251" s="31">
        <v>0.87</v>
      </c>
      <c r="F251" s="31">
        <v>38212695000</v>
      </c>
    </row>
    <row r="252" spans="1:6" ht="15" thickBot="1" x14ac:dyDescent="0.2">
      <c r="A252" s="30" t="s">
        <v>8872</v>
      </c>
      <c r="B252" s="26" t="str">
        <f t="shared" si="3"/>
        <v>000408</v>
      </c>
      <c r="C252" s="30" t="s">
        <v>581</v>
      </c>
      <c r="D252" s="31">
        <v>24.11</v>
      </c>
      <c r="E252" s="31">
        <v>3.03</v>
      </c>
      <c r="F252" s="31">
        <v>38103892000</v>
      </c>
    </row>
    <row r="253" spans="1:6" ht="15" thickBot="1" x14ac:dyDescent="0.2">
      <c r="A253" s="30" t="s">
        <v>8873</v>
      </c>
      <c r="B253" s="26" t="str">
        <f t="shared" si="3"/>
        <v>002601</v>
      </c>
      <c r="C253" s="30" t="s">
        <v>559</v>
      </c>
      <c r="D253" s="31">
        <v>16.11</v>
      </c>
      <c r="E253" s="31">
        <v>1.1299999999999999</v>
      </c>
      <c r="F253" s="31">
        <v>38097826000</v>
      </c>
    </row>
    <row r="254" spans="1:6" ht="15" thickBot="1" x14ac:dyDescent="0.2">
      <c r="A254" s="30" t="s">
        <v>8874</v>
      </c>
      <c r="B254" s="26" t="str">
        <f t="shared" si="3"/>
        <v>601117</v>
      </c>
      <c r="C254" s="30" t="s">
        <v>555</v>
      </c>
      <c r="D254" s="31">
        <v>6.29</v>
      </c>
      <c r="E254" s="31">
        <v>1.1299999999999999</v>
      </c>
      <c r="F254" s="31">
        <v>38051421000</v>
      </c>
    </row>
    <row r="255" spans="1:6" ht="15" thickBot="1" x14ac:dyDescent="0.2">
      <c r="A255" s="30" t="s">
        <v>8875</v>
      </c>
      <c r="B255" s="26" t="str">
        <f t="shared" si="3"/>
        <v>600039</v>
      </c>
      <c r="C255" s="30" t="s">
        <v>453</v>
      </c>
      <c r="D255" s="31">
        <v>5.6</v>
      </c>
      <c r="E255" s="31">
        <v>2.38</v>
      </c>
      <c r="F255" s="31">
        <v>37520489000</v>
      </c>
    </row>
    <row r="256" spans="1:6" ht="15" thickBot="1" x14ac:dyDescent="0.2">
      <c r="A256" s="30" t="s">
        <v>8876</v>
      </c>
      <c r="B256" s="26" t="str">
        <f t="shared" si="3"/>
        <v>002466</v>
      </c>
      <c r="C256" s="30" t="s">
        <v>507</v>
      </c>
      <c r="D256" s="31">
        <v>25.32</v>
      </c>
      <c r="E256" s="31">
        <v>-1.94</v>
      </c>
      <c r="F256" s="31">
        <v>37379587000</v>
      </c>
    </row>
    <row r="257" spans="1:6" ht="15" thickBot="1" x14ac:dyDescent="0.2">
      <c r="A257" s="30" t="s">
        <v>8877</v>
      </c>
      <c r="B257" s="26" t="str">
        <f t="shared" si="3"/>
        <v>600061</v>
      </c>
      <c r="C257" s="30" t="s">
        <v>583</v>
      </c>
      <c r="D257" s="31">
        <v>5.81</v>
      </c>
      <c r="E257" s="31">
        <v>1.22</v>
      </c>
      <c r="F257" s="31">
        <v>37331056000</v>
      </c>
    </row>
    <row r="258" spans="1:6" ht="15" thickBot="1" x14ac:dyDescent="0.2">
      <c r="A258" s="30" t="s">
        <v>8878</v>
      </c>
      <c r="B258" s="26" t="str">
        <f t="shared" si="3"/>
        <v>000876</v>
      </c>
      <c r="C258" s="30" t="s">
        <v>549</v>
      </c>
      <c r="D258" s="31">
        <v>8.27</v>
      </c>
      <c r="E258" s="31">
        <v>-1.78</v>
      </c>
      <c r="F258" s="31">
        <v>37307538000</v>
      </c>
    </row>
    <row r="259" spans="1:6" ht="15" thickBot="1" x14ac:dyDescent="0.2">
      <c r="A259" s="30" t="s">
        <v>8879</v>
      </c>
      <c r="B259" s="26" t="str">
        <f t="shared" ref="B259:B322" si="4">LEFT(A259,6)</f>
        <v>601179</v>
      </c>
      <c r="C259" s="30" t="s">
        <v>617</v>
      </c>
      <c r="D259" s="31">
        <v>7.26</v>
      </c>
      <c r="E259" s="31">
        <v>2.4</v>
      </c>
      <c r="F259" s="31">
        <v>37213906000</v>
      </c>
    </row>
    <row r="260" spans="1:6" ht="15" thickBot="1" x14ac:dyDescent="0.2">
      <c r="A260" s="30" t="s">
        <v>8880</v>
      </c>
      <c r="B260" s="26" t="str">
        <f t="shared" si="4"/>
        <v>603799</v>
      </c>
      <c r="C260" s="30" t="s">
        <v>552</v>
      </c>
      <c r="D260" s="31">
        <v>21.85</v>
      </c>
      <c r="E260" s="31">
        <v>0.97</v>
      </c>
      <c r="F260" s="31">
        <v>36846421000</v>
      </c>
    </row>
    <row r="261" spans="1:6" ht="15" thickBot="1" x14ac:dyDescent="0.2">
      <c r="A261" s="30" t="s">
        <v>8881</v>
      </c>
      <c r="B261" s="26" t="str">
        <f t="shared" si="4"/>
        <v>600487</v>
      </c>
      <c r="C261" s="30" t="s">
        <v>585</v>
      </c>
      <c r="D261" s="31">
        <v>14.9</v>
      </c>
      <c r="E261" s="31">
        <v>1.57</v>
      </c>
      <c r="F261" s="31">
        <v>36754346000</v>
      </c>
    </row>
    <row r="262" spans="1:6" ht="15" thickBot="1" x14ac:dyDescent="0.2">
      <c r="A262" s="30" t="s">
        <v>8882</v>
      </c>
      <c r="B262" s="26" t="str">
        <f t="shared" si="4"/>
        <v>600985</v>
      </c>
      <c r="C262" s="30" t="s">
        <v>608</v>
      </c>
      <c r="D262" s="31">
        <v>13.62</v>
      </c>
      <c r="E262" s="31">
        <v>4.6100000000000003</v>
      </c>
      <c r="F262" s="31">
        <v>36682184000</v>
      </c>
    </row>
    <row r="263" spans="1:6" ht="15" thickBot="1" x14ac:dyDescent="0.2">
      <c r="A263" s="30" t="s">
        <v>8883</v>
      </c>
      <c r="B263" s="26" t="str">
        <f t="shared" si="4"/>
        <v>000800</v>
      </c>
      <c r="C263" s="30" t="s">
        <v>610</v>
      </c>
      <c r="D263" s="31">
        <v>7.93</v>
      </c>
      <c r="E263" s="31">
        <v>3.66</v>
      </c>
      <c r="F263" s="31">
        <v>36655547000</v>
      </c>
    </row>
    <row r="264" spans="1:6" ht="15" thickBot="1" x14ac:dyDescent="0.2">
      <c r="A264" s="30" t="s">
        <v>8884</v>
      </c>
      <c r="B264" s="26" t="str">
        <f t="shared" si="4"/>
        <v>002294</v>
      </c>
      <c r="C264" s="30" t="s">
        <v>590</v>
      </c>
      <c r="D264" s="31">
        <v>32.56</v>
      </c>
      <c r="E264" s="31">
        <v>0.62</v>
      </c>
      <c r="F264" s="31">
        <v>36290260000</v>
      </c>
    </row>
    <row r="265" spans="1:6" ht="15" thickBot="1" x14ac:dyDescent="0.2">
      <c r="A265" s="30" t="s">
        <v>8885</v>
      </c>
      <c r="B265" s="26" t="str">
        <f t="shared" si="4"/>
        <v>601607</v>
      </c>
      <c r="C265" s="30" t="s">
        <v>337</v>
      </c>
      <c r="D265" s="31">
        <v>18.72</v>
      </c>
      <c r="E265" s="31">
        <v>1.74</v>
      </c>
      <c r="F265" s="31">
        <v>36174672000</v>
      </c>
    </row>
    <row r="266" spans="1:6" ht="15" thickBot="1" x14ac:dyDescent="0.2">
      <c r="A266" s="30" t="s">
        <v>8886</v>
      </c>
      <c r="B266" s="26" t="str">
        <f t="shared" si="4"/>
        <v>688126</v>
      </c>
      <c r="C266" s="30" t="s">
        <v>569</v>
      </c>
      <c r="D266" s="31">
        <v>13.29</v>
      </c>
      <c r="E266" s="31">
        <v>-2.64</v>
      </c>
      <c r="F266" s="31">
        <v>36152766000</v>
      </c>
    </row>
    <row r="267" spans="1:6" ht="15" thickBot="1" x14ac:dyDescent="0.2">
      <c r="A267" s="30" t="s">
        <v>8887</v>
      </c>
      <c r="B267" s="26" t="str">
        <f t="shared" si="4"/>
        <v>601799</v>
      </c>
      <c r="C267" s="30" t="s">
        <v>606</v>
      </c>
      <c r="D267" s="31">
        <v>125.98</v>
      </c>
      <c r="E267" s="31">
        <v>6.76</v>
      </c>
      <c r="F267" s="31">
        <v>35989893000</v>
      </c>
    </row>
    <row r="268" spans="1:6" ht="15" thickBot="1" x14ac:dyDescent="0.2">
      <c r="A268" s="30" t="s">
        <v>8888</v>
      </c>
      <c r="B268" s="26" t="str">
        <f t="shared" si="4"/>
        <v>603806</v>
      </c>
      <c r="C268" s="30" t="s">
        <v>572</v>
      </c>
      <c r="D268" s="31">
        <v>13.78</v>
      </c>
      <c r="E268" s="31">
        <v>-1.99</v>
      </c>
      <c r="F268" s="31">
        <v>35948380000</v>
      </c>
    </row>
    <row r="269" spans="1:6" ht="15" thickBot="1" x14ac:dyDescent="0.2">
      <c r="A269" s="30" t="s">
        <v>8889</v>
      </c>
      <c r="B269" s="26" t="str">
        <f t="shared" si="4"/>
        <v>600176</v>
      </c>
      <c r="C269" s="30" t="s">
        <v>594</v>
      </c>
      <c r="D269" s="31">
        <v>8.9499999999999993</v>
      </c>
      <c r="E269" s="31">
        <v>1.02</v>
      </c>
      <c r="F269" s="31">
        <v>35828074000</v>
      </c>
    </row>
    <row r="270" spans="1:6" ht="15" thickBot="1" x14ac:dyDescent="0.2">
      <c r="A270" s="30" t="s">
        <v>8890</v>
      </c>
      <c r="B270" s="26" t="str">
        <f t="shared" si="4"/>
        <v>002625</v>
      </c>
      <c r="C270" s="30" t="s">
        <v>519</v>
      </c>
      <c r="D270" s="31">
        <v>19.940000000000001</v>
      </c>
      <c r="E270" s="31">
        <v>6.06</v>
      </c>
      <c r="F270" s="31">
        <v>35437799000</v>
      </c>
    </row>
    <row r="271" spans="1:6" ht="15" thickBot="1" x14ac:dyDescent="0.2">
      <c r="A271" s="30" t="s">
        <v>8891</v>
      </c>
      <c r="B271" s="26" t="str">
        <f t="shared" si="4"/>
        <v>600642</v>
      </c>
      <c r="C271" s="30" t="s">
        <v>615</v>
      </c>
      <c r="D271" s="31">
        <v>7.25</v>
      </c>
      <c r="E271" s="31">
        <v>0.56000000000000005</v>
      </c>
      <c r="F271" s="31">
        <v>35270803000</v>
      </c>
    </row>
    <row r="272" spans="1:6" ht="15" thickBot="1" x14ac:dyDescent="0.2">
      <c r="A272" s="30" t="s">
        <v>8892</v>
      </c>
      <c r="B272" s="26" t="str">
        <f t="shared" si="4"/>
        <v>688188</v>
      </c>
      <c r="C272" s="30" t="s">
        <v>624</v>
      </c>
      <c r="D272" s="31">
        <v>171.1</v>
      </c>
      <c r="E272" s="31">
        <v>1.1299999999999999</v>
      </c>
      <c r="F272" s="31">
        <v>35152958000</v>
      </c>
    </row>
    <row r="273" spans="1:6" ht="15" thickBot="1" x14ac:dyDescent="0.2">
      <c r="A273" s="30" t="s">
        <v>8893</v>
      </c>
      <c r="B273" s="26" t="str">
        <f t="shared" si="4"/>
        <v>688599</v>
      </c>
      <c r="C273" s="30" t="s">
        <v>601</v>
      </c>
      <c r="D273" s="31">
        <v>16.04</v>
      </c>
      <c r="E273" s="31">
        <v>-1.54</v>
      </c>
      <c r="F273" s="31">
        <v>34957018000</v>
      </c>
    </row>
    <row r="274" spans="1:6" ht="15" thickBot="1" x14ac:dyDescent="0.2">
      <c r="A274" s="30" t="s">
        <v>8894</v>
      </c>
      <c r="B274" s="26" t="str">
        <f t="shared" si="4"/>
        <v>600332</v>
      </c>
      <c r="C274" s="30" t="s">
        <v>545</v>
      </c>
      <c r="D274" s="31">
        <v>24.69</v>
      </c>
      <c r="E274" s="31">
        <v>0.33</v>
      </c>
      <c r="F274" s="31">
        <v>34711448000</v>
      </c>
    </row>
    <row r="275" spans="1:6" ht="15" thickBot="1" x14ac:dyDescent="0.2">
      <c r="A275" s="30" t="s">
        <v>8895</v>
      </c>
      <c r="B275" s="26" t="str">
        <f t="shared" si="4"/>
        <v>601168</v>
      </c>
      <c r="C275" s="30" t="s">
        <v>641</v>
      </c>
      <c r="D275" s="31">
        <v>14.47</v>
      </c>
      <c r="E275" s="31">
        <v>1.19</v>
      </c>
      <c r="F275" s="31">
        <v>34482010000</v>
      </c>
    </row>
    <row r="276" spans="1:6" ht="15" thickBot="1" x14ac:dyDescent="0.2">
      <c r="A276" s="30" t="s">
        <v>8896</v>
      </c>
      <c r="B276" s="26" t="str">
        <f t="shared" si="4"/>
        <v>002595</v>
      </c>
      <c r="C276" s="30" t="s">
        <v>628</v>
      </c>
      <c r="D276" s="31">
        <v>43.2</v>
      </c>
      <c r="E276" s="31">
        <v>2.98</v>
      </c>
      <c r="F276" s="31">
        <v>34333848000</v>
      </c>
    </row>
    <row r="277" spans="1:6" ht="15" thickBot="1" x14ac:dyDescent="0.2">
      <c r="A277" s="30" t="s">
        <v>8897</v>
      </c>
      <c r="B277" s="26" t="str">
        <f t="shared" si="4"/>
        <v>600096</v>
      </c>
      <c r="C277" s="30" t="s">
        <v>612</v>
      </c>
      <c r="D277" s="31">
        <v>18.63</v>
      </c>
      <c r="E277" s="31">
        <v>0.27</v>
      </c>
      <c r="F277" s="31">
        <v>34173545000</v>
      </c>
    </row>
    <row r="278" spans="1:6" ht="15" thickBot="1" x14ac:dyDescent="0.2">
      <c r="A278" s="30" t="s">
        <v>8898</v>
      </c>
      <c r="B278" s="26" t="str">
        <f t="shared" si="4"/>
        <v>001872</v>
      </c>
      <c r="C278" s="30" t="s">
        <v>477</v>
      </c>
      <c r="D278" s="31">
        <v>19.579999999999998</v>
      </c>
      <c r="E278" s="31">
        <v>6.59</v>
      </c>
      <c r="F278" s="31">
        <v>34147321000</v>
      </c>
    </row>
    <row r="279" spans="1:6" ht="15" thickBot="1" x14ac:dyDescent="0.2">
      <c r="A279" s="30" t="s">
        <v>8899</v>
      </c>
      <c r="B279" s="26" t="str">
        <f t="shared" si="4"/>
        <v>603605</v>
      </c>
      <c r="C279" s="30" t="s">
        <v>587</v>
      </c>
      <c r="D279" s="31">
        <v>85.94</v>
      </c>
      <c r="E279" s="31">
        <v>0.64</v>
      </c>
      <c r="F279" s="31">
        <v>33929143000</v>
      </c>
    </row>
    <row r="280" spans="1:6" ht="15" thickBot="1" x14ac:dyDescent="0.2">
      <c r="A280" s="30" t="s">
        <v>8900</v>
      </c>
      <c r="B280" s="26" t="str">
        <f t="shared" si="4"/>
        <v>000983</v>
      </c>
      <c r="C280" s="30" t="s">
        <v>523</v>
      </c>
      <c r="D280" s="31">
        <v>7.28</v>
      </c>
      <c r="E280" s="31">
        <v>2.54</v>
      </c>
      <c r="F280" s="31">
        <v>33780754000</v>
      </c>
    </row>
    <row r="281" spans="1:6" ht="15" thickBot="1" x14ac:dyDescent="0.2">
      <c r="A281" s="30" t="s">
        <v>8901</v>
      </c>
      <c r="B281" s="26" t="str">
        <f t="shared" si="4"/>
        <v>002064</v>
      </c>
      <c r="C281" s="30" t="s">
        <v>650</v>
      </c>
      <c r="D281" s="31">
        <v>6.79</v>
      </c>
      <c r="E281" s="31">
        <v>1.04</v>
      </c>
      <c r="F281" s="31">
        <v>33624016000</v>
      </c>
    </row>
    <row r="282" spans="1:6" ht="15" thickBot="1" x14ac:dyDescent="0.2">
      <c r="A282" s="30" t="s">
        <v>8902</v>
      </c>
      <c r="B282" s="26" t="str">
        <f t="shared" si="4"/>
        <v>600221</v>
      </c>
      <c r="C282" s="30" t="s">
        <v>490</v>
      </c>
      <c r="D282" s="31">
        <v>1.02</v>
      </c>
      <c r="E282" s="31">
        <v>-0.97</v>
      </c>
      <c r="F282" s="31">
        <v>33530130000</v>
      </c>
    </row>
    <row r="283" spans="1:6" ht="15" thickBot="1" x14ac:dyDescent="0.2">
      <c r="A283" s="30" t="s">
        <v>8903</v>
      </c>
      <c r="B283" s="26" t="str">
        <f t="shared" si="4"/>
        <v>002128</v>
      </c>
      <c r="C283" s="30" t="s">
        <v>634</v>
      </c>
      <c r="D283" s="31">
        <v>15.73</v>
      </c>
      <c r="E283" s="31">
        <v>2.88</v>
      </c>
      <c r="F283" s="31">
        <v>33246511000</v>
      </c>
    </row>
    <row r="284" spans="1:6" ht="15" thickBot="1" x14ac:dyDescent="0.2">
      <c r="A284" s="30" t="s">
        <v>8904</v>
      </c>
      <c r="B284" s="26" t="str">
        <f t="shared" si="4"/>
        <v>002078</v>
      </c>
      <c r="C284" s="30" t="s">
        <v>662</v>
      </c>
      <c r="D284" s="31">
        <v>11.9</v>
      </c>
      <c r="E284" s="31">
        <v>2.15</v>
      </c>
      <c r="F284" s="31">
        <v>33049004000</v>
      </c>
    </row>
    <row r="285" spans="1:6" ht="15" thickBot="1" x14ac:dyDescent="0.2">
      <c r="A285" s="30" t="s">
        <v>8905</v>
      </c>
      <c r="B285" s="26" t="str">
        <f t="shared" si="4"/>
        <v>603606</v>
      </c>
      <c r="C285" s="30" t="s">
        <v>665</v>
      </c>
      <c r="D285" s="31">
        <v>47.83</v>
      </c>
      <c r="E285" s="31">
        <v>1.98</v>
      </c>
      <c r="F285" s="31">
        <v>32893426000</v>
      </c>
    </row>
    <row r="286" spans="1:6" ht="15" thickBot="1" x14ac:dyDescent="0.2">
      <c r="A286" s="30" t="s">
        <v>8906</v>
      </c>
      <c r="B286" s="26" t="str">
        <f t="shared" si="4"/>
        <v>002459</v>
      </c>
      <c r="C286" s="30" t="s">
        <v>653</v>
      </c>
      <c r="D286" s="31">
        <v>9.93</v>
      </c>
      <c r="E286" s="31">
        <v>-2.2599999999999998</v>
      </c>
      <c r="F286" s="31">
        <v>32838336000</v>
      </c>
    </row>
    <row r="287" spans="1:6" ht="15" thickBot="1" x14ac:dyDescent="0.2">
      <c r="A287" s="30" t="s">
        <v>8907</v>
      </c>
      <c r="B287" s="26" t="str">
        <f t="shared" si="4"/>
        <v>300418</v>
      </c>
      <c r="C287" s="30" t="s">
        <v>631</v>
      </c>
      <c r="D287" s="31">
        <v>26.5</v>
      </c>
      <c r="E287" s="31">
        <v>-3.99</v>
      </c>
      <c r="F287" s="31">
        <v>32634619000</v>
      </c>
    </row>
    <row r="288" spans="1:6" ht="15" thickBot="1" x14ac:dyDescent="0.2">
      <c r="A288" s="30" t="s">
        <v>8908</v>
      </c>
      <c r="B288" s="26" t="str">
        <f t="shared" si="4"/>
        <v>688617</v>
      </c>
      <c r="C288" s="30" t="s">
        <v>645</v>
      </c>
      <c r="D288" s="31">
        <v>331.46</v>
      </c>
      <c r="E288" s="31">
        <v>1.63</v>
      </c>
      <c r="F288" s="31">
        <v>32260576000</v>
      </c>
    </row>
    <row r="289" spans="1:6" ht="15" thickBot="1" x14ac:dyDescent="0.2">
      <c r="A289" s="30" t="s">
        <v>8909</v>
      </c>
      <c r="B289" s="26" t="str">
        <f t="shared" si="4"/>
        <v>000062</v>
      </c>
      <c r="C289" s="30" t="s">
        <v>603</v>
      </c>
      <c r="D289" s="31">
        <v>30.88</v>
      </c>
      <c r="E289" s="31">
        <v>4.75</v>
      </c>
      <c r="F289" s="31">
        <v>32251701000</v>
      </c>
    </row>
    <row r="290" spans="1:6" ht="15" thickBot="1" x14ac:dyDescent="0.2">
      <c r="A290" s="30" t="s">
        <v>8910</v>
      </c>
      <c r="B290" s="26" t="str">
        <f t="shared" si="4"/>
        <v>002444</v>
      </c>
      <c r="C290" s="30" t="s">
        <v>636</v>
      </c>
      <c r="D290" s="31">
        <v>28</v>
      </c>
      <c r="E290" s="31">
        <v>2.41</v>
      </c>
      <c r="F290" s="31">
        <v>32227981000</v>
      </c>
    </row>
    <row r="291" spans="1:6" ht="15" thickBot="1" x14ac:dyDescent="0.2">
      <c r="A291" s="30" t="s">
        <v>8911</v>
      </c>
      <c r="B291" s="26" t="str">
        <f t="shared" si="4"/>
        <v>000933</v>
      </c>
      <c r="C291" s="30" t="s">
        <v>728</v>
      </c>
      <c r="D291" s="31">
        <v>14.18</v>
      </c>
      <c r="E291" s="31">
        <v>4.1900000000000004</v>
      </c>
      <c r="F291" s="31">
        <v>31808420000</v>
      </c>
    </row>
    <row r="292" spans="1:6" ht="15" thickBot="1" x14ac:dyDescent="0.2">
      <c r="A292" s="30" t="s">
        <v>8912</v>
      </c>
      <c r="B292" s="26" t="str">
        <f t="shared" si="4"/>
        <v>601236</v>
      </c>
      <c r="C292" s="30" t="s">
        <v>8913</v>
      </c>
      <c r="D292" s="31">
        <v>6.69</v>
      </c>
      <c r="E292" s="31">
        <v>-0.15</v>
      </c>
      <c r="F292" s="31">
        <v>31555310000</v>
      </c>
    </row>
    <row r="293" spans="1:6" ht="15" thickBot="1" x14ac:dyDescent="0.2">
      <c r="A293" s="30" t="s">
        <v>8914</v>
      </c>
      <c r="B293" s="26" t="str">
        <f t="shared" si="4"/>
        <v>000661</v>
      </c>
      <c r="C293" s="30" t="s">
        <v>675</v>
      </c>
      <c r="D293" s="31">
        <v>78.97</v>
      </c>
      <c r="E293" s="31">
        <v>-1.0900000000000001</v>
      </c>
      <c r="F293" s="31">
        <v>31464244000</v>
      </c>
    </row>
    <row r="294" spans="1:6" ht="15" thickBot="1" x14ac:dyDescent="0.2">
      <c r="A294" s="30" t="s">
        <v>8915</v>
      </c>
      <c r="B294" s="26" t="str">
        <f t="shared" si="4"/>
        <v>600733</v>
      </c>
      <c r="C294" s="30" t="s">
        <v>564</v>
      </c>
      <c r="D294" s="31">
        <v>6.49</v>
      </c>
      <c r="E294" s="31">
        <v>-1.22</v>
      </c>
      <c r="F294" s="31">
        <v>31462989000</v>
      </c>
    </row>
    <row r="295" spans="1:6" ht="15" thickBot="1" x14ac:dyDescent="0.2">
      <c r="A295" s="30" t="s">
        <v>8916</v>
      </c>
      <c r="B295" s="26" t="str">
        <f t="shared" si="4"/>
        <v>000400</v>
      </c>
      <c r="C295" s="30" t="s">
        <v>716</v>
      </c>
      <c r="D295" s="31">
        <v>31.17</v>
      </c>
      <c r="E295" s="31">
        <v>3.73</v>
      </c>
      <c r="F295" s="31">
        <v>31429344000</v>
      </c>
    </row>
    <row r="296" spans="1:6" ht="15" thickBot="1" x14ac:dyDescent="0.2">
      <c r="A296" s="30" t="s">
        <v>8917</v>
      </c>
      <c r="B296" s="26" t="str">
        <f t="shared" si="4"/>
        <v>000630</v>
      </c>
      <c r="C296" s="30" t="s">
        <v>579</v>
      </c>
      <c r="D296" s="31">
        <v>2.95</v>
      </c>
      <c r="E296" s="31">
        <v>0</v>
      </c>
      <c r="F296" s="31">
        <v>31053069000</v>
      </c>
    </row>
    <row r="297" spans="1:6" ht="15" thickBot="1" x14ac:dyDescent="0.2">
      <c r="A297" s="30" t="s">
        <v>8918</v>
      </c>
      <c r="B297" s="26" t="str">
        <f t="shared" si="4"/>
        <v>601958</v>
      </c>
      <c r="C297" s="30" t="s">
        <v>695</v>
      </c>
      <c r="D297" s="31">
        <v>9.61</v>
      </c>
      <c r="E297" s="31">
        <v>1.91</v>
      </c>
      <c r="F297" s="31">
        <v>31007668000</v>
      </c>
    </row>
    <row r="298" spans="1:6" ht="15" thickBot="1" x14ac:dyDescent="0.2">
      <c r="A298" s="30" t="s">
        <v>8919</v>
      </c>
      <c r="B298" s="26" t="str">
        <f t="shared" si="4"/>
        <v>300661</v>
      </c>
      <c r="C298" s="30" t="s">
        <v>660</v>
      </c>
      <c r="D298" s="31">
        <v>68.099999999999994</v>
      </c>
      <c r="E298" s="31">
        <v>7.0000000000000007E-2</v>
      </c>
      <c r="F298" s="31">
        <v>30812699000</v>
      </c>
    </row>
    <row r="299" spans="1:6" ht="15" thickBot="1" x14ac:dyDescent="0.2">
      <c r="A299" s="30" t="s">
        <v>8920</v>
      </c>
      <c r="B299" s="26" t="str">
        <f t="shared" si="4"/>
        <v>002460</v>
      </c>
      <c r="C299" s="30" t="s">
        <v>407</v>
      </c>
      <c r="D299" s="31">
        <v>25.4</v>
      </c>
      <c r="E299" s="31">
        <v>-0.7</v>
      </c>
      <c r="F299" s="31">
        <v>30701534000</v>
      </c>
    </row>
    <row r="300" spans="1:6" ht="15" thickBot="1" x14ac:dyDescent="0.2">
      <c r="A300" s="30" t="s">
        <v>8921</v>
      </c>
      <c r="B300" s="26" t="str">
        <f t="shared" si="4"/>
        <v>002129</v>
      </c>
      <c r="C300" s="30" t="s">
        <v>678</v>
      </c>
      <c r="D300" s="31">
        <v>7.59</v>
      </c>
      <c r="E300" s="31">
        <v>-1.43</v>
      </c>
      <c r="F300" s="31">
        <v>30664037000</v>
      </c>
    </row>
    <row r="301" spans="1:6" ht="15" thickBot="1" x14ac:dyDescent="0.2">
      <c r="A301" s="30" t="s">
        <v>8922</v>
      </c>
      <c r="B301" s="26" t="str">
        <f t="shared" si="4"/>
        <v>601991</v>
      </c>
      <c r="C301" s="30" t="s">
        <v>575</v>
      </c>
      <c r="D301" s="31">
        <v>2.4700000000000002</v>
      </c>
      <c r="E301" s="31">
        <v>1.65</v>
      </c>
      <c r="F301" s="31">
        <v>30618340000</v>
      </c>
    </row>
    <row r="302" spans="1:6" ht="15" thickBot="1" x14ac:dyDescent="0.2">
      <c r="A302" s="30" t="s">
        <v>8923</v>
      </c>
      <c r="B302" s="26" t="str">
        <f t="shared" si="4"/>
        <v>600177</v>
      </c>
      <c r="C302" s="30" t="s">
        <v>688</v>
      </c>
      <c r="D302" s="31">
        <v>6.6</v>
      </c>
      <c r="E302" s="31">
        <v>-0.15</v>
      </c>
      <c r="F302" s="31">
        <v>30514717000</v>
      </c>
    </row>
    <row r="303" spans="1:6" ht="15" thickBot="1" x14ac:dyDescent="0.2">
      <c r="A303" s="30" t="s">
        <v>8924</v>
      </c>
      <c r="B303" s="26" t="str">
        <f t="shared" si="4"/>
        <v>600745</v>
      </c>
      <c r="C303" s="30" t="s">
        <v>680</v>
      </c>
      <c r="D303" s="31">
        <v>24.5</v>
      </c>
      <c r="E303" s="31">
        <v>-0.89</v>
      </c>
      <c r="F303" s="31">
        <v>30448838000</v>
      </c>
    </row>
    <row r="304" spans="1:6" ht="15" thickBot="1" x14ac:dyDescent="0.2">
      <c r="A304" s="30" t="s">
        <v>8925</v>
      </c>
      <c r="B304" s="26" t="str">
        <f t="shared" si="4"/>
        <v>601555</v>
      </c>
      <c r="C304" s="30" t="s">
        <v>8467</v>
      </c>
      <c r="D304" s="31">
        <v>6.1</v>
      </c>
      <c r="E304" s="31">
        <v>-0.33</v>
      </c>
      <c r="F304" s="31">
        <v>30309087000</v>
      </c>
    </row>
    <row r="305" spans="1:6" ht="15" thickBot="1" x14ac:dyDescent="0.2">
      <c r="A305" s="30" t="s">
        <v>8926</v>
      </c>
      <c r="B305" s="26" t="str">
        <f t="shared" si="4"/>
        <v>601108</v>
      </c>
      <c r="C305" s="30" t="s">
        <v>8455</v>
      </c>
      <c r="D305" s="31">
        <v>6.5</v>
      </c>
      <c r="E305" s="31">
        <v>1.25</v>
      </c>
      <c r="F305" s="31">
        <v>30184307000</v>
      </c>
    </row>
    <row r="306" spans="1:6" ht="15" thickBot="1" x14ac:dyDescent="0.2">
      <c r="A306" s="30" t="s">
        <v>8927</v>
      </c>
      <c r="B306" s="26" t="str">
        <f t="shared" si="4"/>
        <v>600570</v>
      </c>
      <c r="C306" s="30" t="s">
        <v>693</v>
      </c>
      <c r="D306" s="31">
        <v>15.92</v>
      </c>
      <c r="E306" s="31">
        <v>-0.44</v>
      </c>
      <c r="F306" s="31">
        <v>30154785000</v>
      </c>
    </row>
    <row r="307" spans="1:6" ht="15" thickBot="1" x14ac:dyDescent="0.2">
      <c r="A307" s="30" t="s">
        <v>8928</v>
      </c>
      <c r="B307" s="26" t="str">
        <f t="shared" si="4"/>
        <v>603568</v>
      </c>
      <c r="C307" s="30" t="s">
        <v>697</v>
      </c>
      <c r="D307" s="31">
        <v>17.7</v>
      </c>
      <c r="E307" s="31">
        <v>-0.45</v>
      </c>
      <c r="F307" s="31">
        <v>30061505000</v>
      </c>
    </row>
    <row r="308" spans="1:6" ht="15" thickBot="1" x14ac:dyDescent="0.2">
      <c r="A308" s="30" t="s">
        <v>8929</v>
      </c>
      <c r="B308" s="26" t="str">
        <f t="shared" si="4"/>
        <v>688777</v>
      </c>
      <c r="C308" s="30" t="s">
        <v>705</v>
      </c>
      <c r="D308" s="31">
        <v>38.479999999999997</v>
      </c>
      <c r="E308" s="31">
        <v>0.1</v>
      </c>
      <c r="F308" s="31">
        <v>29962527000</v>
      </c>
    </row>
    <row r="309" spans="1:6" ht="15" thickBot="1" x14ac:dyDescent="0.2">
      <c r="A309" s="30" t="s">
        <v>8930</v>
      </c>
      <c r="B309" s="26" t="str">
        <f t="shared" si="4"/>
        <v>000423</v>
      </c>
      <c r="C309" s="30" t="s">
        <v>718</v>
      </c>
      <c r="D309" s="31">
        <v>46.41</v>
      </c>
      <c r="E309" s="31">
        <v>2.65</v>
      </c>
      <c r="F309" s="31">
        <v>29886964000</v>
      </c>
    </row>
    <row r="310" spans="1:6" ht="15" thickBot="1" x14ac:dyDescent="0.2">
      <c r="A310" s="30" t="s">
        <v>8931</v>
      </c>
      <c r="B310" s="26" t="str">
        <f t="shared" si="4"/>
        <v>601216</v>
      </c>
      <c r="C310" s="30" t="s">
        <v>722</v>
      </c>
      <c r="D310" s="31">
        <v>3.53</v>
      </c>
      <c r="E310" s="31">
        <v>0</v>
      </c>
      <c r="F310" s="31">
        <v>29786201000</v>
      </c>
    </row>
    <row r="311" spans="1:6" ht="15" thickBot="1" x14ac:dyDescent="0.2">
      <c r="A311" s="30" t="s">
        <v>8932</v>
      </c>
      <c r="B311" s="26" t="str">
        <f t="shared" si="4"/>
        <v>601231</v>
      </c>
      <c r="C311" s="30" t="s">
        <v>700</v>
      </c>
      <c r="D311" s="31">
        <v>13.45</v>
      </c>
      <c r="E311" s="31">
        <v>0</v>
      </c>
      <c r="F311" s="31">
        <v>29744148000</v>
      </c>
    </row>
    <row r="312" spans="1:6" ht="15" thickBot="1" x14ac:dyDescent="0.2">
      <c r="A312" s="30" t="s">
        <v>8933</v>
      </c>
      <c r="B312" s="26" t="str">
        <f t="shared" si="4"/>
        <v>002223</v>
      </c>
      <c r="C312" s="30" t="s">
        <v>686</v>
      </c>
      <c r="D312" s="31">
        <v>31.67</v>
      </c>
      <c r="E312" s="31">
        <v>2.89</v>
      </c>
      <c r="F312" s="31">
        <v>29727794000</v>
      </c>
    </row>
    <row r="313" spans="1:6" ht="15" thickBot="1" x14ac:dyDescent="0.2">
      <c r="A313" s="30" t="s">
        <v>8934</v>
      </c>
      <c r="B313" s="26" t="str">
        <f t="shared" si="4"/>
        <v>600895</v>
      </c>
      <c r="C313" s="30" t="s">
        <v>767</v>
      </c>
      <c r="D313" s="31">
        <v>19.170000000000002</v>
      </c>
      <c r="E313" s="31">
        <v>9.98</v>
      </c>
      <c r="F313" s="31">
        <v>29688379000</v>
      </c>
    </row>
    <row r="314" spans="1:6" ht="15" thickBot="1" x14ac:dyDescent="0.2">
      <c r="A314" s="30" t="s">
        <v>8935</v>
      </c>
      <c r="B314" s="26" t="str">
        <f t="shared" si="4"/>
        <v>300759</v>
      </c>
      <c r="C314" s="30" t="s">
        <v>658</v>
      </c>
      <c r="D314" s="31">
        <v>20.69</v>
      </c>
      <c r="E314" s="31">
        <v>-0.48</v>
      </c>
      <c r="F314" s="31">
        <v>29557390000</v>
      </c>
    </row>
    <row r="315" spans="1:6" ht="15" thickBot="1" x14ac:dyDescent="0.2">
      <c r="A315" s="30" t="s">
        <v>8936</v>
      </c>
      <c r="B315" s="26" t="str">
        <f t="shared" si="4"/>
        <v>002180</v>
      </c>
      <c r="C315" s="30" t="s">
        <v>639</v>
      </c>
      <c r="D315" s="31">
        <v>22.5</v>
      </c>
      <c r="E315" s="31">
        <v>-2.81</v>
      </c>
      <c r="F315" s="31">
        <v>29457594000</v>
      </c>
    </row>
    <row r="316" spans="1:6" ht="15" thickBot="1" x14ac:dyDescent="0.2">
      <c r="A316" s="30" t="s">
        <v>8937</v>
      </c>
      <c r="B316" s="26" t="str">
        <f t="shared" si="4"/>
        <v>000883</v>
      </c>
      <c r="C316" s="30" t="s">
        <v>748</v>
      </c>
      <c r="D316" s="31">
        <v>4.54</v>
      </c>
      <c r="E316" s="31">
        <v>0.22</v>
      </c>
      <c r="F316" s="31">
        <v>29418094000</v>
      </c>
    </row>
    <row r="317" spans="1:6" ht="15" thickBot="1" x14ac:dyDescent="0.2">
      <c r="A317" s="30" t="s">
        <v>8938</v>
      </c>
      <c r="B317" s="26" t="str">
        <f t="shared" si="4"/>
        <v>601865</v>
      </c>
      <c r="C317" s="30" t="s">
        <v>597</v>
      </c>
      <c r="D317" s="31">
        <v>15.44</v>
      </c>
      <c r="E317" s="31">
        <v>-3.86</v>
      </c>
      <c r="F317" s="31">
        <v>29336992000</v>
      </c>
    </row>
    <row r="318" spans="1:6" ht="15" thickBot="1" x14ac:dyDescent="0.2">
      <c r="A318" s="30" t="s">
        <v>8939</v>
      </c>
      <c r="B318" s="26" t="str">
        <f t="shared" si="4"/>
        <v>600588</v>
      </c>
      <c r="C318" s="30" t="s">
        <v>720</v>
      </c>
      <c r="D318" s="31">
        <v>8.5500000000000007</v>
      </c>
      <c r="E318" s="31">
        <v>-0.47</v>
      </c>
      <c r="F318" s="31">
        <v>29215328000</v>
      </c>
    </row>
    <row r="319" spans="1:6" ht="15" thickBot="1" x14ac:dyDescent="0.2">
      <c r="A319" s="30" t="s">
        <v>8940</v>
      </c>
      <c r="B319" s="26" t="str">
        <f t="shared" si="4"/>
        <v>601000</v>
      </c>
      <c r="C319" s="30" t="s">
        <v>774</v>
      </c>
      <c r="D319" s="31">
        <v>4.93</v>
      </c>
      <c r="E319" s="31">
        <v>2.5</v>
      </c>
      <c r="F319" s="31">
        <v>29214828000</v>
      </c>
    </row>
    <row r="320" spans="1:6" ht="15" thickBot="1" x14ac:dyDescent="0.2">
      <c r="A320" s="30" t="s">
        <v>8941</v>
      </c>
      <c r="B320" s="26" t="str">
        <f t="shared" si="4"/>
        <v>300122</v>
      </c>
      <c r="C320" s="30" t="s">
        <v>399</v>
      </c>
      <c r="D320" s="31">
        <v>20.65</v>
      </c>
      <c r="E320" s="31">
        <v>-0.15</v>
      </c>
      <c r="F320" s="31">
        <v>29205464000</v>
      </c>
    </row>
    <row r="321" spans="1:6" ht="15" thickBot="1" x14ac:dyDescent="0.2">
      <c r="A321" s="30" t="s">
        <v>8942</v>
      </c>
      <c r="B321" s="26" t="str">
        <f t="shared" si="4"/>
        <v>600352</v>
      </c>
      <c r="C321" s="30" t="s">
        <v>734</v>
      </c>
      <c r="D321" s="31">
        <v>8.9600000000000009</v>
      </c>
      <c r="E321" s="31">
        <v>-0.56000000000000005</v>
      </c>
      <c r="F321" s="31">
        <v>29149853000</v>
      </c>
    </row>
    <row r="322" spans="1:6" ht="15" thickBot="1" x14ac:dyDescent="0.2">
      <c r="A322" s="30" t="s">
        <v>8943</v>
      </c>
      <c r="B322" s="26" t="str">
        <f t="shared" si="4"/>
        <v>601928</v>
      </c>
      <c r="C322" s="30" t="s">
        <v>739</v>
      </c>
      <c r="D322" s="31">
        <v>11.44</v>
      </c>
      <c r="E322" s="31">
        <v>-0.95</v>
      </c>
      <c r="F322" s="31">
        <v>29113656000</v>
      </c>
    </row>
    <row r="323" spans="1:6" ht="15" thickBot="1" x14ac:dyDescent="0.2">
      <c r="A323" s="30" t="s">
        <v>8944</v>
      </c>
      <c r="B323" s="26" t="str">
        <f t="shared" ref="B323:B386" si="5">LEFT(A323,6)</f>
        <v>600460</v>
      </c>
      <c r="C323" s="30" t="s">
        <v>709</v>
      </c>
      <c r="D323" s="31">
        <v>17.489999999999998</v>
      </c>
      <c r="E323" s="31">
        <v>0.23</v>
      </c>
      <c r="F323" s="31">
        <v>29104617000</v>
      </c>
    </row>
    <row r="324" spans="1:6" ht="15" thickBot="1" x14ac:dyDescent="0.2">
      <c r="A324" s="30" t="s">
        <v>8945</v>
      </c>
      <c r="B324" s="26" t="str">
        <f t="shared" si="5"/>
        <v>601868</v>
      </c>
      <c r="C324" s="30" t="s">
        <v>293</v>
      </c>
      <c r="D324" s="31">
        <v>2.04</v>
      </c>
      <c r="E324" s="31">
        <v>0.49</v>
      </c>
      <c r="F324" s="31">
        <v>29013902000</v>
      </c>
    </row>
    <row r="325" spans="1:6" ht="15" thickBot="1" x14ac:dyDescent="0.2">
      <c r="A325" s="30" t="s">
        <v>8946</v>
      </c>
      <c r="B325" s="26" t="str">
        <f t="shared" si="5"/>
        <v>000988</v>
      </c>
      <c r="C325" s="30" t="s">
        <v>742</v>
      </c>
      <c r="D325" s="31">
        <v>28.45</v>
      </c>
      <c r="E325" s="31">
        <v>0</v>
      </c>
      <c r="F325" s="31">
        <v>28591842000</v>
      </c>
    </row>
    <row r="326" spans="1:6" ht="15" thickBot="1" x14ac:dyDescent="0.2">
      <c r="A326" s="30" t="s">
        <v>8947</v>
      </c>
      <c r="B326" s="26" t="str">
        <f t="shared" si="5"/>
        <v>002236</v>
      </c>
      <c r="C326" s="30" t="s">
        <v>486</v>
      </c>
      <c r="D326" s="31">
        <v>13.58</v>
      </c>
      <c r="E326" s="31">
        <v>0.44</v>
      </c>
      <c r="F326" s="31">
        <v>28531691000</v>
      </c>
    </row>
    <row r="327" spans="1:6" ht="15" thickBot="1" x14ac:dyDescent="0.2">
      <c r="A327" s="30" t="s">
        <v>8948</v>
      </c>
      <c r="B327" s="26" t="str">
        <f t="shared" si="5"/>
        <v>600536</v>
      </c>
      <c r="C327" s="30" t="s">
        <v>770</v>
      </c>
      <c r="D327" s="31">
        <v>33.840000000000003</v>
      </c>
      <c r="E327" s="31">
        <v>2.39</v>
      </c>
      <c r="F327" s="31">
        <v>28525591000</v>
      </c>
    </row>
    <row r="328" spans="1:6" ht="15" thickBot="1" x14ac:dyDescent="0.2">
      <c r="A328" s="30" t="s">
        <v>8949</v>
      </c>
      <c r="B328" s="26" t="str">
        <f t="shared" si="5"/>
        <v>300765</v>
      </c>
      <c r="C328" s="30" t="s">
        <v>673</v>
      </c>
      <c r="D328" s="31">
        <v>22.76</v>
      </c>
      <c r="E328" s="31">
        <v>3.46</v>
      </c>
      <c r="F328" s="31">
        <v>28383369000</v>
      </c>
    </row>
    <row r="329" spans="1:6" ht="15" thickBot="1" x14ac:dyDescent="0.2">
      <c r="A329" s="30" t="s">
        <v>8950</v>
      </c>
      <c r="B329" s="26" t="str">
        <f t="shared" si="5"/>
        <v>300347</v>
      </c>
      <c r="C329" s="30" t="s">
        <v>536</v>
      </c>
      <c r="D329" s="31">
        <v>49.91</v>
      </c>
      <c r="E329" s="31">
        <v>1.88</v>
      </c>
      <c r="F329" s="31">
        <v>28318188000</v>
      </c>
    </row>
    <row r="330" spans="1:6" ht="15" thickBot="1" x14ac:dyDescent="0.2">
      <c r="A330" s="30" t="s">
        <v>8951</v>
      </c>
      <c r="B330" s="26" t="str">
        <f t="shared" si="5"/>
        <v>600988</v>
      </c>
      <c r="C330" s="30" t="s">
        <v>761</v>
      </c>
      <c r="D330" s="31">
        <v>17</v>
      </c>
      <c r="E330" s="31">
        <v>-1.56</v>
      </c>
      <c r="F330" s="31">
        <v>28286493000</v>
      </c>
    </row>
    <row r="331" spans="1:6" ht="15" thickBot="1" x14ac:dyDescent="0.2">
      <c r="A331" s="30" t="s">
        <v>8952</v>
      </c>
      <c r="B331" s="26" t="str">
        <f t="shared" si="5"/>
        <v>002340</v>
      </c>
      <c r="C331" s="30" t="s">
        <v>745</v>
      </c>
      <c r="D331" s="31">
        <v>5.55</v>
      </c>
      <c r="E331" s="31">
        <v>0</v>
      </c>
      <c r="F331" s="31">
        <v>28232931000</v>
      </c>
    </row>
    <row r="332" spans="1:6" ht="15" thickBot="1" x14ac:dyDescent="0.2">
      <c r="A332" s="30" t="s">
        <v>8953</v>
      </c>
      <c r="B332" s="26" t="str">
        <f t="shared" si="5"/>
        <v>600515</v>
      </c>
      <c r="C332" s="30" t="s">
        <v>626</v>
      </c>
      <c r="D332" s="31">
        <v>3.07</v>
      </c>
      <c r="E332" s="31">
        <v>-0.33</v>
      </c>
      <c r="F332" s="31">
        <v>28170358000</v>
      </c>
    </row>
    <row r="333" spans="1:6" ht="15" thickBot="1" x14ac:dyDescent="0.2">
      <c r="A333" s="30" t="s">
        <v>8954</v>
      </c>
      <c r="B333" s="26" t="str">
        <f t="shared" si="5"/>
        <v>000728</v>
      </c>
      <c r="C333" s="30" t="s">
        <v>8479</v>
      </c>
      <c r="D333" s="31">
        <v>6.42</v>
      </c>
      <c r="E333" s="31">
        <v>0.47</v>
      </c>
      <c r="F333" s="31">
        <v>28015454000</v>
      </c>
    </row>
    <row r="334" spans="1:6" ht="15" thickBot="1" x14ac:dyDescent="0.2">
      <c r="A334" s="30" t="s">
        <v>8955</v>
      </c>
      <c r="B334" s="26" t="str">
        <f t="shared" si="5"/>
        <v>002202</v>
      </c>
      <c r="C334" s="30" t="s">
        <v>683</v>
      </c>
      <c r="D334" s="31">
        <v>8.24</v>
      </c>
      <c r="E334" s="31">
        <v>0.98</v>
      </c>
      <c r="F334" s="31">
        <v>27968415000</v>
      </c>
    </row>
    <row r="335" spans="1:6" ht="15" thickBot="1" x14ac:dyDescent="0.2">
      <c r="A335" s="30" t="s">
        <v>8956</v>
      </c>
      <c r="B335" s="26" t="str">
        <f t="shared" si="5"/>
        <v>300896</v>
      </c>
      <c r="C335" s="30" t="s">
        <v>512</v>
      </c>
      <c r="D335" s="31">
        <v>134.05000000000001</v>
      </c>
      <c r="E335" s="31">
        <v>-0.78</v>
      </c>
      <c r="F335" s="31">
        <v>27944635000</v>
      </c>
    </row>
    <row r="336" spans="1:6" ht="15" thickBot="1" x14ac:dyDescent="0.2">
      <c r="A336" s="30" t="s">
        <v>8957</v>
      </c>
      <c r="B336" s="26" t="str">
        <f t="shared" si="5"/>
        <v>600885</v>
      </c>
      <c r="C336" s="30" t="s">
        <v>765</v>
      </c>
      <c r="D336" s="31">
        <v>26.65</v>
      </c>
      <c r="E336" s="31">
        <v>2.66</v>
      </c>
      <c r="F336" s="31">
        <v>27787311000</v>
      </c>
    </row>
    <row r="337" spans="1:6" ht="15" thickBot="1" x14ac:dyDescent="0.2">
      <c r="A337" s="30" t="s">
        <v>8958</v>
      </c>
      <c r="B337" s="26" t="str">
        <f t="shared" si="5"/>
        <v>002156</v>
      </c>
      <c r="C337" s="30" t="s">
        <v>763</v>
      </c>
      <c r="D337" s="31">
        <v>18.3</v>
      </c>
      <c r="E337" s="31">
        <v>0.33</v>
      </c>
      <c r="F337" s="31">
        <v>27768846000</v>
      </c>
    </row>
    <row r="338" spans="1:6" ht="15" thickBot="1" x14ac:dyDescent="0.2">
      <c r="A338" s="30" t="s">
        <v>8959</v>
      </c>
      <c r="B338" s="26" t="str">
        <f t="shared" si="5"/>
        <v>600298</v>
      </c>
      <c r="C338" s="30" t="s">
        <v>755</v>
      </c>
      <c r="D338" s="31">
        <v>32.31</v>
      </c>
      <c r="E338" s="31">
        <v>0</v>
      </c>
      <c r="F338" s="31">
        <v>27608762000</v>
      </c>
    </row>
    <row r="339" spans="1:6" ht="15" thickBot="1" x14ac:dyDescent="0.2">
      <c r="A339" s="30" t="s">
        <v>8960</v>
      </c>
      <c r="B339" s="26" t="str">
        <f t="shared" si="5"/>
        <v>000783</v>
      </c>
      <c r="C339" s="30" t="s">
        <v>8520</v>
      </c>
      <c r="D339" s="31">
        <v>4.97</v>
      </c>
      <c r="E339" s="31">
        <v>-1</v>
      </c>
      <c r="F339" s="31">
        <v>27484463000</v>
      </c>
    </row>
    <row r="340" spans="1:6" ht="15" thickBot="1" x14ac:dyDescent="0.2">
      <c r="A340" s="30" t="s">
        <v>8961</v>
      </c>
      <c r="B340" s="26" t="str">
        <f t="shared" si="5"/>
        <v>300033</v>
      </c>
      <c r="C340" s="30" t="s">
        <v>369</v>
      </c>
      <c r="D340" s="31">
        <v>99.59</v>
      </c>
      <c r="E340" s="31">
        <v>1.0900000000000001</v>
      </c>
      <c r="F340" s="31">
        <v>27236827000</v>
      </c>
    </row>
    <row r="341" spans="1:6" ht="15" thickBot="1" x14ac:dyDescent="0.2">
      <c r="A341" s="30" t="s">
        <v>8962</v>
      </c>
      <c r="B341" s="26" t="str">
        <f t="shared" si="5"/>
        <v>601990</v>
      </c>
      <c r="C341" s="30" t="s">
        <v>8451</v>
      </c>
      <c r="D341" s="31">
        <v>7.43</v>
      </c>
      <c r="E341" s="31">
        <v>0</v>
      </c>
      <c r="F341" s="31">
        <v>27192231000</v>
      </c>
    </row>
    <row r="342" spans="1:6" ht="15" thickBot="1" x14ac:dyDescent="0.2">
      <c r="A342" s="30" t="s">
        <v>8963</v>
      </c>
      <c r="B342" s="26" t="str">
        <f t="shared" si="5"/>
        <v>600299</v>
      </c>
      <c r="C342" s="30" t="s">
        <v>792</v>
      </c>
      <c r="D342" s="31">
        <v>10.119999999999999</v>
      </c>
      <c r="E342" s="31">
        <v>1.91</v>
      </c>
      <c r="F342" s="31">
        <v>27140841000</v>
      </c>
    </row>
    <row r="343" spans="1:6" ht="15" thickBot="1" x14ac:dyDescent="0.2">
      <c r="A343" s="30" t="s">
        <v>8964</v>
      </c>
      <c r="B343" s="26" t="str">
        <f t="shared" si="5"/>
        <v>600863</v>
      </c>
      <c r="C343" s="30" t="s">
        <v>819</v>
      </c>
      <c r="D343" s="31">
        <v>4.1399999999999997</v>
      </c>
      <c r="E343" s="31">
        <v>1.97</v>
      </c>
      <c r="F343" s="31">
        <v>27021316000</v>
      </c>
    </row>
    <row r="344" spans="1:6" ht="15" thickBot="1" x14ac:dyDescent="0.2">
      <c r="A344" s="30" t="s">
        <v>8965</v>
      </c>
      <c r="B344" s="26" t="str">
        <f t="shared" si="5"/>
        <v>300316</v>
      </c>
      <c r="C344" s="30" t="s">
        <v>725</v>
      </c>
      <c r="D344" s="31">
        <v>21.92</v>
      </c>
      <c r="E344" s="31">
        <v>-0.23</v>
      </c>
      <c r="F344" s="31">
        <v>26995695000</v>
      </c>
    </row>
    <row r="345" spans="1:6" ht="15" thickBot="1" x14ac:dyDescent="0.2">
      <c r="A345" s="30" t="s">
        <v>8966</v>
      </c>
      <c r="B345" s="26" t="str">
        <f t="shared" si="5"/>
        <v>603529</v>
      </c>
      <c r="C345" s="30" t="s">
        <v>8967</v>
      </c>
      <c r="D345" s="31">
        <v>31.93</v>
      </c>
      <c r="E345" s="31">
        <v>1.85</v>
      </c>
      <c r="F345" s="31">
        <v>26909507000</v>
      </c>
    </row>
    <row r="346" spans="1:6" ht="15" thickBot="1" x14ac:dyDescent="0.2">
      <c r="A346" s="30" t="s">
        <v>8968</v>
      </c>
      <c r="B346" s="26" t="str">
        <f t="shared" si="5"/>
        <v>601577</v>
      </c>
      <c r="C346" s="30" t="s">
        <v>8510</v>
      </c>
      <c r="D346" s="31">
        <v>6.64</v>
      </c>
      <c r="E346" s="31">
        <v>0.45</v>
      </c>
      <c r="F346" s="31">
        <v>26696761000</v>
      </c>
    </row>
    <row r="347" spans="1:6" ht="15" thickBot="1" x14ac:dyDescent="0.2">
      <c r="A347" s="30" t="s">
        <v>8969</v>
      </c>
      <c r="B347" s="26" t="str">
        <f t="shared" si="5"/>
        <v>002384</v>
      </c>
      <c r="C347" s="30" t="s">
        <v>622</v>
      </c>
      <c r="D347" s="31">
        <v>19.16</v>
      </c>
      <c r="E347" s="31">
        <v>-5.29</v>
      </c>
      <c r="F347" s="31">
        <v>26561924000</v>
      </c>
    </row>
    <row r="348" spans="1:6" ht="15" thickBot="1" x14ac:dyDescent="0.2">
      <c r="A348" s="30" t="s">
        <v>8970</v>
      </c>
      <c r="B348" s="26" t="str">
        <f t="shared" si="5"/>
        <v>300782</v>
      </c>
      <c r="C348" s="30" t="s">
        <v>655</v>
      </c>
      <c r="D348" s="31">
        <v>59.1</v>
      </c>
      <c r="E348" s="31">
        <v>-0.69</v>
      </c>
      <c r="F348" s="31">
        <v>26451419000</v>
      </c>
    </row>
    <row r="349" spans="1:6" ht="15" thickBot="1" x14ac:dyDescent="0.2">
      <c r="A349" s="30" t="s">
        <v>8971</v>
      </c>
      <c r="B349" s="26" t="str">
        <f t="shared" si="5"/>
        <v>300207</v>
      </c>
      <c r="C349" s="30" t="s">
        <v>707</v>
      </c>
      <c r="D349" s="31">
        <v>15.26</v>
      </c>
      <c r="E349" s="31">
        <v>-1.8</v>
      </c>
      <c r="F349" s="31">
        <v>26370744000</v>
      </c>
    </row>
    <row r="350" spans="1:6" ht="15" thickBot="1" x14ac:dyDescent="0.2">
      <c r="A350" s="30" t="s">
        <v>8972</v>
      </c>
      <c r="B350" s="26" t="str">
        <f t="shared" si="5"/>
        <v>688819</v>
      </c>
      <c r="C350" s="30" t="s">
        <v>797</v>
      </c>
      <c r="D350" s="31">
        <v>27.03</v>
      </c>
      <c r="E350" s="31">
        <v>-0.81</v>
      </c>
      <c r="F350" s="31">
        <v>26275863000</v>
      </c>
    </row>
    <row r="351" spans="1:6" ht="15" thickBot="1" x14ac:dyDescent="0.2">
      <c r="A351" s="30" t="s">
        <v>8973</v>
      </c>
      <c r="B351" s="26" t="str">
        <f t="shared" si="5"/>
        <v>601198</v>
      </c>
      <c r="C351" s="30" t="s">
        <v>8500</v>
      </c>
      <c r="D351" s="31">
        <v>8.08</v>
      </c>
      <c r="E351" s="31">
        <v>0.12</v>
      </c>
      <c r="F351" s="31">
        <v>26118160000</v>
      </c>
    </row>
    <row r="352" spans="1:6" ht="15" thickBot="1" x14ac:dyDescent="0.2">
      <c r="A352" s="30" t="s">
        <v>8974</v>
      </c>
      <c r="B352" s="26" t="str">
        <f t="shared" si="5"/>
        <v>603160</v>
      </c>
      <c r="C352" s="30" t="s">
        <v>788</v>
      </c>
      <c r="D352" s="31">
        <v>56.98</v>
      </c>
      <c r="E352" s="31">
        <v>-0.97</v>
      </c>
      <c r="F352" s="31">
        <v>26096949000</v>
      </c>
    </row>
    <row r="353" spans="1:6" ht="15" thickBot="1" x14ac:dyDescent="0.2">
      <c r="A353" s="30" t="s">
        <v>8975</v>
      </c>
      <c r="B353" s="26" t="str">
        <f t="shared" si="5"/>
        <v>002532</v>
      </c>
      <c r="C353" s="30" t="s">
        <v>757</v>
      </c>
      <c r="D353" s="31">
        <v>6.3</v>
      </c>
      <c r="E353" s="31">
        <v>1.45</v>
      </c>
      <c r="F353" s="31">
        <v>26019034000</v>
      </c>
    </row>
    <row r="354" spans="1:6" ht="15" thickBot="1" x14ac:dyDescent="0.2">
      <c r="A354" s="30" t="s">
        <v>8976</v>
      </c>
      <c r="B354" s="26" t="str">
        <f t="shared" si="5"/>
        <v>002945</v>
      </c>
      <c r="C354" s="30" t="s">
        <v>8977</v>
      </c>
      <c r="D354" s="31">
        <v>9.59</v>
      </c>
      <c r="E354" s="31">
        <v>0.31</v>
      </c>
      <c r="F354" s="31">
        <v>25893000000</v>
      </c>
    </row>
    <row r="355" spans="1:6" ht="15" thickBot="1" x14ac:dyDescent="0.2">
      <c r="A355" s="30" t="s">
        <v>8978</v>
      </c>
      <c r="B355" s="26" t="str">
        <f t="shared" si="5"/>
        <v>000027</v>
      </c>
      <c r="C355" s="30" t="s">
        <v>821</v>
      </c>
      <c r="D355" s="31">
        <v>5.44</v>
      </c>
      <c r="E355" s="31">
        <v>0.18</v>
      </c>
      <c r="F355" s="31">
        <v>25880201000</v>
      </c>
    </row>
    <row r="356" spans="1:6" ht="15" thickBot="1" x14ac:dyDescent="0.2">
      <c r="A356" s="30" t="s">
        <v>8979</v>
      </c>
      <c r="B356" s="26" t="str">
        <f t="shared" si="5"/>
        <v>600312</v>
      </c>
      <c r="C356" s="30" t="s">
        <v>863</v>
      </c>
      <c r="D356" s="31">
        <v>19.05</v>
      </c>
      <c r="E356" s="31">
        <v>2.97</v>
      </c>
      <c r="F356" s="31">
        <v>25849351000</v>
      </c>
    </row>
    <row r="357" spans="1:6" ht="15" thickBot="1" x14ac:dyDescent="0.2">
      <c r="A357" s="30" t="s">
        <v>8980</v>
      </c>
      <c r="B357" s="26" t="str">
        <f t="shared" si="5"/>
        <v>300919</v>
      </c>
      <c r="C357" s="30" t="s">
        <v>772</v>
      </c>
      <c r="D357" s="31">
        <v>28.33</v>
      </c>
      <c r="E357" s="31">
        <v>0.28000000000000003</v>
      </c>
      <c r="F357" s="31">
        <v>25775138000</v>
      </c>
    </row>
    <row r="358" spans="1:6" ht="15" thickBot="1" x14ac:dyDescent="0.2">
      <c r="A358" s="30" t="s">
        <v>8981</v>
      </c>
      <c r="B358" s="26" t="str">
        <f t="shared" si="5"/>
        <v>002673</v>
      </c>
      <c r="C358" s="30" t="s">
        <v>8533</v>
      </c>
      <c r="D358" s="31">
        <v>6.27</v>
      </c>
      <c r="E358" s="31">
        <v>-1.1000000000000001</v>
      </c>
      <c r="F358" s="31">
        <v>25764650000</v>
      </c>
    </row>
    <row r="359" spans="1:6" ht="15" thickBot="1" x14ac:dyDescent="0.2">
      <c r="A359" s="30" t="s">
        <v>8982</v>
      </c>
      <c r="B359" s="26" t="str">
        <f t="shared" si="5"/>
        <v>002456</v>
      </c>
      <c r="C359" s="30" t="s">
        <v>785</v>
      </c>
      <c r="D359" s="31">
        <v>7.9</v>
      </c>
      <c r="E359" s="31">
        <v>-1.99</v>
      </c>
      <c r="F359" s="31">
        <v>25682392000</v>
      </c>
    </row>
    <row r="360" spans="1:6" ht="15" thickBot="1" x14ac:dyDescent="0.2">
      <c r="A360" s="30" t="s">
        <v>8983</v>
      </c>
      <c r="B360" s="26" t="str">
        <f t="shared" si="5"/>
        <v>000066</v>
      </c>
      <c r="C360" s="30" t="s">
        <v>800</v>
      </c>
      <c r="D360" s="31">
        <v>8.16</v>
      </c>
      <c r="E360" s="31">
        <v>-0.85</v>
      </c>
      <c r="F360" s="31">
        <v>25677833000</v>
      </c>
    </row>
    <row r="361" spans="1:6" ht="15" thickBot="1" x14ac:dyDescent="0.2">
      <c r="A361" s="30" t="s">
        <v>8984</v>
      </c>
      <c r="B361" s="26" t="str">
        <f t="shared" si="5"/>
        <v>603338</v>
      </c>
      <c r="C361" s="30" t="s">
        <v>838</v>
      </c>
      <c r="D361" s="31">
        <v>50.6</v>
      </c>
      <c r="E361" s="31">
        <v>4.5</v>
      </c>
      <c r="F361" s="31">
        <v>25621203000</v>
      </c>
    </row>
    <row r="362" spans="1:6" ht="15" thickBot="1" x14ac:dyDescent="0.2">
      <c r="A362" s="30" t="s">
        <v>8985</v>
      </c>
      <c r="B362" s="26" t="str">
        <f t="shared" si="5"/>
        <v>002085</v>
      </c>
      <c r="C362" s="30" t="s">
        <v>780</v>
      </c>
      <c r="D362" s="31">
        <v>12.06</v>
      </c>
      <c r="E362" s="31">
        <v>0.75</v>
      </c>
      <c r="F362" s="31">
        <v>25606968000</v>
      </c>
    </row>
    <row r="363" spans="1:6" ht="15" thickBot="1" x14ac:dyDescent="0.2">
      <c r="A363" s="30" t="s">
        <v>8986</v>
      </c>
      <c r="B363" s="26" t="str">
        <f t="shared" si="5"/>
        <v>603833</v>
      </c>
      <c r="C363" s="30" t="s">
        <v>825</v>
      </c>
      <c r="D363" s="31">
        <v>41.96</v>
      </c>
      <c r="E363" s="31">
        <v>3.12</v>
      </c>
      <c r="F363" s="31">
        <v>25560037000</v>
      </c>
    </row>
    <row r="364" spans="1:6" ht="15" thickBot="1" x14ac:dyDescent="0.2">
      <c r="A364" s="30" t="s">
        <v>8987</v>
      </c>
      <c r="B364" s="26" t="str">
        <f t="shared" si="5"/>
        <v>600873</v>
      </c>
      <c r="C364" s="30" t="s">
        <v>808</v>
      </c>
      <c r="D364" s="31">
        <v>8.93</v>
      </c>
      <c r="E364" s="31">
        <v>-1.98</v>
      </c>
      <c r="F364" s="31">
        <v>25475404000</v>
      </c>
    </row>
    <row r="365" spans="1:6" ht="15" thickBot="1" x14ac:dyDescent="0.2">
      <c r="A365" s="30" t="s">
        <v>8988</v>
      </c>
      <c r="B365" s="26" t="str">
        <f t="shared" si="5"/>
        <v>601019</v>
      </c>
      <c r="C365" s="30" t="s">
        <v>812</v>
      </c>
      <c r="D365" s="31">
        <v>12.14</v>
      </c>
      <c r="E365" s="31">
        <v>-2.57</v>
      </c>
      <c r="F365" s="31">
        <v>25334966000</v>
      </c>
    </row>
    <row r="366" spans="1:6" ht="15" thickBot="1" x14ac:dyDescent="0.2">
      <c r="A366" s="30" t="s">
        <v>8989</v>
      </c>
      <c r="B366" s="26" t="str">
        <f t="shared" si="5"/>
        <v>300628</v>
      </c>
      <c r="C366" s="30" t="s">
        <v>499</v>
      </c>
      <c r="D366" s="31">
        <v>34.979999999999997</v>
      </c>
      <c r="E366" s="31">
        <v>-0.03</v>
      </c>
      <c r="F366" s="31">
        <v>25292761000</v>
      </c>
    </row>
    <row r="367" spans="1:6" ht="15" thickBot="1" x14ac:dyDescent="0.2">
      <c r="A367" s="30" t="s">
        <v>8990</v>
      </c>
      <c r="B367" s="26" t="str">
        <f t="shared" si="5"/>
        <v>600398</v>
      </c>
      <c r="C367" s="30" t="s">
        <v>834</v>
      </c>
      <c r="D367" s="31">
        <v>5.24</v>
      </c>
      <c r="E367" s="31">
        <v>1.1599999999999999</v>
      </c>
      <c r="F367" s="31">
        <v>25166516000</v>
      </c>
    </row>
    <row r="368" spans="1:6" ht="15" thickBot="1" x14ac:dyDescent="0.2">
      <c r="A368" s="30" t="s">
        <v>8991</v>
      </c>
      <c r="B368" s="26" t="str">
        <f t="shared" si="5"/>
        <v>600517</v>
      </c>
      <c r="C368" s="30" t="s">
        <v>875</v>
      </c>
      <c r="D368" s="31">
        <v>4.4000000000000004</v>
      </c>
      <c r="E368" s="31">
        <v>1.1499999999999999</v>
      </c>
      <c r="F368" s="31">
        <v>25161117000</v>
      </c>
    </row>
    <row r="369" spans="1:6" ht="15" thickBot="1" x14ac:dyDescent="0.2">
      <c r="A369" s="30" t="s">
        <v>8992</v>
      </c>
      <c r="B369" s="26" t="str">
        <f t="shared" si="5"/>
        <v>600875</v>
      </c>
      <c r="C369" s="30" t="s">
        <v>577</v>
      </c>
      <c r="D369" s="31">
        <v>12.43</v>
      </c>
      <c r="E369" s="31">
        <v>0.73</v>
      </c>
      <c r="F369" s="31">
        <v>25149669000</v>
      </c>
    </row>
    <row r="370" spans="1:6" ht="15" thickBot="1" x14ac:dyDescent="0.2">
      <c r="A370" s="30" t="s">
        <v>8993</v>
      </c>
      <c r="B370" s="26" t="str">
        <f t="shared" si="5"/>
        <v>000987</v>
      </c>
      <c r="C370" s="30" t="s">
        <v>869</v>
      </c>
      <c r="D370" s="31">
        <v>5.01</v>
      </c>
      <c r="E370" s="31">
        <v>2.04</v>
      </c>
      <c r="F370" s="31">
        <v>25126311000</v>
      </c>
    </row>
    <row r="371" spans="1:6" ht="15" thickBot="1" x14ac:dyDescent="0.2">
      <c r="A371" s="30" t="s">
        <v>8994</v>
      </c>
      <c r="B371" s="26" t="str">
        <f t="shared" si="5"/>
        <v>600282</v>
      </c>
      <c r="C371" s="30" t="s">
        <v>844</v>
      </c>
      <c r="D371" s="31">
        <v>4.0599999999999996</v>
      </c>
      <c r="E371" s="31">
        <v>0.74</v>
      </c>
      <c r="F371" s="31">
        <v>25030270000</v>
      </c>
    </row>
    <row r="372" spans="1:6" ht="15" thickBot="1" x14ac:dyDescent="0.2">
      <c r="A372" s="30" t="s">
        <v>8995</v>
      </c>
      <c r="B372" s="26" t="str">
        <f t="shared" si="5"/>
        <v>600079</v>
      </c>
      <c r="C372" s="30" t="s">
        <v>753</v>
      </c>
      <c r="D372" s="31">
        <v>16.16</v>
      </c>
      <c r="E372" s="31">
        <v>0.19</v>
      </c>
      <c r="F372" s="31">
        <v>24937769000</v>
      </c>
    </row>
    <row r="373" spans="1:6" ht="15" thickBot="1" x14ac:dyDescent="0.2">
      <c r="A373" s="30" t="s">
        <v>8996</v>
      </c>
      <c r="B373" s="26" t="str">
        <f t="shared" si="5"/>
        <v>600132</v>
      </c>
      <c r="C373" s="30" t="s">
        <v>823</v>
      </c>
      <c r="D373" s="31">
        <v>51.39</v>
      </c>
      <c r="E373" s="31">
        <v>-1.76</v>
      </c>
      <c r="F373" s="31">
        <v>24871280000</v>
      </c>
    </row>
    <row r="374" spans="1:6" ht="15" thickBot="1" x14ac:dyDescent="0.2">
      <c r="A374" s="30" t="s">
        <v>8997</v>
      </c>
      <c r="B374" s="26" t="str">
        <f t="shared" si="5"/>
        <v>601162</v>
      </c>
      <c r="C374" s="30" t="s">
        <v>8593</v>
      </c>
      <c r="D374" s="31">
        <v>2.87</v>
      </c>
      <c r="E374" s="31">
        <v>-3.37</v>
      </c>
      <c r="F374" s="31">
        <v>24870724000</v>
      </c>
    </row>
    <row r="375" spans="1:6" ht="15" thickBot="1" x14ac:dyDescent="0.2">
      <c r="A375" s="30" t="s">
        <v>8998</v>
      </c>
      <c r="B375" s="26" t="str">
        <f t="shared" si="5"/>
        <v>002608</v>
      </c>
      <c r="C375" s="30" t="s">
        <v>865</v>
      </c>
      <c r="D375" s="31">
        <v>6.56</v>
      </c>
      <c r="E375" s="31">
        <v>1.08</v>
      </c>
      <c r="F375" s="31">
        <v>24784203000</v>
      </c>
    </row>
    <row r="376" spans="1:6" ht="15" thickBot="1" x14ac:dyDescent="0.2">
      <c r="A376" s="30" t="s">
        <v>8999</v>
      </c>
      <c r="B376" s="26" t="str">
        <f t="shared" si="5"/>
        <v>000564</v>
      </c>
      <c r="C376" s="30" t="s">
        <v>702</v>
      </c>
      <c r="D376" s="31">
        <v>1.61</v>
      </c>
      <c r="E376" s="31">
        <v>-1.23</v>
      </c>
      <c r="F376" s="31">
        <v>24700512000</v>
      </c>
    </row>
    <row r="377" spans="1:6" ht="15" thickBot="1" x14ac:dyDescent="0.2">
      <c r="A377" s="30" t="s">
        <v>9000</v>
      </c>
      <c r="B377" s="26" t="str">
        <f t="shared" si="5"/>
        <v>688278</v>
      </c>
      <c r="C377" s="30" t="s">
        <v>923</v>
      </c>
      <c r="D377" s="31">
        <v>60.5</v>
      </c>
      <c r="E377" s="31">
        <v>2.89</v>
      </c>
      <c r="F377" s="31">
        <v>24611400000</v>
      </c>
    </row>
    <row r="378" spans="1:6" ht="15" thickBot="1" x14ac:dyDescent="0.2">
      <c r="A378" s="30" t="s">
        <v>9001</v>
      </c>
      <c r="B378" s="26" t="str">
        <f t="shared" si="5"/>
        <v>600862</v>
      </c>
      <c r="C378" s="30" t="s">
        <v>828</v>
      </c>
      <c r="D378" s="31">
        <v>17.649999999999999</v>
      </c>
      <c r="E378" s="31">
        <v>-2.38</v>
      </c>
      <c r="F378" s="31">
        <v>24587317000</v>
      </c>
    </row>
    <row r="379" spans="1:6" ht="15" thickBot="1" x14ac:dyDescent="0.2">
      <c r="A379" s="30" t="s">
        <v>9002</v>
      </c>
      <c r="B379" s="26" t="str">
        <f t="shared" si="5"/>
        <v>002966</v>
      </c>
      <c r="C379" s="30" t="s">
        <v>8430</v>
      </c>
      <c r="D379" s="31">
        <v>6.85</v>
      </c>
      <c r="E379" s="31">
        <v>1.94</v>
      </c>
      <c r="F379" s="31">
        <v>24562123000</v>
      </c>
    </row>
    <row r="380" spans="1:6" ht="15" thickBot="1" x14ac:dyDescent="0.2">
      <c r="A380" s="30" t="s">
        <v>9003</v>
      </c>
      <c r="B380" s="26" t="str">
        <f t="shared" si="5"/>
        <v>688047</v>
      </c>
      <c r="C380" s="30" t="s">
        <v>9004</v>
      </c>
      <c r="D380" s="31">
        <v>87.08</v>
      </c>
      <c r="E380" s="31">
        <v>-3.03</v>
      </c>
      <c r="F380" s="31">
        <v>24351463000</v>
      </c>
    </row>
    <row r="381" spans="1:6" ht="15" thickBot="1" x14ac:dyDescent="0.2">
      <c r="A381" s="30" t="s">
        <v>9005</v>
      </c>
      <c r="B381" s="26" t="str">
        <f t="shared" si="5"/>
        <v>600483</v>
      </c>
      <c r="C381" s="30" t="s">
        <v>910</v>
      </c>
      <c r="D381" s="31">
        <v>9.25</v>
      </c>
      <c r="E381" s="31">
        <v>3.12</v>
      </c>
      <c r="F381" s="31">
        <v>24330017000</v>
      </c>
    </row>
    <row r="382" spans="1:6" ht="15" thickBot="1" x14ac:dyDescent="0.2">
      <c r="A382" s="30" t="s">
        <v>9006</v>
      </c>
      <c r="B382" s="26" t="str">
        <f t="shared" si="5"/>
        <v>600348</v>
      </c>
      <c r="C382" s="30" t="s">
        <v>919</v>
      </c>
      <c r="D382" s="31">
        <v>6.74</v>
      </c>
      <c r="E382" s="31">
        <v>3.69</v>
      </c>
      <c r="F382" s="31">
        <v>24314550000</v>
      </c>
    </row>
    <row r="383" spans="1:6" ht="15" thickBot="1" x14ac:dyDescent="0.2">
      <c r="A383" s="30" t="s">
        <v>9007</v>
      </c>
      <c r="B383" s="26" t="str">
        <f t="shared" si="5"/>
        <v>603298</v>
      </c>
      <c r="C383" s="30" t="s">
        <v>906</v>
      </c>
      <c r="D383" s="31">
        <v>18.55</v>
      </c>
      <c r="E383" s="31">
        <v>5.76</v>
      </c>
      <c r="F383" s="31">
        <v>24297014000</v>
      </c>
    </row>
    <row r="384" spans="1:6" ht="15" thickBot="1" x14ac:dyDescent="0.2">
      <c r="A384" s="30" t="s">
        <v>9008</v>
      </c>
      <c r="B384" s="26" t="str">
        <f t="shared" si="5"/>
        <v>601966</v>
      </c>
      <c r="C384" s="30" t="s">
        <v>879</v>
      </c>
      <c r="D384" s="31">
        <v>16.47</v>
      </c>
      <c r="E384" s="31">
        <v>1.79</v>
      </c>
      <c r="F384" s="31">
        <v>24268919000</v>
      </c>
    </row>
    <row r="385" spans="1:6" ht="15" thickBot="1" x14ac:dyDescent="0.2">
      <c r="A385" s="30" t="s">
        <v>9009</v>
      </c>
      <c r="B385" s="26" t="str">
        <f t="shared" si="5"/>
        <v>601696</v>
      </c>
      <c r="C385" s="30" t="s">
        <v>8508</v>
      </c>
      <c r="D385" s="31">
        <v>8.73</v>
      </c>
      <c r="E385" s="31">
        <v>0.69</v>
      </c>
      <c r="F385" s="31">
        <v>24251940000</v>
      </c>
    </row>
    <row r="386" spans="1:6" ht="15" thickBot="1" x14ac:dyDescent="0.2">
      <c r="A386" s="30" t="s">
        <v>9010</v>
      </c>
      <c r="B386" s="26" t="str">
        <f t="shared" si="5"/>
        <v>600007</v>
      </c>
      <c r="C386" s="30" t="s">
        <v>904</v>
      </c>
      <c r="D386" s="31">
        <v>23.99</v>
      </c>
      <c r="E386" s="31">
        <v>3.14</v>
      </c>
      <c r="F386" s="31">
        <v>24164708000</v>
      </c>
    </row>
    <row r="387" spans="1:6" ht="15" thickBot="1" x14ac:dyDescent="0.2">
      <c r="A387" s="30" t="s">
        <v>9011</v>
      </c>
      <c r="B387" s="26" t="str">
        <f t="shared" ref="B387:B450" si="6">LEFT(A387,6)</f>
        <v>603596</v>
      </c>
      <c r="C387" s="30" t="s">
        <v>871</v>
      </c>
      <c r="D387" s="31">
        <v>39.770000000000003</v>
      </c>
      <c r="E387" s="31">
        <v>4.8</v>
      </c>
      <c r="F387" s="31">
        <v>24072913000</v>
      </c>
    </row>
    <row r="388" spans="1:6" ht="15" thickBot="1" x14ac:dyDescent="0.2">
      <c r="A388" s="30" t="s">
        <v>9012</v>
      </c>
      <c r="B388" s="26" t="str">
        <f t="shared" si="6"/>
        <v>002074</v>
      </c>
      <c r="C388" s="30" t="s">
        <v>643</v>
      </c>
      <c r="D388" s="31">
        <v>18.09</v>
      </c>
      <c r="E388" s="31">
        <v>-1.04</v>
      </c>
      <c r="F388" s="31">
        <v>24046754000</v>
      </c>
    </row>
    <row r="389" spans="1:6" ht="15" thickBot="1" x14ac:dyDescent="0.2">
      <c r="A389" s="30" t="s">
        <v>9013</v>
      </c>
      <c r="B389" s="26" t="str">
        <f t="shared" si="6"/>
        <v>600549</v>
      </c>
      <c r="C389" s="30" t="s">
        <v>895</v>
      </c>
      <c r="D389" s="31">
        <v>16.91</v>
      </c>
      <c r="E389" s="31">
        <v>2.0499999999999998</v>
      </c>
      <c r="F389" s="31">
        <v>23921703000</v>
      </c>
    </row>
    <row r="390" spans="1:6" ht="15" thickBot="1" x14ac:dyDescent="0.2">
      <c r="A390" s="30" t="s">
        <v>9014</v>
      </c>
      <c r="B390" s="26" t="str">
        <f t="shared" si="6"/>
        <v>000738</v>
      </c>
      <c r="C390" s="30" t="s">
        <v>852</v>
      </c>
      <c r="D390" s="31">
        <v>18.18</v>
      </c>
      <c r="E390" s="31">
        <v>-0.49</v>
      </c>
      <c r="F390" s="31">
        <v>23910045000</v>
      </c>
    </row>
    <row r="391" spans="1:6" ht="15" thickBot="1" x14ac:dyDescent="0.2">
      <c r="A391" s="30" t="s">
        <v>9015</v>
      </c>
      <c r="B391" s="26" t="str">
        <f t="shared" si="6"/>
        <v>600118</v>
      </c>
      <c r="C391" s="30" t="s">
        <v>881</v>
      </c>
      <c r="D391" s="31">
        <v>20.22</v>
      </c>
      <c r="E391" s="31">
        <v>-0.1</v>
      </c>
      <c r="F391" s="31">
        <v>23909930000</v>
      </c>
    </row>
    <row r="392" spans="1:6" ht="15" thickBot="1" x14ac:dyDescent="0.2">
      <c r="A392" s="30" t="s">
        <v>9016</v>
      </c>
      <c r="B392" s="26" t="str">
        <f t="shared" si="6"/>
        <v>002939</v>
      </c>
      <c r="C392" s="30" t="s">
        <v>8422</v>
      </c>
      <c r="D392" s="31">
        <v>6.84</v>
      </c>
      <c r="E392" s="31">
        <v>-0.44</v>
      </c>
      <c r="F392" s="31">
        <v>23855341000</v>
      </c>
    </row>
    <row r="393" spans="1:6" ht="15" thickBot="1" x14ac:dyDescent="0.2">
      <c r="A393" s="30" t="s">
        <v>9017</v>
      </c>
      <c r="B393" s="26" t="str">
        <f t="shared" si="6"/>
        <v>603156</v>
      </c>
      <c r="C393" s="30" t="s">
        <v>929</v>
      </c>
      <c r="D393" s="31">
        <v>18.84</v>
      </c>
      <c r="E393" s="31">
        <v>2.56</v>
      </c>
      <c r="F393" s="31">
        <v>23841899000</v>
      </c>
    </row>
    <row r="394" spans="1:6" ht="15" thickBot="1" x14ac:dyDescent="0.2">
      <c r="A394" s="30" t="s">
        <v>9018</v>
      </c>
      <c r="B394" s="26" t="str">
        <f t="shared" si="6"/>
        <v>300114</v>
      </c>
      <c r="C394" s="30" t="s">
        <v>889</v>
      </c>
      <c r="D394" s="31">
        <v>40.35</v>
      </c>
      <c r="E394" s="31">
        <v>-0.59</v>
      </c>
      <c r="F394" s="31">
        <v>23837186000</v>
      </c>
    </row>
    <row r="395" spans="1:6" ht="15" thickBot="1" x14ac:dyDescent="0.2">
      <c r="A395" s="30" t="s">
        <v>9019</v>
      </c>
      <c r="B395" s="26" t="str">
        <f t="shared" si="6"/>
        <v>601598</v>
      </c>
      <c r="C395" s="30" t="s">
        <v>737</v>
      </c>
      <c r="D395" s="31">
        <v>4.53</v>
      </c>
      <c r="E395" s="31">
        <v>1.34</v>
      </c>
      <c r="F395" s="31">
        <v>23809303000</v>
      </c>
    </row>
    <row r="396" spans="1:6" ht="15" thickBot="1" x14ac:dyDescent="0.2">
      <c r="A396" s="30" t="s">
        <v>9020</v>
      </c>
      <c r="B396" s="26" t="str">
        <f t="shared" si="6"/>
        <v>300476</v>
      </c>
      <c r="C396" s="30" t="s">
        <v>902</v>
      </c>
      <c r="D396" s="31">
        <v>27.82</v>
      </c>
      <c r="E396" s="31">
        <v>-1</v>
      </c>
      <c r="F396" s="31">
        <v>23791906000</v>
      </c>
    </row>
    <row r="397" spans="1:6" ht="15" thickBot="1" x14ac:dyDescent="0.2">
      <c r="A397" s="30" t="s">
        <v>9021</v>
      </c>
      <c r="B397" s="26" t="str">
        <f t="shared" si="6"/>
        <v>601001</v>
      </c>
      <c r="C397" s="30" t="s">
        <v>966</v>
      </c>
      <c r="D397" s="31">
        <v>14.18</v>
      </c>
      <c r="E397" s="31">
        <v>4.88</v>
      </c>
      <c r="F397" s="31">
        <v>23733066000</v>
      </c>
    </row>
    <row r="398" spans="1:6" ht="15" thickBot="1" x14ac:dyDescent="0.2">
      <c r="A398" s="30" t="s">
        <v>9022</v>
      </c>
      <c r="B398" s="26" t="str">
        <f t="shared" si="6"/>
        <v>600521</v>
      </c>
      <c r="C398" s="30" t="s">
        <v>898</v>
      </c>
      <c r="D398" s="31">
        <v>16.18</v>
      </c>
      <c r="E398" s="31">
        <v>2.8</v>
      </c>
      <c r="F398" s="31">
        <v>23732103000</v>
      </c>
    </row>
    <row r="399" spans="1:6" ht="15" thickBot="1" x14ac:dyDescent="0.2">
      <c r="A399" s="30" t="s">
        <v>9023</v>
      </c>
      <c r="B399" s="26" t="str">
        <f t="shared" si="6"/>
        <v>600765</v>
      </c>
      <c r="C399" s="30" t="s">
        <v>842</v>
      </c>
      <c r="D399" s="31">
        <v>16.149999999999999</v>
      </c>
      <c r="E399" s="31">
        <v>-0.8</v>
      </c>
      <c r="F399" s="31">
        <v>23719159000</v>
      </c>
    </row>
    <row r="400" spans="1:6" ht="15" thickBot="1" x14ac:dyDescent="0.2">
      <c r="A400" s="30" t="s">
        <v>9024</v>
      </c>
      <c r="B400" s="26" t="str">
        <f t="shared" si="6"/>
        <v>601098</v>
      </c>
      <c r="C400" s="30" t="s">
        <v>883</v>
      </c>
      <c r="D400" s="31">
        <v>13.2</v>
      </c>
      <c r="E400" s="31">
        <v>-1.64</v>
      </c>
      <c r="F400" s="31">
        <v>23707200000</v>
      </c>
    </row>
    <row r="401" spans="1:6" ht="15" thickBot="1" x14ac:dyDescent="0.2">
      <c r="A401" s="30" t="s">
        <v>9025</v>
      </c>
      <c r="B401" s="26" t="str">
        <f t="shared" si="6"/>
        <v>689009</v>
      </c>
      <c r="C401" s="30" t="s">
        <v>668</v>
      </c>
      <c r="D401" s="31">
        <v>43.04</v>
      </c>
      <c r="E401" s="31">
        <v>0.68</v>
      </c>
      <c r="F401" s="31">
        <v>23513708000</v>
      </c>
    </row>
    <row r="402" spans="1:6" ht="15" thickBot="1" x14ac:dyDescent="0.2">
      <c r="A402" s="30" t="s">
        <v>9026</v>
      </c>
      <c r="B402" s="26" t="str">
        <f t="shared" si="6"/>
        <v>000932</v>
      </c>
      <c r="C402" s="30" t="s">
        <v>908</v>
      </c>
      <c r="D402" s="31">
        <v>3.4</v>
      </c>
      <c r="E402" s="31">
        <v>0</v>
      </c>
      <c r="F402" s="31">
        <v>23489058000</v>
      </c>
    </row>
    <row r="403" spans="1:6" ht="15" thickBot="1" x14ac:dyDescent="0.2">
      <c r="A403" s="30" t="s">
        <v>9027</v>
      </c>
      <c r="B403" s="26" t="str">
        <f t="shared" si="6"/>
        <v>000921</v>
      </c>
      <c r="C403" s="30" t="s">
        <v>671</v>
      </c>
      <c r="D403" s="31">
        <v>25.72</v>
      </c>
      <c r="E403" s="31">
        <v>5.19</v>
      </c>
      <c r="F403" s="31">
        <v>23452302000</v>
      </c>
    </row>
    <row r="404" spans="1:6" ht="15" thickBot="1" x14ac:dyDescent="0.2">
      <c r="A404" s="30" t="s">
        <v>9028</v>
      </c>
      <c r="B404" s="26" t="str">
        <f t="shared" si="6"/>
        <v>000831</v>
      </c>
      <c r="C404" s="30" t="s">
        <v>877</v>
      </c>
      <c r="D404" s="31">
        <v>22.08</v>
      </c>
      <c r="E404" s="31">
        <v>0.78</v>
      </c>
      <c r="F404" s="31">
        <v>23431755000</v>
      </c>
    </row>
    <row r="405" spans="1:6" ht="15" thickBot="1" x14ac:dyDescent="0.2">
      <c r="A405" s="30" t="s">
        <v>9029</v>
      </c>
      <c r="B405" s="26" t="str">
        <f t="shared" si="6"/>
        <v>600497</v>
      </c>
      <c r="C405" s="30" t="s">
        <v>914</v>
      </c>
      <c r="D405" s="31">
        <v>4.5999999999999996</v>
      </c>
      <c r="E405" s="31">
        <v>0</v>
      </c>
      <c r="F405" s="31">
        <v>23419941000</v>
      </c>
    </row>
    <row r="406" spans="1:6" ht="15" thickBot="1" x14ac:dyDescent="0.2">
      <c r="A406" s="30" t="s">
        <v>9030</v>
      </c>
      <c r="B406" s="26" t="str">
        <f t="shared" si="6"/>
        <v>002185</v>
      </c>
      <c r="C406" s="30" t="s">
        <v>885</v>
      </c>
      <c r="D406" s="31">
        <v>7.31</v>
      </c>
      <c r="E406" s="31">
        <v>-0.27</v>
      </c>
      <c r="F406" s="31">
        <v>23419338000</v>
      </c>
    </row>
    <row r="407" spans="1:6" ht="15" thickBot="1" x14ac:dyDescent="0.2">
      <c r="A407" s="30" t="s">
        <v>9031</v>
      </c>
      <c r="B407" s="26" t="str">
        <f t="shared" si="6"/>
        <v>600663</v>
      </c>
      <c r="C407" s="30" t="s">
        <v>648</v>
      </c>
      <c r="D407" s="31">
        <v>7.97</v>
      </c>
      <c r="E407" s="31">
        <v>-1.24</v>
      </c>
      <c r="F407" s="31">
        <v>23379688000</v>
      </c>
    </row>
    <row r="408" spans="1:6" ht="15" thickBot="1" x14ac:dyDescent="0.2">
      <c r="A408" s="30" t="s">
        <v>9032</v>
      </c>
      <c r="B408" s="26" t="str">
        <f t="shared" si="6"/>
        <v>603899</v>
      </c>
      <c r="C408" s="30" t="s">
        <v>860</v>
      </c>
      <c r="D408" s="31">
        <v>25.28</v>
      </c>
      <c r="E408" s="31">
        <v>-0.86</v>
      </c>
      <c r="F408" s="31">
        <v>23354382000</v>
      </c>
    </row>
    <row r="409" spans="1:6" ht="15" thickBot="1" x14ac:dyDescent="0.2">
      <c r="A409" s="30" t="s">
        <v>9033</v>
      </c>
      <c r="B409" s="26" t="str">
        <f t="shared" si="6"/>
        <v>600871</v>
      </c>
      <c r="C409" s="30" t="s">
        <v>814</v>
      </c>
      <c r="D409" s="31">
        <v>1.72</v>
      </c>
      <c r="E409" s="31">
        <v>-0.57999999999999996</v>
      </c>
      <c r="F409" s="31">
        <v>23339331000</v>
      </c>
    </row>
    <row r="410" spans="1:6" ht="15" thickBot="1" x14ac:dyDescent="0.2">
      <c r="A410" s="30" t="s">
        <v>9034</v>
      </c>
      <c r="B410" s="26" t="str">
        <f t="shared" si="6"/>
        <v>600157</v>
      </c>
      <c r="C410" s="30" t="s">
        <v>925</v>
      </c>
      <c r="D410" s="31">
        <v>1.05</v>
      </c>
      <c r="E410" s="31">
        <v>0</v>
      </c>
      <c r="F410" s="31">
        <v>23328652000</v>
      </c>
    </row>
    <row r="411" spans="1:6" ht="15" thickBot="1" x14ac:dyDescent="0.2">
      <c r="A411" s="30" t="s">
        <v>9035</v>
      </c>
      <c r="B411" s="26" t="str">
        <f t="shared" si="6"/>
        <v>601233</v>
      </c>
      <c r="C411" s="30" t="s">
        <v>816</v>
      </c>
      <c r="D411" s="31">
        <v>10.25</v>
      </c>
      <c r="E411" s="31">
        <v>-1.63</v>
      </c>
      <c r="F411" s="31">
        <v>23291174000</v>
      </c>
    </row>
    <row r="412" spans="1:6" ht="15" thickBot="1" x14ac:dyDescent="0.2">
      <c r="A412" s="30" t="s">
        <v>9036</v>
      </c>
      <c r="B412" s="26" t="str">
        <f t="shared" si="6"/>
        <v>600518</v>
      </c>
      <c r="C412" s="30" t="s">
        <v>887</v>
      </c>
      <c r="D412" s="31">
        <v>1.7</v>
      </c>
      <c r="E412" s="31">
        <v>-1.1599999999999999</v>
      </c>
      <c r="F412" s="31">
        <v>23141978000</v>
      </c>
    </row>
    <row r="413" spans="1:6" ht="15" thickBot="1" x14ac:dyDescent="0.2">
      <c r="A413" s="30" t="s">
        <v>9037</v>
      </c>
      <c r="B413" s="26" t="str">
        <f t="shared" si="6"/>
        <v>600378</v>
      </c>
      <c r="C413" s="30" t="s">
        <v>776</v>
      </c>
      <c r="D413" s="31">
        <v>25.4</v>
      </c>
      <c r="E413" s="31">
        <v>2.34</v>
      </c>
      <c r="F413" s="31">
        <v>23130429000</v>
      </c>
    </row>
    <row r="414" spans="1:6" ht="15" thickBot="1" x14ac:dyDescent="0.2">
      <c r="A414" s="30" t="s">
        <v>9038</v>
      </c>
      <c r="B414" s="26" t="str">
        <f t="shared" si="6"/>
        <v>603486</v>
      </c>
      <c r="C414" s="30" t="s">
        <v>912</v>
      </c>
      <c r="D414" s="31">
        <v>40.6</v>
      </c>
      <c r="E414" s="31">
        <v>0.87</v>
      </c>
      <c r="F414" s="31">
        <v>23109579000</v>
      </c>
    </row>
    <row r="415" spans="1:6" ht="15" thickBot="1" x14ac:dyDescent="0.2">
      <c r="A415" s="30" t="s">
        <v>9039</v>
      </c>
      <c r="B415" s="26" t="str">
        <f t="shared" si="6"/>
        <v>600879</v>
      </c>
      <c r="C415" s="30" t="s">
        <v>921</v>
      </c>
      <c r="D415" s="31">
        <v>7.13</v>
      </c>
      <c r="E415" s="31">
        <v>0.56000000000000005</v>
      </c>
      <c r="F415" s="31">
        <v>23024004000</v>
      </c>
    </row>
    <row r="416" spans="1:6" ht="15" thickBot="1" x14ac:dyDescent="0.2">
      <c r="A416" s="30" t="s">
        <v>9040</v>
      </c>
      <c r="B416" s="26" t="str">
        <f t="shared" si="6"/>
        <v>600598</v>
      </c>
      <c r="C416" s="30" t="s">
        <v>939</v>
      </c>
      <c r="D416" s="31">
        <v>12.86</v>
      </c>
      <c r="E416" s="31">
        <v>-1.1499999999999999</v>
      </c>
      <c r="F416" s="31">
        <v>22860964000</v>
      </c>
    </row>
    <row r="417" spans="1:6" ht="15" thickBot="1" x14ac:dyDescent="0.2">
      <c r="A417" s="30" t="s">
        <v>9041</v>
      </c>
      <c r="B417" s="26" t="str">
        <f t="shared" si="6"/>
        <v>601228</v>
      </c>
      <c r="C417" s="30" t="s">
        <v>950</v>
      </c>
      <c r="D417" s="31">
        <v>3.03</v>
      </c>
      <c r="E417" s="31">
        <v>0.67</v>
      </c>
      <c r="F417" s="31">
        <v>22859930000</v>
      </c>
    </row>
    <row r="418" spans="1:6" ht="15" thickBot="1" x14ac:dyDescent="0.2">
      <c r="A418" s="30" t="s">
        <v>9042</v>
      </c>
      <c r="B418" s="26" t="str">
        <f t="shared" si="6"/>
        <v>301236</v>
      </c>
      <c r="C418" s="30" t="s">
        <v>8453</v>
      </c>
      <c r="D418" s="31">
        <v>33.590000000000003</v>
      </c>
      <c r="E418" s="31">
        <v>3.58</v>
      </c>
      <c r="F418" s="31">
        <v>22851794000</v>
      </c>
    </row>
    <row r="419" spans="1:6" ht="15" thickBot="1" x14ac:dyDescent="0.2">
      <c r="A419" s="30" t="s">
        <v>9043</v>
      </c>
      <c r="B419" s="26" t="str">
        <f t="shared" si="6"/>
        <v>601456</v>
      </c>
      <c r="C419" s="30" t="s">
        <v>8551</v>
      </c>
      <c r="D419" s="31">
        <v>9.56</v>
      </c>
      <c r="E419" s="31">
        <v>0.63</v>
      </c>
      <c r="F419" s="31">
        <v>22840113000</v>
      </c>
    </row>
    <row r="420" spans="1:6" ht="15" thickBot="1" x14ac:dyDescent="0.2">
      <c r="A420" s="30" t="s">
        <v>9044</v>
      </c>
      <c r="B420" s="26" t="str">
        <f t="shared" si="6"/>
        <v>601880</v>
      </c>
      <c r="C420" s="30" t="s">
        <v>830</v>
      </c>
      <c r="D420" s="31">
        <v>1.21</v>
      </c>
      <c r="E420" s="31">
        <v>0</v>
      </c>
      <c r="F420" s="31">
        <v>22782303000</v>
      </c>
    </row>
    <row r="421" spans="1:6" ht="15" thickBot="1" x14ac:dyDescent="0.2">
      <c r="A421" s="30" t="s">
        <v>9045</v>
      </c>
      <c r="B421" s="26" t="str">
        <f t="shared" si="6"/>
        <v>002152</v>
      </c>
      <c r="C421" s="30" t="s">
        <v>934</v>
      </c>
      <c r="D421" s="31">
        <v>9.17</v>
      </c>
      <c r="E421" s="31">
        <v>0.44</v>
      </c>
      <c r="F421" s="31">
        <v>22761166000</v>
      </c>
    </row>
    <row r="422" spans="1:6" ht="15" thickBot="1" x14ac:dyDescent="0.2">
      <c r="A422" s="30" t="s">
        <v>9046</v>
      </c>
      <c r="B422" s="26" t="str">
        <f t="shared" si="6"/>
        <v>603659</v>
      </c>
      <c r="C422" s="30" t="s">
        <v>846</v>
      </c>
      <c r="D422" s="31">
        <v>10.61</v>
      </c>
      <c r="E422" s="31">
        <v>-2.2999999999999998</v>
      </c>
      <c r="F422" s="31">
        <v>22667194000</v>
      </c>
    </row>
    <row r="423" spans="1:6" ht="15" thickBot="1" x14ac:dyDescent="0.2">
      <c r="A423" s="30" t="s">
        <v>9047</v>
      </c>
      <c r="B423" s="26" t="str">
        <f t="shared" si="6"/>
        <v>000729</v>
      </c>
      <c r="C423" s="30" t="s">
        <v>810</v>
      </c>
      <c r="D423" s="31">
        <v>9.02</v>
      </c>
      <c r="E423" s="31">
        <v>-1.1000000000000001</v>
      </c>
      <c r="F423" s="31">
        <v>22636652000</v>
      </c>
    </row>
    <row r="424" spans="1:6" ht="15" thickBot="1" x14ac:dyDescent="0.2">
      <c r="A424" s="30" t="s">
        <v>9048</v>
      </c>
      <c r="B424" s="26" t="str">
        <f t="shared" si="6"/>
        <v>600109</v>
      </c>
      <c r="C424" s="30" t="s">
        <v>8496</v>
      </c>
      <c r="D424" s="31">
        <v>7.07</v>
      </c>
      <c r="E424" s="31">
        <v>0</v>
      </c>
      <c r="F424" s="31">
        <v>22620868000</v>
      </c>
    </row>
    <row r="425" spans="1:6" ht="15" thickBot="1" x14ac:dyDescent="0.2">
      <c r="A425" s="30" t="s">
        <v>9049</v>
      </c>
      <c r="B425" s="26" t="str">
        <f t="shared" si="6"/>
        <v>603228</v>
      </c>
      <c r="C425" s="30" t="s">
        <v>970</v>
      </c>
      <c r="D425" s="31">
        <v>24.53</v>
      </c>
      <c r="E425" s="31">
        <v>-3.73</v>
      </c>
      <c r="F425" s="31">
        <v>22582309000</v>
      </c>
    </row>
    <row r="426" spans="1:6" ht="15" thickBot="1" x14ac:dyDescent="0.2">
      <c r="A426" s="30" t="s">
        <v>9050</v>
      </c>
      <c r="B426" s="26" t="str">
        <f t="shared" si="6"/>
        <v>603129</v>
      </c>
      <c r="C426" s="30" t="s">
        <v>974</v>
      </c>
      <c r="D426" s="31">
        <v>149.1</v>
      </c>
      <c r="E426" s="31">
        <v>3.62</v>
      </c>
      <c r="F426" s="31">
        <v>22578491000</v>
      </c>
    </row>
    <row r="427" spans="1:6" ht="15" thickBot="1" x14ac:dyDescent="0.2">
      <c r="A427" s="30" t="s">
        <v>9051</v>
      </c>
      <c r="B427" s="26" t="str">
        <f t="shared" si="6"/>
        <v>600369</v>
      </c>
      <c r="C427" s="30" t="s">
        <v>8485</v>
      </c>
      <c r="D427" s="31">
        <v>3.57</v>
      </c>
      <c r="E427" s="31">
        <v>-0.56000000000000005</v>
      </c>
      <c r="F427" s="31">
        <v>22544940000</v>
      </c>
    </row>
    <row r="428" spans="1:6" ht="15" thickBot="1" x14ac:dyDescent="0.2">
      <c r="A428" s="30" t="s">
        <v>9052</v>
      </c>
      <c r="B428" s="26" t="str">
        <f t="shared" si="6"/>
        <v>603979</v>
      </c>
      <c r="C428" s="30" t="s">
        <v>985</v>
      </c>
      <c r="D428" s="31">
        <v>36.35</v>
      </c>
      <c r="E428" s="31">
        <v>0.53</v>
      </c>
      <c r="F428" s="31">
        <v>22454393000</v>
      </c>
    </row>
    <row r="429" spans="1:6" ht="15" thickBot="1" x14ac:dyDescent="0.2">
      <c r="A429" s="30" t="s">
        <v>9053</v>
      </c>
      <c r="B429" s="26" t="str">
        <f t="shared" si="6"/>
        <v>603885</v>
      </c>
      <c r="C429" s="30" t="s">
        <v>932</v>
      </c>
      <c r="D429" s="31">
        <v>10.14</v>
      </c>
      <c r="E429" s="31">
        <v>0.9</v>
      </c>
      <c r="F429" s="31">
        <v>22450013000</v>
      </c>
    </row>
    <row r="430" spans="1:6" ht="15" thickBot="1" x14ac:dyDescent="0.2">
      <c r="A430" s="30" t="s">
        <v>9054</v>
      </c>
      <c r="B430" s="26" t="str">
        <f t="shared" si="6"/>
        <v>601155</v>
      </c>
      <c r="C430" s="30" t="s">
        <v>983</v>
      </c>
      <c r="D430" s="31">
        <v>9.9499999999999993</v>
      </c>
      <c r="E430" s="31">
        <v>3</v>
      </c>
      <c r="F430" s="31">
        <v>22443447000</v>
      </c>
    </row>
    <row r="431" spans="1:6" ht="15" thickBot="1" x14ac:dyDescent="0.2">
      <c r="A431" s="30" t="s">
        <v>9055</v>
      </c>
      <c r="B431" s="26" t="str">
        <f t="shared" si="6"/>
        <v>600566</v>
      </c>
      <c r="C431" s="30" t="s">
        <v>944</v>
      </c>
      <c r="D431" s="31">
        <v>24.46</v>
      </c>
      <c r="E431" s="31">
        <v>1.07</v>
      </c>
      <c r="F431" s="31">
        <v>22399200000</v>
      </c>
    </row>
    <row r="432" spans="1:6" ht="15" thickBot="1" x14ac:dyDescent="0.2">
      <c r="A432" s="30" t="s">
        <v>9056</v>
      </c>
      <c r="B432" s="26" t="str">
        <f t="shared" si="6"/>
        <v>002244</v>
      </c>
      <c r="C432" s="30" t="s">
        <v>854</v>
      </c>
      <c r="D432" s="31">
        <v>8.35</v>
      </c>
      <c r="E432" s="31">
        <v>4.9000000000000004</v>
      </c>
      <c r="F432" s="31">
        <v>22397654000</v>
      </c>
    </row>
    <row r="433" spans="1:6" ht="15" thickBot="1" x14ac:dyDescent="0.2">
      <c r="A433" s="30" t="s">
        <v>9057</v>
      </c>
      <c r="B433" s="26" t="str">
        <f t="shared" si="6"/>
        <v>002797</v>
      </c>
      <c r="C433" s="30" t="s">
        <v>8477</v>
      </c>
      <c r="D433" s="31">
        <v>5.29</v>
      </c>
      <c r="E433" s="31">
        <v>0.19</v>
      </c>
      <c r="F433" s="31">
        <v>22230676000</v>
      </c>
    </row>
    <row r="434" spans="1:6" ht="15" thickBot="1" x14ac:dyDescent="0.2">
      <c r="A434" s="30" t="s">
        <v>9058</v>
      </c>
      <c r="B434" s="26" t="str">
        <f t="shared" si="6"/>
        <v>603658</v>
      </c>
      <c r="C434" s="30" t="s">
        <v>954</v>
      </c>
      <c r="D434" s="31">
        <v>38.19</v>
      </c>
      <c r="E434" s="31">
        <v>-0.44</v>
      </c>
      <c r="F434" s="31">
        <v>22188823000</v>
      </c>
    </row>
    <row r="435" spans="1:6" ht="15" thickBot="1" x14ac:dyDescent="0.2">
      <c r="A435" s="30" t="s">
        <v>9059</v>
      </c>
      <c r="B435" s="26" t="str">
        <f t="shared" si="6"/>
        <v>600153</v>
      </c>
      <c r="C435" s="30" t="s">
        <v>997</v>
      </c>
      <c r="D435" s="31">
        <v>7.65</v>
      </c>
      <c r="E435" s="31">
        <v>2.27</v>
      </c>
      <c r="F435" s="31">
        <v>22181470000</v>
      </c>
    </row>
    <row r="436" spans="1:6" ht="15" thickBot="1" x14ac:dyDescent="0.2">
      <c r="A436" s="30" t="s">
        <v>9060</v>
      </c>
      <c r="B436" s="26" t="str">
        <f t="shared" si="6"/>
        <v>600998</v>
      </c>
      <c r="C436" s="30" t="s">
        <v>900</v>
      </c>
      <c r="D436" s="31">
        <v>4.3899999999999997</v>
      </c>
      <c r="E436" s="31">
        <v>-0.68</v>
      </c>
      <c r="F436" s="31">
        <v>22136444000</v>
      </c>
    </row>
    <row r="437" spans="1:6" ht="15" thickBot="1" x14ac:dyDescent="0.2">
      <c r="A437" s="30" t="s">
        <v>9061</v>
      </c>
      <c r="B437" s="26" t="str">
        <f t="shared" si="6"/>
        <v>603556</v>
      </c>
      <c r="C437" s="30" t="s">
        <v>978</v>
      </c>
      <c r="D437" s="31">
        <v>45.27</v>
      </c>
      <c r="E437" s="31">
        <v>2.93</v>
      </c>
      <c r="F437" s="31">
        <v>22122726000</v>
      </c>
    </row>
    <row r="438" spans="1:6" ht="15" thickBot="1" x14ac:dyDescent="0.2">
      <c r="A438" s="30" t="s">
        <v>9062</v>
      </c>
      <c r="B438" s="26" t="str">
        <f t="shared" si="6"/>
        <v>300699</v>
      </c>
      <c r="C438" s="30" t="s">
        <v>948</v>
      </c>
      <c r="D438" s="31">
        <v>26.92</v>
      </c>
      <c r="E438" s="31">
        <v>2.0499999999999998</v>
      </c>
      <c r="F438" s="31">
        <v>22113247000</v>
      </c>
    </row>
    <row r="439" spans="1:6" ht="15" thickBot="1" x14ac:dyDescent="0.2">
      <c r="A439" s="30" t="s">
        <v>9063</v>
      </c>
      <c r="B439" s="26" t="str">
        <f t="shared" si="6"/>
        <v>600546</v>
      </c>
      <c r="C439" s="30" t="s">
        <v>1003</v>
      </c>
      <c r="D439" s="31">
        <v>11.15</v>
      </c>
      <c r="E439" s="31">
        <v>6.09</v>
      </c>
      <c r="F439" s="31">
        <v>22104386000</v>
      </c>
    </row>
    <row r="440" spans="1:6" ht="15" thickBot="1" x14ac:dyDescent="0.2">
      <c r="A440" s="30" t="s">
        <v>9064</v>
      </c>
      <c r="B440" s="26" t="str">
        <f t="shared" si="6"/>
        <v>688122</v>
      </c>
      <c r="C440" s="30" t="s">
        <v>962</v>
      </c>
      <c r="D440" s="31">
        <v>33.840000000000003</v>
      </c>
      <c r="E440" s="31">
        <v>-1.77</v>
      </c>
      <c r="F440" s="31">
        <v>21984647000</v>
      </c>
    </row>
    <row r="441" spans="1:6" ht="15" thickBot="1" x14ac:dyDescent="0.2">
      <c r="A441" s="30" t="s">
        <v>9065</v>
      </c>
      <c r="B441" s="26" t="str">
        <f t="shared" si="6"/>
        <v>600582</v>
      </c>
      <c r="C441" s="30" t="s">
        <v>1007</v>
      </c>
      <c r="D441" s="31">
        <v>5.3</v>
      </c>
      <c r="E441" s="31">
        <v>1.1499999999999999</v>
      </c>
      <c r="F441" s="31">
        <v>21934521000</v>
      </c>
    </row>
    <row r="442" spans="1:6" ht="15" thickBot="1" x14ac:dyDescent="0.2">
      <c r="A442" s="30" t="s">
        <v>9066</v>
      </c>
      <c r="B442" s="26" t="str">
        <f t="shared" si="6"/>
        <v>600839</v>
      </c>
      <c r="C442" s="30" t="s">
        <v>936</v>
      </c>
      <c r="D442" s="31">
        <v>4.75</v>
      </c>
      <c r="E442" s="31">
        <v>0.64</v>
      </c>
      <c r="F442" s="31">
        <v>21921053000</v>
      </c>
    </row>
    <row r="443" spans="1:6" ht="15" thickBot="1" x14ac:dyDescent="0.2">
      <c r="A443" s="30" t="s">
        <v>9067</v>
      </c>
      <c r="B443" s="26" t="str">
        <f t="shared" si="6"/>
        <v>002007</v>
      </c>
      <c r="C443" s="30" t="s">
        <v>795</v>
      </c>
      <c r="D443" s="31">
        <v>13.9</v>
      </c>
      <c r="E443" s="31">
        <v>0.43</v>
      </c>
      <c r="F443" s="31">
        <v>21877375000</v>
      </c>
    </row>
    <row r="444" spans="1:6" ht="15" thickBot="1" x14ac:dyDescent="0.2">
      <c r="A444" s="30" t="s">
        <v>9068</v>
      </c>
      <c r="B444" s="26" t="str">
        <f t="shared" si="6"/>
        <v>000878</v>
      </c>
      <c r="C444" s="30" t="s">
        <v>1020</v>
      </c>
      <c r="D444" s="31">
        <v>10.89</v>
      </c>
      <c r="E444" s="31">
        <v>1.97</v>
      </c>
      <c r="F444" s="31">
        <v>21819084000</v>
      </c>
    </row>
    <row r="445" spans="1:6" ht="15" thickBot="1" x14ac:dyDescent="0.2">
      <c r="A445" s="30" t="s">
        <v>9069</v>
      </c>
      <c r="B445" s="26" t="str">
        <f t="shared" si="6"/>
        <v>688120</v>
      </c>
      <c r="C445" s="30" t="s">
        <v>8523</v>
      </c>
      <c r="D445" s="31">
        <v>128.15</v>
      </c>
      <c r="E445" s="31">
        <v>1.86</v>
      </c>
      <c r="F445" s="31">
        <v>21781991000</v>
      </c>
    </row>
    <row r="446" spans="1:6" ht="15" thickBot="1" x14ac:dyDescent="0.2">
      <c r="A446" s="30" t="s">
        <v>9070</v>
      </c>
      <c r="B446" s="26" t="str">
        <f t="shared" si="6"/>
        <v>600918</v>
      </c>
      <c r="C446" s="30" t="s">
        <v>8539</v>
      </c>
      <c r="D446" s="31">
        <v>5.48</v>
      </c>
      <c r="E446" s="31">
        <v>-0.55000000000000004</v>
      </c>
      <c r="F446" s="31">
        <v>21770998000</v>
      </c>
    </row>
    <row r="447" spans="1:6" ht="15" thickBot="1" x14ac:dyDescent="0.2">
      <c r="A447" s="30" t="s">
        <v>9071</v>
      </c>
      <c r="B447" s="26" t="str">
        <f t="shared" si="6"/>
        <v>601099</v>
      </c>
      <c r="C447" s="30" t="s">
        <v>8571</v>
      </c>
      <c r="D447" s="31">
        <v>3.19</v>
      </c>
      <c r="E447" s="31">
        <v>0</v>
      </c>
      <c r="F447" s="31">
        <v>21744049000</v>
      </c>
    </row>
    <row r="448" spans="1:6" ht="15" thickBot="1" x14ac:dyDescent="0.2">
      <c r="A448" s="30" t="s">
        <v>9072</v>
      </c>
      <c r="B448" s="26" t="str">
        <f t="shared" si="6"/>
        <v>603939</v>
      </c>
      <c r="C448" s="30" t="s">
        <v>959</v>
      </c>
      <c r="D448" s="31">
        <v>17.850000000000001</v>
      </c>
      <c r="E448" s="31">
        <v>0.56000000000000005</v>
      </c>
      <c r="F448" s="31">
        <v>21593847000</v>
      </c>
    </row>
    <row r="449" spans="1:6" ht="15" thickBot="1" x14ac:dyDescent="0.2">
      <c r="A449" s="30" t="s">
        <v>9073</v>
      </c>
      <c r="B449" s="26" t="str">
        <f t="shared" si="6"/>
        <v>600705</v>
      </c>
      <c r="C449" s="30" t="s">
        <v>1115</v>
      </c>
      <c r="D449" s="31">
        <v>2.4500000000000002</v>
      </c>
      <c r="E449" s="31">
        <v>6.99</v>
      </c>
      <c r="F449" s="31">
        <v>21570841000</v>
      </c>
    </row>
    <row r="450" spans="1:6" ht="15" thickBot="1" x14ac:dyDescent="0.2">
      <c r="A450" s="30" t="s">
        <v>9074</v>
      </c>
      <c r="B450" s="26" t="str">
        <f t="shared" si="6"/>
        <v>002602</v>
      </c>
      <c r="C450" s="30" t="s">
        <v>858</v>
      </c>
      <c r="D450" s="31">
        <v>3.13</v>
      </c>
      <c r="E450" s="31">
        <v>-2.8</v>
      </c>
      <c r="F450" s="31">
        <v>21537180000</v>
      </c>
    </row>
    <row r="451" spans="1:6" ht="15" thickBot="1" x14ac:dyDescent="0.2">
      <c r="A451" s="30" t="s">
        <v>9075</v>
      </c>
      <c r="B451" s="26" t="str">
        <f t="shared" ref="B451:B514" si="7">LEFT(A451,6)</f>
        <v>002262</v>
      </c>
      <c r="C451" s="30" t="s">
        <v>806</v>
      </c>
      <c r="D451" s="31">
        <v>24.42</v>
      </c>
      <c r="E451" s="31">
        <v>-1.53</v>
      </c>
      <c r="F451" s="31">
        <v>21533374000</v>
      </c>
    </row>
    <row r="452" spans="1:6" ht="15" thickBot="1" x14ac:dyDescent="0.2">
      <c r="A452" s="30" t="s">
        <v>9076</v>
      </c>
      <c r="B452" s="26" t="str">
        <f t="shared" si="7"/>
        <v>600707</v>
      </c>
      <c r="C452" s="30" t="s">
        <v>991</v>
      </c>
      <c r="D452" s="31">
        <v>6</v>
      </c>
      <c r="E452" s="31">
        <v>-0.5</v>
      </c>
      <c r="F452" s="31">
        <v>21526018000</v>
      </c>
    </row>
    <row r="453" spans="1:6" ht="15" thickBot="1" x14ac:dyDescent="0.2">
      <c r="A453" s="30" t="s">
        <v>9077</v>
      </c>
      <c r="B453" s="26" t="str">
        <f t="shared" si="7"/>
        <v>601118</v>
      </c>
      <c r="C453" s="30" t="s">
        <v>1089</v>
      </c>
      <c r="D453" s="31">
        <v>5.03</v>
      </c>
      <c r="E453" s="31">
        <v>3.07</v>
      </c>
      <c r="F453" s="31">
        <v>21525522000</v>
      </c>
    </row>
    <row r="454" spans="1:6" ht="15" thickBot="1" x14ac:dyDescent="0.2">
      <c r="A454" s="30" t="s">
        <v>9078</v>
      </c>
      <c r="B454" s="26" t="str">
        <f t="shared" si="7"/>
        <v>600583</v>
      </c>
      <c r="C454" s="30" t="s">
        <v>1018</v>
      </c>
      <c r="D454" s="31">
        <v>4.8600000000000003</v>
      </c>
      <c r="E454" s="31">
        <v>-0.21</v>
      </c>
      <c r="F454" s="31">
        <v>21487784000</v>
      </c>
    </row>
    <row r="455" spans="1:6" ht="15" thickBot="1" x14ac:dyDescent="0.2">
      <c r="A455" s="30" t="s">
        <v>9079</v>
      </c>
      <c r="B455" s="26" t="str">
        <f t="shared" si="7"/>
        <v>002555</v>
      </c>
      <c r="C455" s="30" t="s">
        <v>691</v>
      </c>
      <c r="D455" s="31">
        <v>13.38</v>
      </c>
      <c r="E455" s="31">
        <v>-0.45</v>
      </c>
      <c r="F455" s="31">
        <v>21469466000</v>
      </c>
    </row>
    <row r="456" spans="1:6" ht="15" thickBot="1" x14ac:dyDescent="0.2">
      <c r="A456" s="30" t="s">
        <v>9080</v>
      </c>
      <c r="B456" s="26" t="str">
        <f t="shared" si="7"/>
        <v>600062</v>
      </c>
      <c r="C456" s="30" t="s">
        <v>976</v>
      </c>
      <c r="D456" s="31">
        <v>20.88</v>
      </c>
      <c r="E456" s="31">
        <v>0.68</v>
      </c>
      <c r="F456" s="31">
        <v>21440692000</v>
      </c>
    </row>
    <row r="457" spans="1:6" ht="15" thickBot="1" x14ac:dyDescent="0.2">
      <c r="A457" s="30" t="s">
        <v>9081</v>
      </c>
      <c r="B457" s="26" t="str">
        <f t="shared" si="7"/>
        <v>000513</v>
      </c>
      <c r="C457" s="30" t="s">
        <v>730</v>
      </c>
      <c r="D457" s="31">
        <v>35.58</v>
      </c>
      <c r="E457" s="31">
        <v>0.79</v>
      </c>
      <c r="F457" s="31">
        <v>21333998000</v>
      </c>
    </row>
    <row r="458" spans="1:6" ht="15" thickBot="1" x14ac:dyDescent="0.2">
      <c r="A458" s="30" t="s">
        <v>9082</v>
      </c>
      <c r="B458" s="26" t="str">
        <f t="shared" si="7"/>
        <v>002120</v>
      </c>
      <c r="C458" s="30" t="s">
        <v>1005</v>
      </c>
      <c r="D458" s="31">
        <v>7.53</v>
      </c>
      <c r="E458" s="31">
        <v>4.01</v>
      </c>
      <c r="F458" s="31">
        <v>21197878000</v>
      </c>
    </row>
    <row r="459" spans="1:6" ht="15" thickBot="1" x14ac:dyDescent="0.2">
      <c r="A459" s="30" t="s">
        <v>9083</v>
      </c>
      <c r="B459" s="26" t="str">
        <f t="shared" si="7"/>
        <v>600021</v>
      </c>
      <c r="C459" s="30" t="s">
        <v>964</v>
      </c>
      <c r="D459" s="31">
        <v>8.09</v>
      </c>
      <c r="E459" s="31">
        <v>1</v>
      </c>
      <c r="F459" s="31">
        <v>21172858000</v>
      </c>
    </row>
    <row r="460" spans="1:6" ht="15" thickBot="1" x14ac:dyDescent="0.2">
      <c r="A460" s="30" t="s">
        <v>9084</v>
      </c>
      <c r="B460" s="26" t="str">
        <f t="shared" si="7"/>
        <v>000960</v>
      </c>
      <c r="C460" s="30" t="s">
        <v>1032</v>
      </c>
      <c r="D460" s="31">
        <v>12.81</v>
      </c>
      <c r="E460" s="31">
        <v>0.08</v>
      </c>
      <c r="F460" s="31">
        <v>21082723000</v>
      </c>
    </row>
    <row r="461" spans="1:6" ht="15" thickBot="1" x14ac:dyDescent="0.2">
      <c r="A461" s="30" t="s">
        <v>9085</v>
      </c>
      <c r="B461" s="26" t="str">
        <f t="shared" si="7"/>
        <v>688099</v>
      </c>
      <c r="C461" s="30" t="s">
        <v>1001</v>
      </c>
      <c r="D461" s="31">
        <v>50.23</v>
      </c>
      <c r="E461" s="31">
        <v>-3.65</v>
      </c>
      <c r="F461" s="31">
        <v>21020954000</v>
      </c>
    </row>
    <row r="462" spans="1:6" ht="15" thickBot="1" x14ac:dyDescent="0.2">
      <c r="A462" s="30" t="s">
        <v>9086</v>
      </c>
      <c r="B462" s="26" t="str">
        <f t="shared" si="7"/>
        <v>603707</v>
      </c>
      <c r="C462" s="30" t="s">
        <v>1016</v>
      </c>
      <c r="D462" s="31">
        <v>12.98</v>
      </c>
      <c r="E462" s="31">
        <v>-0.84</v>
      </c>
      <c r="F462" s="31">
        <v>20970936000</v>
      </c>
    </row>
    <row r="463" spans="1:6" ht="15" thickBot="1" x14ac:dyDescent="0.2">
      <c r="A463" s="30" t="s">
        <v>9087</v>
      </c>
      <c r="B463" s="26" t="str">
        <f t="shared" si="7"/>
        <v>600060</v>
      </c>
      <c r="C463" s="30" t="s">
        <v>1026</v>
      </c>
      <c r="D463" s="31">
        <v>16.170000000000002</v>
      </c>
      <c r="E463" s="31">
        <v>3.72</v>
      </c>
      <c r="F463" s="31">
        <v>20941676000</v>
      </c>
    </row>
    <row r="464" spans="1:6" ht="15" thickBot="1" x14ac:dyDescent="0.2">
      <c r="A464" s="30" t="s">
        <v>9088</v>
      </c>
      <c r="B464" s="26" t="str">
        <f t="shared" si="7"/>
        <v>600685</v>
      </c>
      <c r="C464" s="30" t="s">
        <v>778</v>
      </c>
      <c r="D464" s="31">
        <v>25.48</v>
      </c>
      <c r="E464" s="31">
        <v>0.83</v>
      </c>
      <c r="F464" s="31">
        <v>20930168000</v>
      </c>
    </row>
    <row r="465" spans="1:6" ht="15" thickBot="1" x14ac:dyDescent="0.2">
      <c r="A465" s="30" t="s">
        <v>9089</v>
      </c>
      <c r="B465" s="26" t="str">
        <f t="shared" si="7"/>
        <v>603893</v>
      </c>
      <c r="C465" s="30" t="s">
        <v>1035</v>
      </c>
      <c r="D465" s="31">
        <v>49.9</v>
      </c>
      <c r="E465" s="31">
        <v>1.05</v>
      </c>
      <c r="F465" s="31">
        <v>20862856000</v>
      </c>
    </row>
    <row r="466" spans="1:6" ht="15" thickBot="1" x14ac:dyDescent="0.2">
      <c r="A466" s="30" t="s">
        <v>9090</v>
      </c>
      <c r="B466" s="26" t="str">
        <f t="shared" si="7"/>
        <v>600704</v>
      </c>
      <c r="C466" s="30" t="s">
        <v>1037</v>
      </c>
      <c r="D466" s="31">
        <v>4.04</v>
      </c>
      <c r="E466" s="31">
        <v>0.5</v>
      </c>
      <c r="F466" s="31">
        <v>20820956000</v>
      </c>
    </row>
    <row r="467" spans="1:6" ht="15" thickBot="1" x14ac:dyDescent="0.2">
      <c r="A467" s="30" t="s">
        <v>9091</v>
      </c>
      <c r="B467" s="26" t="str">
        <f t="shared" si="7"/>
        <v>603589</v>
      </c>
      <c r="C467" s="30" t="s">
        <v>1012</v>
      </c>
      <c r="D467" s="31">
        <v>34.799999999999997</v>
      </c>
      <c r="E467" s="31">
        <v>0.12</v>
      </c>
      <c r="F467" s="31">
        <v>20814558000</v>
      </c>
    </row>
    <row r="468" spans="1:6" ht="15" thickBot="1" x14ac:dyDescent="0.2">
      <c r="A468" s="30" t="s">
        <v>9092</v>
      </c>
      <c r="B468" s="26" t="str">
        <f t="shared" si="7"/>
        <v>002273</v>
      </c>
      <c r="C468" s="30" t="s">
        <v>972</v>
      </c>
      <c r="D468" s="31">
        <v>15.31</v>
      </c>
      <c r="E468" s="31">
        <v>-5.03</v>
      </c>
      <c r="F468" s="31">
        <v>20789655000</v>
      </c>
    </row>
    <row r="469" spans="1:6" ht="15" thickBot="1" x14ac:dyDescent="0.2">
      <c r="A469" s="30" t="s">
        <v>9093</v>
      </c>
      <c r="B469" s="26" t="str">
        <f t="shared" si="7"/>
        <v>600637</v>
      </c>
      <c r="C469" s="30" t="s">
        <v>1064</v>
      </c>
      <c r="D469" s="31">
        <v>6.18</v>
      </c>
      <c r="E469" s="31">
        <v>0</v>
      </c>
      <c r="F469" s="31">
        <v>20776541000</v>
      </c>
    </row>
    <row r="470" spans="1:6" ht="15" thickBot="1" x14ac:dyDescent="0.2">
      <c r="A470" s="30" t="s">
        <v>9094</v>
      </c>
      <c r="B470" s="26" t="str">
        <f t="shared" si="7"/>
        <v>600848</v>
      </c>
      <c r="C470" s="30" t="s">
        <v>1081</v>
      </c>
      <c r="D470" s="31">
        <v>8.64</v>
      </c>
      <c r="E470" s="31">
        <v>0.47</v>
      </c>
      <c r="F470" s="31">
        <v>20683402000</v>
      </c>
    </row>
    <row r="471" spans="1:6" ht="15" thickBot="1" x14ac:dyDescent="0.2">
      <c r="A471" s="30" t="s">
        <v>9095</v>
      </c>
      <c r="B471" s="26" t="str">
        <f t="shared" si="7"/>
        <v>600535</v>
      </c>
      <c r="C471" s="30" t="s">
        <v>1067</v>
      </c>
      <c r="D471" s="31">
        <v>13.83</v>
      </c>
      <c r="E471" s="31">
        <v>0.36</v>
      </c>
      <c r="F471" s="31">
        <v>20661329000</v>
      </c>
    </row>
    <row r="472" spans="1:6" ht="15" thickBot="1" x14ac:dyDescent="0.2">
      <c r="A472" s="30" t="s">
        <v>9096</v>
      </c>
      <c r="B472" s="26" t="str">
        <f t="shared" si="7"/>
        <v>600038</v>
      </c>
      <c r="C472" s="30" t="s">
        <v>732</v>
      </c>
      <c r="D472" s="31">
        <v>35.03</v>
      </c>
      <c r="E472" s="31">
        <v>-1.35</v>
      </c>
      <c r="F472" s="31">
        <v>20649369000</v>
      </c>
    </row>
    <row r="473" spans="1:6" ht="15" thickBot="1" x14ac:dyDescent="0.2">
      <c r="A473" s="30" t="s">
        <v>9097</v>
      </c>
      <c r="B473" s="26" t="str">
        <f t="shared" si="7"/>
        <v>300450</v>
      </c>
      <c r="C473" s="30" t="s">
        <v>980</v>
      </c>
      <c r="D473" s="31">
        <v>13.24</v>
      </c>
      <c r="E473" s="31">
        <v>-0.3</v>
      </c>
      <c r="F473" s="31">
        <v>20645876000</v>
      </c>
    </row>
    <row r="474" spans="1:6" ht="15" thickBot="1" x14ac:dyDescent="0.2">
      <c r="A474" s="30" t="s">
        <v>9098</v>
      </c>
      <c r="B474" s="26" t="str">
        <f t="shared" si="7"/>
        <v>002821</v>
      </c>
      <c r="C474" s="30" t="s">
        <v>968</v>
      </c>
      <c r="D474" s="31">
        <v>62.77</v>
      </c>
      <c r="E474" s="31">
        <v>-1.74</v>
      </c>
      <c r="F474" s="31">
        <v>20629551000</v>
      </c>
    </row>
    <row r="475" spans="1:6" ht="15" thickBot="1" x14ac:dyDescent="0.2">
      <c r="A475" s="30" t="s">
        <v>9099</v>
      </c>
      <c r="B475" s="26" t="str">
        <f t="shared" si="7"/>
        <v>000629</v>
      </c>
      <c r="C475" s="30" t="s">
        <v>1044</v>
      </c>
      <c r="D475" s="31">
        <v>2.2400000000000002</v>
      </c>
      <c r="E475" s="31">
        <v>-0.89</v>
      </c>
      <c r="F475" s="31">
        <v>20597861000</v>
      </c>
    </row>
    <row r="476" spans="1:6" ht="15" thickBot="1" x14ac:dyDescent="0.2">
      <c r="A476" s="30" t="s">
        <v>9100</v>
      </c>
      <c r="B476" s="26" t="str">
        <f t="shared" si="7"/>
        <v>601611</v>
      </c>
      <c r="C476" s="30" t="s">
        <v>1077</v>
      </c>
      <c r="D476" s="31">
        <v>6.83</v>
      </c>
      <c r="E476" s="31">
        <v>0.15</v>
      </c>
      <c r="F476" s="31">
        <v>20568784000</v>
      </c>
    </row>
    <row r="477" spans="1:6" ht="15" thickBot="1" x14ac:dyDescent="0.2">
      <c r="A477" s="30" t="s">
        <v>9101</v>
      </c>
      <c r="B477" s="26" t="str">
        <f t="shared" si="7"/>
        <v>603345</v>
      </c>
      <c r="C477" s="30" t="s">
        <v>1039</v>
      </c>
      <c r="D477" s="31">
        <v>70.05</v>
      </c>
      <c r="E477" s="31">
        <v>1.63</v>
      </c>
      <c r="F477" s="31">
        <v>20545261000</v>
      </c>
    </row>
    <row r="478" spans="1:6" ht="15" thickBot="1" x14ac:dyDescent="0.2">
      <c r="A478" s="30" t="s">
        <v>9102</v>
      </c>
      <c r="B478" s="26" t="str">
        <f t="shared" si="7"/>
        <v>600578</v>
      </c>
      <c r="C478" s="30" t="s">
        <v>1111</v>
      </c>
      <c r="D478" s="31">
        <v>3.06</v>
      </c>
      <c r="E478" s="31">
        <v>1.33</v>
      </c>
      <c r="F478" s="31">
        <v>20485540000</v>
      </c>
    </row>
    <row r="479" spans="1:6" ht="15" thickBot="1" x14ac:dyDescent="0.2">
      <c r="A479" s="30" t="s">
        <v>9103</v>
      </c>
      <c r="B479" s="26" t="str">
        <f t="shared" si="7"/>
        <v>300866</v>
      </c>
      <c r="C479" s="30" t="s">
        <v>592</v>
      </c>
      <c r="D479" s="31">
        <v>68.959999999999994</v>
      </c>
      <c r="E479" s="31">
        <v>1.79</v>
      </c>
      <c r="F479" s="31">
        <v>20439872000</v>
      </c>
    </row>
    <row r="480" spans="1:6" ht="15" thickBot="1" x14ac:dyDescent="0.2">
      <c r="A480" s="30" t="s">
        <v>9104</v>
      </c>
      <c r="B480" s="26" t="str">
        <f t="shared" si="7"/>
        <v>601158</v>
      </c>
      <c r="C480" s="30" t="s">
        <v>1100</v>
      </c>
      <c r="D480" s="31">
        <v>4.25</v>
      </c>
      <c r="E480" s="31">
        <v>-0.24</v>
      </c>
      <c r="F480" s="31">
        <v>20400000000</v>
      </c>
    </row>
    <row r="481" spans="1:6" ht="15" thickBot="1" x14ac:dyDescent="0.2">
      <c r="A481" s="30" t="s">
        <v>9105</v>
      </c>
      <c r="B481" s="26" t="str">
        <f t="shared" si="7"/>
        <v>603087</v>
      </c>
      <c r="C481" s="30" t="s">
        <v>917</v>
      </c>
      <c r="D481" s="31">
        <v>38.28</v>
      </c>
      <c r="E481" s="31">
        <v>0.61</v>
      </c>
      <c r="F481" s="31">
        <v>20375070000</v>
      </c>
    </row>
    <row r="482" spans="1:6" ht="15" thickBot="1" x14ac:dyDescent="0.2">
      <c r="A482" s="30" t="s">
        <v>9106</v>
      </c>
      <c r="B482" s="26" t="str">
        <f t="shared" si="7"/>
        <v>601666</v>
      </c>
      <c r="C482" s="30" t="s">
        <v>1125</v>
      </c>
      <c r="D482" s="31">
        <v>8.25</v>
      </c>
      <c r="E482" s="31">
        <v>5.23</v>
      </c>
      <c r="F482" s="31">
        <v>20372104000</v>
      </c>
    </row>
    <row r="483" spans="1:6" ht="15" thickBot="1" x14ac:dyDescent="0.2">
      <c r="A483" s="30" t="s">
        <v>9107</v>
      </c>
      <c r="B483" s="26" t="str">
        <f t="shared" si="7"/>
        <v>002738</v>
      </c>
      <c r="C483" s="30" t="s">
        <v>989</v>
      </c>
      <c r="D483" s="31">
        <v>28.3</v>
      </c>
      <c r="E483" s="31">
        <v>-0.35</v>
      </c>
      <c r="F483" s="31">
        <v>20363204000</v>
      </c>
    </row>
    <row r="484" spans="1:6" ht="15" thickBot="1" x14ac:dyDescent="0.2">
      <c r="A484" s="30" t="s">
        <v>9108</v>
      </c>
      <c r="B484" s="26" t="str">
        <f t="shared" si="7"/>
        <v>600754</v>
      </c>
      <c r="C484" s="30" t="s">
        <v>956</v>
      </c>
      <c r="D484" s="31">
        <v>22.26</v>
      </c>
      <c r="E484" s="31">
        <v>-1.37</v>
      </c>
      <c r="F484" s="31">
        <v>20346621000</v>
      </c>
    </row>
    <row r="485" spans="1:6" ht="15" thickBot="1" x14ac:dyDescent="0.2">
      <c r="A485" s="30" t="s">
        <v>9109</v>
      </c>
      <c r="B485" s="26" t="str">
        <f t="shared" si="7"/>
        <v>300763</v>
      </c>
      <c r="C485" s="30" t="s">
        <v>802</v>
      </c>
      <c r="D485" s="31">
        <v>63.2</v>
      </c>
      <c r="E485" s="31">
        <v>-1.24</v>
      </c>
      <c r="F485" s="31">
        <v>20320987000</v>
      </c>
    </row>
    <row r="486" spans="1:6" ht="15" thickBot="1" x14ac:dyDescent="0.2">
      <c r="A486" s="30" t="s">
        <v>9110</v>
      </c>
      <c r="B486" s="26" t="str">
        <f t="shared" si="7"/>
        <v>600131</v>
      </c>
      <c r="C486" s="30" t="s">
        <v>1087</v>
      </c>
      <c r="D486" s="31">
        <v>17</v>
      </c>
      <c r="E486" s="31">
        <v>1.8</v>
      </c>
      <c r="F486" s="31">
        <v>20303338000</v>
      </c>
    </row>
    <row r="487" spans="1:6" ht="15" thickBot="1" x14ac:dyDescent="0.2">
      <c r="A487" s="30" t="s">
        <v>9111</v>
      </c>
      <c r="B487" s="26" t="str">
        <f t="shared" si="7"/>
        <v>600909</v>
      </c>
      <c r="C487" s="30" t="s">
        <v>8487</v>
      </c>
      <c r="D487" s="31">
        <v>4.32</v>
      </c>
      <c r="E487" s="31">
        <v>-0.69</v>
      </c>
      <c r="F487" s="31">
        <v>20293918000</v>
      </c>
    </row>
    <row r="488" spans="1:6" ht="15" thickBot="1" x14ac:dyDescent="0.2">
      <c r="A488" s="30" t="s">
        <v>9112</v>
      </c>
      <c r="B488" s="26" t="str">
        <f t="shared" si="7"/>
        <v>002812</v>
      </c>
      <c r="C488" s="30" t="s">
        <v>804</v>
      </c>
      <c r="D488" s="31">
        <v>24.65</v>
      </c>
      <c r="E488" s="31">
        <v>-1.4</v>
      </c>
      <c r="F488" s="31">
        <v>20287355000</v>
      </c>
    </row>
    <row r="489" spans="1:6" ht="15" thickBot="1" x14ac:dyDescent="0.2">
      <c r="A489" s="30" t="s">
        <v>9113</v>
      </c>
      <c r="B489" s="26" t="str">
        <f t="shared" si="7"/>
        <v>600004</v>
      </c>
      <c r="C489" s="30" t="s">
        <v>1062</v>
      </c>
      <c r="D489" s="31">
        <v>8.57</v>
      </c>
      <c r="E489" s="31">
        <v>-0.12</v>
      </c>
      <c r="F489" s="31">
        <v>20282776000</v>
      </c>
    </row>
    <row r="490" spans="1:6" ht="15" thickBot="1" x14ac:dyDescent="0.2">
      <c r="A490" s="30" t="s">
        <v>9114</v>
      </c>
      <c r="B490" s="26" t="str">
        <f t="shared" si="7"/>
        <v>600008</v>
      </c>
      <c r="C490" s="30" t="s">
        <v>1097</v>
      </c>
      <c r="D490" s="31">
        <v>2.76</v>
      </c>
      <c r="E490" s="31">
        <v>-1.43</v>
      </c>
      <c r="F490" s="31">
        <v>20260030000</v>
      </c>
    </row>
    <row r="491" spans="1:6" ht="15" thickBot="1" x14ac:dyDescent="0.2">
      <c r="A491" s="30" t="s">
        <v>9115</v>
      </c>
      <c r="B491" s="26" t="str">
        <f t="shared" si="7"/>
        <v>601665</v>
      </c>
      <c r="C491" s="30" t="s">
        <v>9116</v>
      </c>
      <c r="D491" s="31">
        <v>4.1900000000000004</v>
      </c>
      <c r="E491" s="31">
        <v>1.21</v>
      </c>
      <c r="F491" s="31">
        <v>20258550000</v>
      </c>
    </row>
    <row r="492" spans="1:6" ht="15" thickBot="1" x14ac:dyDescent="0.2">
      <c r="A492" s="30" t="s">
        <v>9117</v>
      </c>
      <c r="B492" s="26" t="str">
        <f t="shared" si="7"/>
        <v>601933</v>
      </c>
      <c r="C492" s="30" t="s">
        <v>1075</v>
      </c>
      <c r="D492" s="31">
        <v>2.23</v>
      </c>
      <c r="E492" s="31">
        <v>-0.89</v>
      </c>
      <c r="F492" s="31">
        <v>20237332000</v>
      </c>
    </row>
    <row r="493" spans="1:6" ht="15" thickBot="1" x14ac:dyDescent="0.2">
      <c r="A493" s="30" t="s">
        <v>9118</v>
      </c>
      <c r="B493" s="26" t="str">
        <f t="shared" si="7"/>
        <v>000021</v>
      </c>
      <c r="C493" s="30" t="s">
        <v>1071</v>
      </c>
      <c r="D493" s="31">
        <v>12.95</v>
      </c>
      <c r="E493" s="31">
        <v>0.54</v>
      </c>
      <c r="F493" s="31">
        <v>20207487000</v>
      </c>
    </row>
    <row r="494" spans="1:6" ht="15" thickBot="1" x14ac:dyDescent="0.2">
      <c r="A494" s="30" t="s">
        <v>9119</v>
      </c>
      <c r="B494" s="26" t="str">
        <f t="shared" si="7"/>
        <v>603786</v>
      </c>
      <c r="C494" s="30" t="s">
        <v>1095</v>
      </c>
      <c r="D494" s="31">
        <v>50.16</v>
      </c>
      <c r="E494" s="31">
        <v>3</v>
      </c>
      <c r="F494" s="31">
        <v>20183787000</v>
      </c>
    </row>
    <row r="495" spans="1:6" ht="15" thickBot="1" x14ac:dyDescent="0.2">
      <c r="A495" s="30" t="s">
        <v>9120</v>
      </c>
      <c r="B495" s="26" t="str">
        <f t="shared" si="7"/>
        <v>002281</v>
      </c>
      <c r="C495" s="30" t="s">
        <v>1014</v>
      </c>
      <c r="D495" s="31">
        <v>26.57</v>
      </c>
      <c r="E495" s="31">
        <v>-0.56000000000000005</v>
      </c>
      <c r="F495" s="31">
        <v>20088666000</v>
      </c>
    </row>
    <row r="496" spans="1:6" ht="15" thickBot="1" x14ac:dyDescent="0.2">
      <c r="A496" s="30" t="s">
        <v>9121</v>
      </c>
      <c r="B496" s="26" t="str">
        <f t="shared" si="7"/>
        <v>600901</v>
      </c>
      <c r="C496" s="30" t="s">
        <v>9122</v>
      </c>
      <c r="D496" s="31">
        <v>4.3499999999999996</v>
      </c>
      <c r="E496" s="31">
        <v>1.4</v>
      </c>
      <c r="F496" s="31">
        <v>20000765000</v>
      </c>
    </row>
    <row r="497" spans="1:6" ht="15" thickBot="1" x14ac:dyDescent="0.2">
      <c r="A497" s="30" t="s">
        <v>9123</v>
      </c>
      <c r="B497" s="26" t="str">
        <f t="shared" si="7"/>
        <v>002465</v>
      </c>
      <c r="C497" s="30" t="s">
        <v>1048</v>
      </c>
      <c r="D497" s="31">
        <v>8.2200000000000006</v>
      </c>
      <c r="E497" s="31">
        <v>-0.73</v>
      </c>
      <c r="F497" s="31">
        <v>19988833000</v>
      </c>
    </row>
    <row r="498" spans="1:6" ht="15" thickBot="1" x14ac:dyDescent="0.2">
      <c r="A498" s="30" t="s">
        <v>9124</v>
      </c>
      <c r="B498" s="26" t="str">
        <f t="shared" si="7"/>
        <v>000703</v>
      </c>
      <c r="C498" s="30" t="s">
        <v>1073</v>
      </c>
      <c r="D498" s="31">
        <v>5.46</v>
      </c>
      <c r="E498" s="31">
        <v>-0.73</v>
      </c>
      <c r="F498" s="31">
        <v>19914453000</v>
      </c>
    </row>
    <row r="499" spans="1:6" ht="15" thickBot="1" x14ac:dyDescent="0.2">
      <c r="A499" s="30" t="s">
        <v>9125</v>
      </c>
      <c r="B499" s="26" t="str">
        <f t="shared" si="7"/>
        <v>002429</v>
      </c>
      <c r="C499" s="30" t="s">
        <v>1107</v>
      </c>
      <c r="D499" s="31">
        <v>4.4000000000000004</v>
      </c>
      <c r="E499" s="31">
        <v>1.38</v>
      </c>
      <c r="F499" s="31">
        <v>19907065000</v>
      </c>
    </row>
    <row r="500" spans="1:6" ht="15" thickBot="1" x14ac:dyDescent="0.2">
      <c r="A500" s="30" t="s">
        <v>9126</v>
      </c>
      <c r="B500" s="26" t="str">
        <f t="shared" si="7"/>
        <v>600141</v>
      </c>
      <c r="C500" s="30" t="s">
        <v>1085</v>
      </c>
      <c r="D500" s="31">
        <v>18.02</v>
      </c>
      <c r="E500" s="31">
        <v>-0.06</v>
      </c>
      <c r="F500" s="31">
        <v>19880648000</v>
      </c>
    </row>
    <row r="501" spans="1:6" ht="15" thickBot="1" x14ac:dyDescent="0.2">
      <c r="A501" s="30" t="s">
        <v>9127</v>
      </c>
      <c r="B501" s="26" t="str">
        <f t="shared" si="7"/>
        <v>002603</v>
      </c>
      <c r="C501" s="30" t="s">
        <v>836</v>
      </c>
      <c r="D501" s="31">
        <v>14.43</v>
      </c>
      <c r="E501" s="31">
        <v>-2.04</v>
      </c>
      <c r="F501" s="31">
        <v>19860146000</v>
      </c>
    </row>
    <row r="502" spans="1:6" ht="15" thickBot="1" x14ac:dyDescent="0.2">
      <c r="A502" s="30" t="s">
        <v>9128</v>
      </c>
      <c r="B502" s="26" t="str">
        <f t="shared" si="7"/>
        <v>002414</v>
      </c>
      <c r="C502" s="30" t="s">
        <v>832</v>
      </c>
      <c r="D502" s="31">
        <v>5.82</v>
      </c>
      <c r="E502" s="31">
        <v>-0.85</v>
      </c>
      <c r="F502" s="31">
        <v>19779924000</v>
      </c>
    </row>
    <row r="503" spans="1:6" ht="15" thickBot="1" x14ac:dyDescent="0.2">
      <c r="A503" s="30" t="s">
        <v>9129</v>
      </c>
      <c r="B503" s="26" t="str">
        <f t="shared" si="7"/>
        <v>688223</v>
      </c>
      <c r="C503" s="30" t="s">
        <v>8473</v>
      </c>
      <c r="D503" s="31">
        <v>6.34</v>
      </c>
      <c r="E503" s="31">
        <v>-3.79</v>
      </c>
      <c r="F503" s="31">
        <v>19708827000</v>
      </c>
    </row>
    <row r="504" spans="1:6" ht="15" thickBot="1" x14ac:dyDescent="0.2">
      <c r="A504" s="30" t="s">
        <v>9130</v>
      </c>
      <c r="B504" s="26" t="str">
        <f t="shared" si="7"/>
        <v>002271</v>
      </c>
      <c r="C504" s="30" t="s">
        <v>848</v>
      </c>
      <c r="D504" s="31">
        <v>10.16</v>
      </c>
      <c r="E504" s="31">
        <v>3.04</v>
      </c>
      <c r="F504" s="31">
        <v>19631388000</v>
      </c>
    </row>
    <row r="505" spans="1:6" ht="15" thickBot="1" x14ac:dyDescent="0.2">
      <c r="A505" s="30" t="s">
        <v>9131</v>
      </c>
      <c r="B505" s="26" t="str">
        <f t="shared" si="7"/>
        <v>002025</v>
      </c>
      <c r="C505" s="30" t="s">
        <v>1024</v>
      </c>
      <c r="D505" s="31">
        <v>43.3</v>
      </c>
      <c r="E505" s="31">
        <v>-1.73</v>
      </c>
      <c r="F505" s="31">
        <v>19595893000</v>
      </c>
    </row>
    <row r="506" spans="1:6" ht="15" thickBot="1" x14ac:dyDescent="0.2">
      <c r="A506" s="30" t="s">
        <v>9132</v>
      </c>
      <c r="B506" s="26" t="str">
        <f t="shared" si="7"/>
        <v>600606</v>
      </c>
      <c r="C506" s="30" t="s">
        <v>1165</v>
      </c>
      <c r="D506" s="31">
        <v>1.39</v>
      </c>
      <c r="E506" s="31">
        <v>2.21</v>
      </c>
      <c r="F506" s="31">
        <v>19535363000</v>
      </c>
    </row>
    <row r="507" spans="1:6" ht="15" thickBot="1" x14ac:dyDescent="0.2">
      <c r="A507" s="30" t="s">
        <v>9133</v>
      </c>
      <c r="B507" s="26" t="str">
        <f t="shared" si="7"/>
        <v>600655</v>
      </c>
      <c r="C507" s="30" t="s">
        <v>1146</v>
      </c>
      <c r="D507" s="31">
        <v>4.97</v>
      </c>
      <c r="E507" s="31">
        <v>-0.6</v>
      </c>
      <c r="F507" s="31">
        <v>19304629000</v>
      </c>
    </row>
    <row r="508" spans="1:6" ht="15" thickBot="1" x14ac:dyDescent="0.2">
      <c r="A508" s="30" t="s">
        <v>9134</v>
      </c>
      <c r="B508" s="26" t="str">
        <f t="shared" si="7"/>
        <v>688065</v>
      </c>
      <c r="C508" s="30" t="s">
        <v>1103</v>
      </c>
      <c r="D508" s="31">
        <v>33.07</v>
      </c>
      <c r="E508" s="31">
        <v>-2.96</v>
      </c>
      <c r="F508" s="31">
        <v>19292312000</v>
      </c>
    </row>
    <row r="509" spans="1:6" ht="15" thickBot="1" x14ac:dyDescent="0.2">
      <c r="A509" s="30" t="s">
        <v>9135</v>
      </c>
      <c r="B509" s="26" t="str">
        <f t="shared" si="7"/>
        <v>603000</v>
      </c>
      <c r="C509" s="30" t="s">
        <v>1113</v>
      </c>
      <c r="D509" s="31">
        <v>17.350000000000001</v>
      </c>
      <c r="E509" s="31">
        <v>-1.48</v>
      </c>
      <c r="F509" s="31">
        <v>19183740000</v>
      </c>
    </row>
    <row r="510" spans="1:6" ht="15" thickBot="1" x14ac:dyDescent="0.2">
      <c r="A510" s="30" t="s">
        <v>9136</v>
      </c>
      <c r="B510" s="26" t="str">
        <f t="shared" si="7"/>
        <v>600486</v>
      </c>
      <c r="C510" s="30" t="s">
        <v>1137</v>
      </c>
      <c r="D510" s="31">
        <v>47.4</v>
      </c>
      <c r="E510" s="31">
        <v>1.07</v>
      </c>
      <c r="F510" s="31">
        <v>19095971000</v>
      </c>
    </row>
    <row r="511" spans="1:6" ht="15" thickBot="1" x14ac:dyDescent="0.2">
      <c r="A511" s="30" t="s">
        <v>9137</v>
      </c>
      <c r="B511" s="26" t="str">
        <f t="shared" si="7"/>
        <v>600098</v>
      </c>
      <c r="C511" s="30" t="s">
        <v>1150</v>
      </c>
      <c r="D511" s="31">
        <v>5.47</v>
      </c>
      <c r="E511" s="31">
        <v>0.37</v>
      </c>
      <c r="F511" s="31">
        <v>19095933000</v>
      </c>
    </row>
    <row r="512" spans="1:6" ht="15" thickBot="1" x14ac:dyDescent="0.2">
      <c r="A512" s="30" t="s">
        <v>9138</v>
      </c>
      <c r="B512" s="26" t="str">
        <f t="shared" si="7"/>
        <v>000598</v>
      </c>
      <c r="C512" s="30" t="s">
        <v>1193</v>
      </c>
      <c r="D512" s="31">
        <v>6.4</v>
      </c>
      <c r="E512" s="31">
        <v>0.63</v>
      </c>
      <c r="F512" s="31">
        <v>19039480000</v>
      </c>
    </row>
    <row r="513" spans="1:6" ht="15" thickBot="1" x14ac:dyDescent="0.2">
      <c r="A513" s="30" t="s">
        <v>9139</v>
      </c>
      <c r="B513" s="26" t="str">
        <f t="shared" si="7"/>
        <v>688578</v>
      </c>
      <c r="C513" s="30" t="s">
        <v>1050</v>
      </c>
      <c r="D513" s="31">
        <v>42.23</v>
      </c>
      <c r="E513" s="31">
        <v>-3.76</v>
      </c>
      <c r="F513" s="31">
        <v>19003500000</v>
      </c>
    </row>
    <row r="514" spans="1:6" ht="15" thickBot="1" x14ac:dyDescent="0.2">
      <c r="A514" s="30" t="s">
        <v>9140</v>
      </c>
      <c r="B514" s="26" t="str">
        <f t="shared" si="7"/>
        <v>600673</v>
      </c>
      <c r="C514" s="30" t="s">
        <v>1148</v>
      </c>
      <c r="D514" s="31">
        <v>6.33</v>
      </c>
      <c r="E514" s="31">
        <v>-0.47</v>
      </c>
      <c r="F514" s="31">
        <v>18999862000</v>
      </c>
    </row>
    <row r="515" spans="1:6" ht="15" thickBot="1" x14ac:dyDescent="0.2">
      <c r="A515" s="30" t="s">
        <v>9141</v>
      </c>
      <c r="B515" s="26" t="str">
        <f t="shared" ref="B515:B578" si="8">LEFT(A515,6)</f>
        <v>600563</v>
      </c>
      <c r="C515" s="30" t="s">
        <v>1131</v>
      </c>
      <c r="D515" s="31">
        <v>84.37</v>
      </c>
      <c r="E515" s="31">
        <v>0.32</v>
      </c>
      <c r="F515" s="31">
        <v>18983250000</v>
      </c>
    </row>
    <row r="516" spans="1:6" ht="15" thickBot="1" x14ac:dyDescent="0.2">
      <c r="A516" s="30" t="s">
        <v>9142</v>
      </c>
      <c r="B516" s="26" t="str">
        <f t="shared" si="8"/>
        <v>601212</v>
      </c>
      <c r="C516" s="30" t="s">
        <v>1189</v>
      </c>
      <c r="D516" s="31">
        <v>2.56</v>
      </c>
      <c r="E516" s="31">
        <v>0.39</v>
      </c>
      <c r="F516" s="31">
        <v>18956223000</v>
      </c>
    </row>
    <row r="517" spans="1:6" ht="15" thickBot="1" x14ac:dyDescent="0.2">
      <c r="A517" s="30" t="s">
        <v>9143</v>
      </c>
      <c r="B517" s="26" t="str">
        <f t="shared" si="8"/>
        <v>603179</v>
      </c>
      <c r="C517" s="30" t="s">
        <v>1163</v>
      </c>
      <c r="D517" s="31">
        <v>38.880000000000003</v>
      </c>
      <c r="E517" s="31">
        <v>4.24</v>
      </c>
      <c r="F517" s="31">
        <v>18946316000</v>
      </c>
    </row>
    <row r="518" spans="1:6" ht="15" thickBot="1" x14ac:dyDescent="0.2">
      <c r="A518" s="30" t="s">
        <v>9144</v>
      </c>
      <c r="B518" s="26" t="str">
        <f t="shared" si="8"/>
        <v>002739</v>
      </c>
      <c r="C518" s="30" t="s">
        <v>1092</v>
      </c>
      <c r="D518" s="31">
        <v>9</v>
      </c>
      <c r="E518" s="31">
        <v>-1.53</v>
      </c>
      <c r="F518" s="31">
        <v>18944347000</v>
      </c>
    </row>
    <row r="519" spans="1:6" ht="15" thickBot="1" x14ac:dyDescent="0.2">
      <c r="A519" s="30" t="s">
        <v>9145</v>
      </c>
      <c r="B519" s="26" t="str">
        <f t="shared" si="8"/>
        <v>601615</v>
      </c>
      <c r="C519" s="30" t="s">
        <v>1159</v>
      </c>
      <c r="D519" s="31">
        <v>8.34</v>
      </c>
      <c r="E519" s="31">
        <v>-0.12</v>
      </c>
      <c r="F519" s="31">
        <v>18882577000</v>
      </c>
    </row>
    <row r="520" spans="1:6" ht="15" thickBot="1" x14ac:dyDescent="0.2">
      <c r="A520" s="30" t="s">
        <v>9146</v>
      </c>
      <c r="B520" s="26" t="str">
        <f t="shared" si="8"/>
        <v>002353</v>
      </c>
      <c r="C520" s="30" t="s">
        <v>782</v>
      </c>
      <c r="D520" s="31">
        <v>27.07</v>
      </c>
      <c r="E520" s="31">
        <v>6.16</v>
      </c>
      <c r="F520" s="31">
        <v>18771295000</v>
      </c>
    </row>
    <row r="521" spans="1:6" ht="15" thickBot="1" x14ac:dyDescent="0.2">
      <c r="A521" s="30" t="s">
        <v>9147</v>
      </c>
      <c r="B521" s="26" t="str">
        <f t="shared" si="8"/>
        <v>600699</v>
      </c>
      <c r="C521" s="30" t="s">
        <v>1127</v>
      </c>
      <c r="D521" s="31">
        <v>13.71</v>
      </c>
      <c r="E521" s="31">
        <v>0.81</v>
      </c>
      <c r="F521" s="31">
        <v>18756440000</v>
      </c>
    </row>
    <row r="522" spans="1:6" ht="15" thickBot="1" x14ac:dyDescent="0.2">
      <c r="A522" s="30" t="s">
        <v>9148</v>
      </c>
      <c r="B522" s="26" t="str">
        <f t="shared" si="8"/>
        <v>600373</v>
      </c>
      <c r="C522" s="30" t="s">
        <v>1167</v>
      </c>
      <c r="D522" s="31">
        <v>13.8</v>
      </c>
      <c r="E522" s="31">
        <v>0.36</v>
      </c>
      <c r="F522" s="31">
        <v>18699879000</v>
      </c>
    </row>
    <row r="523" spans="1:6" ht="15" thickBot="1" x14ac:dyDescent="0.2">
      <c r="A523" s="30" t="s">
        <v>9149</v>
      </c>
      <c r="B523" s="26" t="str">
        <f t="shared" si="8"/>
        <v>301269</v>
      </c>
      <c r="C523" s="30" t="s">
        <v>8585</v>
      </c>
      <c r="D523" s="31">
        <v>71.28</v>
      </c>
      <c r="E523" s="31">
        <v>1.32</v>
      </c>
      <c r="F523" s="31">
        <v>18698273000</v>
      </c>
    </row>
    <row r="524" spans="1:6" ht="15" thickBot="1" x14ac:dyDescent="0.2">
      <c r="A524" s="30" t="s">
        <v>9150</v>
      </c>
      <c r="B524" s="26" t="str">
        <f t="shared" si="8"/>
        <v>600763</v>
      </c>
      <c r="C524" s="30" t="s">
        <v>1154</v>
      </c>
      <c r="D524" s="31">
        <v>41.73</v>
      </c>
      <c r="E524" s="31">
        <v>0.41</v>
      </c>
      <c r="F524" s="31">
        <v>18665375000</v>
      </c>
    </row>
    <row r="525" spans="1:6" ht="15" thickBot="1" x14ac:dyDescent="0.2">
      <c r="A525" s="30" t="s">
        <v>9151</v>
      </c>
      <c r="B525" s="26" t="str">
        <f t="shared" si="8"/>
        <v>300413</v>
      </c>
      <c r="C525" s="30" t="s">
        <v>619</v>
      </c>
      <c r="D525" s="31">
        <v>18.260000000000002</v>
      </c>
      <c r="E525" s="31">
        <v>-0.65</v>
      </c>
      <c r="F525" s="31">
        <v>18656241000</v>
      </c>
    </row>
    <row r="526" spans="1:6" ht="15" thickBot="1" x14ac:dyDescent="0.2">
      <c r="A526" s="30" t="s">
        <v>9152</v>
      </c>
      <c r="B526" s="26" t="str">
        <f t="shared" si="8"/>
        <v>601399</v>
      </c>
      <c r="C526" s="30" t="s">
        <v>1237</v>
      </c>
      <c r="D526" s="31">
        <v>2.58</v>
      </c>
      <c r="E526" s="31">
        <v>2.38</v>
      </c>
      <c r="F526" s="31">
        <v>18610974000</v>
      </c>
    </row>
    <row r="527" spans="1:6" ht="15" thickBot="1" x14ac:dyDescent="0.2">
      <c r="A527" s="30" t="s">
        <v>9153</v>
      </c>
      <c r="B527" s="26" t="str">
        <f t="shared" si="8"/>
        <v>688180</v>
      </c>
      <c r="C527" s="30" t="s">
        <v>1030</v>
      </c>
      <c r="D527" s="31">
        <v>24.33</v>
      </c>
      <c r="E527" s="31">
        <v>-3.22</v>
      </c>
      <c r="F527" s="31">
        <v>18601476000</v>
      </c>
    </row>
    <row r="528" spans="1:6" ht="15" thickBot="1" x14ac:dyDescent="0.2">
      <c r="A528" s="30" t="s">
        <v>9154</v>
      </c>
      <c r="B528" s="26" t="str">
        <f t="shared" si="8"/>
        <v>000830</v>
      </c>
      <c r="C528" s="30" t="s">
        <v>1176</v>
      </c>
      <c r="D528" s="31">
        <v>9.76</v>
      </c>
      <c r="E528" s="31">
        <v>1.04</v>
      </c>
      <c r="F528" s="31">
        <v>18578748000</v>
      </c>
    </row>
    <row r="529" spans="1:6" ht="15" thickBot="1" x14ac:dyDescent="0.2">
      <c r="A529" s="30" t="s">
        <v>9155</v>
      </c>
      <c r="B529" s="26" t="str">
        <f t="shared" si="8"/>
        <v>601918</v>
      </c>
      <c r="C529" s="30" t="s">
        <v>1212</v>
      </c>
      <c r="D529" s="31">
        <v>7.15</v>
      </c>
      <c r="E529" s="31">
        <v>1.28</v>
      </c>
      <c r="F529" s="31">
        <v>18522374000</v>
      </c>
    </row>
    <row r="530" spans="1:6" ht="15" thickBot="1" x14ac:dyDescent="0.2">
      <c r="A530" s="30" t="s">
        <v>9156</v>
      </c>
      <c r="B530" s="26" t="str">
        <f t="shared" si="8"/>
        <v>002056</v>
      </c>
      <c r="C530" s="30" t="s">
        <v>1129</v>
      </c>
      <c r="D530" s="31">
        <v>11.39</v>
      </c>
      <c r="E530" s="31">
        <v>-1.98</v>
      </c>
      <c r="F530" s="31">
        <v>18509411000</v>
      </c>
    </row>
    <row r="531" spans="1:6" ht="15" thickBot="1" x14ac:dyDescent="0.2">
      <c r="A531" s="30" t="s">
        <v>9157</v>
      </c>
      <c r="B531" s="26" t="str">
        <f t="shared" si="8"/>
        <v>000009</v>
      </c>
      <c r="C531" s="30" t="s">
        <v>1117</v>
      </c>
      <c r="D531" s="31">
        <v>7.2</v>
      </c>
      <c r="E531" s="31">
        <v>-2.97</v>
      </c>
      <c r="F531" s="31">
        <v>18370298000</v>
      </c>
    </row>
    <row r="532" spans="1:6" ht="15" thickBot="1" x14ac:dyDescent="0.2">
      <c r="A532" s="30" t="s">
        <v>9158</v>
      </c>
      <c r="B532" s="26" t="str">
        <f t="shared" si="8"/>
        <v>002709</v>
      </c>
      <c r="C532" s="30" t="s">
        <v>751</v>
      </c>
      <c r="D532" s="31">
        <v>13.24</v>
      </c>
      <c r="E532" s="31">
        <v>-3.29</v>
      </c>
      <c r="F532" s="31">
        <v>18337607000</v>
      </c>
    </row>
    <row r="533" spans="1:6" ht="15" thickBot="1" x14ac:dyDescent="0.2">
      <c r="A533" s="30" t="s">
        <v>9159</v>
      </c>
      <c r="B533" s="26" t="str">
        <f t="shared" si="8"/>
        <v>600390</v>
      </c>
      <c r="C533" s="30" t="s">
        <v>1229</v>
      </c>
      <c r="D533" s="31">
        <v>4.07</v>
      </c>
      <c r="E533" s="31">
        <v>1.5</v>
      </c>
      <c r="F533" s="31">
        <v>18307126000</v>
      </c>
    </row>
    <row r="534" spans="1:6" ht="15" thickBot="1" x14ac:dyDescent="0.2">
      <c r="A534" s="30" t="s">
        <v>9160</v>
      </c>
      <c r="B534" s="26" t="str">
        <f t="shared" si="8"/>
        <v>002318</v>
      </c>
      <c r="C534" s="30" t="s">
        <v>1174</v>
      </c>
      <c r="D534" s="31">
        <v>19.170000000000002</v>
      </c>
      <c r="E534" s="31">
        <v>0.68</v>
      </c>
      <c r="F534" s="31">
        <v>18302786000</v>
      </c>
    </row>
    <row r="535" spans="1:6" ht="15" thickBot="1" x14ac:dyDescent="0.2">
      <c r="A535" s="30" t="s">
        <v>9161</v>
      </c>
      <c r="B535" s="26" t="str">
        <f t="shared" si="8"/>
        <v>600143</v>
      </c>
      <c r="C535" s="30" t="s">
        <v>1171</v>
      </c>
      <c r="D535" s="31">
        <v>7.11</v>
      </c>
      <c r="E535" s="31">
        <v>-1.39</v>
      </c>
      <c r="F535" s="31">
        <v>18298455000</v>
      </c>
    </row>
    <row r="536" spans="1:6" ht="15" thickBot="1" x14ac:dyDescent="0.2">
      <c r="A536" s="30" t="s">
        <v>9162</v>
      </c>
      <c r="B536" s="26" t="str">
        <f t="shared" si="8"/>
        <v>300223</v>
      </c>
      <c r="C536" s="30" t="s">
        <v>999</v>
      </c>
      <c r="D536" s="31">
        <v>43.6</v>
      </c>
      <c r="E536" s="31">
        <v>-0.91</v>
      </c>
      <c r="F536" s="31">
        <v>18294150000</v>
      </c>
    </row>
    <row r="537" spans="1:6" ht="15" thickBot="1" x14ac:dyDescent="0.2">
      <c r="A537" s="30" t="s">
        <v>9163</v>
      </c>
      <c r="B537" s="26" t="str">
        <f t="shared" si="8"/>
        <v>600688</v>
      </c>
      <c r="C537" s="30" t="s">
        <v>1022</v>
      </c>
      <c r="D537" s="31">
        <v>2.4900000000000002</v>
      </c>
      <c r="E537" s="31">
        <v>-1.19</v>
      </c>
      <c r="F537" s="31">
        <v>18248746000</v>
      </c>
    </row>
    <row r="538" spans="1:6" ht="15" thickBot="1" x14ac:dyDescent="0.2">
      <c r="A538" s="30" t="s">
        <v>9164</v>
      </c>
      <c r="B538" s="26" t="str">
        <f t="shared" si="8"/>
        <v>300373</v>
      </c>
      <c r="C538" s="30" t="s">
        <v>1161</v>
      </c>
      <c r="D538" s="31">
        <v>33.659999999999997</v>
      </c>
      <c r="E538" s="31">
        <v>-1.44</v>
      </c>
      <c r="F538" s="31">
        <v>18248697000</v>
      </c>
    </row>
    <row r="539" spans="1:6" ht="15" thickBot="1" x14ac:dyDescent="0.2">
      <c r="A539" s="30" t="s">
        <v>9165</v>
      </c>
      <c r="B539" s="26" t="str">
        <f t="shared" si="8"/>
        <v>300251</v>
      </c>
      <c r="C539" s="30" t="s">
        <v>1121</v>
      </c>
      <c r="D539" s="31">
        <v>6.53</v>
      </c>
      <c r="E539" s="31">
        <v>-0.91</v>
      </c>
      <c r="F539" s="31">
        <v>18200569000</v>
      </c>
    </row>
    <row r="540" spans="1:6" ht="15" thickBot="1" x14ac:dyDescent="0.2">
      <c r="A540" s="30" t="s">
        <v>9166</v>
      </c>
      <c r="B540" s="26" t="str">
        <f t="shared" si="8"/>
        <v>002461</v>
      </c>
      <c r="C540" s="30" t="s">
        <v>1178</v>
      </c>
      <c r="D540" s="31">
        <v>8.2100000000000009</v>
      </c>
      <c r="E540" s="31">
        <v>-1.91</v>
      </c>
      <c r="F540" s="31">
        <v>18171427000</v>
      </c>
    </row>
    <row r="541" spans="1:6" ht="15" thickBot="1" x14ac:dyDescent="0.2">
      <c r="A541" s="30" t="s">
        <v>9167</v>
      </c>
      <c r="B541" s="26" t="str">
        <f t="shared" si="8"/>
        <v>600977</v>
      </c>
      <c r="C541" s="30" t="s">
        <v>1208</v>
      </c>
      <c r="D541" s="31">
        <v>9.73</v>
      </c>
      <c r="E541" s="31">
        <v>-0.51</v>
      </c>
      <c r="F541" s="31">
        <v>18165910000</v>
      </c>
    </row>
    <row r="542" spans="1:6" ht="15" thickBot="1" x14ac:dyDescent="0.2">
      <c r="A542" s="30" t="s">
        <v>9168</v>
      </c>
      <c r="B542" s="26" t="str">
        <f t="shared" si="8"/>
        <v>002558</v>
      </c>
      <c r="C542" s="30" t="s">
        <v>1169</v>
      </c>
      <c r="D542" s="31">
        <v>9.19</v>
      </c>
      <c r="E542" s="31">
        <v>-1.71</v>
      </c>
      <c r="F542" s="31">
        <v>18136855000</v>
      </c>
    </row>
    <row r="543" spans="1:6" ht="15" thickBot="1" x14ac:dyDescent="0.2">
      <c r="A543" s="30" t="s">
        <v>9169</v>
      </c>
      <c r="B543" s="26" t="str">
        <f t="shared" si="8"/>
        <v>000733</v>
      </c>
      <c r="C543" s="30" t="s">
        <v>1152</v>
      </c>
      <c r="D543" s="31">
        <v>32.74</v>
      </c>
      <c r="E543" s="31">
        <v>-0.85</v>
      </c>
      <c r="F543" s="31">
        <v>18130568000</v>
      </c>
    </row>
    <row r="544" spans="1:6" ht="15" thickBot="1" x14ac:dyDescent="0.2">
      <c r="A544" s="30" t="s">
        <v>9170</v>
      </c>
      <c r="B544" s="26" t="str">
        <f t="shared" si="8"/>
        <v>002008</v>
      </c>
      <c r="C544" s="30" t="s">
        <v>1119</v>
      </c>
      <c r="D544" s="31">
        <v>18.440000000000001</v>
      </c>
      <c r="E544" s="31">
        <v>1.1000000000000001</v>
      </c>
      <c r="F544" s="31">
        <v>18057996000</v>
      </c>
    </row>
    <row r="545" spans="1:6" ht="15" thickBot="1" x14ac:dyDescent="0.2">
      <c r="A545" s="30" t="s">
        <v>9171</v>
      </c>
      <c r="B545" s="26" t="str">
        <f t="shared" si="8"/>
        <v>603871</v>
      </c>
      <c r="C545" s="30" t="s">
        <v>1251</v>
      </c>
      <c r="D545" s="31">
        <v>18.48</v>
      </c>
      <c r="E545" s="31">
        <v>1.99</v>
      </c>
      <c r="F545" s="31">
        <v>18057714000</v>
      </c>
    </row>
    <row r="546" spans="1:6" ht="15" thickBot="1" x14ac:dyDescent="0.2">
      <c r="A546" s="30" t="s">
        <v>9172</v>
      </c>
      <c r="B546" s="26" t="str">
        <f t="shared" si="8"/>
        <v>000958</v>
      </c>
      <c r="C546" s="30" t="s">
        <v>1257</v>
      </c>
      <c r="D546" s="31">
        <v>3.35</v>
      </c>
      <c r="E546" s="31">
        <v>2.76</v>
      </c>
      <c r="F546" s="31">
        <v>18034377000</v>
      </c>
    </row>
    <row r="547" spans="1:6" ht="15" thickBot="1" x14ac:dyDescent="0.2">
      <c r="A547" s="30" t="s">
        <v>9173</v>
      </c>
      <c r="B547" s="26" t="str">
        <f t="shared" si="8"/>
        <v>601139</v>
      </c>
      <c r="C547" s="30" t="s">
        <v>1210</v>
      </c>
      <c r="D547" s="31">
        <v>6.26</v>
      </c>
      <c r="E547" s="31">
        <v>-0.32</v>
      </c>
      <c r="F547" s="31">
        <v>18008367000</v>
      </c>
    </row>
    <row r="548" spans="1:6" ht="15" thickBot="1" x14ac:dyDescent="0.2">
      <c r="A548" s="30" t="s">
        <v>9174</v>
      </c>
      <c r="B548" s="26" t="str">
        <f t="shared" si="8"/>
        <v>002432</v>
      </c>
      <c r="C548" s="30" t="s">
        <v>1069</v>
      </c>
      <c r="D548" s="31">
        <v>40.01</v>
      </c>
      <c r="E548" s="31">
        <v>-0.79</v>
      </c>
      <c r="F548" s="31">
        <v>17967723000</v>
      </c>
    </row>
    <row r="549" spans="1:6" ht="15" thickBot="1" x14ac:dyDescent="0.2">
      <c r="A549" s="30" t="s">
        <v>9175</v>
      </c>
      <c r="B549" s="26" t="str">
        <f t="shared" si="8"/>
        <v>300001</v>
      </c>
      <c r="C549" s="30" t="s">
        <v>1180</v>
      </c>
      <c r="D549" s="31">
        <v>17.43</v>
      </c>
      <c r="E549" s="31">
        <v>0.4</v>
      </c>
      <c r="F549" s="31">
        <v>17917100000</v>
      </c>
    </row>
    <row r="550" spans="1:6" ht="15" thickBot="1" x14ac:dyDescent="0.2">
      <c r="A550" s="30" t="s">
        <v>9176</v>
      </c>
      <c r="B550" s="26" t="str">
        <f t="shared" si="8"/>
        <v>002517</v>
      </c>
      <c r="C550" s="30" t="s">
        <v>1052</v>
      </c>
      <c r="D550" s="31">
        <v>9.35</v>
      </c>
      <c r="E550" s="31">
        <v>0.11</v>
      </c>
      <c r="F550" s="31">
        <v>17898310000</v>
      </c>
    </row>
    <row r="551" spans="1:6" ht="15" thickBot="1" x14ac:dyDescent="0.2">
      <c r="A551" s="30" t="s">
        <v>9177</v>
      </c>
      <c r="B551" s="26" t="str">
        <f t="shared" si="8"/>
        <v>600380</v>
      </c>
      <c r="C551" s="30" t="s">
        <v>1214</v>
      </c>
      <c r="D551" s="31">
        <v>9.5399999999999991</v>
      </c>
      <c r="E551" s="31">
        <v>0.11</v>
      </c>
      <c r="F551" s="31">
        <v>17879872000</v>
      </c>
    </row>
    <row r="552" spans="1:6" ht="15" thickBot="1" x14ac:dyDescent="0.2">
      <c r="A552" s="30" t="s">
        <v>9178</v>
      </c>
      <c r="B552" s="26" t="str">
        <f t="shared" si="8"/>
        <v>603816</v>
      </c>
      <c r="C552" s="30" t="s">
        <v>1143</v>
      </c>
      <c r="D552" s="31">
        <v>21.67</v>
      </c>
      <c r="E552" s="31">
        <v>-0.6</v>
      </c>
      <c r="F552" s="31">
        <v>17810389000</v>
      </c>
    </row>
    <row r="553" spans="1:6" ht="15" thickBot="1" x14ac:dyDescent="0.2">
      <c r="A553" s="30" t="s">
        <v>9179</v>
      </c>
      <c r="B553" s="26" t="str">
        <f t="shared" si="8"/>
        <v>601128</v>
      </c>
      <c r="C553" s="30" t="s">
        <v>8428</v>
      </c>
      <c r="D553" s="31">
        <v>6.12</v>
      </c>
      <c r="E553" s="31">
        <v>-0.33</v>
      </c>
      <c r="F553" s="31">
        <v>17795235000</v>
      </c>
    </row>
    <row r="554" spans="1:6" ht="15" thickBot="1" x14ac:dyDescent="0.2">
      <c r="A554" s="30" t="s">
        <v>9180</v>
      </c>
      <c r="B554" s="26" t="str">
        <f t="shared" si="8"/>
        <v>002155</v>
      </c>
      <c r="C554" s="30" t="s">
        <v>1225</v>
      </c>
      <c r="D554" s="31">
        <v>14.8</v>
      </c>
      <c r="E554" s="31">
        <v>7.0000000000000007E-2</v>
      </c>
      <c r="F554" s="31">
        <v>17788384000</v>
      </c>
    </row>
    <row r="555" spans="1:6" ht="15" thickBot="1" x14ac:dyDescent="0.2">
      <c r="A555" s="30" t="s">
        <v>9181</v>
      </c>
      <c r="B555" s="26" t="str">
        <f t="shared" si="8"/>
        <v>688235</v>
      </c>
      <c r="C555" s="30" t="s">
        <v>112</v>
      </c>
      <c r="D555" s="31">
        <v>154.35</v>
      </c>
      <c r="E555" s="31">
        <v>2.2200000000000002</v>
      </c>
      <c r="F555" s="31">
        <v>17758779000</v>
      </c>
    </row>
    <row r="556" spans="1:6" ht="15" thickBot="1" x14ac:dyDescent="0.2">
      <c r="A556" s="30" t="s">
        <v>9182</v>
      </c>
      <c r="B556" s="26" t="str">
        <f t="shared" si="8"/>
        <v>002138</v>
      </c>
      <c r="C556" s="30" t="s">
        <v>1133</v>
      </c>
      <c r="D556" s="31">
        <v>23.44</v>
      </c>
      <c r="E556" s="31">
        <v>-0.55000000000000004</v>
      </c>
      <c r="F556" s="31">
        <v>17732008000</v>
      </c>
    </row>
    <row r="557" spans="1:6" ht="15" thickBot="1" x14ac:dyDescent="0.2">
      <c r="A557" s="30" t="s">
        <v>9183</v>
      </c>
      <c r="B557" s="26" t="str">
        <f t="shared" si="8"/>
        <v>603826</v>
      </c>
      <c r="C557" s="30" t="s">
        <v>1156</v>
      </c>
      <c r="D557" s="31">
        <v>27.01</v>
      </c>
      <c r="E557" s="31">
        <v>-1.1399999999999999</v>
      </c>
      <c r="F557" s="31">
        <v>17696952000</v>
      </c>
    </row>
    <row r="558" spans="1:6" ht="15" thickBot="1" x14ac:dyDescent="0.2">
      <c r="A558" s="30" t="s">
        <v>9184</v>
      </c>
      <c r="B558" s="26" t="str">
        <f t="shared" si="8"/>
        <v>601333</v>
      </c>
      <c r="C558" s="30" t="s">
        <v>1083</v>
      </c>
      <c r="D558" s="31">
        <v>3.13</v>
      </c>
      <c r="E558" s="31">
        <v>0</v>
      </c>
      <c r="F558" s="31">
        <v>17691502000</v>
      </c>
    </row>
    <row r="559" spans="1:6" ht="15" thickBot="1" x14ac:dyDescent="0.2">
      <c r="A559" s="30" t="s">
        <v>9185</v>
      </c>
      <c r="B559" s="26" t="str">
        <f t="shared" si="8"/>
        <v>002500</v>
      </c>
      <c r="C559" s="30" t="s">
        <v>9186</v>
      </c>
      <c r="D559" s="31">
        <v>4.92</v>
      </c>
      <c r="E559" s="31">
        <v>0.2</v>
      </c>
      <c r="F559" s="31">
        <v>17661676000</v>
      </c>
    </row>
    <row r="560" spans="1:6" ht="15" thickBot="1" x14ac:dyDescent="0.2">
      <c r="A560" s="30" t="s">
        <v>9187</v>
      </c>
      <c r="B560" s="26" t="str">
        <f t="shared" si="8"/>
        <v>601777</v>
      </c>
      <c r="C560" s="30" t="s">
        <v>1249</v>
      </c>
      <c r="D560" s="31">
        <v>3.88</v>
      </c>
      <c r="E560" s="31">
        <v>-2.02</v>
      </c>
      <c r="F560" s="31">
        <v>17541868000</v>
      </c>
    </row>
    <row r="561" spans="1:6" ht="15" thickBot="1" x14ac:dyDescent="0.2">
      <c r="A561" s="30" t="s">
        <v>9188</v>
      </c>
      <c r="B561" s="26" t="str">
        <f t="shared" si="8"/>
        <v>688072</v>
      </c>
      <c r="C561" s="30" t="s">
        <v>8589</v>
      </c>
      <c r="D561" s="31">
        <v>113.83</v>
      </c>
      <c r="E561" s="31">
        <v>-2.33</v>
      </c>
      <c r="F561" s="31">
        <v>17511643000</v>
      </c>
    </row>
    <row r="562" spans="1:6" ht="15" thickBot="1" x14ac:dyDescent="0.2">
      <c r="A562" s="30" t="s">
        <v>9189</v>
      </c>
      <c r="B562" s="26" t="str">
        <f t="shared" si="8"/>
        <v>000750</v>
      </c>
      <c r="C562" s="30" t="s">
        <v>8583</v>
      </c>
      <c r="D562" s="31">
        <v>3.02</v>
      </c>
      <c r="E562" s="31">
        <v>-0.66</v>
      </c>
      <c r="F562" s="31">
        <v>17504536000</v>
      </c>
    </row>
    <row r="563" spans="1:6" ht="15" thickBot="1" x14ac:dyDescent="0.2">
      <c r="A563" s="30" t="s">
        <v>9190</v>
      </c>
      <c r="B563" s="26" t="str">
        <f t="shared" si="8"/>
        <v>603379</v>
      </c>
      <c r="C563" s="30" t="s">
        <v>1292</v>
      </c>
      <c r="D563" s="31">
        <v>28.59</v>
      </c>
      <c r="E563" s="31">
        <v>2.25</v>
      </c>
      <c r="F563" s="31">
        <v>17453596000</v>
      </c>
    </row>
    <row r="564" spans="1:6" ht="15" thickBot="1" x14ac:dyDescent="0.2">
      <c r="A564" s="30" t="s">
        <v>9191</v>
      </c>
      <c r="B564" s="26" t="str">
        <f t="shared" si="8"/>
        <v>688608</v>
      </c>
      <c r="C564" s="30" t="s">
        <v>1278</v>
      </c>
      <c r="D564" s="31">
        <v>145.12</v>
      </c>
      <c r="E564" s="31">
        <v>2.2000000000000002</v>
      </c>
      <c r="F564" s="31">
        <v>17421012000</v>
      </c>
    </row>
    <row r="565" spans="1:6" ht="15" thickBot="1" x14ac:dyDescent="0.2">
      <c r="A565" s="30" t="s">
        <v>9192</v>
      </c>
      <c r="B565" s="26" t="str">
        <f t="shared" si="8"/>
        <v>300957</v>
      </c>
      <c r="C565" s="30" t="s">
        <v>1227</v>
      </c>
      <c r="D565" s="31">
        <v>40.840000000000003</v>
      </c>
      <c r="E565" s="31">
        <v>0.62</v>
      </c>
      <c r="F565" s="31">
        <v>17299824000</v>
      </c>
    </row>
    <row r="566" spans="1:6" ht="15" thickBot="1" x14ac:dyDescent="0.2">
      <c r="A566" s="30" t="s">
        <v>9193</v>
      </c>
      <c r="B566" s="26" t="str">
        <f t="shared" si="8"/>
        <v>600737</v>
      </c>
      <c r="C566" s="30" t="s">
        <v>1266</v>
      </c>
      <c r="D566" s="31">
        <v>8.08</v>
      </c>
      <c r="E566" s="31">
        <v>1.25</v>
      </c>
      <c r="F566" s="31">
        <v>17281894000</v>
      </c>
    </row>
    <row r="567" spans="1:6" ht="15" thickBot="1" x14ac:dyDescent="0.2">
      <c r="A567" s="30" t="s">
        <v>9194</v>
      </c>
      <c r="B567" s="26" t="str">
        <f t="shared" si="8"/>
        <v>000709</v>
      </c>
      <c r="C567" s="30" t="s">
        <v>1264</v>
      </c>
      <c r="D567" s="31">
        <v>1.67</v>
      </c>
      <c r="E567" s="31">
        <v>-1.18</v>
      </c>
      <c r="F567" s="31">
        <v>17260139000</v>
      </c>
    </row>
    <row r="568" spans="1:6" ht="15" thickBot="1" x14ac:dyDescent="0.2">
      <c r="A568" s="30" t="s">
        <v>9195</v>
      </c>
      <c r="B568" s="26" t="str">
        <f t="shared" si="8"/>
        <v>601997</v>
      </c>
      <c r="C568" s="30" t="s">
        <v>8490</v>
      </c>
      <c r="D568" s="31">
        <v>4.71</v>
      </c>
      <c r="E568" s="31">
        <v>-0.21</v>
      </c>
      <c r="F568" s="31">
        <v>17220693000</v>
      </c>
    </row>
    <row r="569" spans="1:6" ht="15" thickBot="1" x14ac:dyDescent="0.2">
      <c r="A569" s="30" t="s">
        <v>9196</v>
      </c>
      <c r="B569" s="26" t="str">
        <f t="shared" si="8"/>
        <v>000739</v>
      </c>
      <c r="C569" s="30" t="s">
        <v>1244</v>
      </c>
      <c r="D569" s="31">
        <v>14.72</v>
      </c>
      <c r="E569" s="31">
        <v>0.62</v>
      </c>
      <c r="F569" s="31">
        <v>17205669000</v>
      </c>
    </row>
    <row r="570" spans="1:6" ht="15" thickBot="1" x14ac:dyDescent="0.2">
      <c r="A570" s="30" t="s">
        <v>9197</v>
      </c>
      <c r="B570" s="26" t="str">
        <f t="shared" si="8"/>
        <v>688100</v>
      </c>
      <c r="C570" s="30" t="s">
        <v>1304</v>
      </c>
      <c r="D570" s="31">
        <v>34.94</v>
      </c>
      <c r="E570" s="31">
        <v>1.84</v>
      </c>
      <c r="F570" s="31">
        <v>17179480000</v>
      </c>
    </row>
    <row r="571" spans="1:6" ht="15" thickBot="1" x14ac:dyDescent="0.2">
      <c r="A571" s="30" t="s">
        <v>9198</v>
      </c>
      <c r="B571" s="26" t="str">
        <f t="shared" si="8"/>
        <v>000543</v>
      </c>
      <c r="C571" s="30" t="s">
        <v>1300</v>
      </c>
      <c r="D571" s="31">
        <v>7.57</v>
      </c>
      <c r="E571" s="31">
        <v>-0.26</v>
      </c>
      <c r="F571" s="31">
        <v>17160155000</v>
      </c>
    </row>
    <row r="572" spans="1:6" ht="15" thickBot="1" x14ac:dyDescent="0.2">
      <c r="A572" s="30" t="s">
        <v>9199</v>
      </c>
      <c r="B572" s="26" t="str">
        <f t="shared" si="8"/>
        <v>600170</v>
      </c>
      <c r="C572" s="30" t="s">
        <v>1294</v>
      </c>
      <c r="D572" s="31">
        <v>1.93</v>
      </c>
      <c r="E572" s="31">
        <v>0</v>
      </c>
      <c r="F572" s="31">
        <v>17149864000</v>
      </c>
    </row>
    <row r="573" spans="1:6" ht="15" thickBot="1" x14ac:dyDescent="0.2">
      <c r="A573" s="30" t="s">
        <v>9200</v>
      </c>
      <c r="B573" s="26" t="str">
        <f t="shared" si="8"/>
        <v>601866</v>
      </c>
      <c r="C573" s="30" t="s">
        <v>927</v>
      </c>
      <c r="D573" s="31">
        <v>2.08</v>
      </c>
      <c r="E573" s="31">
        <v>-0.95</v>
      </c>
      <c r="F573" s="31">
        <v>17128030000</v>
      </c>
    </row>
    <row r="574" spans="1:6" ht="15" thickBot="1" x14ac:dyDescent="0.2">
      <c r="A574" s="30" t="s">
        <v>9201</v>
      </c>
      <c r="B574" s="26" t="str">
        <f t="shared" si="8"/>
        <v>003022</v>
      </c>
      <c r="C574" s="30" t="s">
        <v>1239</v>
      </c>
      <c r="D574" s="31">
        <v>12.78</v>
      </c>
      <c r="E574" s="31">
        <v>-0.7</v>
      </c>
      <c r="F574" s="31">
        <v>17068559000</v>
      </c>
    </row>
    <row r="575" spans="1:6" ht="15" thickBot="1" x14ac:dyDescent="0.2">
      <c r="A575" s="30" t="s">
        <v>9202</v>
      </c>
      <c r="B575" s="26" t="str">
        <f t="shared" si="8"/>
        <v>002653</v>
      </c>
      <c r="C575" s="30" t="s">
        <v>562</v>
      </c>
      <c r="D575" s="31">
        <v>34.47</v>
      </c>
      <c r="E575" s="31">
        <v>5.16</v>
      </c>
      <c r="F575" s="31">
        <v>17060443000</v>
      </c>
    </row>
    <row r="576" spans="1:6" ht="15" thickBot="1" x14ac:dyDescent="0.2">
      <c r="A576" s="30" t="s">
        <v>9203</v>
      </c>
      <c r="B576" s="26" t="str">
        <f t="shared" si="8"/>
        <v>300474</v>
      </c>
      <c r="C576" s="30" t="s">
        <v>840</v>
      </c>
      <c r="D576" s="31">
        <v>52.19</v>
      </c>
      <c r="E576" s="31">
        <v>-0.97</v>
      </c>
      <c r="F576" s="31">
        <v>17058380000</v>
      </c>
    </row>
    <row r="577" spans="1:6" ht="15" thickBot="1" x14ac:dyDescent="0.2">
      <c r="A577" s="30" t="s">
        <v>9204</v>
      </c>
      <c r="B577" s="26" t="str">
        <f t="shared" si="8"/>
        <v>002926</v>
      </c>
      <c r="C577" s="30" t="s">
        <v>9205</v>
      </c>
      <c r="D577" s="31">
        <v>6.47</v>
      </c>
      <c r="E577" s="31">
        <v>0.31</v>
      </c>
      <c r="F577" s="31">
        <v>16983750000</v>
      </c>
    </row>
    <row r="578" spans="1:6" ht="15" thickBot="1" x14ac:dyDescent="0.2">
      <c r="A578" s="30" t="s">
        <v>9206</v>
      </c>
      <c r="B578" s="26" t="str">
        <f t="shared" si="8"/>
        <v>600012</v>
      </c>
      <c r="C578" s="30" t="s">
        <v>1042</v>
      </c>
      <c r="D578" s="31">
        <v>14.55</v>
      </c>
      <c r="E578" s="31">
        <v>-1.62</v>
      </c>
      <c r="F578" s="31">
        <v>16959480000</v>
      </c>
    </row>
    <row r="579" spans="1:6" ht="15" thickBot="1" x14ac:dyDescent="0.2">
      <c r="A579" s="30" t="s">
        <v>9207</v>
      </c>
      <c r="B579" s="26" t="str">
        <f t="shared" ref="B579:B642" si="9">LEFT(A579,6)</f>
        <v>600095</v>
      </c>
      <c r="C579" s="30" t="s">
        <v>1286</v>
      </c>
      <c r="D579" s="31">
        <v>5.93</v>
      </c>
      <c r="E579" s="31">
        <v>0.51</v>
      </c>
      <c r="F579" s="31">
        <v>16954983000</v>
      </c>
    </row>
    <row r="580" spans="1:6" ht="15" thickBot="1" x14ac:dyDescent="0.2">
      <c r="A580" s="30" t="s">
        <v>9208</v>
      </c>
      <c r="B580" s="26" t="str">
        <f t="shared" si="9"/>
        <v>002423</v>
      </c>
      <c r="C580" s="30" t="s">
        <v>1318</v>
      </c>
      <c r="D580" s="31">
        <v>7.35</v>
      </c>
      <c r="E580" s="31">
        <v>1.8</v>
      </c>
      <c r="F580" s="31">
        <v>16935176000</v>
      </c>
    </row>
    <row r="581" spans="1:6" ht="15" thickBot="1" x14ac:dyDescent="0.2">
      <c r="A581" s="30" t="s">
        <v>9209</v>
      </c>
      <c r="B581" s="26" t="str">
        <f t="shared" si="9"/>
        <v>600550</v>
      </c>
      <c r="C581" s="30" t="s">
        <v>1733</v>
      </c>
      <c r="D581" s="31">
        <v>9.19</v>
      </c>
      <c r="E581" s="31">
        <v>7.99</v>
      </c>
      <c r="F581" s="31">
        <v>16923647000</v>
      </c>
    </row>
    <row r="582" spans="1:6" ht="15" thickBot="1" x14ac:dyDescent="0.2">
      <c r="A582" s="30" t="s">
        <v>9210</v>
      </c>
      <c r="B582" s="26" t="str">
        <f t="shared" si="9"/>
        <v>600383</v>
      </c>
      <c r="C582" s="30" t="s">
        <v>1320</v>
      </c>
      <c r="D582" s="31">
        <v>3.74</v>
      </c>
      <c r="E582" s="31">
        <v>6.25</v>
      </c>
      <c r="F582" s="31">
        <v>16884543000</v>
      </c>
    </row>
    <row r="583" spans="1:6" ht="15" thickBot="1" x14ac:dyDescent="0.2">
      <c r="A583" s="30" t="s">
        <v>9211</v>
      </c>
      <c r="B583" s="26" t="str">
        <f t="shared" si="9"/>
        <v>000723</v>
      </c>
      <c r="C583" s="30" t="s">
        <v>1283</v>
      </c>
      <c r="D583" s="31">
        <v>3.92</v>
      </c>
      <c r="E583" s="31">
        <v>0</v>
      </c>
      <c r="F583" s="31">
        <v>16841643000</v>
      </c>
    </row>
    <row r="584" spans="1:6" ht="15" thickBot="1" x14ac:dyDescent="0.2">
      <c r="A584" s="30" t="s">
        <v>9212</v>
      </c>
      <c r="B584" s="26" t="str">
        <f t="shared" si="9"/>
        <v>002508</v>
      </c>
      <c r="C584" s="30" t="s">
        <v>1273</v>
      </c>
      <c r="D584" s="31">
        <v>18.05</v>
      </c>
      <c r="E584" s="31">
        <v>1.69</v>
      </c>
      <c r="F584" s="31">
        <v>16819929000</v>
      </c>
    </row>
    <row r="585" spans="1:6" ht="15" thickBot="1" x14ac:dyDescent="0.2">
      <c r="A585" s="30" t="s">
        <v>9213</v>
      </c>
      <c r="B585" s="26" t="str">
        <f t="shared" si="9"/>
        <v>601717</v>
      </c>
      <c r="C585" s="30" t="s">
        <v>1191</v>
      </c>
      <c r="D585" s="31">
        <v>10.89</v>
      </c>
      <c r="E585" s="31">
        <v>2.06</v>
      </c>
      <c r="F585" s="31">
        <v>16794185000</v>
      </c>
    </row>
    <row r="586" spans="1:6" ht="15" thickBot="1" x14ac:dyDescent="0.2">
      <c r="A586" s="30" t="s">
        <v>9214</v>
      </c>
      <c r="B586" s="26" t="str">
        <f t="shared" si="9"/>
        <v>600612</v>
      </c>
      <c r="C586" s="30" t="s">
        <v>1054</v>
      </c>
      <c r="D586" s="31">
        <v>52.9</v>
      </c>
      <c r="E586" s="31">
        <v>5.3</v>
      </c>
      <c r="F586" s="31">
        <v>16775099000</v>
      </c>
    </row>
    <row r="587" spans="1:6" ht="15" thickBot="1" x14ac:dyDescent="0.2">
      <c r="A587" s="30" t="s">
        <v>9215</v>
      </c>
      <c r="B587" s="26" t="str">
        <f t="shared" si="9"/>
        <v>000959</v>
      </c>
      <c r="C587" s="30" t="s">
        <v>1123</v>
      </c>
      <c r="D587" s="31">
        <v>2.57</v>
      </c>
      <c r="E587" s="31">
        <v>0.39</v>
      </c>
      <c r="F587" s="31">
        <v>16723668000</v>
      </c>
    </row>
    <row r="588" spans="1:6" ht="15" thickBot="1" x14ac:dyDescent="0.2">
      <c r="A588" s="30" t="s">
        <v>9216</v>
      </c>
      <c r="B588" s="26" t="str">
        <f t="shared" si="9"/>
        <v>002841</v>
      </c>
      <c r="C588" s="30" t="s">
        <v>942</v>
      </c>
      <c r="D588" s="31">
        <v>32.049999999999997</v>
      </c>
      <c r="E588" s="31">
        <v>0.03</v>
      </c>
      <c r="F588" s="31">
        <v>16709392000</v>
      </c>
    </row>
    <row r="589" spans="1:6" ht="15" thickBot="1" x14ac:dyDescent="0.2">
      <c r="A589" s="30" t="s">
        <v>9217</v>
      </c>
      <c r="B589" s="26" t="str">
        <f t="shared" si="9"/>
        <v>600761</v>
      </c>
      <c r="C589" s="30" t="s">
        <v>1334</v>
      </c>
      <c r="D589" s="31">
        <v>18.739999999999998</v>
      </c>
      <c r="E589" s="31">
        <v>5.05</v>
      </c>
      <c r="F589" s="31">
        <v>16691582000</v>
      </c>
    </row>
    <row r="590" spans="1:6" ht="15" thickBot="1" x14ac:dyDescent="0.2">
      <c r="A590" s="30" t="s">
        <v>9218</v>
      </c>
      <c r="B590" s="26" t="str">
        <f t="shared" si="9"/>
        <v>600820</v>
      </c>
      <c r="C590" s="30" t="s">
        <v>1314</v>
      </c>
      <c r="D590" s="31">
        <v>5.3</v>
      </c>
      <c r="E590" s="31">
        <v>-0.38</v>
      </c>
      <c r="F590" s="31">
        <v>16663709000</v>
      </c>
    </row>
    <row r="591" spans="1:6" ht="15" thickBot="1" x14ac:dyDescent="0.2">
      <c r="A591" s="30" t="s">
        <v>9219</v>
      </c>
      <c r="B591" s="26" t="str">
        <f t="shared" si="9"/>
        <v>000825</v>
      </c>
      <c r="C591" s="30" t="s">
        <v>1276</v>
      </c>
      <c r="D591" s="31">
        <v>2.92</v>
      </c>
      <c r="E591" s="31">
        <v>-0.68</v>
      </c>
      <c r="F591" s="31">
        <v>16633044000</v>
      </c>
    </row>
    <row r="592" spans="1:6" ht="15" thickBot="1" x14ac:dyDescent="0.2">
      <c r="A592" s="30" t="s">
        <v>9220</v>
      </c>
      <c r="B592" s="26" t="str">
        <f t="shared" si="9"/>
        <v>300037</v>
      </c>
      <c r="C592" s="30" t="s">
        <v>850</v>
      </c>
      <c r="D592" s="31">
        <v>30.39</v>
      </c>
      <c r="E592" s="31">
        <v>-0.88</v>
      </c>
      <c r="F592" s="31">
        <v>16614691000</v>
      </c>
    </row>
    <row r="593" spans="1:6" ht="15" thickBot="1" x14ac:dyDescent="0.2">
      <c r="A593" s="30" t="s">
        <v>9221</v>
      </c>
      <c r="B593" s="26" t="str">
        <f t="shared" si="9"/>
        <v>300144</v>
      </c>
      <c r="C593" s="30" t="s">
        <v>1140</v>
      </c>
      <c r="D593" s="31">
        <v>7.06</v>
      </c>
      <c r="E593" s="31">
        <v>-0.98</v>
      </c>
      <c r="F593" s="31">
        <v>16600800000</v>
      </c>
    </row>
    <row r="594" spans="1:6" ht="15" thickBot="1" x14ac:dyDescent="0.2">
      <c r="A594" s="30" t="s">
        <v>9222</v>
      </c>
      <c r="B594" s="26" t="str">
        <f t="shared" si="9"/>
        <v>000937</v>
      </c>
      <c r="C594" s="30" t="s">
        <v>1195</v>
      </c>
      <c r="D594" s="31">
        <v>5.7</v>
      </c>
      <c r="E594" s="31">
        <v>4.0199999999999996</v>
      </c>
      <c r="F594" s="31">
        <v>16567619000</v>
      </c>
    </row>
    <row r="595" spans="1:6" ht="15" thickBot="1" x14ac:dyDescent="0.2">
      <c r="A595" s="30" t="s">
        <v>9223</v>
      </c>
      <c r="B595" s="26" t="str">
        <f t="shared" si="9"/>
        <v>000683</v>
      </c>
      <c r="C595" s="30" t="s">
        <v>1184</v>
      </c>
      <c r="D595" s="31">
        <v>5.04</v>
      </c>
      <c r="E595" s="31">
        <v>1.41</v>
      </c>
      <c r="F595" s="31">
        <v>16545993000</v>
      </c>
    </row>
    <row r="596" spans="1:6" ht="15" thickBot="1" x14ac:dyDescent="0.2">
      <c r="A596" s="30" t="s">
        <v>9224</v>
      </c>
      <c r="B596" s="26" t="str">
        <f t="shared" si="9"/>
        <v>000519</v>
      </c>
      <c r="C596" s="30" t="s">
        <v>1379</v>
      </c>
      <c r="D596" s="31">
        <v>11.85</v>
      </c>
      <c r="E596" s="31">
        <v>3.49</v>
      </c>
      <c r="F596" s="31">
        <v>16501824000</v>
      </c>
    </row>
    <row r="597" spans="1:6" ht="15" thickBot="1" x14ac:dyDescent="0.2">
      <c r="A597" s="30" t="s">
        <v>9225</v>
      </c>
      <c r="B597" s="26" t="str">
        <f t="shared" si="9"/>
        <v>000426</v>
      </c>
      <c r="C597" s="30" t="s">
        <v>1235</v>
      </c>
      <c r="D597" s="31">
        <v>9.85</v>
      </c>
      <c r="E597" s="31">
        <v>-1.4</v>
      </c>
      <c r="F597" s="31">
        <v>16494291000</v>
      </c>
    </row>
    <row r="598" spans="1:6" ht="15" thickBot="1" x14ac:dyDescent="0.2">
      <c r="A598" s="30" t="s">
        <v>9226</v>
      </c>
      <c r="B598" s="26" t="str">
        <f t="shared" si="9"/>
        <v>688318</v>
      </c>
      <c r="C598" s="30" t="s">
        <v>1324</v>
      </c>
      <c r="D598" s="31">
        <v>90.11</v>
      </c>
      <c r="E598" s="31">
        <v>3.05</v>
      </c>
      <c r="F598" s="31">
        <v>16484947000</v>
      </c>
    </row>
    <row r="599" spans="1:6" ht="15" thickBot="1" x14ac:dyDescent="0.2">
      <c r="A599" s="30" t="s">
        <v>9227</v>
      </c>
      <c r="B599" s="26" t="str">
        <f t="shared" si="9"/>
        <v>601965</v>
      </c>
      <c r="C599" s="30" t="s">
        <v>1280</v>
      </c>
      <c r="D599" s="31">
        <v>16.670000000000002</v>
      </c>
      <c r="E599" s="31">
        <v>0.85</v>
      </c>
      <c r="F599" s="31">
        <v>16461471000</v>
      </c>
    </row>
    <row r="600" spans="1:6" ht="15" thickBot="1" x14ac:dyDescent="0.2">
      <c r="A600" s="30" t="s">
        <v>9228</v>
      </c>
      <c r="B600" s="26" t="str">
        <f t="shared" si="9"/>
        <v>002430</v>
      </c>
      <c r="C600" s="30" t="s">
        <v>1271</v>
      </c>
      <c r="D600" s="31">
        <v>16.91</v>
      </c>
      <c r="E600" s="31">
        <v>1.44</v>
      </c>
      <c r="F600" s="31">
        <v>16429950000</v>
      </c>
    </row>
    <row r="601" spans="1:6" ht="15" thickBot="1" x14ac:dyDescent="0.2">
      <c r="A601" s="30" t="s">
        <v>9229</v>
      </c>
      <c r="B601" s="26" t="str">
        <f t="shared" si="9"/>
        <v>002984</v>
      </c>
      <c r="C601" s="30" t="s">
        <v>856</v>
      </c>
      <c r="D601" s="31">
        <v>23.49</v>
      </c>
      <c r="E601" s="31">
        <v>-0.34</v>
      </c>
      <c r="F601" s="31">
        <v>16419881000</v>
      </c>
    </row>
    <row r="602" spans="1:6" ht="15" thickBot="1" x14ac:dyDescent="0.2">
      <c r="A602" s="30" t="s">
        <v>9230</v>
      </c>
      <c r="B602" s="26" t="str">
        <f t="shared" si="9"/>
        <v>600529</v>
      </c>
      <c r="C602" s="30" t="s">
        <v>1310</v>
      </c>
      <c r="D602" s="31">
        <v>24.72</v>
      </c>
      <c r="E602" s="31">
        <v>1.85</v>
      </c>
      <c r="F602" s="31">
        <v>16404541000</v>
      </c>
    </row>
    <row r="603" spans="1:6" ht="15" thickBot="1" x14ac:dyDescent="0.2">
      <c r="A603" s="30" t="s">
        <v>9231</v>
      </c>
      <c r="B603" s="26" t="str">
        <f t="shared" si="9"/>
        <v>001213</v>
      </c>
      <c r="C603" s="30" t="s">
        <v>9232</v>
      </c>
      <c r="D603" s="31">
        <v>3.69</v>
      </c>
      <c r="E603" s="31">
        <v>-0.27</v>
      </c>
      <c r="F603" s="31">
        <v>16400000000</v>
      </c>
    </row>
    <row r="604" spans="1:6" ht="15" thickBot="1" x14ac:dyDescent="0.2">
      <c r="A604" s="30" t="s">
        <v>9233</v>
      </c>
      <c r="B604" s="26" t="str">
        <f t="shared" si="9"/>
        <v>688266</v>
      </c>
      <c r="C604" s="30" t="s">
        <v>1343</v>
      </c>
      <c r="D604" s="31">
        <v>61.85</v>
      </c>
      <c r="E604" s="31">
        <v>2.74</v>
      </c>
      <c r="F604" s="31">
        <v>16372201000</v>
      </c>
    </row>
    <row r="605" spans="1:6" ht="15" thickBot="1" x14ac:dyDescent="0.2">
      <c r="A605" s="30" t="s">
        <v>9234</v>
      </c>
      <c r="B605" s="26" t="str">
        <f t="shared" si="9"/>
        <v>000951</v>
      </c>
      <c r="C605" s="30" t="s">
        <v>1357</v>
      </c>
      <c r="D605" s="31">
        <v>13.93</v>
      </c>
      <c r="E605" s="31">
        <v>2.2799999999999998</v>
      </c>
      <c r="F605" s="31">
        <v>16365930000</v>
      </c>
    </row>
    <row r="606" spans="1:6" ht="15" thickBot="1" x14ac:dyDescent="0.2">
      <c r="A606" s="30" t="s">
        <v>9235</v>
      </c>
      <c r="B606" s="26" t="str">
        <f t="shared" si="9"/>
        <v>300002</v>
      </c>
      <c r="C606" s="30" t="s">
        <v>1206</v>
      </c>
      <c r="D606" s="31">
        <v>8.98</v>
      </c>
      <c r="E606" s="31">
        <v>-0.44</v>
      </c>
      <c r="F606" s="31">
        <v>16349253000</v>
      </c>
    </row>
    <row r="607" spans="1:6" ht="15" thickBot="1" x14ac:dyDescent="0.2">
      <c r="A607" s="30" t="s">
        <v>9236</v>
      </c>
      <c r="B607" s="26" t="str">
        <f t="shared" si="9"/>
        <v>603290</v>
      </c>
      <c r="C607" s="30" t="s">
        <v>1253</v>
      </c>
      <c r="D607" s="31">
        <v>68.05</v>
      </c>
      <c r="E607" s="31">
        <v>-1.42</v>
      </c>
      <c r="F607" s="31">
        <v>16289366000</v>
      </c>
    </row>
    <row r="608" spans="1:6" ht="15" thickBot="1" x14ac:dyDescent="0.2">
      <c r="A608" s="30" t="s">
        <v>9237</v>
      </c>
      <c r="B608" s="26" t="str">
        <f t="shared" si="9"/>
        <v>000559</v>
      </c>
      <c r="C608" s="30" t="s">
        <v>1363</v>
      </c>
      <c r="D608" s="31">
        <v>4.93</v>
      </c>
      <c r="E608" s="31">
        <v>1.23</v>
      </c>
      <c r="F608" s="31">
        <v>16287629000</v>
      </c>
    </row>
    <row r="609" spans="1:6" ht="15" thickBot="1" x14ac:dyDescent="0.2">
      <c r="A609" s="30" t="s">
        <v>9238</v>
      </c>
      <c r="B609" s="26" t="str">
        <f t="shared" si="9"/>
        <v>600295</v>
      </c>
      <c r="C609" s="30" t="s">
        <v>1009</v>
      </c>
      <c r="D609" s="31">
        <v>8.23</v>
      </c>
      <c r="E609" s="31">
        <v>0.12</v>
      </c>
      <c r="F609" s="31">
        <v>16258993000</v>
      </c>
    </row>
    <row r="610" spans="1:6" ht="15" thickBot="1" x14ac:dyDescent="0.2">
      <c r="A610" s="30" t="s">
        <v>9239</v>
      </c>
      <c r="B610" s="26" t="str">
        <f t="shared" si="9"/>
        <v>603858</v>
      </c>
      <c r="C610" s="30" t="s">
        <v>1384</v>
      </c>
      <c r="D610" s="31">
        <v>14.62</v>
      </c>
      <c r="E610" s="31">
        <v>-0.75</v>
      </c>
      <c r="F610" s="31">
        <v>16170343000</v>
      </c>
    </row>
    <row r="611" spans="1:6" ht="15" thickBot="1" x14ac:dyDescent="0.2">
      <c r="A611" s="30" t="s">
        <v>9240</v>
      </c>
      <c r="B611" s="26" t="str">
        <f t="shared" si="9"/>
        <v>600498</v>
      </c>
      <c r="C611" s="30" t="s">
        <v>1312</v>
      </c>
      <c r="D611" s="31">
        <v>14.01</v>
      </c>
      <c r="E611" s="31">
        <v>0.14000000000000001</v>
      </c>
      <c r="F611" s="31">
        <v>16101962000</v>
      </c>
    </row>
    <row r="612" spans="1:6" ht="15" thickBot="1" x14ac:dyDescent="0.2">
      <c r="A612" s="30" t="s">
        <v>9241</v>
      </c>
      <c r="B612" s="26" t="str">
        <f t="shared" si="9"/>
        <v>000039</v>
      </c>
      <c r="C612" s="30" t="s">
        <v>711</v>
      </c>
      <c r="D612" s="31">
        <v>6.98</v>
      </c>
      <c r="E612" s="31">
        <v>1.75</v>
      </c>
      <c r="F612" s="31">
        <v>16063822000</v>
      </c>
    </row>
    <row r="613" spans="1:6" ht="15" thickBot="1" x14ac:dyDescent="0.2">
      <c r="A613" s="30" t="s">
        <v>9242</v>
      </c>
      <c r="B613" s="26" t="str">
        <f t="shared" si="9"/>
        <v>688249</v>
      </c>
      <c r="C613" s="30" t="s">
        <v>9243</v>
      </c>
      <c r="D613" s="31">
        <v>13.58</v>
      </c>
      <c r="E613" s="31">
        <v>-0.95</v>
      </c>
      <c r="F613" s="31">
        <v>15980007000</v>
      </c>
    </row>
    <row r="614" spans="1:6" ht="15" thickBot="1" x14ac:dyDescent="0.2">
      <c r="A614" s="30" t="s">
        <v>9244</v>
      </c>
      <c r="B614" s="26" t="str">
        <f t="shared" si="9"/>
        <v>600032</v>
      </c>
      <c r="C614" s="30" t="s">
        <v>9245</v>
      </c>
      <c r="D614" s="31">
        <v>6.64</v>
      </c>
      <c r="E614" s="31">
        <v>-0.45</v>
      </c>
      <c r="F614" s="31">
        <v>15967044000</v>
      </c>
    </row>
    <row r="615" spans="1:6" ht="15" thickBot="1" x14ac:dyDescent="0.2">
      <c r="A615" s="30" t="s">
        <v>9246</v>
      </c>
      <c r="B615" s="26" t="str">
        <f t="shared" si="9"/>
        <v>002080</v>
      </c>
      <c r="C615" s="30" t="s">
        <v>1355</v>
      </c>
      <c r="D615" s="31">
        <v>9.48</v>
      </c>
      <c r="E615" s="31">
        <v>0.96</v>
      </c>
      <c r="F615" s="31">
        <v>15908612000</v>
      </c>
    </row>
    <row r="616" spans="1:6" ht="15" thickBot="1" x14ac:dyDescent="0.2">
      <c r="A616" s="30" t="s">
        <v>9247</v>
      </c>
      <c r="B616" s="26" t="str">
        <f t="shared" si="9"/>
        <v>300339</v>
      </c>
      <c r="C616" s="30" t="s">
        <v>1345</v>
      </c>
      <c r="D616" s="31">
        <v>20.43</v>
      </c>
      <c r="E616" s="31">
        <v>1.74</v>
      </c>
      <c r="F616" s="31">
        <v>15888139000</v>
      </c>
    </row>
    <row r="617" spans="1:6" ht="15" thickBot="1" x14ac:dyDescent="0.2">
      <c r="A617" s="30" t="s">
        <v>9248</v>
      </c>
      <c r="B617" s="26" t="str">
        <f t="shared" si="9"/>
        <v>002409</v>
      </c>
      <c r="C617" s="30" t="s">
        <v>873</v>
      </c>
      <c r="D617" s="31">
        <v>49.85</v>
      </c>
      <c r="E617" s="31">
        <v>0.69</v>
      </c>
      <c r="F617" s="31">
        <v>15878359000</v>
      </c>
    </row>
    <row r="618" spans="1:6" ht="15" thickBot="1" x14ac:dyDescent="0.2">
      <c r="A618" s="30" t="s">
        <v>9249</v>
      </c>
      <c r="B618" s="26" t="str">
        <f t="shared" si="9"/>
        <v>600339</v>
      </c>
      <c r="C618" s="30" t="s">
        <v>1353</v>
      </c>
      <c r="D618" s="31">
        <v>2.84</v>
      </c>
      <c r="E618" s="31">
        <v>-0.7</v>
      </c>
      <c r="F618" s="31">
        <v>15856139000</v>
      </c>
    </row>
    <row r="619" spans="1:6" ht="15" thickBot="1" x14ac:dyDescent="0.2">
      <c r="A619" s="30" t="s">
        <v>9250</v>
      </c>
      <c r="B619" s="26" t="str">
        <f t="shared" si="9"/>
        <v>600100</v>
      </c>
      <c r="C619" s="30" t="s">
        <v>1349</v>
      </c>
      <c r="D619" s="31">
        <v>4.7300000000000004</v>
      </c>
      <c r="E619" s="31">
        <v>-1.66</v>
      </c>
      <c r="F619" s="31">
        <v>15846908000</v>
      </c>
    </row>
    <row r="620" spans="1:6" ht="15" thickBot="1" x14ac:dyDescent="0.2">
      <c r="A620" s="30" t="s">
        <v>9251</v>
      </c>
      <c r="B620" s="26" t="str">
        <f t="shared" si="9"/>
        <v>002472</v>
      </c>
      <c r="C620" s="30" t="s">
        <v>1218</v>
      </c>
      <c r="D620" s="31">
        <v>21.02</v>
      </c>
      <c r="E620" s="31">
        <v>2.2400000000000002</v>
      </c>
      <c r="F620" s="31">
        <v>15780139000</v>
      </c>
    </row>
    <row r="621" spans="1:6" ht="15" thickBot="1" x14ac:dyDescent="0.2">
      <c r="A621" s="30" t="s">
        <v>9252</v>
      </c>
      <c r="B621" s="26" t="str">
        <f t="shared" si="9"/>
        <v>601016</v>
      </c>
      <c r="C621" s="30" t="s">
        <v>1288</v>
      </c>
      <c r="D621" s="31">
        <v>2.64</v>
      </c>
      <c r="E621" s="31">
        <v>0</v>
      </c>
      <c r="F621" s="31">
        <v>15733436000</v>
      </c>
    </row>
    <row r="622" spans="1:6" ht="15" thickBot="1" x14ac:dyDescent="0.2">
      <c r="A622" s="30" t="s">
        <v>9253</v>
      </c>
      <c r="B622" s="26" t="str">
        <f t="shared" si="9"/>
        <v>002203</v>
      </c>
      <c r="C622" s="30" t="s">
        <v>1365</v>
      </c>
      <c r="D622" s="31">
        <v>8.1</v>
      </c>
      <c r="E622" s="31">
        <v>2.92</v>
      </c>
      <c r="F622" s="31">
        <v>15654454000</v>
      </c>
    </row>
    <row r="623" spans="1:6" ht="15" thickBot="1" x14ac:dyDescent="0.2">
      <c r="A623" s="30" t="s">
        <v>9254</v>
      </c>
      <c r="B623" s="26" t="str">
        <f t="shared" si="9"/>
        <v>603730</v>
      </c>
      <c r="C623" s="30" t="s">
        <v>1397</v>
      </c>
      <c r="D623" s="31">
        <v>9.4600000000000009</v>
      </c>
      <c r="E623" s="31">
        <v>1.39</v>
      </c>
      <c r="F623" s="31">
        <v>15635067000</v>
      </c>
    </row>
    <row r="624" spans="1:6" ht="15" thickBot="1" x14ac:dyDescent="0.2">
      <c r="A624" s="30" t="s">
        <v>9255</v>
      </c>
      <c r="B624" s="26" t="str">
        <f t="shared" si="9"/>
        <v>300558</v>
      </c>
      <c r="C624" s="30" t="s">
        <v>1296</v>
      </c>
      <c r="D624" s="31">
        <v>37.36</v>
      </c>
      <c r="E624" s="31">
        <v>-4.8899999999999997</v>
      </c>
      <c r="F624" s="31">
        <v>15585882000</v>
      </c>
    </row>
    <row r="625" spans="1:6" ht="15" thickBot="1" x14ac:dyDescent="0.2">
      <c r="A625" s="30" t="s">
        <v>9256</v>
      </c>
      <c r="B625" s="26" t="str">
        <f t="shared" si="9"/>
        <v>002372</v>
      </c>
      <c r="C625" s="30" t="s">
        <v>1261</v>
      </c>
      <c r="D625" s="31">
        <v>10.59</v>
      </c>
      <c r="E625" s="31">
        <v>0.47</v>
      </c>
      <c r="F625" s="31">
        <v>15576387000</v>
      </c>
    </row>
    <row r="626" spans="1:6" ht="15" thickBot="1" x14ac:dyDescent="0.2">
      <c r="A626" s="30" t="s">
        <v>9257</v>
      </c>
      <c r="B626" s="26" t="str">
        <f t="shared" si="9"/>
        <v>601106</v>
      </c>
      <c r="C626" s="30" t="s">
        <v>1428</v>
      </c>
      <c r="D626" s="31">
        <v>2.27</v>
      </c>
      <c r="E626" s="31">
        <v>0</v>
      </c>
      <c r="F626" s="31">
        <v>15567167000</v>
      </c>
    </row>
    <row r="627" spans="1:6" ht="15" thickBot="1" x14ac:dyDescent="0.2">
      <c r="A627" s="30" t="s">
        <v>9258</v>
      </c>
      <c r="B627" s="26" t="str">
        <f t="shared" si="9"/>
        <v>600562</v>
      </c>
      <c r="C627" s="30" t="s">
        <v>1395</v>
      </c>
      <c r="D627" s="31">
        <v>12.56</v>
      </c>
      <c r="E627" s="31">
        <v>0.32</v>
      </c>
      <c r="F627" s="31">
        <v>15499439000</v>
      </c>
    </row>
    <row r="628" spans="1:6" ht="15" thickBot="1" x14ac:dyDescent="0.2">
      <c r="A628" s="30" t="s">
        <v>9259</v>
      </c>
      <c r="B628" s="26" t="str">
        <f t="shared" si="9"/>
        <v>000887</v>
      </c>
      <c r="C628" s="30" t="s">
        <v>1401</v>
      </c>
      <c r="D628" s="31">
        <v>11.77</v>
      </c>
      <c r="E628" s="31">
        <v>1.64</v>
      </c>
      <c r="F628" s="31">
        <v>15470142000</v>
      </c>
    </row>
    <row r="629" spans="1:6" ht="15" thickBot="1" x14ac:dyDescent="0.2">
      <c r="A629" s="30" t="s">
        <v>9260</v>
      </c>
      <c r="B629" s="26" t="str">
        <f t="shared" si="9"/>
        <v>600970</v>
      </c>
      <c r="C629" s="30" t="s">
        <v>891</v>
      </c>
      <c r="D629" s="31">
        <v>8.8000000000000007</v>
      </c>
      <c r="E629" s="31">
        <v>1.62</v>
      </c>
      <c r="F629" s="31">
        <v>15467443000</v>
      </c>
    </row>
    <row r="630" spans="1:6" ht="15" thickBot="1" x14ac:dyDescent="0.2">
      <c r="A630" s="30" t="s">
        <v>9261</v>
      </c>
      <c r="B630" s="26" t="str">
        <f t="shared" si="9"/>
        <v>300142</v>
      </c>
      <c r="C630" s="30" t="s">
        <v>1339</v>
      </c>
      <c r="D630" s="31">
        <v>9.9</v>
      </c>
      <c r="E630" s="31">
        <v>-0.9</v>
      </c>
      <c r="F630" s="31">
        <v>15436166000</v>
      </c>
    </row>
    <row r="631" spans="1:6" ht="15" thickBot="1" x14ac:dyDescent="0.2">
      <c r="A631" s="30" t="s">
        <v>9262</v>
      </c>
      <c r="B631" s="26" t="str">
        <f t="shared" si="9"/>
        <v>002405</v>
      </c>
      <c r="C631" s="30" t="s">
        <v>1347</v>
      </c>
      <c r="D631" s="31">
        <v>6.6</v>
      </c>
      <c r="E631" s="31">
        <v>-2.08</v>
      </c>
      <c r="F631" s="31">
        <v>15419706000</v>
      </c>
    </row>
    <row r="632" spans="1:6" ht="15" thickBot="1" x14ac:dyDescent="0.2">
      <c r="A632" s="30" t="s">
        <v>9263</v>
      </c>
      <c r="B632" s="26" t="str">
        <f t="shared" si="9"/>
        <v>600323</v>
      </c>
      <c r="C632" s="30" t="s">
        <v>1367</v>
      </c>
      <c r="D632" s="31">
        <v>18.91</v>
      </c>
      <c r="E632" s="31">
        <v>-0.05</v>
      </c>
      <c r="F632" s="31">
        <v>15418215000</v>
      </c>
    </row>
    <row r="633" spans="1:6" ht="15" thickBot="1" x14ac:dyDescent="0.2">
      <c r="A633" s="30" t="s">
        <v>9264</v>
      </c>
      <c r="B633" s="26" t="str">
        <f t="shared" si="9"/>
        <v>600675</v>
      </c>
      <c r="C633" s="30" t="s">
        <v>1495</v>
      </c>
      <c r="D633" s="31">
        <v>2.5499999999999998</v>
      </c>
      <c r="E633" s="31">
        <v>1.19</v>
      </c>
      <c r="F633" s="31">
        <v>15417645000</v>
      </c>
    </row>
    <row r="634" spans="1:6" ht="15" thickBot="1" x14ac:dyDescent="0.2">
      <c r="A634" s="30" t="s">
        <v>9265</v>
      </c>
      <c r="B634" s="26" t="str">
        <f t="shared" si="9"/>
        <v>600764</v>
      </c>
      <c r="C634" s="30" t="s">
        <v>1443</v>
      </c>
      <c r="D634" s="31">
        <v>21.68</v>
      </c>
      <c r="E634" s="31">
        <v>1.07</v>
      </c>
      <c r="F634" s="31">
        <v>15406445000</v>
      </c>
    </row>
    <row r="635" spans="1:6" ht="15" thickBot="1" x14ac:dyDescent="0.2">
      <c r="A635" s="30" t="s">
        <v>9266</v>
      </c>
      <c r="B635" s="26" t="str">
        <f t="shared" si="9"/>
        <v>600516</v>
      </c>
      <c r="C635" s="30" t="s">
        <v>1408</v>
      </c>
      <c r="D635" s="31">
        <v>3.82</v>
      </c>
      <c r="E635" s="31">
        <v>-0.78</v>
      </c>
      <c r="F635" s="31">
        <v>15379207000</v>
      </c>
    </row>
    <row r="636" spans="1:6" ht="15" thickBot="1" x14ac:dyDescent="0.2">
      <c r="A636" s="30" t="s">
        <v>9267</v>
      </c>
      <c r="B636" s="26" t="str">
        <f t="shared" si="9"/>
        <v>603650</v>
      </c>
      <c r="C636" s="30" t="s">
        <v>1388</v>
      </c>
      <c r="D636" s="31">
        <v>25.78</v>
      </c>
      <c r="E636" s="31">
        <v>2.2999999999999998</v>
      </c>
      <c r="F636" s="31">
        <v>15355801000</v>
      </c>
    </row>
    <row r="637" spans="1:6" ht="15" thickBot="1" x14ac:dyDescent="0.2">
      <c r="A637" s="30" t="s">
        <v>9268</v>
      </c>
      <c r="B637" s="26" t="str">
        <f t="shared" si="9"/>
        <v>600208</v>
      </c>
      <c r="C637" s="30" t="s">
        <v>1437</v>
      </c>
      <c r="D637" s="31">
        <v>1.79</v>
      </c>
      <c r="E637" s="31">
        <v>0.56000000000000005</v>
      </c>
      <c r="F637" s="31">
        <v>15228907000</v>
      </c>
    </row>
    <row r="638" spans="1:6" ht="15" thickBot="1" x14ac:dyDescent="0.2">
      <c r="A638" s="30" t="s">
        <v>9269</v>
      </c>
      <c r="B638" s="26" t="str">
        <f t="shared" si="9"/>
        <v>688568</v>
      </c>
      <c r="C638" s="30" t="s">
        <v>1478</v>
      </c>
      <c r="D638" s="31">
        <v>27.98</v>
      </c>
      <c r="E638" s="31">
        <v>3.71</v>
      </c>
      <c r="F638" s="31">
        <v>15202260000</v>
      </c>
    </row>
    <row r="639" spans="1:6" ht="15" thickBot="1" x14ac:dyDescent="0.2">
      <c r="A639" s="30" t="s">
        <v>9270</v>
      </c>
      <c r="B639" s="26" t="str">
        <f t="shared" si="9"/>
        <v>688472</v>
      </c>
      <c r="C639" s="30" t="s">
        <v>9271</v>
      </c>
      <c r="D639" s="31">
        <v>10.98</v>
      </c>
      <c r="E639" s="31">
        <v>1.95</v>
      </c>
      <c r="F639" s="31">
        <v>15173376000</v>
      </c>
    </row>
    <row r="640" spans="1:6" ht="15" thickBot="1" x14ac:dyDescent="0.2">
      <c r="A640" s="30" t="s">
        <v>9272</v>
      </c>
      <c r="B640" s="26" t="str">
        <f t="shared" si="9"/>
        <v>000623</v>
      </c>
      <c r="C640" s="30" t="s">
        <v>1421</v>
      </c>
      <c r="D640" s="31">
        <v>12.73</v>
      </c>
      <c r="E640" s="31">
        <v>-0.08</v>
      </c>
      <c r="F640" s="31">
        <v>15168837000</v>
      </c>
    </row>
    <row r="641" spans="1:6" ht="15" thickBot="1" x14ac:dyDescent="0.2">
      <c r="A641" s="30" t="s">
        <v>9273</v>
      </c>
      <c r="B641" s="26" t="str">
        <f t="shared" si="9"/>
        <v>600511</v>
      </c>
      <c r="C641" s="30" t="s">
        <v>1028</v>
      </c>
      <c r="D641" s="31">
        <v>27.4</v>
      </c>
      <c r="E641" s="31">
        <v>-0.47</v>
      </c>
      <c r="F641" s="31">
        <v>15161692000</v>
      </c>
    </row>
    <row r="642" spans="1:6" ht="15" thickBot="1" x14ac:dyDescent="0.2">
      <c r="A642" s="30" t="s">
        <v>9274</v>
      </c>
      <c r="B642" s="26" t="str">
        <f t="shared" si="9"/>
        <v>300073</v>
      </c>
      <c r="C642" s="30" t="s">
        <v>1328</v>
      </c>
      <c r="D642" s="31">
        <v>29.98</v>
      </c>
      <c r="E642" s="31">
        <v>-2.5</v>
      </c>
      <c r="F642" s="31">
        <v>15150806000</v>
      </c>
    </row>
    <row r="643" spans="1:6" ht="15" thickBot="1" x14ac:dyDescent="0.2">
      <c r="A643" s="30" t="s">
        <v>9275</v>
      </c>
      <c r="B643" s="26" t="str">
        <f t="shared" ref="B643:B706" si="10">LEFT(A643,6)</f>
        <v>600779</v>
      </c>
      <c r="C643" s="30" t="s">
        <v>1373</v>
      </c>
      <c r="D643" s="31">
        <v>31.01</v>
      </c>
      <c r="E643" s="31">
        <v>0.91</v>
      </c>
      <c r="F643" s="31">
        <v>15144087000</v>
      </c>
    </row>
    <row r="644" spans="1:6" ht="15" thickBot="1" x14ac:dyDescent="0.2">
      <c r="A644" s="30" t="s">
        <v>9276</v>
      </c>
      <c r="B644" s="26" t="str">
        <f t="shared" si="10"/>
        <v>600271</v>
      </c>
      <c r="C644" s="30" t="s">
        <v>1464</v>
      </c>
      <c r="D644" s="31">
        <v>8.17</v>
      </c>
      <c r="E644" s="31">
        <v>0.37</v>
      </c>
      <c r="F644" s="31">
        <v>15138067000</v>
      </c>
    </row>
    <row r="645" spans="1:6" ht="15" thickBot="1" x14ac:dyDescent="0.2">
      <c r="A645" s="30" t="s">
        <v>9277</v>
      </c>
      <c r="B645" s="26" t="str">
        <f t="shared" si="10"/>
        <v>600329</v>
      </c>
      <c r="C645" s="30" t="s">
        <v>1410</v>
      </c>
      <c r="D645" s="31">
        <v>26.75</v>
      </c>
      <c r="E645" s="31">
        <v>1.33</v>
      </c>
      <c r="F645" s="31">
        <v>15136971000</v>
      </c>
    </row>
    <row r="646" spans="1:6" ht="15" thickBot="1" x14ac:dyDescent="0.2">
      <c r="A646" s="30" t="s">
        <v>9278</v>
      </c>
      <c r="B646" s="26" t="str">
        <f t="shared" si="10"/>
        <v>002468</v>
      </c>
      <c r="C646" s="30" t="s">
        <v>1371</v>
      </c>
      <c r="D646" s="31">
        <v>10.130000000000001</v>
      </c>
      <c r="E646" s="31">
        <v>-0.59</v>
      </c>
      <c r="F646" s="31">
        <v>15114423000</v>
      </c>
    </row>
    <row r="647" spans="1:6" ht="15" thickBot="1" x14ac:dyDescent="0.2">
      <c r="A647" s="30" t="s">
        <v>9279</v>
      </c>
      <c r="B647" s="26" t="str">
        <f t="shared" si="10"/>
        <v>601326</v>
      </c>
      <c r="C647" s="30" t="s">
        <v>1322</v>
      </c>
      <c r="D647" s="31">
        <v>3.17</v>
      </c>
      <c r="E647" s="31">
        <v>0.64</v>
      </c>
      <c r="F647" s="31">
        <v>15081462000</v>
      </c>
    </row>
    <row r="648" spans="1:6" ht="15" thickBot="1" x14ac:dyDescent="0.2">
      <c r="A648" s="30" t="s">
        <v>9280</v>
      </c>
      <c r="B648" s="26" t="str">
        <f t="shared" si="10"/>
        <v>000050</v>
      </c>
      <c r="C648" s="30" t="s">
        <v>1306</v>
      </c>
      <c r="D648" s="31">
        <v>6.13</v>
      </c>
      <c r="E648" s="31">
        <v>-3.92</v>
      </c>
      <c r="F648" s="31">
        <v>15065818000</v>
      </c>
    </row>
    <row r="649" spans="1:6" ht="15" thickBot="1" x14ac:dyDescent="0.2">
      <c r="A649" s="30" t="s">
        <v>9281</v>
      </c>
      <c r="B649" s="26" t="str">
        <f t="shared" si="10"/>
        <v>300017</v>
      </c>
      <c r="C649" s="30" t="s">
        <v>1316</v>
      </c>
      <c r="D649" s="31">
        <v>6.55</v>
      </c>
      <c r="E649" s="31">
        <v>0.31</v>
      </c>
      <c r="F649" s="31">
        <v>14955091000</v>
      </c>
    </row>
    <row r="650" spans="1:6" ht="15" thickBot="1" x14ac:dyDescent="0.2">
      <c r="A650" s="30" t="s">
        <v>9282</v>
      </c>
      <c r="B650" s="26" t="str">
        <f t="shared" si="10"/>
        <v>688728</v>
      </c>
      <c r="C650" s="30" t="s">
        <v>790</v>
      </c>
      <c r="D650" s="31">
        <v>10.32</v>
      </c>
      <c r="E650" s="31">
        <v>-0.48</v>
      </c>
      <c r="F650" s="31">
        <v>14952516000</v>
      </c>
    </row>
    <row r="651" spans="1:6" ht="15" thickBot="1" x14ac:dyDescent="0.2">
      <c r="A651" s="30" t="s">
        <v>9283</v>
      </c>
      <c r="B651" s="26" t="str">
        <f t="shared" si="10"/>
        <v>000528</v>
      </c>
      <c r="C651" s="30" t="s">
        <v>1105</v>
      </c>
      <c r="D651" s="31">
        <v>10.35</v>
      </c>
      <c r="E651" s="31">
        <v>1.67</v>
      </c>
      <c r="F651" s="31">
        <v>14911145000</v>
      </c>
    </row>
    <row r="652" spans="1:6" ht="15" thickBot="1" x14ac:dyDescent="0.2">
      <c r="A652" s="30" t="s">
        <v>9284</v>
      </c>
      <c r="B652" s="26" t="str">
        <f t="shared" si="10"/>
        <v>688506</v>
      </c>
      <c r="C652" s="30" t="s">
        <v>9285</v>
      </c>
      <c r="D652" s="31">
        <v>164.53</v>
      </c>
      <c r="E652" s="31">
        <v>-1.22</v>
      </c>
      <c r="F652" s="31">
        <v>14881901000</v>
      </c>
    </row>
    <row r="653" spans="1:6" ht="15" thickBot="1" x14ac:dyDescent="0.2">
      <c r="A653" s="30" t="s">
        <v>9286</v>
      </c>
      <c r="B653" s="26" t="str">
        <f t="shared" si="10"/>
        <v>000403</v>
      </c>
      <c r="C653" s="30" t="s">
        <v>1259</v>
      </c>
      <c r="D653" s="31">
        <v>21.83</v>
      </c>
      <c r="E653" s="31">
        <v>0.51</v>
      </c>
      <c r="F653" s="31">
        <v>14879656000</v>
      </c>
    </row>
    <row r="654" spans="1:6" ht="15" thickBot="1" x14ac:dyDescent="0.2">
      <c r="A654" s="30" t="s">
        <v>9287</v>
      </c>
      <c r="B654" s="26" t="str">
        <f t="shared" si="10"/>
        <v>600316</v>
      </c>
      <c r="C654" s="30" t="s">
        <v>1460</v>
      </c>
      <c r="D654" s="31">
        <v>20.74</v>
      </c>
      <c r="E654" s="31">
        <v>-0.28999999999999998</v>
      </c>
      <c r="F654" s="31">
        <v>14872955000</v>
      </c>
    </row>
    <row r="655" spans="1:6" ht="15" thickBot="1" x14ac:dyDescent="0.2">
      <c r="A655" s="30" t="s">
        <v>9288</v>
      </c>
      <c r="B655" s="26" t="str">
        <f t="shared" si="10"/>
        <v>600528</v>
      </c>
      <c r="C655" s="30" t="s">
        <v>1476</v>
      </c>
      <c r="D655" s="31">
        <v>6.69</v>
      </c>
      <c r="E655" s="31">
        <v>0.45</v>
      </c>
      <c r="F655" s="31">
        <v>14862180000</v>
      </c>
    </row>
    <row r="656" spans="1:6" ht="15" thickBot="1" x14ac:dyDescent="0.2">
      <c r="A656" s="30" t="s">
        <v>9289</v>
      </c>
      <c r="B656" s="26" t="str">
        <f t="shared" si="10"/>
        <v>600166</v>
      </c>
      <c r="C656" s="30" t="s">
        <v>1200</v>
      </c>
      <c r="D656" s="31">
        <v>2.2599999999999998</v>
      </c>
      <c r="E656" s="31">
        <v>-0.88</v>
      </c>
      <c r="F656" s="31">
        <v>14859934000</v>
      </c>
    </row>
    <row r="657" spans="1:6" ht="15" thickBot="1" x14ac:dyDescent="0.2">
      <c r="A657" s="30" t="s">
        <v>9290</v>
      </c>
      <c r="B657" s="26" t="str">
        <f t="shared" si="10"/>
        <v>000060</v>
      </c>
      <c r="C657" s="30" t="s">
        <v>1470</v>
      </c>
      <c r="D657" s="31">
        <v>3.97</v>
      </c>
      <c r="E657" s="31">
        <v>0</v>
      </c>
      <c r="F657" s="31">
        <v>14837096000</v>
      </c>
    </row>
    <row r="658" spans="1:6" ht="15" thickBot="1" x14ac:dyDescent="0.2">
      <c r="A658" s="30" t="s">
        <v>9291</v>
      </c>
      <c r="B658" s="26" t="str">
        <f t="shared" si="10"/>
        <v>603225</v>
      </c>
      <c r="C658" s="30" t="s">
        <v>1447</v>
      </c>
      <c r="D658" s="31">
        <v>9.73</v>
      </c>
      <c r="E658" s="31">
        <v>-0.1</v>
      </c>
      <c r="F658" s="31">
        <v>14835956000</v>
      </c>
    </row>
    <row r="659" spans="1:6" ht="15" thickBot="1" x14ac:dyDescent="0.2">
      <c r="A659" s="30" t="s">
        <v>9292</v>
      </c>
      <c r="B659" s="26" t="str">
        <f t="shared" si="10"/>
        <v>300003</v>
      </c>
      <c r="C659" s="30" t="s">
        <v>1231</v>
      </c>
      <c r="D659" s="31">
        <v>9.18</v>
      </c>
      <c r="E659" s="31">
        <v>-0.76</v>
      </c>
      <c r="F659" s="31">
        <v>14835779000</v>
      </c>
    </row>
    <row r="660" spans="1:6" ht="15" thickBot="1" x14ac:dyDescent="0.2">
      <c r="A660" s="30" t="s">
        <v>9293</v>
      </c>
      <c r="B660" s="26" t="str">
        <f t="shared" si="10"/>
        <v>835185</v>
      </c>
      <c r="C660" s="30" t="s">
        <v>1432</v>
      </c>
      <c r="D660" s="31">
        <v>13.49</v>
      </c>
      <c r="E660" s="31">
        <v>-2.88</v>
      </c>
      <c r="F660" s="31">
        <v>14830079000</v>
      </c>
    </row>
    <row r="661" spans="1:6" ht="15" thickBot="1" x14ac:dyDescent="0.2">
      <c r="A661" s="30" t="s">
        <v>9294</v>
      </c>
      <c r="B661" s="26" t="str">
        <f t="shared" si="10"/>
        <v>000636</v>
      </c>
      <c r="C661" s="30" t="s">
        <v>1426</v>
      </c>
      <c r="D661" s="31">
        <v>12.81</v>
      </c>
      <c r="E661" s="31">
        <v>-0.85</v>
      </c>
      <c r="F661" s="31">
        <v>14821339000</v>
      </c>
    </row>
    <row r="662" spans="1:6" ht="15" thickBot="1" x14ac:dyDescent="0.2">
      <c r="A662" s="30" t="s">
        <v>9295</v>
      </c>
      <c r="B662" s="26" t="str">
        <f t="shared" si="10"/>
        <v>688050</v>
      </c>
      <c r="C662" s="30" t="s">
        <v>1468</v>
      </c>
      <c r="D662" s="31">
        <v>78.08</v>
      </c>
      <c r="E662" s="31">
        <v>-3.57</v>
      </c>
      <c r="F662" s="31">
        <v>14799637000</v>
      </c>
    </row>
    <row r="663" spans="1:6" ht="15" thickBot="1" x14ac:dyDescent="0.2">
      <c r="A663" s="30" t="s">
        <v>9296</v>
      </c>
      <c r="B663" s="26" t="str">
        <f t="shared" si="10"/>
        <v>600559</v>
      </c>
      <c r="C663" s="30" t="s">
        <v>1414</v>
      </c>
      <c r="D663" s="31">
        <v>16.350000000000001</v>
      </c>
      <c r="E663" s="31">
        <v>0.62</v>
      </c>
      <c r="F663" s="31">
        <v>14784838000</v>
      </c>
    </row>
    <row r="664" spans="1:6" ht="15" thickBot="1" x14ac:dyDescent="0.2">
      <c r="A664" s="30" t="s">
        <v>9297</v>
      </c>
      <c r="B664" s="26" t="str">
        <f t="shared" si="10"/>
        <v>002850</v>
      </c>
      <c r="C664" s="30" t="s">
        <v>987</v>
      </c>
      <c r="D664" s="31">
        <v>76.59</v>
      </c>
      <c r="E664" s="31">
        <v>-0.91</v>
      </c>
      <c r="F664" s="31">
        <v>14773790000</v>
      </c>
    </row>
    <row r="665" spans="1:6" ht="15" thickBot="1" x14ac:dyDescent="0.2">
      <c r="A665" s="30" t="s">
        <v>9298</v>
      </c>
      <c r="B665" s="26" t="str">
        <f t="shared" si="10"/>
        <v>603565</v>
      </c>
      <c r="C665" s="30" t="s">
        <v>1518</v>
      </c>
      <c r="D665" s="31">
        <v>7.03</v>
      </c>
      <c r="E665" s="31">
        <v>1.01</v>
      </c>
      <c r="F665" s="31">
        <v>14763444000</v>
      </c>
    </row>
    <row r="666" spans="1:6" ht="15" thickBot="1" x14ac:dyDescent="0.2">
      <c r="A666" s="30" t="s">
        <v>9299</v>
      </c>
      <c r="B666" s="26" t="str">
        <f t="shared" si="10"/>
        <v>300012</v>
      </c>
      <c r="C666" s="30" t="s">
        <v>1241</v>
      </c>
      <c r="D666" s="31">
        <v>10.31</v>
      </c>
      <c r="E666" s="31">
        <v>-0.1</v>
      </c>
      <c r="F666" s="31">
        <v>14761545000</v>
      </c>
    </row>
    <row r="667" spans="1:6" ht="15" thickBot="1" x14ac:dyDescent="0.2">
      <c r="A667" s="30" t="s">
        <v>9300</v>
      </c>
      <c r="B667" s="26" t="str">
        <f t="shared" si="10"/>
        <v>002157</v>
      </c>
      <c r="C667" s="30" t="s">
        <v>893</v>
      </c>
      <c r="D667" s="31">
        <v>2.4700000000000002</v>
      </c>
      <c r="E667" s="31">
        <v>-0.8</v>
      </c>
      <c r="F667" s="31">
        <v>14749533000</v>
      </c>
    </row>
    <row r="668" spans="1:6" ht="15" thickBot="1" x14ac:dyDescent="0.2">
      <c r="A668" s="30" t="s">
        <v>9301</v>
      </c>
      <c r="B668" s="26" t="str">
        <f t="shared" si="10"/>
        <v>688469</v>
      </c>
      <c r="C668" s="30" t="s">
        <v>9302</v>
      </c>
      <c r="D668" s="31">
        <v>3.35</v>
      </c>
      <c r="E668" s="31">
        <v>-0.89</v>
      </c>
      <c r="F668" s="31">
        <v>14726466000</v>
      </c>
    </row>
    <row r="669" spans="1:6" ht="15" thickBot="1" x14ac:dyDescent="0.2">
      <c r="A669" s="30" t="s">
        <v>9303</v>
      </c>
      <c r="B669" s="26" t="str">
        <f t="shared" si="10"/>
        <v>603728</v>
      </c>
      <c r="C669" s="30" t="s">
        <v>1434</v>
      </c>
      <c r="D669" s="31">
        <v>35.08</v>
      </c>
      <c r="E669" s="31">
        <v>0.83</v>
      </c>
      <c r="F669" s="31">
        <v>14694398000</v>
      </c>
    </row>
    <row r="670" spans="1:6" ht="15" thickBot="1" x14ac:dyDescent="0.2">
      <c r="A670" s="30" t="s">
        <v>9304</v>
      </c>
      <c r="B670" s="26" t="str">
        <f t="shared" si="10"/>
        <v>603868</v>
      </c>
      <c r="C670" s="30" t="s">
        <v>1522</v>
      </c>
      <c r="D670" s="31">
        <v>33.72</v>
      </c>
      <c r="E670" s="31">
        <v>3.88</v>
      </c>
      <c r="F670" s="31">
        <v>14688432000</v>
      </c>
    </row>
    <row r="671" spans="1:6" ht="15" thickBot="1" x14ac:dyDescent="0.2">
      <c r="A671" s="30" t="s">
        <v>9305</v>
      </c>
      <c r="B671" s="26" t="str">
        <f t="shared" si="10"/>
        <v>002261</v>
      </c>
      <c r="C671" s="30" t="s">
        <v>1474</v>
      </c>
      <c r="D671" s="31">
        <v>13.02</v>
      </c>
      <c r="E671" s="31">
        <v>6.37</v>
      </c>
      <c r="F671" s="31">
        <v>14678368000</v>
      </c>
    </row>
    <row r="672" spans="1:6" ht="15" thickBot="1" x14ac:dyDescent="0.2">
      <c r="A672" s="30" t="s">
        <v>9306</v>
      </c>
      <c r="B672" s="26" t="str">
        <f t="shared" si="10"/>
        <v>603737</v>
      </c>
      <c r="C672" s="30" t="s">
        <v>1524</v>
      </c>
      <c r="D672" s="31">
        <v>27.8</v>
      </c>
      <c r="E672" s="31">
        <v>3.46</v>
      </c>
      <c r="F672" s="31">
        <v>14650947000</v>
      </c>
    </row>
    <row r="673" spans="1:6" ht="15" thickBot="1" x14ac:dyDescent="0.2">
      <c r="A673" s="30" t="s">
        <v>9307</v>
      </c>
      <c r="B673" s="26" t="str">
        <f t="shared" si="10"/>
        <v>300395</v>
      </c>
      <c r="C673" s="30" t="s">
        <v>1359</v>
      </c>
      <c r="D673" s="31">
        <v>28.62</v>
      </c>
      <c r="E673" s="31">
        <v>0.18</v>
      </c>
      <c r="F673" s="31">
        <v>14632420000</v>
      </c>
    </row>
    <row r="674" spans="1:6" ht="15" thickBot="1" x14ac:dyDescent="0.2">
      <c r="A674" s="30" t="s">
        <v>9308</v>
      </c>
      <c r="B674" s="26" t="str">
        <f t="shared" si="10"/>
        <v>600216</v>
      </c>
      <c r="C674" s="30" t="s">
        <v>1556</v>
      </c>
      <c r="D674" s="31">
        <v>15.16</v>
      </c>
      <c r="E674" s="31">
        <v>1.47</v>
      </c>
      <c r="F674" s="31">
        <v>14578363000</v>
      </c>
    </row>
    <row r="675" spans="1:6" ht="15" thickBot="1" x14ac:dyDescent="0.2">
      <c r="A675" s="30" t="s">
        <v>9309</v>
      </c>
      <c r="B675" s="26" t="str">
        <f t="shared" si="10"/>
        <v>300136</v>
      </c>
      <c r="C675" s="30" t="s">
        <v>1290</v>
      </c>
      <c r="D675" s="31">
        <v>17.68</v>
      </c>
      <c r="E675" s="31">
        <v>1.49</v>
      </c>
      <c r="F675" s="31">
        <v>14578361000</v>
      </c>
    </row>
    <row r="676" spans="1:6" ht="15" thickBot="1" x14ac:dyDescent="0.2">
      <c r="A676" s="30" t="s">
        <v>9310</v>
      </c>
      <c r="B676" s="26" t="str">
        <f t="shared" si="10"/>
        <v>002670</v>
      </c>
      <c r="C676" s="30" t="s">
        <v>1269</v>
      </c>
      <c r="D676" s="31">
        <v>8.98</v>
      </c>
      <c r="E676" s="31">
        <v>4.66</v>
      </c>
      <c r="F676" s="31">
        <v>14577689000</v>
      </c>
    </row>
    <row r="677" spans="1:6" ht="15" thickBot="1" x14ac:dyDescent="0.2">
      <c r="A677" s="30" t="s">
        <v>9311</v>
      </c>
      <c r="B677" s="26" t="str">
        <f t="shared" si="10"/>
        <v>603077</v>
      </c>
      <c r="C677" s="30" t="s">
        <v>1472</v>
      </c>
      <c r="D677" s="31">
        <v>1.65</v>
      </c>
      <c r="E677" s="31">
        <v>-1.79</v>
      </c>
      <c r="F677" s="31">
        <v>14571563000</v>
      </c>
    </row>
    <row r="678" spans="1:6" ht="15" thickBot="1" x14ac:dyDescent="0.2">
      <c r="A678" s="30" t="s">
        <v>9312</v>
      </c>
      <c r="B678" s="26" t="str">
        <f t="shared" si="10"/>
        <v>601222</v>
      </c>
      <c r="C678" s="30" t="s">
        <v>1544</v>
      </c>
      <c r="D678" s="31">
        <v>7.06</v>
      </c>
      <c r="E678" s="31">
        <v>0.28000000000000003</v>
      </c>
      <c r="F678" s="31">
        <v>14544794000</v>
      </c>
    </row>
    <row r="679" spans="1:6" ht="15" thickBot="1" x14ac:dyDescent="0.2">
      <c r="A679" s="30" t="s">
        <v>9313</v>
      </c>
      <c r="B679" s="26" t="str">
        <f t="shared" si="10"/>
        <v>601568</v>
      </c>
      <c r="C679" s="30" t="s">
        <v>1499</v>
      </c>
      <c r="D679" s="31">
        <v>3.66</v>
      </c>
      <c r="E679" s="31">
        <v>0</v>
      </c>
      <c r="F679" s="31">
        <v>14538333000</v>
      </c>
    </row>
    <row r="680" spans="1:6" ht="15" thickBot="1" x14ac:dyDescent="0.2">
      <c r="A680" s="30" t="s">
        <v>9314</v>
      </c>
      <c r="B680" s="26" t="str">
        <f t="shared" si="10"/>
        <v>688520</v>
      </c>
      <c r="C680" s="30" t="s">
        <v>1466</v>
      </c>
      <c r="D680" s="31">
        <v>32.6</v>
      </c>
      <c r="E680" s="31">
        <v>0.96</v>
      </c>
      <c r="F680" s="31">
        <v>14517944000</v>
      </c>
    </row>
    <row r="681" spans="1:6" ht="15" thickBot="1" x14ac:dyDescent="0.2">
      <c r="A681" s="30" t="s">
        <v>9315</v>
      </c>
      <c r="B681" s="26" t="str">
        <f t="shared" si="10"/>
        <v>000537</v>
      </c>
      <c r="C681" s="30" t="s">
        <v>1330</v>
      </c>
      <c r="D681" s="31">
        <v>7.79</v>
      </c>
      <c r="E681" s="31">
        <v>-1.64</v>
      </c>
      <c r="F681" s="31">
        <v>14509036000</v>
      </c>
    </row>
    <row r="682" spans="1:6" ht="15" thickBot="1" x14ac:dyDescent="0.2">
      <c r="A682" s="30" t="s">
        <v>9316</v>
      </c>
      <c r="B682" s="26" t="str">
        <f t="shared" si="10"/>
        <v>000158</v>
      </c>
      <c r="C682" s="30" t="s">
        <v>1672</v>
      </c>
      <c r="D682" s="31">
        <v>9.1300000000000008</v>
      </c>
      <c r="E682" s="31">
        <v>10</v>
      </c>
      <c r="F682" s="31">
        <v>14496786000</v>
      </c>
    </row>
    <row r="683" spans="1:6" ht="15" thickBot="1" x14ac:dyDescent="0.2">
      <c r="A683" s="30" t="s">
        <v>9317</v>
      </c>
      <c r="B683" s="26" t="str">
        <f t="shared" si="10"/>
        <v>601608</v>
      </c>
      <c r="C683" s="30" t="s">
        <v>1416</v>
      </c>
      <c r="D683" s="31">
        <v>3.34</v>
      </c>
      <c r="E683" s="31">
        <v>-0.3</v>
      </c>
      <c r="F683" s="31">
        <v>14493660000</v>
      </c>
    </row>
    <row r="684" spans="1:6" ht="15" thickBot="1" x14ac:dyDescent="0.2">
      <c r="A684" s="30" t="s">
        <v>9318</v>
      </c>
      <c r="B684" s="26" t="str">
        <f t="shared" si="10"/>
        <v>000429</v>
      </c>
      <c r="C684" s="30" t="s">
        <v>995</v>
      </c>
      <c r="D684" s="31">
        <v>11.12</v>
      </c>
      <c r="E684" s="31">
        <v>-1.77</v>
      </c>
      <c r="F684" s="31">
        <v>14493029000</v>
      </c>
    </row>
    <row r="685" spans="1:6" ht="15" thickBot="1" x14ac:dyDescent="0.2">
      <c r="A685" s="30" t="s">
        <v>9319</v>
      </c>
      <c r="B685" s="26" t="str">
        <f t="shared" si="10"/>
        <v>000591</v>
      </c>
      <c r="C685" s="30" t="s">
        <v>1375</v>
      </c>
      <c r="D685" s="31">
        <v>4.0199999999999996</v>
      </c>
      <c r="E685" s="31">
        <v>-0.25</v>
      </c>
      <c r="F685" s="31">
        <v>14465632000</v>
      </c>
    </row>
    <row r="686" spans="1:6" ht="15" thickBot="1" x14ac:dyDescent="0.2">
      <c r="A686" s="30" t="s">
        <v>9320</v>
      </c>
      <c r="B686" s="26" t="str">
        <f t="shared" si="10"/>
        <v>000898</v>
      </c>
      <c r="C686" s="30" t="s">
        <v>1351</v>
      </c>
      <c r="D686" s="31">
        <v>1.81</v>
      </c>
      <c r="E686" s="31">
        <v>-1.63</v>
      </c>
      <c r="F686" s="31">
        <v>14402664000</v>
      </c>
    </row>
    <row r="687" spans="1:6" ht="15" thickBot="1" x14ac:dyDescent="0.2">
      <c r="A687" s="30" t="s">
        <v>9321</v>
      </c>
      <c r="B687" s="26" t="str">
        <f t="shared" si="10"/>
        <v>601126</v>
      </c>
      <c r="C687" s="30" t="s">
        <v>1579</v>
      </c>
      <c r="D687" s="31">
        <v>17.71</v>
      </c>
      <c r="E687" s="31">
        <v>4.7300000000000004</v>
      </c>
      <c r="F687" s="31">
        <v>14401276000</v>
      </c>
    </row>
    <row r="688" spans="1:6" ht="15" thickBot="1" x14ac:dyDescent="0.2">
      <c r="A688" s="30" t="s">
        <v>9322</v>
      </c>
      <c r="B688" s="26" t="str">
        <f t="shared" si="10"/>
        <v>603766</v>
      </c>
      <c r="C688" s="30" t="s">
        <v>1575</v>
      </c>
      <c r="D688" s="31">
        <v>7.01</v>
      </c>
      <c r="E688" s="31">
        <v>1.89</v>
      </c>
      <c r="F688" s="31">
        <v>14395328000</v>
      </c>
    </row>
    <row r="689" spans="1:6" ht="15" thickBot="1" x14ac:dyDescent="0.2">
      <c r="A689" s="30" t="s">
        <v>9323</v>
      </c>
      <c r="B689" s="26" t="str">
        <f t="shared" si="10"/>
        <v>300751</v>
      </c>
      <c r="C689" s="30" t="s">
        <v>993</v>
      </c>
      <c r="D689" s="31">
        <v>74.16</v>
      </c>
      <c r="E689" s="31">
        <v>-1.67</v>
      </c>
      <c r="F689" s="31">
        <v>14335259000</v>
      </c>
    </row>
    <row r="690" spans="1:6" ht="15" thickBot="1" x14ac:dyDescent="0.2">
      <c r="A690" s="30" t="s">
        <v>9324</v>
      </c>
      <c r="B690" s="26" t="str">
        <f t="shared" si="10"/>
        <v>600956</v>
      </c>
      <c r="C690" s="30" t="s">
        <v>1057</v>
      </c>
      <c r="D690" s="31">
        <v>6.62</v>
      </c>
      <c r="E690" s="31">
        <v>0.3</v>
      </c>
      <c r="F690" s="31">
        <v>14334971000</v>
      </c>
    </row>
    <row r="691" spans="1:6" ht="15" thickBot="1" x14ac:dyDescent="0.2">
      <c r="A691" s="30" t="s">
        <v>9325</v>
      </c>
      <c r="B691" s="26" t="str">
        <f t="shared" si="10"/>
        <v>600056</v>
      </c>
      <c r="C691" s="30" t="s">
        <v>1482</v>
      </c>
      <c r="D691" s="31">
        <v>9.58</v>
      </c>
      <c r="E691" s="31">
        <v>-1.24</v>
      </c>
      <c r="F691" s="31">
        <v>14325467000</v>
      </c>
    </row>
    <row r="692" spans="1:6" ht="15" thickBot="1" x14ac:dyDescent="0.2">
      <c r="A692" s="30" t="s">
        <v>9326</v>
      </c>
      <c r="B692" s="26" t="str">
        <f t="shared" si="10"/>
        <v>002410</v>
      </c>
      <c r="C692" s="30" t="s">
        <v>1386</v>
      </c>
      <c r="D692" s="31">
        <v>9.01</v>
      </c>
      <c r="E692" s="31">
        <v>-0.55000000000000004</v>
      </c>
      <c r="F692" s="31">
        <v>14311206000</v>
      </c>
    </row>
    <row r="693" spans="1:6" ht="15" thickBot="1" x14ac:dyDescent="0.2">
      <c r="A693" s="30" t="s">
        <v>9327</v>
      </c>
      <c r="B693" s="26" t="str">
        <f t="shared" si="10"/>
        <v>601156</v>
      </c>
      <c r="C693" s="30" t="s">
        <v>867</v>
      </c>
      <c r="D693" s="31">
        <v>15.15</v>
      </c>
      <c r="E693" s="31">
        <v>-5.25</v>
      </c>
      <c r="F693" s="31">
        <v>14310623000</v>
      </c>
    </row>
    <row r="694" spans="1:6" ht="15" thickBot="1" x14ac:dyDescent="0.2">
      <c r="A694" s="30" t="s">
        <v>9328</v>
      </c>
      <c r="B694" s="26" t="str">
        <f t="shared" si="10"/>
        <v>000682</v>
      </c>
      <c r="C694" s="30" t="s">
        <v>1581</v>
      </c>
      <c r="D694" s="31">
        <v>10.65</v>
      </c>
      <c r="E694" s="31">
        <v>3.2</v>
      </c>
      <c r="F694" s="31">
        <v>14277333000</v>
      </c>
    </row>
    <row r="695" spans="1:6" ht="15" thickBot="1" x14ac:dyDescent="0.2">
      <c r="A695" s="30" t="s">
        <v>9329</v>
      </c>
      <c r="B695" s="26" t="str">
        <f t="shared" si="10"/>
        <v>000563</v>
      </c>
      <c r="C695" s="30" t="s">
        <v>1577</v>
      </c>
      <c r="D695" s="31">
        <v>2.78</v>
      </c>
      <c r="E695" s="31">
        <v>0.36</v>
      </c>
      <c r="F695" s="31">
        <v>14216838000</v>
      </c>
    </row>
    <row r="696" spans="1:6" ht="15" thickBot="1" x14ac:dyDescent="0.2">
      <c r="A696" s="30" t="s">
        <v>9330</v>
      </c>
      <c r="B696" s="26" t="str">
        <f t="shared" si="10"/>
        <v>600548</v>
      </c>
      <c r="C696" s="30" t="s">
        <v>1233</v>
      </c>
      <c r="D696" s="31">
        <v>9.91</v>
      </c>
      <c r="E696" s="31">
        <v>0.71</v>
      </c>
      <c r="F696" s="31">
        <v>14203709000</v>
      </c>
    </row>
    <row r="697" spans="1:6" ht="15" thickBot="1" x14ac:dyDescent="0.2">
      <c r="A697" s="30" t="s">
        <v>9331</v>
      </c>
      <c r="B697" s="26" t="str">
        <f t="shared" si="10"/>
        <v>600867</v>
      </c>
      <c r="C697" s="30" t="s">
        <v>1487</v>
      </c>
      <c r="D697" s="31">
        <v>7.13</v>
      </c>
      <c r="E697" s="31">
        <v>-1.1100000000000001</v>
      </c>
      <c r="F697" s="31">
        <v>14129764000</v>
      </c>
    </row>
    <row r="698" spans="1:6" ht="15" thickBot="1" x14ac:dyDescent="0.2">
      <c r="A698" s="30" t="s">
        <v>9332</v>
      </c>
      <c r="B698" s="26" t="str">
        <f t="shared" si="10"/>
        <v>300676</v>
      </c>
      <c r="C698" s="30" t="s">
        <v>1526</v>
      </c>
      <c r="D698" s="31">
        <v>34.159999999999997</v>
      </c>
      <c r="E698" s="31">
        <v>-0.7</v>
      </c>
      <c r="F698" s="31">
        <v>14091688000</v>
      </c>
    </row>
    <row r="699" spans="1:6" ht="15" thickBot="1" x14ac:dyDescent="0.2">
      <c r="A699" s="30" t="s">
        <v>9333</v>
      </c>
      <c r="B699" s="26" t="str">
        <f t="shared" si="10"/>
        <v>600072</v>
      </c>
      <c r="C699" s="30" t="s">
        <v>1187</v>
      </c>
      <c r="D699" s="31">
        <v>12.99</v>
      </c>
      <c r="E699" s="31">
        <v>-2.48</v>
      </c>
      <c r="F699" s="31">
        <v>14072552000</v>
      </c>
    </row>
    <row r="700" spans="1:6" ht="15" thickBot="1" x14ac:dyDescent="0.2">
      <c r="A700" s="30" t="s">
        <v>9334</v>
      </c>
      <c r="B700" s="26" t="str">
        <f t="shared" si="10"/>
        <v>601677</v>
      </c>
      <c r="C700" s="30" t="s">
        <v>1491</v>
      </c>
      <c r="D700" s="31">
        <v>11.79</v>
      </c>
      <c r="E700" s="31">
        <v>0.77</v>
      </c>
      <c r="F700" s="31">
        <v>14059481000</v>
      </c>
    </row>
    <row r="701" spans="1:6" ht="15" thickBot="1" x14ac:dyDescent="0.2">
      <c r="A701" s="30" t="s">
        <v>9335</v>
      </c>
      <c r="B701" s="26" t="str">
        <f t="shared" si="10"/>
        <v>601702</v>
      </c>
      <c r="C701" s="30" t="s">
        <v>1552</v>
      </c>
      <c r="D701" s="31">
        <v>14.05</v>
      </c>
      <c r="E701" s="31">
        <v>-0.14000000000000001</v>
      </c>
      <c r="F701" s="31">
        <v>14029355000</v>
      </c>
    </row>
    <row r="702" spans="1:6" ht="15" thickBot="1" x14ac:dyDescent="0.2">
      <c r="A702" s="30" t="s">
        <v>9336</v>
      </c>
      <c r="B702" s="26" t="str">
        <f t="shared" si="10"/>
        <v>000627</v>
      </c>
      <c r="C702" s="30" t="s">
        <v>9337</v>
      </c>
      <c r="D702" s="31">
        <v>3.07</v>
      </c>
      <c r="E702" s="31">
        <v>-9.9700000000000006</v>
      </c>
      <c r="F702" s="31">
        <v>13976188000</v>
      </c>
    </row>
    <row r="703" spans="1:6" ht="15" thickBot="1" x14ac:dyDescent="0.2">
      <c r="A703" s="30" t="s">
        <v>9338</v>
      </c>
      <c r="B703" s="26" t="str">
        <f t="shared" si="10"/>
        <v>300383</v>
      </c>
      <c r="C703" s="30" t="s">
        <v>1560</v>
      </c>
      <c r="D703" s="31">
        <v>7.79</v>
      </c>
      <c r="E703" s="31">
        <v>-0.13</v>
      </c>
      <c r="F703" s="31">
        <v>13973256000</v>
      </c>
    </row>
    <row r="704" spans="1:6" ht="15" thickBot="1" x14ac:dyDescent="0.2">
      <c r="A704" s="30" t="s">
        <v>9339</v>
      </c>
      <c r="B704" s="26" t="str">
        <f t="shared" si="10"/>
        <v>688213</v>
      </c>
      <c r="C704" s="30" t="s">
        <v>9340</v>
      </c>
      <c r="D704" s="31">
        <v>43.47</v>
      </c>
      <c r="E704" s="31">
        <v>-1.1599999999999999</v>
      </c>
      <c r="F704" s="31">
        <v>13963116000</v>
      </c>
    </row>
    <row r="705" spans="1:6" ht="15" thickBot="1" x14ac:dyDescent="0.2">
      <c r="A705" s="30" t="s">
        <v>9341</v>
      </c>
      <c r="B705" s="26" t="str">
        <f t="shared" si="10"/>
        <v>300346</v>
      </c>
      <c r="C705" s="30" t="s">
        <v>1503</v>
      </c>
      <c r="D705" s="31">
        <v>27.17</v>
      </c>
      <c r="E705" s="31">
        <v>4.62</v>
      </c>
      <c r="F705" s="31">
        <v>13947860000</v>
      </c>
    </row>
    <row r="706" spans="1:6" ht="15" thickBot="1" x14ac:dyDescent="0.2">
      <c r="A706" s="30" t="s">
        <v>9342</v>
      </c>
      <c r="B706" s="26" t="str">
        <f t="shared" si="10"/>
        <v>688183</v>
      </c>
      <c r="C706" s="30" t="s">
        <v>1550</v>
      </c>
      <c r="D706" s="31">
        <v>16.760000000000002</v>
      </c>
      <c r="E706" s="31">
        <v>-5.2</v>
      </c>
      <c r="F706" s="31">
        <v>13941323000</v>
      </c>
    </row>
    <row r="707" spans="1:6" ht="15" thickBot="1" x14ac:dyDescent="0.2">
      <c r="A707" s="30" t="s">
        <v>9343</v>
      </c>
      <c r="B707" s="26" t="str">
        <f t="shared" ref="B707:B770" si="11">LEFT(A707,6)</f>
        <v>300803</v>
      </c>
      <c r="C707" s="30" t="s">
        <v>1562</v>
      </c>
      <c r="D707" s="31">
        <v>34.479999999999997</v>
      </c>
      <c r="E707" s="31">
        <v>1.41</v>
      </c>
      <c r="F707" s="31">
        <v>13936820000</v>
      </c>
    </row>
    <row r="708" spans="1:6" ht="15" thickBot="1" x14ac:dyDescent="0.2">
      <c r="A708" s="30" t="s">
        <v>9344</v>
      </c>
      <c r="B708" s="26" t="str">
        <f t="shared" si="11"/>
        <v>603699</v>
      </c>
      <c r="C708" s="30" t="s">
        <v>1540</v>
      </c>
      <c r="D708" s="31">
        <v>18.59</v>
      </c>
      <c r="E708" s="31">
        <v>-0.48</v>
      </c>
      <c r="F708" s="31">
        <v>13925063000</v>
      </c>
    </row>
    <row r="709" spans="1:6" ht="15" thickBot="1" x14ac:dyDescent="0.2">
      <c r="A709" s="30" t="s">
        <v>9345</v>
      </c>
      <c r="B709" s="26" t="str">
        <f t="shared" si="11"/>
        <v>300024</v>
      </c>
      <c r="C709" s="30" t="s">
        <v>1513</v>
      </c>
      <c r="D709" s="31">
        <v>9.11</v>
      </c>
      <c r="E709" s="31">
        <v>-0.76</v>
      </c>
      <c r="F709" s="31">
        <v>13874779000</v>
      </c>
    </row>
    <row r="710" spans="1:6" ht="15" thickBot="1" x14ac:dyDescent="0.2">
      <c r="A710" s="30" t="s">
        <v>9346</v>
      </c>
      <c r="B710" s="26" t="str">
        <f t="shared" si="11"/>
        <v>600171</v>
      </c>
      <c r="C710" s="30" t="s">
        <v>1445</v>
      </c>
      <c r="D710" s="31">
        <v>19.559999999999999</v>
      </c>
      <c r="E710" s="31">
        <v>-0.96</v>
      </c>
      <c r="F710" s="31">
        <v>13866540000</v>
      </c>
    </row>
    <row r="711" spans="1:6" ht="15" thickBot="1" x14ac:dyDescent="0.2">
      <c r="A711" s="30" t="s">
        <v>9347</v>
      </c>
      <c r="B711" s="26" t="str">
        <f t="shared" si="11"/>
        <v>000927</v>
      </c>
      <c r="C711" s="30" t="s">
        <v>1602</v>
      </c>
      <c r="D711" s="31">
        <v>2.29</v>
      </c>
      <c r="E711" s="31">
        <v>-0.44</v>
      </c>
      <c r="F711" s="31">
        <v>13855303000</v>
      </c>
    </row>
    <row r="712" spans="1:6" ht="15" thickBot="1" x14ac:dyDescent="0.2">
      <c r="A712" s="30" t="s">
        <v>9348</v>
      </c>
      <c r="B712" s="26" t="str">
        <f t="shared" si="11"/>
        <v>600155</v>
      </c>
      <c r="C712" s="30" t="s">
        <v>9349</v>
      </c>
      <c r="D712" s="31">
        <v>6.12</v>
      </c>
      <c r="E712" s="31">
        <v>0.99</v>
      </c>
      <c r="F712" s="31">
        <v>13839913000</v>
      </c>
    </row>
    <row r="713" spans="1:6" ht="15" thickBot="1" x14ac:dyDescent="0.2">
      <c r="A713" s="30" t="s">
        <v>9350</v>
      </c>
      <c r="B713" s="26" t="str">
        <f t="shared" si="11"/>
        <v>603505</v>
      </c>
      <c r="C713" s="30" t="s">
        <v>1583</v>
      </c>
      <c r="D713" s="31">
        <v>22.88</v>
      </c>
      <c r="E713" s="31">
        <v>0</v>
      </c>
      <c r="F713" s="31">
        <v>13837189000</v>
      </c>
    </row>
    <row r="714" spans="1:6" ht="15" thickBot="1" x14ac:dyDescent="0.2">
      <c r="A714" s="30" t="s">
        <v>9351</v>
      </c>
      <c r="B714" s="26" t="str">
        <f t="shared" si="11"/>
        <v>603444</v>
      </c>
      <c r="C714" s="30" t="s">
        <v>1462</v>
      </c>
      <c r="D714" s="31">
        <v>190.99</v>
      </c>
      <c r="E714" s="31">
        <v>1.92</v>
      </c>
      <c r="F714" s="31">
        <v>13759130000</v>
      </c>
    </row>
    <row r="715" spans="1:6" ht="15" thickBot="1" x14ac:dyDescent="0.2">
      <c r="A715" s="30" t="s">
        <v>9352</v>
      </c>
      <c r="B715" s="26" t="str">
        <f t="shared" si="11"/>
        <v>688019</v>
      </c>
      <c r="C715" s="30" t="s">
        <v>1600</v>
      </c>
      <c r="D715" s="31">
        <v>106.38</v>
      </c>
      <c r="E715" s="31">
        <v>2.4900000000000002</v>
      </c>
      <c r="F715" s="31">
        <v>13745708000</v>
      </c>
    </row>
    <row r="716" spans="1:6" ht="15" thickBot="1" x14ac:dyDescent="0.2">
      <c r="A716" s="30" t="s">
        <v>9353</v>
      </c>
      <c r="B716" s="26" t="str">
        <f t="shared" si="11"/>
        <v>603613</v>
      </c>
      <c r="C716" s="30" t="s">
        <v>1591</v>
      </c>
      <c r="D716" s="31">
        <v>19.07</v>
      </c>
      <c r="E716" s="31">
        <v>0.57999999999999996</v>
      </c>
      <c r="F716" s="31">
        <v>13740656000</v>
      </c>
    </row>
    <row r="717" spans="1:6" ht="15" thickBot="1" x14ac:dyDescent="0.2">
      <c r="A717" s="30" t="s">
        <v>9354</v>
      </c>
      <c r="B717" s="26" t="str">
        <f t="shared" si="11"/>
        <v>603997</v>
      </c>
      <c r="C717" s="30" t="s">
        <v>1439</v>
      </c>
      <c r="D717" s="31">
        <v>11.74</v>
      </c>
      <c r="E717" s="31">
        <v>0.86</v>
      </c>
      <c r="F717" s="31">
        <v>13689735000</v>
      </c>
    </row>
    <row r="718" spans="1:6" ht="15" thickBot="1" x14ac:dyDescent="0.2">
      <c r="A718" s="30" t="s">
        <v>9355</v>
      </c>
      <c r="B718" s="26" t="str">
        <f t="shared" si="11"/>
        <v>603233</v>
      </c>
      <c r="C718" s="30" t="s">
        <v>1497</v>
      </c>
      <c r="D718" s="31">
        <v>12.01</v>
      </c>
      <c r="E718" s="31">
        <v>-1.23</v>
      </c>
      <c r="F718" s="31">
        <v>13677561000</v>
      </c>
    </row>
    <row r="719" spans="1:6" ht="15" thickBot="1" x14ac:dyDescent="0.2">
      <c r="A719" s="30" t="s">
        <v>9356</v>
      </c>
      <c r="B719" s="26" t="str">
        <f t="shared" si="11"/>
        <v>000686</v>
      </c>
      <c r="C719" s="30" t="s">
        <v>9357</v>
      </c>
      <c r="D719" s="31">
        <v>5.84</v>
      </c>
      <c r="E719" s="31">
        <v>0.17</v>
      </c>
      <c r="F719" s="31">
        <v>13668245000</v>
      </c>
    </row>
    <row r="720" spans="1:6" ht="15" thickBot="1" x14ac:dyDescent="0.2">
      <c r="A720" s="30" t="s">
        <v>9358</v>
      </c>
      <c r="B720" s="26" t="str">
        <f t="shared" si="11"/>
        <v>300054</v>
      </c>
      <c r="C720" s="30" t="s">
        <v>1222</v>
      </c>
      <c r="D720" s="31">
        <v>18.760000000000002</v>
      </c>
      <c r="E720" s="31">
        <v>0.48</v>
      </c>
      <c r="F720" s="31">
        <v>13660553000</v>
      </c>
    </row>
    <row r="721" spans="1:6" ht="15" thickBot="1" x14ac:dyDescent="0.2">
      <c r="A721" s="30" t="s">
        <v>9359</v>
      </c>
      <c r="B721" s="26" t="str">
        <f t="shared" si="11"/>
        <v>600801</v>
      </c>
      <c r="C721" s="30" t="s">
        <v>1204</v>
      </c>
      <c r="D721" s="31">
        <v>10.16</v>
      </c>
      <c r="E721" s="31">
        <v>0.59</v>
      </c>
      <c r="F721" s="31">
        <v>13657841000</v>
      </c>
    </row>
    <row r="722" spans="1:6" ht="15" thickBot="1" x14ac:dyDescent="0.2">
      <c r="A722" s="30" t="s">
        <v>9360</v>
      </c>
      <c r="B722" s="26" t="str">
        <f t="shared" si="11"/>
        <v>002507</v>
      </c>
      <c r="C722" s="30" t="s">
        <v>1554</v>
      </c>
      <c r="D722" s="31">
        <v>11.88</v>
      </c>
      <c r="E722" s="31">
        <v>0.94</v>
      </c>
      <c r="F722" s="31">
        <v>13649104000</v>
      </c>
    </row>
    <row r="723" spans="1:6" ht="15" thickBot="1" x14ac:dyDescent="0.2">
      <c r="A723" s="30" t="s">
        <v>9361</v>
      </c>
      <c r="B723" s="26" t="str">
        <f t="shared" si="11"/>
        <v>600452</v>
      </c>
      <c r="C723" s="30" t="s">
        <v>1622</v>
      </c>
      <c r="D723" s="31">
        <v>8.8699999999999992</v>
      </c>
      <c r="E723" s="31">
        <v>-1.1200000000000001</v>
      </c>
      <c r="F723" s="31">
        <v>13629124000</v>
      </c>
    </row>
    <row r="724" spans="1:6" ht="15" thickBot="1" x14ac:dyDescent="0.2">
      <c r="A724" s="30" t="s">
        <v>9362</v>
      </c>
      <c r="B724" s="26" t="str">
        <f t="shared" si="11"/>
        <v>605589</v>
      </c>
      <c r="C724" s="30" t="s">
        <v>1430</v>
      </c>
      <c r="D724" s="31">
        <v>17.41</v>
      </c>
      <c r="E724" s="31">
        <v>0.17</v>
      </c>
      <c r="F724" s="31">
        <v>13543775000</v>
      </c>
    </row>
    <row r="725" spans="1:6" ht="15" thickBot="1" x14ac:dyDescent="0.2">
      <c r="A725" s="30" t="s">
        <v>9363</v>
      </c>
      <c r="B725" s="26" t="str">
        <f t="shared" si="11"/>
        <v>002837</v>
      </c>
      <c r="C725" s="30" t="s">
        <v>1451</v>
      </c>
      <c r="D725" s="31">
        <v>21.06</v>
      </c>
      <c r="E725" s="31">
        <v>4.5199999999999996</v>
      </c>
      <c r="F725" s="31">
        <v>13528341000</v>
      </c>
    </row>
    <row r="726" spans="1:6" ht="15" thickBot="1" x14ac:dyDescent="0.2">
      <c r="A726" s="30" t="s">
        <v>9364</v>
      </c>
      <c r="B726" s="26" t="str">
        <f t="shared" si="11"/>
        <v>688676</v>
      </c>
      <c r="C726" s="30" t="s">
        <v>1573</v>
      </c>
      <c r="D726" s="31">
        <v>29.55</v>
      </c>
      <c r="E726" s="31">
        <v>2.14</v>
      </c>
      <c r="F726" s="31">
        <v>13517381000</v>
      </c>
    </row>
    <row r="727" spans="1:6" ht="15" thickBot="1" x14ac:dyDescent="0.2">
      <c r="A727" s="30" t="s">
        <v>9365</v>
      </c>
      <c r="B727" s="26" t="str">
        <f t="shared" si="11"/>
        <v>600325</v>
      </c>
      <c r="C727" s="30" t="s">
        <v>1529</v>
      </c>
      <c r="D727" s="31">
        <v>5.25</v>
      </c>
      <c r="E727" s="31">
        <v>0.96</v>
      </c>
      <c r="F727" s="31">
        <v>13499013000</v>
      </c>
    </row>
    <row r="728" spans="1:6" ht="15" thickBot="1" x14ac:dyDescent="0.2">
      <c r="A728" s="30" t="s">
        <v>9366</v>
      </c>
      <c r="B728" s="26" t="str">
        <f t="shared" si="11"/>
        <v>601975</v>
      </c>
      <c r="C728" s="30" t="s">
        <v>1652</v>
      </c>
      <c r="D728" s="31">
        <v>2.81</v>
      </c>
      <c r="E728" s="31">
        <v>1.08</v>
      </c>
      <c r="F728" s="31">
        <v>13493216000</v>
      </c>
    </row>
    <row r="729" spans="1:6" ht="15" thickBot="1" x14ac:dyDescent="0.2">
      <c r="A729" s="30" t="s">
        <v>9367</v>
      </c>
      <c r="B729" s="26" t="str">
        <f t="shared" si="11"/>
        <v>300999</v>
      </c>
      <c r="C729" s="30" t="s">
        <v>124</v>
      </c>
      <c r="D729" s="31">
        <v>24.86</v>
      </c>
      <c r="E729" s="31">
        <v>-1.35</v>
      </c>
      <c r="F729" s="31">
        <v>13490207000</v>
      </c>
    </row>
    <row r="730" spans="1:6" ht="15" thickBot="1" x14ac:dyDescent="0.2">
      <c r="A730" s="30" t="s">
        <v>9368</v>
      </c>
      <c r="B730" s="26" t="str">
        <f t="shared" si="11"/>
        <v>688408</v>
      </c>
      <c r="C730" s="30" t="s">
        <v>1634</v>
      </c>
      <c r="D730" s="31">
        <v>66.64</v>
      </c>
      <c r="E730" s="31">
        <v>1.43</v>
      </c>
      <c r="F730" s="31">
        <v>13486914000</v>
      </c>
    </row>
    <row r="731" spans="1:6" ht="15" thickBot="1" x14ac:dyDescent="0.2">
      <c r="A731" s="30" t="s">
        <v>9369</v>
      </c>
      <c r="B731" s="26" t="str">
        <f t="shared" si="11"/>
        <v>002130</v>
      </c>
      <c r="C731" s="30" t="s">
        <v>1520</v>
      </c>
      <c r="D731" s="31">
        <v>10.79</v>
      </c>
      <c r="E731" s="31">
        <v>-0.74</v>
      </c>
      <c r="F731" s="31">
        <v>13478319000</v>
      </c>
    </row>
    <row r="732" spans="1:6" ht="15" thickBot="1" x14ac:dyDescent="0.2">
      <c r="A732" s="30" t="s">
        <v>9370</v>
      </c>
      <c r="B732" s="26" t="str">
        <f t="shared" si="11"/>
        <v>000902</v>
      </c>
      <c r="C732" s="30" t="s">
        <v>1423</v>
      </c>
      <c r="D732" s="31">
        <v>11.79</v>
      </c>
      <c r="E732" s="31">
        <v>-1.91</v>
      </c>
      <c r="F732" s="31">
        <v>13473403000</v>
      </c>
    </row>
    <row r="733" spans="1:6" ht="15" thickBot="1" x14ac:dyDescent="0.2">
      <c r="A733" s="30" t="s">
        <v>9371</v>
      </c>
      <c r="B733" s="26" t="str">
        <f t="shared" si="11"/>
        <v>600420</v>
      </c>
      <c r="C733" s="30" t="s">
        <v>1604</v>
      </c>
      <c r="D733" s="31">
        <v>10.029999999999999</v>
      </c>
      <c r="E733" s="31">
        <v>-0.5</v>
      </c>
      <c r="F733" s="31">
        <v>13451962000</v>
      </c>
    </row>
    <row r="734" spans="1:6" ht="15" thickBot="1" x14ac:dyDescent="0.2">
      <c r="A734" s="30" t="s">
        <v>9372</v>
      </c>
      <c r="B734" s="26" t="str">
        <f t="shared" si="11"/>
        <v>600392</v>
      </c>
      <c r="C734" s="30" t="s">
        <v>1589</v>
      </c>
      <c r="D734" s="31">
        <v>7.67</v>
      </c>
      <c r="E734" s="31">
        <v>-0.26</v>
      </c>
      <c r="F734" s="31">
        <v>13444180000</v>
      </c>
    </row>
    <row r="735" spans="1:6" ht="15" thickBot="1" x14ac:dyDescent="0.2">
      <c r="A735" s="30" t="s">
        <v>9373</v>
      </c>
      <c r="B735" s="26" t="str">
        <f t="shared" si="11"/>
        <v>000785</v>
      </c>
      <c r="C735" s="30" t="s">
        <v>1505</v>
      </c>
      <c r="D735" s="31">
        <v>2.25</v>
      </c>
      <c r="E735" s="31">
        <v>-1.32</v>
      </c>
      <c r="F735" s="31">
        <v>13407381800</v>
      </c>
    </row>
    <row r="736" spans="1:6" ht="15" thickBot="1" x14ac:dyDescent="0.2">
      <c r="A736" s="30" t="s">
        <v>9374</v>
      </c>
      <c r="B736" s="26" t="str">
        <f t="shared" si="11"/>
        <v>600959</v>
      </c>
      <c r="C736" s="30" t="s">
        <v>1628</v>
      </c>
      <c r="D736" s="31">
        <v>2.68</v>
      </c>
      <c r="E736" s="31">
        <v>-1.83</v>
      </c>
      <c r="F736" s="31">
        <v>13401923400</v>
      </c>
    </row>
    <row r="737" spans="1:6" ht="15" thickBot="1" x14ac:dyDescent="0.2">
      <c r="A737" s="30" t="s">
        <v>9375</v>
      </c>
      <c r="B737" s="26" t="str">
        <f t="shared" si="11"/>
        <v>000581</v>
      </c>
      <c r="C737" s="30" t="s">
        <v>1455</v>
      </c>
      <c r="D737" s="31">
        <v>16.239999999999998</v>
      </c>
      <c r="E737" s="31">
        <v>2.4</v>
      </c>
      <c r="F737" s="31">
        <v>13378513900</v>
      </c>
    </row>
    <row r="738" spans="1:6" ht="15" thickBot="1" x14ac:dyDescent="0.2">
      <c r="A738" s="30" t="s">
        <v>9376</v>
      </c>
      <c r="B738" s="26" t="str">
        <f t="shared" si="11"/>
        <v>002683</v>
      </c>
      <c r="C738" s="30" t="s">
        <v>1418</v>
      </c>
      <c r="D738" s="31">
        <v>20.25</v>
      </c>
      <c r="E738" s="31">
        <v>1.76</v>
      </c>
      <c r="F738" s="31">
        <v>13372800100</v>
      </c>
    </row>
    <row r="739" spans="1:6" ht="15" thickBot="1" x14ac:dyDescent="0.2">
      <c r="A739" s="30" t="s">
        <v>9377</v>
      </c>
      <c r="B739" s="26" t="str">
        <f t="shared" si="11"/>
        <v>600435</v>
      </c>
      <c r="C739" s="30" t="s">
        <v>1731</v>
      </c>
      <c r="D739" s="31">
        <v>8.9</v>
      </c>
      <c r="E739" s="31">
        <v>4.22</v>
      </c>
      <c r="F739" s="31">
        <v>13369771100</v>
      </c>
    </row>
    <row r="740" spans="1:6" ht="15" thickBot="1" x14ac:dyDescent="0.2">
      <c r="A740" s="30" t="s">
        <v>9378</v>
      </c>
      <c r="B740" s="26" t="str">
        <f t="shared" si="11"/>
        <v>600702</v>
      </c>
      <c r="C740" s="30" t="s">
        <v>1558</v>
      </c>
      <c r="D740" s="31">
        <v>40.18</v>
      </c>
      <c r="E740" s="31">
        <v>-0.94</v>
      </c>
      <c r="F740" s="31">
        <v>13350590200</v>
      </c>
    </row>
    <row r="741" spans="1:6" ht="15" thickBot="1" x14ac:dyDescent="0.2">
      <c r="A741" s="30" t="s">
        <v>9379</v>
      </c>
      <c r="B741" s="26" t="str">
        <f t="shared" si="11"/>
        <v>600499</v>
      </c>
      <c r="C741" s="30" t="s">
        <v>1598</v>
      </c>
      <c r="D741" s="31">
        <v>6.96</v>
      </c>
      <c r="E741" s="31">
        <v>-1.56</v>
      </c>
      <c r="F741" s="31">
        <v>13348280500</v>
      </c>
    </row>
    <row r="742" spans="1:6" ht="15" thickBot="1" x14ac:dyDescent="0.2">
      <c r="A742" s="30" t="s">
        <v>9380</v>
      </c>
      <c r="B742" s="26" t="str">
        <f t="shared" si="11"/>
        <v>688198</v>
      </c>
      <c r="C742" s="30" t="s">
        <v>1658</v>
      </c>
      <c r="D742" s="31">
        <v>97.07</v>
      </c>
      <c r="E742" s="31">
        <v>1.04</v>
      </c>
      <c r="F742" s="31">
        <v>13336947000</v>
      </c>
    </row>
    <row r="743" spans="1:6" ht="15" thickBot="1" x14ac:dyDescent="0.2">
      <c r="A743" s="30" t="s">
        <v>9381</v>
      </c>
      <c r="B743" s="26" t="str">
        <f t="shared" si="11"/>
        <v>000069</v>
      </c>
      <c r="C743" s="30" t="s">
        <v>1412</v>
      </c>
      <c r="D743" s="31">
        <v>1.93</v>
      </c>
      <c r="E743" s="31">
        <v>1.05</v>
      </c>
      <c r="F743" s="31">
        <v>13306603900</v>
      </c>
    </row>
    <row r="744" spans="1:6" ht="15" thickBot="1" x14ac:dyDescent="0.2">
      <c r="A744" s="30" t="s">
        <v>9382</v>
      </c>
      <c r="B744" s="26" t="str">
        <f t="shared" si="11"/>
        <v>000766</v>
      </c>
      <c r="C744" s="30" t="s">
        <v>1624</v>
      </c>
      <c r="D744" s="31">
        <v>13.77</v>
      </c>
      <c r="E744" s="31">
        <v>1.47</v>
      </c>
      <c r="F744" s="31">
        <v>13301925800</v>
      </c>
    </row>
    <row r="745" spans="1:6" ht="15" thickBot="1" x14ac:dyDescent="0.2">
      <c r="A745" s="30" t="s">
        <v>9383</v>
      </c>
      <c r="B745" s="26" t="str">
        <f t="shared" si="11"/>
        <v>002299</v>
      </c>
      <c r="C745" s="30" t="s">
        <v>1587</v>
      </c>
      <c r="D745" s="31">
        <v>10.68</v>
      </c>
      <c r="E745" s="31">
        <v>-0.84</v>
      </c>
      <c r="F745" s="31">
        <v>13278782800</v>
      </c>
    </row>
    <row r="746" spans="1:6" ht="15" thickBot="1" x14ac:dyDescent="0.2">
      <c r="A746" s="30" t="s">
        <v>9384</v>
      </c>
      <c r="B746" s="26" t="str">
        <f t="shared" si="11"/>
        <v>002624</v>
      </c>
      <c r="C746" s="30" t="s">
        <v>1516</v>
      </c>
      <c r="D746" s="31">
        <v>7.26</v>
      </c>
      <c r="E746" s="31">
        <v>-0.68</v>
      </c>
      <c r="F746" s="31">
        <v>13266599200</v>
      </c>
    </row>
    <row r="747" spans="1:6" ht="15" thickBot="1" x14ac:dyDescent="0.2">
      <c r="A747" s="30" t="s">
        <v>9385</v>
      </c>
      <c r="B747" s="26" t="str">
        <f t="shared" si="11"/>
        <v>300604</v>
      </c>
      <c r="C747" s="30" t="s">
        <v>1216</v>
      </c>
      <c r="D747" s="31">
        <v>28.18</v>
      </c>
      <c r="E747" s="31">
        <v>0.72</v>
      </c>
      <c r="F747" s="31">
        <v>13263149600</v>
      </c>
    </row>
    <row r="748" spans="1:6" ht="15" thickBot="1" x14ac:dyDescent="0.2">
      <c r="A748" s="30" t="s">
        <v>9386</v>
      </c>
      <c r="B748" s="26" t="str">
        <f t="shared" si="11"/>
        <v>601858</v>
      </c>
      <c r="C748" s="30" t="s">
        <v>1626</v>
      </c>
      <c r="D748" s="31">
        <v>16.73</v>
      </c>
      <c r="E748" s="31">
        <v>-0.42</v>
      </c>
      <c r="F748" s="31">
        <v>13225065000</v>
      </c>
    </row>
    <row r="749" spans="1:6" ht="15" thickBot="1" x14ac:dyDescent="0.2">
      <c r="A749" s="30" t="s">
        <v>9387</v>
      </c>
      <c r="B749" s="26" t="str">
        <f t="shared" si="11"/>
        <v>603927</v>
      </c>
      <c r="C749" s="30" t="s">
        <v>1664</v>
      </c>
      <c r="D749" s="31">
        <v>15.91</v>
      </c>
      <c r="E749" s="31">
        <v>0.56999999999999995</v>
      </c>
      <c r="F749" s="31">
        <v>13221846400</v>
      </c>
    </row>
    <row r="750" spans="1:6" ht="15" thickBot="1" x14ac:dyDescent="0.2">
      <c r="A750" s="30" t="s">
        <v>9388</v>
      </c>
      <c r="B750" s="26" t="str">
        <f t="shared" si="11"/>
        <v>002266</v>
      </c>
      <c r="C750" s="30" t="s">
        <v>1536</v>
      </c>
      <c r="D750" s="31">
        <v>2.7</v>
      </c>
      <c r="E750" s="31">
        <v>-2.17</v>
      </c>
      <c r="F750" s="31">
        <v>13221362800</v>
      </c>
    </row>
    <row r="751" spans="1:6" ht="15" thickBot="1" x14ac:dyDescent="0.2">
      <c r="A751" s="30" t="s">
        <v>9389</v>
      </c>
      <c r="B751" s="26" t="str">
        <f t="shared" si="11"/>
        <v>600580</v>
      </c>
      <c r="C751" s="30" t="s">
        <v>1630</v>
      </c>
      <c r="D751" s="31">
        <v>10.08</v>
      </c>
      <c r="E751" s="31">
        <v>0.8</v>
      </c>
      <c r="F751" s="31">
        <v>13187574600</v>
      </c>
    </row>
    <row r="752" spans="1:6" ht="15" thickBot="1" x14ac:dyDescent="0.2">
      <c r="A752" s="30" t="s">
        <v>9390</v>
      </c>
      <c r="B752" s="26" t="str">
        <f t="shared" si="11"/>
        <v>300294</v>
      </c>
      <c r="C752" s="30" t="s">
        <v>1302</v>
      </c>
      <c r="D752" s="31">
        <v>30.86</v>
      </c>
      <c r="E752" s="31">
        <v>1.18</v>
      </c>
      <c r="F752" s="31">
        <v>13144513400</v>
      </c>
    </row>
    <row r="753" spans="1:6" ht="15" thickBot="1" x14ac:dyDescent="0.2">
      <c r="A753" s="30" t="s">
        <v>9391</v>
      </c>
      <c r="B753" s="26" t="str">
        <f t="shared" si="11"/>
        <v>002065</v>
      </c>
      <c r="C753" s="30" t="s">
        <v>1509</v>
      </c>
      <c r="D753" s="31">
        <v>4.5</v>
      </c>
      <c r="E753" s="31">
        <v>-0.66</v>
      </c>
      <c r="F753" s="31">
        <v>13085647400</v>
      </c>
    </row>
    <row r="754" spans="1:6" ht="15" thickBot="1" x14ac:dyDescent="0.2">
      <c r="A754" s="30" t="s">
        <v>9392</v>
      </c>
      <c r="B754" s="26" t="str">
        <f t="shared" si="11"/>
        <v>601827</v>
      </c>
      <c r="C754" s="30" t="s">
        <v>1687</v>
      </c>
      <c r="D754" s="31">
        <v>7.78</v>
      </c>
      <c r="E754" s="31">
        <v>0.26</v>
      </c>
      <c r="F754" s="31">
        <v>13056925000</v>
      </c>
    </row>
    <row r="755" spans="1:6" ht="15" thickBot="1" x14ac:dyDescent="0.2">
      <c r="A755" s="30" t="s">
        <v>9393</v>
      </c>
      <c r="B755" s="26" t="str">
        <f t="shared" si="11"/>
        <v>600500</v>
      </c>
      <c r="C755" s="30" t="s">
        <v>1681</v>
      </c>
      <c r="D755" s="31">
        <v>3.64</v>
      </c>
      <c r="E755" s="31">
        <v>-0.27</v>
      </c>
      <c r="F755" s="31">
        <v>13055670800</v>
      </c>
    </row>
    <row r="756" spans="1:6" ht="15" thickBot="1" x14ac:dyDescent="0.2">
      <c r="A756" s="30" t="s">
        <v>9394</v>
      </c>
      <c r="B756" s="26" t="str">
        <f t="shared" si="11"/>
        <v>000034</v>
      </c>
      <c r="C756" s="30" t="s">
        <v>1326</v>
      </c>
      <c r="D756" s="31">
        <v>23.65</v>
      </c>
      <c r="E756" s="31">
        <v>-1.29</v>
      </c>
      <c r="F756" s="31">
        <v>13019554700</v>
      </c>
    </row>
    <row r="757" spans="1:6" ht="15" thickBot="1" x14ac:dyDescent="0.2">
      <c r="A757" s="30" t="s">
        <v>9395</v>
      </c>
      <c r="B757" s="26" t="str">
        <f t="shared" si="11"/>
        <v>600816</v>
      </c>
      <c r="C757" s="30" t="s">
        <v>952</v>
      </c>
      <c r="D757" s="31">
        <v>2.38</v>
      </c>
      <c r="E757" s="31">
        <v>1.28</v>
      </c>
      <c r="F757" s="31">
        <v>13016548200</v>
      </c>
    </row>
    <row r="758" spans="1:6" ht="15" thickBot="1" x14ac:dyDescent="0.2">
      <c r="A758" s="30" t="s">
        <v>9396</v>
      </c>
      <c r="B758" s="26" t="str">
        <f t="shared" si="11"/>
        <v>600928</v>
      </c>
      <c r="C758" s="30" t="s">
        <v>9397</v>
      </c>
      <c r="D758" s="31">
        <v>2.94</v>
      </c>
      <c r="E758" s="31">
        <v>-0.34</v>
      </c>
      <c r="F758" s="31">
        <v>12998461400</v>
      </c>
    </row>
    <row r="759" spans="1:6" ht="15" thickBot="1" x14ac:dyDescent="0.2">
      <c r="A759" s="30" t="s">
        <v>9398</v>
      </c>
      <c r="B759" s="26" t="str">
        <f t="shared" si="11"/>
        <v>600621</v>
      </c>
      <c r="C759" s="30" t="s">
        <v>1648</v>
      </c>
      <c r="D759" s="31">
        <v>12.23</v>
      </c>
      <c r="E759" s="31">
        <v>0.66</v>
      </c>
      <c r="F759" s="31">
        <v>12974798300</v>
      </c>
    </row>
    <row r="760" spans="1:6" ht="15" thickBot="1" x14ac:dyDescent="0.2">
      <c r="A760" s="30" t="s">
        <v>9399</v>
      </c>
      <c r="B760" s="26" t="str">
        <f t="shared" si="11"/>
        <v>300627</v>
      </c>
      <c r="C760" s="30" t="s">
        <v>1377</v>
      </c>
      <c r="D760" s="31">
        <v>28.65</v>
      </c>
      <c r="E760" s="31">
        <v>7.0000000000000007E-2</v>
      </c>
      <c r="F760" s="31">
        <v>12974373200</v>
      </c>
    </row>
    <row r="761" spans="1:6" ht="15" thickBot="1" x14ac:dyDescent="0.2">
      <c r="A761" s="30" t="s">
        <v>9400</v>
      </c>
      <c r="B761" s="26" t="str">
        <f t="shared" si="11"/>
        <v>688385</v>
      </c>
      <c r="C761" s="30" t="s">
        <v>8556</v>
      </c>
      <c r="D761" s="31">
        <v>24.25</v>
      </c>
      <c r="E761" s="31">
        <v>-0.53</v>
      </c>
      <c r="F761" s="31">
        <v>12967212200</v>
      </c>
    </row>
    <row r="762" spans="1:6" ht="15" thickBot="1" x14ac:dyDescent="0.2">
      <c r="A762" s="30" t="s">
        <v>9401</v>
      </c>
      <c r="B762" s="26" t="str">
        <f t="shared" si="11"/>
        <v>002126</v>
      </c>
      <c r="C762" s="30" t="s">
        <v>1585</v>
      </c>
      <c r="D762" s="31">
        <v>16.649999999999999</v>
      </c>
      <c r="E762" s="31">
        <v>1.22</v>
      </c>
      <c r="F762" s="31">
        <v>12957824400</v>
      </c>
    </row>
    <row r="763" spans="1:6" ht="15" thickBot="1" x14ac:dyDescent="0.2">
      <c r="A763" s="30" t="s">
        <v>9402</v>
      </c>
      <c r="B763" s="26" t="str">
        <f t="shared" si="11"/>
        <v>600022</v>
      </c>
      <c r="C763" s="30" t="s">
        <v>1725</v>
      </c>
      <c r="D763" s="31">
        <v>1.21</v>
      </c>
      <c r="E763" s="31">
        <v>-0.82</v>
      </c>
      <c r="F763" s="31">
        <v>12945608000</v>
      </c>
    </row>
    <row r="764" spans="1:6" ht="15" thickBot="1" x14ac:dyDescent="0.2">
      <c r="A764" s="30" t="s">
        <v>9403</v>
      </c>
      <c r="B764" s="26" t="str">
        <f t="shared" si="11"/>
        <v>300442</v>
      </c>
      <c r="C764" s="30" t="s">
        <v>540</v>
      </c>
      <c r="D764" s="31">
        <v>23.26</v>
      </c>
      <c r="E764" s="31">
        <v>0.35</v>
      </c>
      <c r="F764" s="31">
        <v>12891911900</v>
      </c>
    </row>
    <row r="765" spans="1:6" ht="15" thickBot="1" x14ac:dyDescent="0.2">
      <c r="A765" s="30" t="s">
        <v>9404</v>
      </c>
      <c r="B765" s="26" t="str">
        <f t="shared" si="11"/>
        <v>600916</v>
      </c>
      <c r="C765" s="30" t="s">
        <v>1660</v>
      </c>
      <c r="D765" s="31">
        <v>7.66</v>
      </c>
      <c r="E765" s="31">
        <v>-1.42</v>
      </c>
      <c r="F765" s="31">
        <v>12868800000</v>
      </c>
    </row>
    <row r="766" spans="1:6" ht="15" thickBot="1" x14ac:dyDescent="0.2">
      <c r="A766" s="30" t="s">
        <v>9405</v>
      </c>
      <c r="B766" s="26" t="str">
        <f t="shared" si="11"/>
        <v>301039</v>
      </c>
      <c r="C766" s="30" t="s">
        <v>1777</v>
      </c>
      <c r="D766" s="31">
        <v>8.85</v>
      </c>
      <c r="E766" s="31">
        <v>3.75</v>
      </c>
      <c r="F766" s="31">
        <v>12865068000</v>
      </c>
    </row>
    <row r="767" spans="1:6" ht="15" thickBot="1" x14ac:dyDescent="0.2">
      <c r="A767" s="30" t="s">
        <v>9406</v>
      </c>
      <c r="B767" s="26" t="str">
        <f t="shared" si="11"/>
        <v>601952</v>
      </c>
      <c r="C767" s="30" t="s">
        <v>1666</v>
      </c>
      <c r="D767" s="31">
        <v>9.2899999999999991</v>
      </c>
      <c r="E767" s="31">
        <v>-2.31</v>
      </c>
      <c r="F767" s="31">
        <v>12801620000</v>
      </c>
    </row>
    <row r="768" spans="1:6" ht="15" thickBot="1" x14ac:dyDescent="0.2">
      <c r="A768" s="30" t="s">
        <v>9407</v>
      </c>
      <c r="B768" s="26" t="str">
        <f t="shared" si="11"/>
        <v>300487</v>
      </c>
      <c r="C768" s="30" t="s">
        <v>1046</v>
      </c>
      <c r="D768" s="31">
        <v>42.03</v>
      </c>
      <c r="E768" s="31">
        <v>2.79</v>
      </c>
      <c r="F768" s="31">
        <v>12782509600</v>
      </c>
    </row>
    <row r="769" spans="1:6" ht="15" thickBot="1" x14ac:dyDescent="0.2">
      <c r="A769" s="30" t="s">
        <v>9408</v>
      </c>
      <c r="B769" s="26" t="str">
        <f t="shared" si="11"/>
        <v>002003</v>
      </c>
      <c r="C769" s="30" t="s">
        <v>1531</v>
      </c>
      <c r="D769" s="31">
        <v>12.65</v>
      </c>
      <c r="E769" s="31">
        <v>0.96</v>
      </c>
      <c r="F769" s="31">
        <v>12780303100</v>
      </c>
    </row>
    <row r="770" spans="1:6" ht="15" thickBot="1" x14ac:dyDescent="0.2">
      <c r="A770" s="30" t="s">
        <v>9409</v>
      </c>
      <c r="B770" s="26" t="str">
        <f t="shared" si="11"/>
        <v>002389</v>
      </c>
      <c r="C770" s="30" t="s">
        <v>1708</v>
      </c>
      <c r="D770" s="31">
        <v>12.88</v>
      </c>
      <c r="E770" s="31">
        <v>-0.23</v>
      </c>
      <c r="F770" s="31">
        <v>12761802800</v>
      </c>
    </row>
    <row r="771" spans="1:6" ht="15" thickBot="1" x14ac:dyDescent="0.2">
      <c r="A771" s="30" t="s">
        <v>9410</v>
      </c>
      <c r="B771" s="26" t="str">
        <f t="shared" ref="B771:B834" si="12">LEFT(A771,6)</f>
        <v>300529</v>
      </c>
      <c r="C771" s="30" t="s">
        <v>1079</v>
      </c>
      <c r="D771" s="31">
        <v>24.9</v>
      </c>
      <c r="E771" s="31">
        <v>0.48</v>
      </c>
      <c r="F771" s="31">
        <v>12760956200</v>
      </c>
    </row>
    <row r="772" spans="1:6" ht="15" thickBot="1" x14ac:dyDescent="0.2">
      <c r="A772" s="30" t="s">
        <v>9411</v>
      </c>
      <c r="B772" s="26" t="str">
        <f t="shared" si="12"/>
        <v>600859</v>
      </c>
      <c r="C772" s="30" t="s">
        <v>1620</v>
      </c>
      <c r="D772" s="31">
        <v>11.66</v>
      </c>
      <c r="E772" s="31">
        <v>-1.44</v>
      </c>
      <c r="F772" s="31">
        <v>12749854700</v>
      </c>
    </row>
    <row r="773" spans="1:6" ht="15" thickBot="1" x14ac:dyDescent="0.2">
      <c r="A773" s="30" t="s">
        <v>9412</v>
      </c>
      <c r="B773" s="26" t="str">
        <f t="shared" si="12"/>
        <v>600248</v>
      </c>
      <c r="C773" s="30" t="s">
        <v>1741</v>
      </c>
      <c r="D773" s="31">
        <v>3.46</v>
      </c>
      <c r="E773" s="31">
        <v>1.17</v>
      </c>
      <c r="F773" s="31">
        <v>12735195300</v>
      </c>
    </row>
    <row r="774" spans="1:6" ht="15" thickBot="1" x14ac:dyDescent="0.2">
      <c r="A774" s="30" t="s">
        <v>9413</v>
      </c>
      <c r="B774" s="26" t="str">
        <f t="shared" si="12"/>
        <v>002044</v>
      </c>
      <c r="C774" s="30" t="s">
        <v>1656</v>
      </c>
      <c r="D774" s="31">
        <v>3.27</v>
      </c>
      <c r="E774" s="31">
        <v>-1.51</v>
      </c>
      <c r="F774" s="31">
        <v>12662907300</v>
      </c>
    </row>
    <row r="775" spans="1:6" ht="15" thickBot="1" x14ac:dyDescent="0.2">
      <c r="A775" s="30" t="s">
        <v>9414</v>
      </c>
      <c r="B775" s="26" t="str">
        <f t="shared" si="12"/>
        <v>002906</v>
      </c>
      <c r="C775" s="30" t="s">
        <v>1685</v>
      </c>
      <c r="D775" s="31">
        <v>24.11</v>
      </c>
      <c r="E775" s="31">
        <v>0.88</v>
      </c>
      <c r="F775" s="31">
        <v>12644690300</v>
      </c>
    </row>
    <row r="776" spans="1:6" ht="15" thickBot="1" x14ac:dyDescent="0.2">
      <c r="A776" s="30" t="s">
        <v>9415</v>
      </c>
      <c r="B776" s="26" t="str">
        <f t="shared" si="12"/>
        <v>603337</v>
      </c>
      <c r="C776" s="30" t="s">
        <v>1710</v>
      </c>
      <c r="D776" s="31">
        <v>26.71</v>
      </c>
      <c r="E776" s="31">
        <v>0.72</v>
      </c>
      <c r="F776" s="31">
        <v>12635229400</v>
      </c>
    </row>
    <row r="777" spans="1:6" ht="15" thickBot="1" x14ac:dyDescent="0.2">
      <c r="A777" s="30" t="s">
        <v>9416</v>
      </c>
      <c r="B777" s="26" t="str">
        <f t="shared" si="12"/>
        <v>600575</v>
      </c>
      <c r="C777" s="30" t="s">
        <v>1768</v>
      </c>
      <c r="D777" s="31">
        <v>3.25</v>
      </c>
      <c r="E777" s="31">
        <v>0</v>
      </c>
      <c r="F777" s="31">
        <v>12630348500</v>
      </c>
    </row>
    <row r="778" spans="1:6" ht="15" thickBot="1" x14ac:dyDescent="0.2">
      <c r="A778" s="30" t="s">
        <v>9417</v>
      </c>
      <c r="B778" s="26" t="str">
        <f t="shared" si="12"/>
        <v>002385</v>
      </c>
      <c r="C778" s="30" t="s">
        <v>1308</v>
      </c>
      <c r="D778" s="31">
        <v>3.81</v>
      </c>
      <c r="E778" s="31">
        <v>-1.8</v>
      </c>
      <c r="F778" s="31">
        <v>12621310900</v>
      </c>
    </row>
    <row r="779" spans="1:6" ht="15" thickBot="1" x14ac:dyDescent="0.2">
      <c r="A779" s="30" t="s">
        <v>9418</v>
      </c>
      <c r="B779" s="26" t="str">
        <f t="shared" si="12"/>
        <v>601636</v>
      </c>
      <c r="C779" s="30" t="s">
        <v>1704</v>
      </c>
      <c r="D779" s="31">
        <v>4.7</v>
      </c>
      <c r="E779" s="31">
        <v>0.21</v>
      </c>
      <c r="F779" s="31">
        <v>12612517100</v>
      </c>
    </row>
    <row r="780" spans="1:6" ht="15" thickBot="1" x14ac:dyDescent="0.2">
      <c r="A780" s="30" t="s">
        <v>9419</v>
      </c>
      <c r="B780" s="26" t="str">
        <f t="shared" si="12"/>
        <v>688027</v>
      </c>
      <c r="C780" s="30" t="s">
        <v>1795</v>
      </c>
      <c r="D780" s="31">
        <v>156.79</v>
      </c>
      <c r="E780" s="31">
        <v>2.14</v>
      </c>
      <c r="F780" s="31">
        <v>12601897500</v>
      </c>
    </row>
    <row r="781" spans="1:6" ht="15" thickBot="1" x14ac:dyDescent="0.2">
      <c r="A781" s="30" t="s">
        <v>9420</v>
      </c>
      <c r="B781" s="26" t="str">
        <f t="shared" si="12"/>
        <v>603358</v>
      </c>
      <c r="C781" s="30" t="s">
        <v>1717</v>
      </c>
      <c r="D781" s="31">
        <v>28.7</v>
      </c>
      <c r="E781" s="31">
        <v>-0.76</v>
      </c>
      <c r="F781" s="31">
        <v>12600448000</v>
      </c>
    </row>
    <row r="782" spans="1:6" ht="15" thickBot="1" x14ac:dyDescent="0.2">
      <c r="A782" s="30" t="s">
        <v>9421</v>
      </c>
      <c r="B782" s="26" t="str">
        <f t="shared" si="12"/>
        <v>600872</v>
      </c>
      <c r="C782" s="30" t="s">
        <v>1636</v>
      </c>
      <c r="D782" s="31">
        <v>16.329999999999998</v>
      </c>
      <c r="E782" s="31">
        <v>0.49</v>
      </c>
      <c r="F782" s="31">
        <v>12590233200</v>
      </c>
    </row>
    <row r="783" spans="1:6" ht="15" thickBot="1" x14ac:dyDescent="0.2">
      <c r="A783" s="30" t="s">
        <v>9422</v>
      </c>
      <c r="B783" s="26" t="str">
        <f t="shared" si="12"/>
        <v>002557</v>
      </c>
      <c r="C783" s="30" t="s">
        <v>1689</v>
      </c>
      <c r="D783" s="31">
        <v>24.82</v>
      </c>
      <c r="E783" s="31">
        <v>-0.52</v>
      </c>
      <c r="F783" s="31">
        <v>12583705200</v>
      </c>
    </row>
    <row r="784" spans="1:6" ht="15" thickBot="1" x14ac:dyDescent="0.2">
      <c r="A784" s="30" t="s">
        <v>9423</v>
      </c>
      <c r="B784" s="26" t="str">
        <f t="shared" si="12"/>
        <v>688525</v>
      </c>
      <c r="C784" s="30" t="s">
        <v>9424</v>
      </c>
      <c r="D784" s="31">
        <v>41.13</v>
      </c>
      <c r="E784" s="31">
        <v>-0.7</v>
      </c>
      <c r="F784" s="31">
        <v>12564442400</v>
      </c>
    </row>
    <row r="785" spans="1:6" ht="15" thickBot="1" x14ac:dyDescent="0.2">
      <c r="A785" s="30" t="s">
        <v>9425</v>
      </c>
      <c r="B785" s="26" t="str">
        <f t="shared" si="12"/>
        <v>300735</v>
      </c>
      <c r="C785" s="30" t="s">
        <v>1638</v>
      </c>
      <c r="D785" s="31">
        <v>16.55</v>
      </c>
      <c r="E785" s="31">
        <v>-0.18</v>
      </c>
      <c r="F785" s="31">
        <v>12532992700</v>
      </c>
    </row>
    <row r="786" spans="1:6" ht="15" thickBot="1" x14ac:dyDescent="0.2">
      <c r="A786" s="30" t="s">
        <v>9426</v>
      </c>
      <c r="B786" s="26" t="str">
        <f t="shared" si="12"/>
        <v>000997</v>
      </c>
      <c r="C786" s="30" t="s">
        <v>1721</v>
      </c>
      <c r="D786" s="31">
        <v>12.21</v>
      </c>
      <c r="E786" s="31">
        <v>1.5</v>
      </c>
      <c r="F786" s="31">
        <v>12531869700</v>
      </c>
    </row>
    <row r="787" spans="1:6" ht="15" thickBot="1" x14ac:dyDescent="0.2">
      <c r="A787" s="30" t="s">
        <v>9427</v>
      </c>
      <c r="B787" s="26" t="str">
        <f t="shared" si="12"/>
        <v>688234</v>
      </c>
      <c r="C787" s="30" t="s">
        <v>8581</v>
      </c>
      <c r="D787" s="31">
        <v>47.38</v>
      </c>
      <c r="E787" s="31">
        <v>-0.84</v>
      </c>
      <c r="F787" s="31">
        <v>12526102600</v>
      </c>
    </row>
    <row r="788" spans="1:6" ht="15" thickBot="1" x14ac:dyDescent="0.2">
      <c r="A788" s="30" t="s">
        <v>9428</v>
      </c>
      <c r="B788" s="26" t="str">
        <f t="shared" si="12"/>
        <v>601369</v>
      </c>
      <c r="C788" s="30" t="s">
        <v>1715</v>
      </c>
      <c r="D788" s="31">
        <v>7.4</v>
      </c>
      <c r="E788" s="31">
        <v>-0.4</v>
      </c>
      <c r="F788" s="31">
        <v>12512894100</v>
      </c>
    </row>
    <row r="789" spans="1:6" ht="15" thickBot="1" x14ac:dyDescent="0.2">
      <c r="A789" s="30" t="s">
        <v>9429</v>
      </c>
      <c r="B789" s="26" t="str">
        <f t="shared" si="12"/>
        <v>300058</v>
      </c>
      <c r="C789" s="30" t="s">
        <v>1632</v>
      </c>
      <c r="D789" s="31">
        <v>5.18</v>
      </c>
      <c r="E789" s="31">
        <v>-1.33</v>
      </c>
      <c r="F789" s="31">
        <v>12485514200</v>
      </c>
    </row>
    <row r="790" spans="1:6" ht="15" thickBot="1" x14ac:dyDescent="0.2">
      <c r="A790" s="30" t="s">
        <v>9430</v>
      </c>
      <c r="B790" s="26" t="str">
        <f t="shared" si="12"/>
        <v>002145</v>
      </c>
      <c r="C790" s="30" t="s">
        <v>1713</v>
      </c>
      <c r="D790" s="31">
        <v>3.27</v>
      </c>
      <c r="E790" s="31">
        <v>0</v>
      </c>
      <c r="F790" s="31">
        <v>12467090200</v>
      </c>
    </row>
    <row r="791" spans="1:6" ht="15" thickBot="1" x14ac:dyDescent="0.2">
      <c r="A791" s="30" t="s">
        <v>9431</v>
      </c>
      <c r="B791" s="26" t="str">
        <f t="shared" si="12"/>
        <v>603882</v>
      </c>
      <c r="C791" s="30" t="s">
        <v>1644</v>
      </c>
      <c r="D791" s="31">
        <v>26.76</v>
      </c>
      <c r="E791" s="31">
        <v>-3.04</v>
      </c>
      <c r="F791" s="31">
        <v>12460729200</v>
      </c>
    </row>
    <row r="792" spans="1:6" ht="15" thickBot="1" x14ac:dyDescent="0.2">
      <c r="A792" s="30" t="s">
        <v>9432</v>
      </c>
      <c r="B792" s="26" t="str">
        <f t="shared" si="12"/>
        <v>002911</v>
      </c>
      <c r="C792" s="30" t="s">
        <v>1683</v>
      </c>
      <c r="D792" s="31">
        <v>9.98</v>
      </c>
      <c r="E792" s="31">
        <v>2.36</v>
      </c>
      <c r="F792" s="31">
        <v>12454431500</v>
      </c>
    </row>
    <row r="793" spans="1:6" ht="15" thickBot="1" x14ac:dyDescent="0.2">
      <c r="A793" s="30" t="s">
        <v>9433</v>
      </c>
      <c r="B793" s="26" t="str">
        <f t="shared" si="12"/>
        <v>601963</v>
      </c>
      <c r="C793" s="30" t="s">
        <v>9434</v>
      </c>
      <c r="D793" s="31">
        <v>6.63</v>
      </c>
      <c r="E793" s="31">
        <v>0</v>
      </c>
      <c r="F793" s="31">
        <v>12437340700</v>
      </c>
    </row>
    <row r="794" spans="1:6" ht="15" thickBot="1" x14ac:dyDescent="0.2">
      <c r="A794" s="30" t="s">
        <v>9435</v>
      </c>
      <c r="B794" s="26" t="str">
        <f t="shared" si="12"/>
        <v>603638</v>
      </c>
      <c r="C794" s="30" t="s">
        <v>1758</v>
      </c>
      <c r="D794" s="31">
        <v>14.82</v>
      </c>
      <c r="E794" s="31">
        <v>0</v>
      </c>
      <c r="F794" s="31">
        <v>12424124700</v>
      </c>
    </row>
    <row r="795" spans="1:6" ht="15" thickBot="1" x14ac:dyDescent="0.2">
      <c r="A795" s="30" t="s">
        <v>9436</v>
      </c>
      <c r="B795" s="26" t="str">
        <f t="shared" si="12"/>
        <v>002597</v>
      </c>
      <c r="C795" s="30" t="s">
        <v>1668</v>
      </c>
      <c r="D795" s="31">
        <v>21.9</v>
      </c>
      <c r="E795" s="31">
        <v>-2.67</v>
      </c>
      <c r="F795" s="31">
        <v>12410265000</v>
      </c>
    </row>
    <row r="796" spans="1:6" ht="15" thickBot="1" x14ac:dyDescent="0.2">
      <c r="A796" s="30" t="s">
        <v>9437</v>
      </c>
      <c r="B796" s="26" t="str">
        <f t="shared" si="12"/>
        <v>002408</v>
      </c>
      <c r="C796" s="30" t="s">
        <v>1654</v>
      </c>
      <c r="D796" s="31">
        <v>4.51</v>
      </c>
      <c r="E796" s="31">
        <v>-2.17</v>
      </c>
      <c r="F796" s="31">
        <v>12407598800</v>
      </c>
    </row>
    <row r="797" spans="1:6" ht="15" thickBot="1" x14ac:dyDescent="0.2">
      <c r="A797" s="30" t="s">
        <v>9438</v>
      </c>
      <c r="B797" s="26" t="str">
        <f t="shared" si="12"/>
        <v>600258</v>
      </c>
      <c r="C797" s="30" t="s">
        <v>1729</v>
      </c>
      <c r="D797" s="31">
        <v>11.11</v>
      </c>
      <c r="E797" s="31">
        <v>-1.07</v>
      </c>
      <c r="F797" s="31">
        <v>12405460700</v>
      </c>
    </row>
    <row r="798" spans="1:6" ht="15" thickBot="1" x14ac:dyDescent="0.2">
      <c r="A798" s="30" t="s">
        <v>9439</v>
      </c>
      <c r="B798" s="26" t="str">
        <f t="shared" si="12"/>
        <v>603056</v>
      </c>
      <c r="C798" s="30" t="s">
        <v>1706</v>
      </c>
      <c r="D798" s="31">
        <v>12.06</v>
      </c>
      <c r="E798" s="31">
        <v>-0.08</v>
      </c>
      <c r="F798" s="31">
        <v>12385080500</v>
      </c>
    </row>
    <row r="799" spans="1:6" ht="15" thickBot="1" x14ac:dyDescent="0.2">
      <c r="A799" s="30" t="s">
        <v>9440</v>
      </c>
      <c r="B799" s="26" t="str">
        <f t="shared" si="12"/>
        <v>600456</v>
      </c>
      <c r="C799" s="30" t="s">
        <v>1745</v>
      </c>
      <c r="D799" s="31">
        <v>25.87</v>
      </c>
      <c r="E799" s="31">
        <v>-0.46</v>
      </c>
      <c r="F799" s="31">
        <v>12360104900</v>
      </c>
    </row>
    <row r="800" spans="1:6" ht="15" thickBot="1" x14ac:dyDescent="0.2">
      <c r="A800" s="30" t="s">
        <v>9441</v>
      </c>
      <c r="B800" s="26" t="str">
        <f t="shared" si="12"/>
        <v>600116</v>
      </c>
      <c r="C800" s="30" t="s">
        <v>1764</v>
      </c>
      <c r="D800" s="31">
        <v>6.45</v>
      </c>
      <c r="E800" s="31">
        <v>-0.77</v>
      </c>
      <c r="F800" s="31">
        <v>12333321700</v>
      </c>
    </row>
    <row r="801" spans="1:6" ht="15" thickBot="1" x14ac:dyDescent="0.2">
      <c r="A801" s="30" t="s">
        <v>9442</v>
      </c>
      <c r="B801" s="26" t="str">
        <f t="shared" si="12"/>
        <v>600739</v>
      </c>
      <c r="C801" s="30" t="s">
        <v>1806</v>
      </c>
      <c r="D801" s="31">
        <v>8.06</v>
      </c>
      <c r="E801" s="31">
        <v>0.5</v>
      </c>
      <c r="F801" s="31">
        <v>12329461100</v>
      </c>
    </row>
    <row r="802" spans="1:6" ht="15" thickBot="1" x14ac:dyDescent="0.2">
      <c r="A802" s="30" t="s">
        <v>9443</v>
      </c>
      <c r="B802" s="26" t="str">
        <f t="shared" si="12"/>
        <v>688521</v>
      </c>
      <c r="C802" s="30" t="s">
        <v>1646</v>
      </c>
      <c r="D802" s="31">
        <v>25.04</v>
      </c>
      <c r="E802" s="31">
        <v>-0.83</v>
      </c>
      <c r="F802" s="31">
        <v>12328619300</v>
      </c>
    </row>
    <row r="803" spans="1:6" ht="15" thickBot="1" x14ac:dyDescent="0.2">
      <c r="A803" s="30" t="s">
        <v>9444</v>
      </c>
      <c r="B803" s="26" t="str">
        <f t="shared" si="12"/>
        <v>002531</v>
      </c>
      <c r="C803" s="30" t="s">
        <v>1787</v>
      </c>
      <c r="D803" s="31">
        <v>6.89</v>
      </c>
      <c r="E803" s="31">
        <v>0.44</v>
      </c>
      <c r="F803" s="31">
        <v>12311507600</v>
      </c>
    </row>
    <row r="804" spans="1:6" ht="15" thickBot="1" x14ac:dyDescent="0.2">
      <c r="A804" s="30" t="s">
        <v>9445</v>
      </c>
      <c r="B804" s="26" t="str">
        <f t="shared" si="12"/>
        <v>000875</v>
      </c>
      <c r="C804" s="30" t="s">
        <v>1808</v>
      </c>
      <c r="D804" s="31">
        <v>4.41</v>
      </c>
      <c r="E804" s="31">
        <v>0.23</v>
      </c>
      <c r="F804" s="31">
        <v>12303751400</v>
      </c>
    </row>
    <row r="805" spans="1:6" ht="15" thickBot="1" x14ac:dyDescent="0.2">
      <c r="A805" s="30" t="s">
        <v>9446</v>
      </c>
      <c r="B805" s="26" t="str">
        <f t="shared" si="12"/>
        <v>300115</v>
      </c>
      <c r="C805" s="30" t="s">
        <v>1546</v>
      </c>
      <c r="D805" s="31">
        <v>10.23</v>
      </c>
      <c r="E805" s="31">
        <v>-2.11</v>
      </c>
      <c r="F805" s="31">
        <v>12277858200</v>
      </c>
    </row>
    <row r="806" spans="1:6" ht="15" thickBot="1" x14ac:dyDescent="0.2">
      <c r="A806" s="30" t="s">
        <v>9447</v>
      </c>
      <c r="B806" s="26" t="str">
        <f t="shared" si="12"/>
        <v>002436</v>
      </c>
      <c r="C806" s="30" t="s">
        <v>1534</v>
      </c>
      <c r="D806" s="31">
        <v>8.18</v>
      </c>
      <c r="E806" s="31">
        <v>-1.0900000000000001</v>
      </c>
      <c r="F806" s="31">
        <v>12273372100</v>
      </c>
    </row>
    <row r="807" spans="1:6" ht="15" thickBot="1" x14ac:dyDescent="0.2">
      <c r="A807" s="30" t="s">
        <v>9448</v>
      </c>
      <c r="B807" s="26" t="str">
        <f t="shared" si="12"/>
        <v>002756</v>
      </c>
      <c r="C807" s="30" t="s">
        <v>1182</v>
      </c>
      <c r="D807" s="31">
        <v>31.53</v>
      </c>
      <c r="E807" s="31">
        <v>-2.57</v>
      </c>
      <c r="F807" s="31">
        <v>12255524300</v>
      </c>
    </row>
    <row r="808" spans="1:6" ht="15" thickBot="1" x14ac:dyDescent="0.2">
      <c r="A808" s="30" t="s">
        <v>9449</v>
      </c>
      <c r="B808" s="26" t="str">
        <f t="shared" si="12"/>
        <v>300146</v>
      </c>
      <c r="C808" s="30" t="s">
        <v>1197</v>
      </c>
      <c r="D808" s="31">
        <v>10.84</v>
      </c>
      <c r="E808" s="31">
        <v>0.84</v>
      </c>
      <c r="F808" s="31">
        <v>12249059700</v>
      </c>
    </row>
    <row r="809" spans="1:6" ht="15" thickBot="1" x14ac:dyDescent="0.2">
      <c r="A809" s="30" t="s">
        <v>9450</v>
      </c>
      <c r="B809" s="26" t="str">
        <f t="shared" si="12"/>
        <v>600755</v>
      </c>
      <c r="C809" s="30" t="s">
        <v>1791</v>
      </c>
      <c r="D809" s="31">
        <v>5.74</v>
      </c>
      <c r="E809" s="31">
        <v>0.88</v>
      </c>
      <c r="F809" s="31">
        <v>12237330100</v>
      </c>
    </row>
    <row r="810" spans="1:6" ht="15" thickBot="1" x14ac:dyDescent="0.2">
      <c r="A810" s="30" t="s">
        <v>9451</v>
      </c>
      <c r="B810" s="26" t="str">
        <f t="shared" si="12"/>
        <v>600331</v>
      </c>
      <c r="C810" s="30" t="s">
        <v>1893</v>
      </c>
      <c r="D810" s="31">
        <v>6.02</v>
      </c>
      <c r="E810" s="31">
        <v>2.38</v>
      </c>
      <c r="F810" s="31">
        <v>12232640000</v>
      </c>
    </row>
    <row r="811" spans="1:6" ht="15" thickBot="1" x14ac:dyDescent="0.2">
      <c r="A811" s="30" t="s">
        <v>9452</v>
      </c>
      <c r="B811" s="26" t="str">
        <f t="shared" si="12"/>
        <v>605358</v>
      </c>
      <c r="C811" s="30" t="s">
        <v>1737</v>
      </c>
      <c r="D811" s="31">
        <v>18.21</v>
      </c>
      <c r="E811" s="31">
        <v>-0.71</v>
      </c>
      <c r="F811" s="31">
        <v>12225571400</v>
      </c>
    </row>
    <row r="812" spans="1:6" ht="15" thickBot="1" x14ac:dyDescent="0.2">
      <c r="A812" s="30" t="s">
        <v>9453</v>
      </c>
      <c r="B812" s="26" t="str">
        <f t="shared" si="12"/>
        <v>600884</v>
      </c>
      <c r="C812" s="30" t="s">
        <v>1332</v>
      </c>
      <c r="D812" s="31">
        <v>6.95</v>
      </c>
      <c r="E812" s="31">
        <v>-0.56999999999999995</v>
      </c>
      <c r="F812" s="31">
        <v>12212793600</v>
      </c>
    </row>
    <row r="813" spans="1:6" ht="15" thickBot="1" x14ac:dyDescent="0.2">
      <c r="A813" s="30" t="s">
        <v>9454</v>
      </c>
      <c r="B813" s="26" t="str">
        <f t="shared" si="12"/>
        <v>688361</v>
      </c>
      <c r="C813" s="30" t="s">
        <v>9455</v>
      </c>
      <c r="D813" s="31">
        <v>49.97</v>
      </c>
      <c r="E813" s="31">
        <v>0.48</v>
      </c>
      <c r="F813" s="31">
        <v>12200519000</v>
      </c>
    </row>
    <row r="814" spans="1:6" ht="15" thickBot="1" x14ac:dyDescent="0.2">
      <c r="A814" s="30" t="s">
        <v>9456</v>
      </c>
      <c r="B814" s="26" t="str">
        <f t="shared" si="12"/>
        <v>300724</v>
      </c>
      <c r="C814" s="30" t="s">
        <v>1341</v>
      </c>
      <c r="D814" s="31">
        <v>44.36</v>
      </c>
      <c r="E814" s="31">
        <v>-1.53</v>
      </c>
      <c r="F814" s="31">
        <v>12160765800</v>
      </c>
    </row>
    <row r="815" spans="1:6" ht="15" thickBot="1" x14ac:dyDescent="0.2">
      <c r="A815" s="30" t="s">
        <v>9457</v>
      </c>
      <c r="B815" s="26" t="str">
        <f t="shared" si="12"/>
        <v>600120</v>
      </c>
      <c r="C815" s="30" t="s">
        <v>1854</v>
      </c>
      <c r="D815" s="31">
        <v>3.56</v>
      </c>
      <c r="E815" s="31">
        <v>0.85</v>
      </c>
      <c r="F815" s="31">
        <v>12158758100</v>
      </c>
    </row>
    <row r="816" spans="1:6" ht="15" thickBot="1" x14ac:dyDescent="0.2">
      <c r="A816" s="30" t="s">
        <v>9458</v>
      </c>
      <c r="B816" s="26" t="str">
        <f t="shared" si="12"/>
        <v>000089</v>
      </c>
      <c r="C816" s="30" t="s">
        <v>1797</v>
      </c>
      <c r="D816" s="31">
        <v>5.92</v>
      </c>
      <c r="E816" s="31">
        <v>-0.5</v>
      </c>
      <c r="F816" s="31">
        <v>12140395000</v>
      </c>
    </row>
    <row r="817" spans="1:6" ht="15" thickBot="1" x14ac:dyDescent="0.2">
      <c r="A817" s="30" t="s">
        <v>9459</v>
      </c>
      <c r="B817" s="26" t="str">
        <f t="shared" si="12"/>
        <v>600906</v>
      </c>
      <c r="C817" s="30" t="s">
        <v>9460</v>
      </c>
      <c r="D817" s="31">
        <v>5.71</v>
      </c>
      <c r="E817" s="31">
        <v>-0.52</v>
      </c>
      <c r="F817" s="31">
        <v>12129381600</v>
      </c>
    </row>
    <row r="818" spans="1:6" ht="15" thickBot="1" x14ac:dyDescent="0.2">
      <c r="A818" s="30" t="s">
        <v>9461</v>
      </c>
      <c r="B818" s="26" t="str">
        <f t="shared" si="12"/>
        <v>600717</v>
      </c>
      <c r="C818" s="30" t="s">
        <v>1825</v>
      </c>
      <c r="D818" s="31">
        <v>4.1900000000000004</v>
      </c>
      <c r="E818" s="31">
        <v>0.48</v>
      </c>
      <c r="F818" s="31">
        <v>12125864300</v>
      </c>
    </row>
    <row r="819" spans="1:6" ht="15" thickBot="1" x14ac:dyDescent="0.2">
      <c r="A819" s="30" t="s">
        <v>9462</v>
      </c>
      <c r="B819" s="26" t="str">
        <f t="shared" si="12"/>
        <v>600246</v>
      </c>
      <c r="C819" s="30" t="s">
        <v>1843</v>
      </c>
      <c r="D819" s="31">
        <v>6.1</v>
      </c>
      <c r="E819" s="31">
        <v>0.16</v>
      </c>
      <c r="F819" s="31">
        <v>12123030000</v>
      </c>
    </row>
    <row r="820" spans="1:6" ht="15" thickBot="1" x14ac:dyDescent="0.2">
      <c r="A820" s="30" t="s">
        <v>9463</v>
      </c>
      <c r="B820" s="26" t="str">
        <f t="shared" si="12"/>
        <v>601801</v>
      </c>
      <c r="C820" s="30" t="s">
        <v>1694</v>
      </c>
      <c r="D820" s="31">
        <v>6.19</v>
      </c>
      <c r="E820" s="31">
        <v>-0.64</v>
      </c>
      <c r="F820" s="31">
        <v>12119594400</v>
      </c>
    </row>
    <row r="821" spans="1:6" ht="15" thickBot="1" x14ac:dyDescent="0.2">
      <c r="A821" s="30" t="s">
        <v>9464</v>
      </c>
      <c r="B821" s="26" t="str">
        <f t="shared" si="12"/>
        <v>601038</v>
      </c>
      <c r="C821" s="30" t="s">
        <v>1611</v>
      </c>
      <c r="D821" s="31">
        <v>16.54</v>
      </c>
      <c r="E821" s="31">
        <v>1.66</v>
      </c>
      <c r="F821" s="31">
        <v>12102405200</v>
      </c>
    </row>
    <row r="822" spans="1:6" ht="15" thickBot="1" x14ac:dyDescent="0.2">
      <c r="A822" s="30" t="s">
        <v>9465</v>
      </c>
      <c r="B822" s="26" t="str">
        <f t="shared" si="12"/>
        <v>002487</v>
      </c>
      <c r="C822" s="30" t="s">
        <v>1755</v>
      </c>
      <c r="D822" s="31">
        <v>19.18</v>
      </c>
      <c r="E822" s="31">
        <v>1.91</v>
      </c>
      <c r="F822" s="31">
        <v>12101050700</v>
      </c>
    </row>
    <row r="823" spans="1:6" ht="15" thickBot="1" x14ac:dyDescent="0.2">
      <c r="A823" s="30" t="s">
        <v>9466</v>
      </c>
      <c r="B823" s="26" t="str">
        <f t="shared" si="12"/>
        <v>688187</v>
      </c>
      <c r="C823" s="30" t="s">
        <v>410</v>
      </c>
      <c r="D823" s="31">
        <v>43.25</v>
      </c>
      <c r="E823" s="31">
        <v>-1.77</v>
      </c>
      <c r="F823" s="31">
        <v>12080668400</v>
      </c>
    </row>
    <row r="824" spans="1:6" ht="15" thickBot="1" x14ac:dyDescent="0.2">
      <c r="A824" s="30" t="s">
        <v>9467</v>
      </c>
      <c r="B824" s="26" t="str">
        <f t="shared" si="12"/>
        <v>688575</v>
      </c>
      <c r="C824" s="30" t="s">
        <v>9468</v>
      </c>
      <c r="D824" s="31">
        <v>21.22</v>
      </c>
      <c r="E824" s="31">
        <v>-0.24</v>
      </c>
      <c r="F824" s="31">
        <v>12080034600</v>
      </c>
    </row>
    <row r="825" spans="1:6" ht="15" thickBot="1" x14ac:dyDescent="0.2">
      <c r="A825" s="30" t="s">
        <v>9469</v>
      </c>
      <c r="B825" s="26" t="str">
        <f t="shared" si="12"/>
        <v>600416</v>
      </c>
      <c r="C825" s="30" t="s">
        <v>1770</v>
      </c>
      <c r="D825" s="31">
        <v>9.09</v>
      </c>
      <c r="E825" s="31">
        <v>-0.76</v>
      </c>
      <c r="F825" s="31">
        <v>12047944600</v>
      </c>
    </row>
    <row r="826" spans="1:6" ht="15" thickBot="1" x14ac:dyDescent="0.2">
      <c r="A826" s="30" t="s">
        <v>9470</v>
      </c>
      <c r="B826" s="26" t="str">
        <f t="shared" si="12"/>
        <v>000893</v>
      </c>
      <c r="C826" s="30" t="s">
        <v>1571</v>
      </c>
      <c r="D826" s="31">
        <v>14.84</v>
      </c>
      <c r="E826" s="31">
        <v>1.78</v>
      </c>
      <c r="F826" s="31">
        <v>12047677000</v>
      </c>
    </row>
    <row r="827" spans="1:6" ht="15" thickBot="1" x14ac:dyDescent="0.2">
      <c r="A827" s="30" t="s">
        <v>9471</v>
      </c>
      <c r="B827" s="26" t="str">
        <f t="shared" si="12"/>
        <v>688301</v>
      </c>
      <c r="C827" s="30" t="s">
        <v>1727</v>
      </c>
      <c r="D827" s="31">
        <v>84.23</v>
      </c>
      <c r="E827" s="31">
        <v>-0.67</v>
      </c>
      <c r="F827" s="31">
        <v>12027085000</v>
      </c>
    </row>
    <row r="828" spans="1:6" ht="15" thickBot="1" x14ac:dyDescent="0.2">
      <c r="A828" s="30" t="s">
        <v>9472</v>
      </c>
      <c r="B828" s="26" t="str">
        <f t="shared" si="12"/>
        <v>600428</v>
      </c>
      <c r="C828" s="30" t="s">
        <v>1874</v>
      </c>
      <c r="D828" s="31">
        <v>5.6</v>
      </c>
      <c r="E828" s="31">
        <v>1.45</v>
      </c>
      <c r="F828" s="31">
        <v>12021244300</v>
      </c>
    </row>
    <row r="829" spans="1:6" ht="15" thickBot="1" x14ac:dyDescent="0.2">
      <c r="A829" s="30" t="s">
        <v>9473</v>
      </c>
      <c r="B829" s="26" t="str">
        <f t="shared" si="12"/>
        <v>002195</v>
      </c>
      <c r="C829" s="30" t="s">
        <v>1775</v>
      </c>
      <c r="D829" s="31">
        <v>2.14</v>
      </c>
      <c r="E829" s="31">
        <v>-1.38</v>
      </c>
      <c r="F829" s="31">
        <v>12011924900</v>
      </c>
    </row>
    <row r="830" spans="1:6" ht="15" thickBot="1" x14ac:dyDescent="0.2">
      <c r="A830" s="30" t="s">
        <v>9474</v>
      </c>
      <c r="B830" s="26" t="str">
        <f t="shared" si="12"/>
        <v>603688</v>
      </c>
      <c r="C830" s="30" t="s">
        <v>1747</v>
      </c>
      <c r="D830" s="31">
        <v>22.14</v>
      </c>
      <c r="E830" s="31">
        <v>-0.36</v>
      </c>
      <c r="F830" s="31">
        <v>11992757300</v>
      </c>
    </row>
    <row r="831" spans="1:6" ht="15" thickBot="1" x14ac:dyDescent="0.2">
      <c r="A831" s="30" t="s">
        <v>9475</v>
      </c>
      <c r="B831" s="26" t="str">
        <f t="shared" si="12"/>
        <v>603025</v>
      </c>
      <c r="C831" s="30" t="s">
        <v>1816</v>
      </c>
      <c r="D831" s="31">
        <v>10.81</v>
      </c>
      <c r="E831" s="31">
        <v>1.22</v>
      </c>
      <c r="F831" s="31">
        <v>11990179300</v>
      </c>
    </row>
    <row r="832" spans="1:6" ht="15" thickBot="1" x14ac:dyDescent="0.2">
      <c r="A832" s="30" t="s">
        <v>9476</v>
      </c>
      <c r="B832" s="26" t="str">
        <f t="shared" si="12"/>
        <v>000155</v>
      </c>
      <c r="C832" s="30" t="s">
        <v>1255</v>
      </c>
      <c r="D832" s="31">
        <v>9.23</v>
      </c>
      <c r="E832" s="31">
        <v>-1.7</v>
      </c>
      <c r="F832" s="31">
        <v>11970640500</v>
      </c>
    </row>
    <row r="833" spans="1:6" ht="15" thickBot="1" x14ac:dyDescent="0.2">
      <c r="A833" s="30" t="s">
        <v>9477</v>
      </c>
      <c r="B833" s="26" t="str">
        <f t="shared" si="12"/>
        <v>688076</v>
      </c>
      <c r="C833" s="30" t="s">
        <v>1783</v>
      </c>
      <c r="D833" s="31">
        <v>54.45</v>
      </c>
      <c r="E833" s="31">
        <v>1.19</v>
      </c>
      <c r="F833" s="31">
        <v>11967013400</v>
      </c>
    </row>
    <row r="834" spans="1:6" ht="15" thickBot="1" x14ac:dyDescent="0.2">
      <c r="A834" s="30" t="s">
        <v>9478</v>
      </c>
      <c r="B834" s="26" t="str">
        <f t="shared" si="12"/>
        <v>300454</v>
      </c>
      <c r="C834" s="30" t="s">
        <v>1135</v>
      </c>
      <c r="D834" s="31">
        <v>43.3</v>
      </c>
      <c r="E834" s="31">
        <v>-3</v>
      </c>
      <c r="F834" s="31">
        <v>11962050400</v>
      </c>
    </row>
    <row r="835" spans="1:6" ht="15" thickBot="1" x14ac:dyDescent="0.2">
      <c r="A835" s="30" t="s">
        <v>9479</v>
      </c>
      <c r="B835" s="26" t="str">
        <f t="shared" ref="B835:B898" si="13">LEFT(A835,6)</f>
        <v>300496</v>
      </c>
      <c r="C835" s="30" t="s">
        <v>1393</v>
      </c>
      <c r="D835" s="31">
        <v>32.57</v>
      </c>
      <c r="E835" s="31">
        <v>-1.69</v>
      </c>
      <c r="F835" s="31">
        <v>11929810500</v>
      </c>
    </row>
    <row r="836" spans="1:6" ht="15" thickBot="1" x14ac:dyDescent="0.2">
      <c r="A836" s="30" t="s">
        <v>9480</v>
      </c>
      <c r="B836" s="26" t="str">
        <f t="shared" si="13"/>
        <v>601375</v>
      </c>
      <c r="C836" s="30" t="s">
        <v>9481</v>
      </c>
      <c r="D836" s="31">
        <v>3.46</v>
      </c>
      <c r="E836" s="31">
        <v>0.57999999999999996</v>
      </c>
      <c r="F836" s="31">
        <v>11928418200</v>
      </c>
    </row>
    <row r="837" spans="1:6" ht="15" thickBot="1" x14ac:dyDescent="0.2">
      <c r="A837" s="30" t="s">
        <v>9482</v>
      </c>
      <c r="B837" s="26" t="str">
        <f t="shared" si="13"/>
        <v>000998</v>
      </c>
      <c r="C837" s="30" t="s">
        <v>1799</v>
      </c>
      <c r="D837" s="31">
        <v>9.07</v>
      </c>
      <c r="E837" s="31">
        <v>-1.95</v>
      </c>
      <c r="F837" s="31">
        <v>11927508500</v>
      </c>
    </row>
    <row r="838" spans="1:6" ht="15" thickBot="1" x14ac:dyDescent="0.2">
      <c r="A838" s="30" t="s">
        <v>9483</v>
      </c>
      <c r="B838" s="26" t="str">
        <f t="shared" si="13"/>
        <v>688002</v>
      </c>
      <c r="C838" s="30" t="s">
        <v>1823</v>
      </c>
      <c r="D838" s="31">
        <v>26.58</v>
      </c>
      <c r="E838" s="31">
        <v>1.61</v>
      </c>
      <c r="F838" s="31">
        <v>11919495700</v>
      </c>
    </row>
    <row r="839" spans="1:6" ht="15" thickBot="1" x14ac:dyDescent="0.2">
      <c r="A839" s="30" t="s">
        <v>9484</v>
      </c>
      <c r="B839" s="26" t="str">
        <f t="shared" si="13"/>
        <v>688037</v>
      </c>
      <c r="C839" s="30" t="s">
        <v>1858</v>
      </c>
      <c r="D839" s="31">
        <v>59.3</v>
      </c>
      <c r="E839" s="31">
        <v>3.22</v>
      </c>
      <c r="F839" s="31">
        <v>11910974800</v>
      </c>
    </row>
    <row r="840" spans="1:6" ht="15" thickBot="1" x14ac:dyDescent="0.2">
      <c r="A840" s="30" t="s">
        <v>9485</v>
      </c>
      <c r="B840" s="26" t="str">
        <f t="shared" si="13"/>
        <v>600750</v>
      </c>
      <c r="C840" s="30" t="s">
        <v>1839</v>
      </c>
      <c r="D840" s="31">
        <v>19.04</v>
      </c>
      <c r="E840" s="31">
        <v>3.48</v>
      </c>
      <c r="F840" s="31">
        <v>11910930300</v>
      </c>
    </row>
    <row r="841" spans="1:6" ht="15" thickBot="1" x14ac:dyDescent="0.2">
      <c r="A841" s="30" t="s">
        <v>9486</v>
      </c>
      <c r="B841" s="26" t="str">
        <f t="shared" si="13"/>
        <v>000967</v>
      </c>
      <c r="C841" s="30" t="s">
        <v>1818</v>
      </c>
      <c r="D841" s="31">
        <v>3.76</v>
      </c>
      <c r="E841" s="31">
        <v>-0.53</v>
      </c>
      <c r="F841" s="31">
        <v>11902031200</v>
      </c>
    </row>
    <row r="842" spans="1:6" ht="15" thickBot="1" x14ac:dyDescent="0.2">
      <c r="A842" s="30" t="s">
        <v>9487</v>
      </c>
      <c r="B842" s="26" t="str">
        <f t="shared" si="13"/>
        <v>300679</v>
      </c>
      <c r="C842" s="30" t="s">
        <v>1609</v>
      </c>
      <c r="D842" s="31">
        <v>33.22</v>
      </c>
      <c r="E842" s="31">
        <v>1.84</v>
      </c>
      <c r="F842" s="31">
        <v>11885231300</v>
      </c>
    </row>
    <row r="843" spans="1:6" ht="15" thickBot="1" x14ac:dyDescent="0.2">
      <c r="A843" s="30" t="s">
        <v>9488</v>
      </c>
      <c r="B843" s="26" t="str">
        <f t="shared" si="13"/>
        <v>002221</v>
      </c>
      <c r="C843" s="30" t="s">
        <v>1735</v>
      </c>
      <c r="D843" s="31">
        <v>8.1300000000000008</v>
      </c>
      <c r="E843" s="31">
        <v>-0.37</v>
      </c>
      <c r="F843" s="31">
        <v>11877034600</v>
      </c>
    </row>
    <row r="844" spans="1:6" ht="15" thickBot="1" x14ac:dyDescent="0.2">
      <c r="A844" s="30" t="s">
        <v>9489</v>
      </c>
      <c r="B844" s="26" t="str">
        <f t="shared" si="13"/>
        <v>688336</v>
      </c>
      <c r="C844" s="30" t="s">
        <v>2008</v>
      </c>
      <c r="D844" s="31">
        <v>19.22</v>
      </c>
      <c r="E844" s="31">
        <v>5.6</v>
      </c>
      <c r="F844" s="31">
        <v>11854622900</v>
      </c>
    </row>
    <row r="845" spans="1:6" ht="15" thickBot="1" x14ac:dyDescent="0.2">
      <c r="A845" s="30" t="s">
        <v>9490</v>
      </c>
      <c r="B845" s="26" t="str">
        <f t="shared" si="13"/>
        <v>000778</v>
      </c>
      <c r="C845" s="30" t="s">
        <v>1785</v>
      </c>
      <c r="D845" s="31">
        <v>3.04</v>
      </c>
      <c r="E845" s="31">
        <v>0</v>
      </c>
      <c r="F845" s="31">
        <v>11844683700</v>
      </c>
    </row>
    <row r="846" spans="1:6" ht="15" thickBot="1" x14ac:dyDescent="0.2">
      <c r="A846" s="30" t="s">
        <v>9491</v>
      </c>
      <c r="B846" s="26" t="str">
        <f t="shared" si="13"/>
        <v>300757</v>
      </c>
      <c r="C846" s="30" t="s">
        <v>1851</v>
      </c>
      <c r="D846" s="31">
        <v>81.08</v>
      </c>
      <c r="E846" s="31">
        <v>0.93</v>
      </c>
      <c r="F846" s="31">
        <v>11835515700</v>
      </c>
    </row>
    <row r="847" spans="1:6" ht="15" thickBot="1" x14ac:dyDescent="0.2">
      <c r="A847" s="30" t="s">
        <v>9492</v>
      </c>
      <c r="B847" s="26" t="str">
        <f t="shared" si="13"/>
        <v>600732</v>
      </c>
      <c r="C847" s="30" t="s">
        <v>1511</v>
      </c>
      <c r="D847" s="31">
        <v>7.39</v>
      </c>
      <c r="E847" s="31">
        <v>-3.15</v>
      </c>
      <c r="F847" s="31">
        <v>11802514300</v>
      </c>
    </row>
    <row r="848" spans="1:6" ht="15" thickBot="1" x14ac:dyDescent="0.2">
      <c r="A848" s="30" t="s">
        <v>9493</v>
      </c>
      <c r="B848" s="26" t="str">
        <f t="shared" si="13"/>
        <v>300623</v>
      </c>
      <c r="C848" s="30" t="s">
        <v>1662</v>
      </c>
      <c r="D848" s="31">
        <v>17.52</v>
      </c>
      <c r="E848" s="31">
        <v>0.92</v>
      </c>
      <c r="F848" s="31">
        <v>11742548800</v>
      </c>
    </row>
    <row r="849" spans="1:6" ht="15" thickBot="1" x14ac:dyDescent="0.2">
      <c r="A849" s="30" t="s">
        <v>9494</v>
      </c>
      <c r="B849" s="26" t="str">
        <f t="shared" si="13"/>
        <v>002568</v>
      </c>
      <c r="C849" s="30" t="s">
        <v>1246</v>
      </c>
      <c r="D849" s="31">
        <v>16.34</v>
      </c>
      <c r="E849" s="31">
        <v>1.1100000000000001</v>
      </c>
      <c r="F849" s="31">
        <v>11731877600</v>
      </c>
    </row>
    <row r="850" spans="1:6" ht="15" thickBot="1" x14ac:dyDescent="0.2">
      <c r="A850" s="30" t="s">
        <v>9495</v>
      </c>
      <c r="B850" s="26" t="str">
        <f t="shared" si="13"/>
        <v>000422</v>
      </c>
      <c r="C850" s="30" t="s">
        <v>1692</v>
      </c>
      <c r="D850" s="31">
        <v>11.64</v>
      </c>
      <c r="E850" s="31">
        <v>0.61</v>
      </c>
      <c r="F850" s="31">
        <v>11725113300</v>
      </c>
    </row>
    <row r="851" spans="1:6" ht="15" thickBot="1" x14ac:dyDescent="0.2">
      <c r="A851" s="30" t="s">
        <v>9496</v>
      </c>
      <c r="B851" s="26" t="str">
        <f t="shared" si="13"/>
        <v>600827</v>
      </c>
      <c r="C851" s="30" t="s">
        <v>1760</v>
      </c>
      <c r="D851" s="31">
        <v>7.3</v>
      </c>
      <c r="E851" s="31">
        <v>0.55000000000000004</v>
      </c>
      <c r="F851" s="31">
        <v>11712484400</v>
      </c>
    </row>
    <row r="852" spans="1:6" ht="15" thickBot="1" x14ac:dyDescent="0.2">
      <c r="A852" s="30" t="s">
        <v>9497</v>
      </c>
      <c r="B852" s="26" t="str">
        <f t="shared" si="13"/>
        <v>688538</v>
      </c>
      <c r="C852" s="30" t="s">
        <v>9498</v>
      </c>
      <c r="D852" s="31">
        <v>2.0299999999999998</v>
      </c>
      <c r="E852" s="31">
        <v>-1.93</v>
      </c>
      <c r="F852" s="31">
        <v>11677038500</v>
      </c>
    </row>
    <row r="853" spans="1:6" ht="15" thickBot="1" x14ac:dyDescent="0.2">
      <c r="A853" s="30" t="s">
        <v>9499</v>
      </c>
      <c r="B853" s="26" t="str">
        <f t="shared" si="13"/>
        <v>601101</v>
      </c>
      <c r="C853" s="30" t="s">
        <v>1972</v>
      </c>
      <c r="D853" s="31">
        <v>8.1</v>
      </c>
      <c r="E853" s="31">
        <v>4.92</v>
      </c>
      <c r="F853" s="31">
        <v>11663983200</v>
      </c>
    </row>
    <row r="854" spans="1:6" ht="15" thickBot="1" x14ac:dyDescent="0.2">
      <c r="A854" s="30" t="s">
        <v>9500</v>
      </c>
      <c r="B854" s="26" t="str">
        <f t="shared" si="13"/>
        <v>002270</v>
      </c>
      <c r="C854" s="30" t="s">
        <v>1404</v>
      </c>
      <c r="D854" s="31">
        <v>15.33</v>
      </c>
      <c r="E854" s="31">
        <v>2.96</v>
      </c>
      <c r="F854" s="31">
        <v>11638914500</v>
      </c>
    </row>
    <row r="855" spans="1:6" ht="15" thickBot="1" x14ac:dyDescent="0.2">
      <c r="A855" s="30" t="s">
        <v>9501</v>
      </c>
      <c r="B855" s="26" t="str">
        <f t="shared" si="13"/>
        <v>002958</v>
      </c>
      <c r="C855" s="30" t="s">
        <v>9502</v>
      </c>
      <c r="D855" s="31">
        <v>2.35</v>
      </c>
      <c r="E855" s="31">
        <v>-0.84</v>
      </c>
      <c r="F855" s="31">
        <v>11576703700</v>
      </c>
    </row>
    <row r="856" spans="1:6" ht="15" thickBot="1" x14ac:dyDescent="0.2">
      <c r="A856" s="30" t="s">
        <v>9503</v>
      </c>
      <c r="B856" s="26" t="str">
        <f t="shared" si="13"/>
        <v>600123</v>
      </c>
      <c r="C856" s="30" t="s">
        <v>1943</v>
      </c>
      <c r="D856" s="31">
        <v>7.79</v>
      </c>
      <c r="E856" s="31">
        <v>3.87</v>
      </c>
      <c r="F856" s="31">
        <v>11569084800</v>
      </c>
    </row>
    <row r="857" spans="1:6" ht="15" thickBot="1" x14ac:dyDescent="0.2">
      <c r="A857" s="30" t="s">
        <v>9504</v>
      </c>
      <c r="B857" s="26" t="str">
        <f t="shared" si="13"/>
        <v>002399</v>
      </c>
      <c r="C857" s="30" t="s">
        <v>1743</v>
      </c>
      <c r="D857" s="31">
        <v>9.26</v>
      </c>
      <c r="E857" s="31">
        <v>-0.75</v>
      </c>
      <c r="F857" s="31">
        <v>11549087800</v>
      </c>
    </row>
    <row r="858" spans="1:6" ht="15" thickBot="1" x14ac:dyDescent="0.2">
      <c r="A858" s="30" t="s">
        <v>9505</v>
      </c>
      <c r="B858" s="26" t="str">
        <f t="shared" si="13"/>
        <v>000028</v>
      </c>
      <c r="C858" s="30" t="s">
        <v>1698</v>
      </c>
      <c r="D858" s="31">
        <v>24.15</v>
      </c>
      <c r="E858" s="31">
        <v>-0.45</v>
      </c>
      <c r="F858" s="31">
        <v>11544997100</v>
      </c>
    </row>
    <row r="859" spans="1:6" ht="15" thickBot="1" x14ac:dyDescent="0.2">
      <c r="A859" s="30" t="s">
        <v>9506</v>
      </c>
      <c r="B859" s="26" t="str">
        <f t="shared" si="13"/>
        <v>600167</v>
      </c>
      <c r="C859" s="30" t="s">
        <v>1868</v>
      </c>
      <c r="D859" s="31">
        <v>5.0999999999999996</v>
      </c>
      <c r="E859" s="31">
        <v>0.39</v>
      </c>
      <c r="F859" s="31">
        <v>11540486400</v>
      </c>
    </row>
    <row r="860" spans="1:6" ht="15" thickBot="1" x14ac:dyDescent="0.2">
      <c r="A860" s="30" t="s">
        <v>9507</v>
      </c>
      <c r="B860" s="26" t="str">
        <f t="shared" si="13"/>
        <v>000415</v>
      </c>
      <c r="C860" s="30" t="s">
        <v>1700</v>
      </c>
      <c r="D860" s="31">
        <v>2.14</v>
      </c>
      <c r="E860" s="31">
        <v>1.91</v>
      </c>
      <c r="F860" s="31">
        <v>11540404800</v>
      </c>
    </row>
    <row r="861" spans="1:6" ht="15" thickBot="1" x14ac:dyDescent="0.2">
      <c r="A861" s="30" t="s">
        <v>9508</v>
      </c>
      <c r="B861" s="26" t="str">
        <f t="shared" si="13"/>
        <v>300601</v>
      </c>
      <c r="C861" s="30" t="s">
        <v>1441</v>
      </c>
      <c r="D861" s="31">
        <v>13.08</v>
      </c>
      <c r="E861" s="31">
        <v>-0.91</v>
      </c>
      <c r="F861" s="31">
        <v>11527467700</v>
      </c>
    </row>
    <row r="862" spans="1:6" ht="15" thickBot="1" x14ac:dyDescent="0.2">
      <c r="A862" s="30" t="s">
        <v>9509</v>
      </c>
      <c r="B862" s="26" t="str">
        <f t="shared" si="13"/>
        <v>002773</v>
      </c>
      <c r="C862" s="30" t="s">
        <v>1361</v>
      </c>
      <c r="D862" s="31">
        <v>16.8</v>
      </c>
      <c r="E862" s="31">
        <v>-1.47</v>
      </c>
      <c r="F862" s="31">
        <v>11513725900</v>
      </c>
    </row>
    <row r="863" spans="1:6" ht="15" thickBot="1" x14ac:dyDescent="0.2">
      <c r="A863" s="30" t="s">
        <v>9510</v>
      </c>
      <c r="B863" s="26" t="str">
        <f t="shared" si="13"/>
        <v>300285</v>
      </c>
      <c r="C863" s="30" t="s">
        <v>1480</v>
      </c>
      <c r="D863" s="31">
        <v>14.32</v>
      </c>
      <c r="E863" s="31">
        <v>-0.42</v>
      </c>
      <c r="F863" s="31">
        <v>11512561800</v>
      </c>
    </row>
    <row r="864" spans="1:6" ht="15" thickBot="1" x14ac:dyDescent="0.2">
      <c r="A864" s="30" t="s">
        <v>9511</v>
      </c>
      <c r="B864" s="26" t="str">
        <f t="shared" si="13"/>
        <v>601519</v>
      </c>
      <c r="C864" s="30" t="s">
        <v>1899</v>
      </c>
      <c r="D864" s="31">
        <v>5.74</v>
      </c>
      <c r="E864" s="31">
        <v>0.35</v>
      </c>
      <c r="F864" s="31">
        <v>11502188500</v>
      </c>
    </row>
    <row r="865" spans="1:6" ht="15" thickBot="1" x14ac:dyDescent="0.2">
      <c r="A865" s="30" t="s">
        <v>9512</v>
      </c>
      <c r="B865" s="26" t="str">
        <f t="shared" si="13"/>
        <v>300748</v>
      </c>
      <c r="C865" s="30" t="s">
        <v>1678</v>
      </c>
      <c r="D865" s="31">
        <v>10.130000000000001</v>
      </c>
      <c r="E865" s="31">
        <v>-0.39</v>
      </c>
      <c r="F865" s="31">
        <v>11485421300</v>
      </c>
    </row>
    <row r="866" spans="1:6" ht="15" thickBot="1" x14ac:dyDescent="0.2">
      <c r="A866" s="30" t="s">
        <v>9513</v>
      </c>
      <c r="B866" s="26" t="str">
        <f t="shared" si="13"/>
        <v>600601</v>
      </c>
      <c r="C866" s="30" t="s">
        <v>1998</v>
      </c>
      <c r="D866" s="31">
        <v>2.75</v>
      </c>
      <c r="E866" s="31">
        <v>-1.08</v>
      </c>
      <c r="F866" s="31">
        <v>11468306500</v>
      </c>
    </row>
    <row r="867" spans="1:6" ht="15" thickBot="1" x14ac:dyDescent="0.2">
      <c r="A867" s="30" t="s">
        <v>9514</v>
      </c>
      <c r="B867" s="26" t="str">
        <f t="shared" si="13"/>
        <v>600933</v>
      </c>
      <c r="C867" s="30" t="s">
        <v>1723</v>
      </c>
      <c r="D867" s="31">
        <v>12.58</v>
      </c>
      <c r="E867" s="31">
        <v>0.24</v>
      </c>
      <c r="F867" s="31">
        <v>11460286600</v>
      </c>
    </row>
    <row r="868" spans="1:6" ht="15" thickBot="1" x14ac:dyDescent="0.2">
      <c r="A868" s="30" t="s">
        <v>9515</v>
      </c>
      <c r="B868" s="26" t="str">
        <f t="shared" si="13"/>
        <v>603355</v>
      </c>
      <c r="C868" s="30" t="s">
        <v>1849</v>
      </c>
      <c r="D868" s="31">
        <v>20.05</v>
      </c>
      <c r="E868" s="31">
        <v>0.1</v>
      </c>
      <c r="F868" s="31">
        <v>11451275200</v>
      </c>
    </row>
    <row r="869" spans="1:6" ht="15" thickBot="1" x14ac:dyDescent="0.2">
      <c r="A869" s="30" t="s">
        <v>9516</v>
      </c>
      <c r="B869" s="26" t="str">
        <f t="shared" si="13"/>
        <v>300633</v>
      </c>
      <c r="C869" s="30" t="s">
        <v>1749</v>
      </c>
      <c r="D869" s="31">
        <v>26.4</v>
      </c>
      <c r="E869" s="31">
        <v>-0.45</v>
      </c>
      <c r="F869" s="31">
        <v>11423607500</v>
      </c>
    </row>
    <row r="870" spans="1:6" ht="15" thickBot="1" x14ac:dyDescent="0.2">
      <c r="A870" s="30" t="s">
        <v>9517</v>
      </c>
      <c r="B870" s="26" t="str">
        <f t="shared" si="13"/>
        <v>603033</v>
      </c>
      <c r="C870" s="30" t="s">
        <v>1974</v>
      </c>
      <c r="D870" s="31">
        <v>11.28</v>
      </c>
      <c r="E870" s="31">
        <v>2.5499999999999998</v>
      </c>
      <c r="F870" s="31">
        <v>11421349900</v>
      </c>
    </row>
    <row r="871" spans="1:6" ht="15" thickBot="1" x14ac:dyDescent="0.2">
      <c r="A871" s="30" t="s">
        <v>9518</v>
      </c>
      <c r="B871" s="26" t="str">
        <f t="shared" si="13"/>
        <v>600388</v>
      </c>
      <c r="C871" s="30" t="s">
        <v>1961</v>
      </c>
      <c r="D871" s="31">
        <v>10.56</v>
      </c>
      <c r="E871" s="31">
        <v>2.62</v>
      </c>
      <c r="F871" s="31">
        <v>11416486100</v>
      </c>
    </row>
    <row r="872" spans="1:6" ht="15" thickBot="1" x14ac:dyDescent="0.2">
      <c r="A872" s="30" t="s">
        <v>9519</v>
      </c>
      <c r="B872" s="26" t="str">
        <f t="shared" si="13"/>
        <v>688366</v>
      </c>
      <c r="C872" s="30" t="s">
        <v>1719</v>
      </c>
      <c r="D872" s="31">
        <v>58.82</v>
      </c>
      <c r="E872" s="31">
        <v>-0.02</v>
      </c>
      <c r="F872" s="31">
        <v>11414130100</v>
      </c>
    </row>
    <row r="873" spans="1:6" ht="15" thickBot="1" x14ac:dyDescent="0.2">
      <c r="A873" s="30" t="s">
        <v>9520</v>
      </c>
      <c r="B873" s="26" t="str">
        <f t="shared" si="13"/>
        <v>603005</v>
      </c>
      <c r="C873" s="30" t="s">
        <v>1883</v>
      </c>
      <c r="D873" s="31">
        <v>17.47</v>
      </c>
      <c r="E873" s="31">
        <v>2.34</v>
      </c>
      <c r="F873" s="31">
        <v>11393439700</v>
      </c>
    </row>
    <row r="874" spans="1:6" ht="15" thickBot="1" x14ac:dyDescent="0.2">
      <c r="A874" s="30" t="s">
        <v>9521</v>
      </c>
      <c r="B874" s="26" t="str">
        <f t="shared" si="13"/>
        <v>601811</v>
      </c>
      <c r="C874" s="30" t="s">
        <v>1453</v>
      </c>
      <c r="D874" s="31">
        <v>14.38</v>
      </c>
      <c r="E874" s="31">
        <v>0.14000000000000001</v>
      </c>
      <c r="F874" s="31">
        <v>11387578100</v>
      </c>
    </row>
    <row r="875" spans="1:6" ht="15" thickBot="1" x14ac:dyDescent="0.2">
      <c r="A875" s="30" t="s">
        <v>9522</v>
      </c>
      <c r="B875" s="26" t="str">
        <f t="shared" si="13"/>
        <v>600006</v>
      </c>
      <c r="C875" s="30" t="s">
        <v>1887</v>
      </c>
      <c r="D875" s="31">
        <v>5.69</v>
      </c>
      <c r="E875" s="31">
        <v>-0.18</v>
      </c>
      <c r="F875" s="31">
        <v>11380000000</v>
      </c>
    </row>
    <row r="876" spans="1:6" ht="15" thickBot="1" x14ac:dyDescent="0.2">
      <c r="A876" s="30" t="s">
        <v>9523</v>
      </c>
      <c r="B876" s="26" t="str">
        <f t="shared" si="13"/>
        <v>603393</v>
      </c>
      <c r="C876" s="30" t="s">
        <v>1676</v>
      </c>
      <c r="D876" s="31">
        <v>30.29</v>
      </c>
      <c r="E876" s="31">
        <v>1.64</v>
      </c>
      <c r="F876" s="31">
        <v>11350510200</v>
      </c>
    </row>
    <row r="877" spans="1:6" ht="15" thickBot="1" x14ac:dyDescent="0.2">
      <c r="A877" s="30" t="s">
        <v>9524</v>
      </c>
      <c r="B877" s="26" t="str">
        <f t="shared" si="13"/>
        <v>600129</v>
      </c>
      <c r="C877" s="30" t="s">
        <v>1835</v>
      </c>
      <c r="D877" s="31">
        <v>20.239999999999998</v>
      </c>
      <c r="E877" s="31">
        <v>0.55000000000000004</v>
      </c>
      <c r="F877" s="31">
        <v>11271468700</v>
      </c>
    </row>
    <row r="878" spans="1:6" ht="15" thickBot="1" x14ac:dyDescent="0.2">
      <c r="A878" s="30" t="s">
        <v>9525</v>
      </c>
      <c r="B878" s="26" t="str">
        <f t="shared" si="13"/>
        <v>002831</v>
      </c>
      <c r="C878" s="30" t="s">
        <v>1059</v>
      </c>
      <c r="D878" s="31">
        <v>21.59</v>
      </c>
      <c r="E878" s="31">
        <v>0.51</v>
      </c>
      <c r="F878" s="31">
        <v>11248244700</v>
      </c>
    </row>
    <row r="879" spans="1:6" ht="15" thickBot="1" x14ac:dyDescent="0.2">
      <c r="A879" s="30" t="s">
        <v>9526</v>
      </c>
      <c r="B879" s="26" t="str">
        <f t="shared" si="13"/>
        <v>601900</v>
      </c>
      <c r="C879" s="30" t="s">
        <v>1937</v>
      </c>
      <c r="D879" s="31">
        <v>12.55</v>
      </c>
      <c r="E879" s="31">
        <v>1.95</v>
      </c>
      <c r="F879" s="31">
        <v>11243250900</v>
      </c>
    </row>
    <row r="880" spans="1:6" ht="15" thickBot="1" x14ac:dyDescent="0.2">
      <c r="A880" s="30" t="s">
        <v>9527</v>
      </c>
      <c r="B880" s="26" t="str">
        <f t="shared" si="13"/>
        <v>600285</v>
      </c>
      <c r="C880" s="30" t="s">
        <v>1903</v>
      </c>
      <c r="D880" s="31">
        <v>19.809999999999999</v>
      </c>
      <c r="E880" s="31">
        <v>5.54</v>
      </c>
      <c r="F880" s="31">
        <v>11234557800</v>
      </c>
    </row>
    <row r="881" spans="1:6" ht="15" thickBot="1" x14ac:dyDescent="0.2">
      <c r="A881" s="30" t="s">
        <v>9528</v>
      </c>
      <c r="B881" s="26" t="str">
        <f t="shared" si="13"/>
        <v>603296</v>
      </c>
      <c r="C881" s="30" t="s">
        <v>9529</v>
      </c>
      <c r="D881" s="31">
        <v>46.1</v>
      </c>
      <c r="E881" s="31">
        <v>-1.45</v>
      </c>
      <c r="F881" s="31">
        <v>11228071700</v>
      </c>
    </row>
    <row r="882" spans="1:6" ht="15" thickBot="1" x14ac:dyDescent="0.2">
      <c r="A882" s="30" t="s">
        <v>9530</v>
      </c>
      <c r="B882" s="26" t="str">
        <f t="shared" si="13"/>
        <v>002416</v>
      </c>
      <c r="C882" s="30" t="s">
        <v>1876</v>
      </c>
      <c r="D882" s="31">
        <v>9.1300000000000008</v>
      </c>
      <c r="E882" s="31">
        <v>-0.76</v>
      </c>
      <c r="F882" s="31">
        <v>11174246300</v>
      </c>
    </row>
    <row r="883" spans="1:6" ht="15" thickBot="1" x14ac:dyDescent="0.2">
      <c r="A883" s="30" t="s">
        <v>9531</v>
      </c>
      <c r="B883" s="26" t="str">
        <f t="shared" si="13"/>
        <v>000799</v>
      </c>
      <c r="C883" s="30" t="s">
        <v>1856</v>
      </c>
      <c r="D883" s="31">
        <v>34.33</v>
      </c>
      <c r="E883" s="31">
        <v>-0.28999999999999998</v>
      </c>
      <c r="F883" s="31">
        <v>11154811900</v>
      </c>
    </row>
    <row r="884" spans="1:6" ht="15" thickBot="1" x14ac:dyDescent="0.2">
      <c r="A884" s="30" t="s">
        <v>9532</v>
      </c>
      <c r="B884" s="26" t="str">
        <f t="shared" si="13"/>
        <v>002867</v>
      </c>
      <c r="C884" s="30" t="s">
        <v>1901</v>
      </c>
      <c r="D884" s="31">
        <v>10.33</v>
      </c>
      <c r="E884" s="31">
        <v>0.68</v>
      </c>
      <c r="F884" s="31">
        <v>11154296100</v>
      </c>
    </row>
    <row r="885" spans="1:6" ht="15" thickBot="1" x14ac:dyDescent="0.2">
      <c r="A885" s="30" t="s">
        <v>9533</v>
      </c>
      <c r="B885" s="26" t="str">
        <f t="shared" si="13"/>
        <v>600126</v>
      </c>
      <c r="C885" s="30" t="s">
        <v>1949</v>
      </c>
      <c r="D885" s="31">
        <v>3.3</v>
      </c>
      <c r="E885" s="31">
        <v>-0.3</v>
      </c>
      <c r="F885" s="31">
        <v>11144724000</v>
      </c>
    </row>
    <row r="886" spans="1:6" ht="15" thickBot="1" x14ac:dyDescent="0.2">
      <c r="A886" s="30" t="s">
        <v>9534</v>
      </c>
      <c r="B886" s="26" t="str">
        <f t="shared" si="13"/>
        <v>300088</v>
      </c>
      <c r="C886" s="30" t="s">
        <v>1837</v>
      </c>
      <c r="D886" s="31">
        <v>4.5599999999999996</v>
      </c>
      <c r="E886" s="31">
        <v>-1.51</v>
      </c>
      <c r="F886" s="31">
        <v>11138677100</v>
      </c>
    </row>
    <row r="887" spans="1:6" ht="15" thickBot="1" x14ac:dyDescent="0.2">
      <c r="A887" s="30" t="s">
        <v>9535</v>
      </c>
      <c r="B887" s="26" t="str">
        <f t="shared" si="13"/>
        <v>601969</v>
      </c>
      <c r="C887" s="30" t="s">
        <v>2024</v>
      </c>
      <c r="D887" s="31">
        <v>5.49</v>
      </c>
      <c r="E887" s="31">
        <v>-5.67</v>
      </c>
      <c r="F887" s="31">
        <v>11125799100</v>
      </c>
    </row>
    <row r="888" spans="1:6" ht="15" thickBot="1" x14ac:dyDescent="0.2">
      <c r="A888" s="30" t="s">
        <v>9536</v>
      </c>
      <c r="B888" s="26" t="str">
        <f t="shared" si="13"/>
        <v>002332</v>
      </c>
      <c r="C888" s="30" t="s">
        <v>1915</v>
      </c>
      <c r="D888" s="31">
        <v>11.3</v>
      </c>
      <c r="E888" s="31">
        <v>0.36</v>
      </c>
      <c r="F888" s="31">
        <v>11121387100</v>
      </c>
    </row>
    <row r="889" spans="1:6" ht="15" thickBot="1" x14ac:dyDescent="0.2">
      <c r="A889" s="30" t="s">
        <v>9537</v>
      </c>
      <c r="B889" s="26" t="str">
        <f t="shared" si="13"/>
        <v>301015</v>
      </c>
      <c r="C889" s="30" t="s">
        <v>9538</v>
      </c>
      <c r="D889" s="31">
        <v>21.15</v>
      </c>
      <c r="E889" s="31">
        <v>-1.4</v>
      </c>
      <c r="F889" s="31">
        <v>11116725300</v>
      </c>
    </row>
    <row r="890" spans="1:6" ht="15" thickBot="1" x14ac:dyDescent="0.2">
      <c r="A890" s="30" t="s">
        <v>9539</v>
      </c>
      <c r="B890" s="26" t="str">
        <f t="shared" si="13"/>
        <v>603218</v>
      </c>
      <c r="C890" s="30" t="s">
        <v>1913</v>
      </c>
      <c r="D890" s="31">
        <v>10.82</v>
      </c>
      <c r="E890" s="31">
        <v>1.03</v>
      </c>
      <c r="F890" s="31">
        <v>11110587300</v>
      </c>
    </row>
    <row r="891" spans="1:6" ht="15" thickBot="1" x14ac:dyDescent="0.2">
      <c r="A891" s="30" t="s">
        <v>9540</v>
      </c>
      <c r="B891" s="26" t="str">
        <f t="shared" si="13"/>
        <v>688778</v>
      </c>
      <c r="C891" s="30" t="s">
        <v>1891</v>
      </c>
      <c r="D891" s="31">
        <v>26.4</v>
      </c>
      <c r="E891" s="31">
        <v>0.76</v>
      </c>
      <c r="F891" s="31">
        <v>11108354400</v>
      </c>
    </row>
    <row r="892" spans="1:6" ht="15" thickBot="1" x14ac:dyDescent="0.2">
      <c r="A892" s="30" t="s">
        <v>9541</v>
      </c>
      <c r="B892" s="26" t="str">
        <f t="shared" si="13"/>
        <v>600320</v>
      </c>
      <c r="C892" s="30" t="s">
        <v>1596</v>
      </c>
      <c r="D892" s="31">
        <v>3.34</v>
      </c>
      <c r="E892" s="31">
        <v>0.6</v>
      </c>
      <c r="F892" s="31">
        <v>11095472200</v>
      </c>
    </row>
    <row r="893" spans="1:6" ht="15" thickBot="1" x14ac:dyDescent="0.2">
      <c r="A893" s="30" t="s">
        <v>9542</v>
      </c>
      <c r="B893" s="26" t="str">
        <f t="shared" si="13"/>
        <v>688789</v>
      </c>
      <c r="C893" s="30" t="s">
        <v>1923</v>
      </c>
      <c r="D893" s="31">
        <v>61.78</v>
      </c>
      <c r="E893" s="31">
        <v>1.03</v>
      </c>
      <c r="F893" s="31">
        <v>11086503300</v>
      </c>
    </row>
    <row r="894" spans="1:6" ht="15" thickBot="1" x14ac:dyDescent="0.2">
      <c r="A894" s="30" t="s">
        <v>9543</v>
      </c>
      <c r="B894" s="26" t="str">
        <f t="shared" si="13"/>
        <v>601992</v>
      </c>
      <c r="C894" s="30" t="s">
        <v>1762</v>
      </c>
      <c r="D894" s="31">
        <v>1.33</v>
      </c>
      <c r="E894" s="31">
        <v>-0.75</v>
      </c>
      <c r="F894" s="31">
        <v>11084430500</v>
      </c>
    </row>
    <row r="895" spans="1:6" ht="15" thickBot="1" x14ac:dyDescent="0.2">
      <c r="A895" s="30" t="s">
        <v>9544</v>
      </c>
      <c r="B895" s="26" t="str">
        <f t="shared" si="13"/>
        <v>603236</v>
      </c>
      <c r="C895" s="30" t="s">
        <v>1911</v>
      </c>
      <c r="D895" s="31">
        <v>41.86</v>
      </c>
      <c r="E895" s="31">
        <v>-0.74</v>
      </c>
      <c r="F895" s="31">
        <v>11075105600</v>
      </c>
    </row>
    <row r="896" spans="1:6" ht="15" thickBot="1" x14ac:dyDescent="0.2">
      <c r="A896" s="30" t="s">
        <v>9545</v>
      </c>
      <c r="B896" s="26" t="str">
        <f t="shared" si="13"/>
        <v>300857</v>
      </c>
      <c r="C896" s="30" t="s">
        <v>1879</v>
      </c>
      <c r="D896" s="31">
        <v>45.21</v>
      </c>
      <c r="E896" s="31">
        <v>-0.42</v>
      </c>
      <c r="F896" s="31">
        <v>11056552900</v>
      </c>
    </row>
    <row r="897" spans="1:6" ht="15" thickBot="1" x14ac:dyDescent="0.2">
      <c r="A897" s="30" t="s">
        <v>9546</v>
      </c>
      <c r="B897" s="26" t="str">
        <f t="shared" si="13"/>
        <v>600967</v>
      </c>
      <c r="C897" s="30" t="s">
        <v>1963</v>
      </c>
      <c r="D897" s="31">
        <v>6.5</v>
      </c>
      <c r="E897" s="31">
        <v>0.15</v>
      </c>
      <c r="F897" s="31">
        <v>11042937300</v>
      </c>
    </row>
    <row r="898" spans="1:6" ht="15" thickBot="1" x14ac:dyDescent="0.2">
      <c r="A898" s="30" t="s">
        <v>9547</v>
      </c>
      <c r="B898" s="26" t="str">
        <f t="shared" si="13"/>
        <v>605111</v>
      </c>
      <c r="C898" s="30" t="s">
        <v>1841</v>
      </c>
      <c r="D898" s="31">
        <v>26.55</v>
      </c>
      <c r="E898" s="31">
        <v>-3.56</v>
      </c>
      <c r="F898" s="31">
        <v>11027079700</v>
      </c>
    </row>
    <row r="899" spans="1:6" ht="15" thickBot="1" x14ac:dyDescent="0.2">
      <c r="A899" s="30" t="s">
        <v>9548</v>
      </c>
      <c r="B899" s="26" t="str">
        <f t="shared" ref="B899:B962" si="14">LEFT(A899,6)</f>
        <v>603456</v>
      </c>
      <c r="C899" s="30" t="s">
        <v>1929</v>
      </c>
      <c r="D899" s="31">
        <v>12.26</v>
      </c>
      <c r="E899" s="31">
        <v>0</v>
      </c>
      <c r="F899" s="31">
        <v>11010789700</v>
      </c>
    </row>
    <row r="900" spans="1:6" ht="15" thickBot="1" x14ac:dyDescent="0.2">
      <c r="A900" s="30" t="s">
        <v>9549</v>
      </c>
      <c r="B900" s="26" t="str">
        <f t="shared" si="14"/>
        <v>000099</v>
      </c>
      <c r="C900" s="30" t="s">
        <v>1917</v>
      </c>
      <c r="D900" s="31">
        <v>14.17</v>
      </c>
      <c r="E900" s="31">
        <v>-2.0099999999999998</v>
      </c>
      <c r="F900" s="31">
        <v>10992662800</v>
      </c>
    </row>
    <row r="901" spans="1:6" ht="15" thickBot="1" x14ac:dyDescent="0.2">
      <c r="A901" s="30" t="s">
        <v>9550</v>
      </c>
      <c r="B901" s="26" t="str">
        <f t="shared" si="14"/>
        <v>688029</v>
      </c>
      <c r="C901" s="30" t="s">
        <v>1889</v>
      </c>
      <c r="D901" s="31">
        <v>58.49</v>
      </c>
      <c r="E901" s="31">
        <v>-2.66</v>
      </c>
      <c r="F901" s="31">
        <v>10987195700</v>
      </c>
    </row>
    <row r="902" spans="1:6" ht="15" thickBot="1" x14ac:dyDescent="0.2">
      <c r="A902" s="30" t="s">
        <v>9551</v>
      </c>
      <c r="B902" s="26" t="str">
        <f t="shared" si="14"/>
        <v>605333</v>
      </c>
      <c r="C902" s="30" t="s">
        <v>1970</v>
      </c>
      <c r="D902" s="31">
        <v>25.06</v>
      </c>
      <c r="E902" s="31">
        <v>1.66</v>
      </c>
      <c r="F902" s="31">
        <v>10945608600</v>
      </c>
    </row>
    <row r="903" spans="1:6" ht="15" thickBot="1" x14ac:dyDescent="0.2">
      <c r="A903" s="30" t="s">
        <v>9552</v>
      </c>
      <c r="B903" s="26" t="str">
        <f t="shared" si="14"/>
        <v>600363</v>
      </c>
      <c r="C903" s="30" t="s">
        <v>1986</v>
      </c>
      <c r="D903" s="31">
        <v>23.92</v>
      </c>
      <c r="E903" s="31">
        <v>-1.93</v>
      </c>
      <c r="F903" s="31">
        <v>10888999900</v>
      </c>
    </row>
    <row r="904" spans="1:6" ht="15" thickBot="1" x14ac:dyDescent="0.2">
      <c r="A904" s="30" t="s">
        <v>9553</v>
      </c>
      <c r="B904" s="26" t="str">
        <f t="shared" si="14"/>
        <v>300298</v>
      </c>
      <c r="C904" s="30" t="s">
        <v>1594</v>
      </c>
      <c r="D904" s="31">
        <v>23.9</v>
      </c>
      <c r="E904" s="31">
        <v>-0.87</v>
      </c>
      <c r="F904" s="31">
        <v>10882762600</v>
      </c>
    </row>
    <row r="905" spans="1:6" ht="15" thickBot="1" x14ac:dyDescent="0.2">
      <c r="A905" s="30" t="s">
        <v>9554</v>
      </c>
      <c r="B905" s="26" t="str">
        <f t="shared" si="14"/>
        <v>002737</v>
      </c>
      <c r="C905" s="30" t="s">
        <v>1955</v>
      </c>
      <c r="D905" s="31">
        <v>18.62</v>
      </c>
      <c r="E905" s="31">
        <v>0.76</v>
      </c>
      <c r="F905" s="31">
        <v>10874080000</v>
      </c>
    </row>
    <row r="906" spans="1:6" ht="15" thickBot="1" x14ac:dyDescent="0.2">
      <c r="A906" s="30" t="s">
        <v>9555</v>
      </c>
      <c r="B906" s="26" t="str">
        <f t="shared" si="14"/>
        <v>603712</v>
      </c>
      <c r="C906" s="30" t="s">
        <v>1907</v>
      </c>
      <c r="D906" s="31">
        <v>14.05</v>
      </c>
      <c r="E906" s="31">
        <v>-2.4300000000000002</v>
      </c>
      <c r="F906" s="31">
        <v>10846600000</v>
      </c>
    </row>
    <row r="907" spans="1:6" ht="15" thickBot="1" x14ac:dyDescent="0.2">
      <c r="A907" s="30" t="s">
        <v>9556</v>
      </c>
      <c r="B907" s="26" t="str">
        <f t="shared" si="14"/>
        <v>600710</v>
      </c>
      <c r="C907" s="30" t="s">
        <v>2053</v>
      </c>
      <c r="D907" s="31">
        <v>8.3000000000000007</v>
      </c>
      <c r="E907" s="31">
        <v>2.2200000000000002</v>
      </c>
      <c r="F907" s="31">
        <v>10846020300</v>
      </c>
    </row>
    <row r="908" spans="1:6" ht="15" thickBot="1" x14ac:dyDescent="0.2">
      <c r="A908" s="30" t="s">
        <v>9557</v>
      </c>
      <c r="B908" s="26" t="str">
        <f t="shared" si="14"/>
        <v>000550</v>
      </c>
      <c r="C908" s="30" t="s">
        <v>1566</v>
      </c>
      <c r="D908" s="31">
        <v>20.89</v>
      </c>
      <c r="E908" s="31">
        <v>0.77</v>
      </c>
      <c r="F908" s="31">
        <v>10830695400</v>
      </c>
    </row>
    <row r="909" spans="1:6" ht="15" thickBot="1" x14ac:dyDescent="0.2">
      <c r="A909" s="30" t="s">
        <v>9558</v>
      </c>
      <c r="B909" s="26" t="str">
        <f t="shared" si="14"/>
        <v>000966</v>
      </c>
      <c r="C909" s="30" t="s">
        <v>1988</v>
      </c>
      <c r="D909" s="31">
        <v>3.93</v>
      </c>
      <c r="E909" s="31">
        <v>-0.76</v>
      </c>
      <c r="F909" s="31">
        <v>10804857900</v>
      </c>
    </row>
    <row r="910" spans="1:6" ht="15" thickBot="1" x14ac:dyDescent="0.2">
      <c r="A910" s="30" t="s">
        <v>9559</v>
      </c>
      <c r="B910" s="26" t="str">
        <f t="shared" si="14"/>
        <v>300390</v>
      </c>
      <c r="C910" s="30" t="s">
        <v>1548</v>
      </c>
      <c r="D910" s="31">
        <v>16.05</v>
      </c>
      <c r="E910" s="31">
        <v>-0.5</v>
      </c>
      <c r="F910" s="31">
        <v>10790742700</v>
      </c>
    </row>
    <row r="911" spans="1:6" ht="15" thickBot="1" x14ac:dyDescent="0.2">
      <c r="A911" s="30" t="s">
        <v>9560</v>
      </c>
      <c r="B911" s="26" t="str">
        <f t="shared" si="14"/>
        <v>688333</v>
      </c>
      <c r="C911" s="30" t="s">
        <v>1927</v>
      </c>
      <c r="D911" s="31">
        <v>39.700000000000003</v>
      </c>
      <c r="E911" s="31">
        <v>-4.1100000000000003</v>
      </c>
      <c r="F911" s="31">
        <v>10789197400</v>
      </c>
    </row>
    <row r="912" spans="1:6" ht="15" thickBot="1" x14ac:dyDescent="0.2">
      <c r="A912" s="30" t="s">
        <v>9561</v>
      </c>
      <c r="B912" s="26" t="str">
        <f t="shared" si="14"/>
        <v>300070</v>
      </c>
      <c r="C912" s="30" t="s">
        <v>1881</v>
      </c>
      <c r="D912" s="31">
        <v>3.14</v>
      </c>
      <c r="E912" s="31">
        <v>-1.57</v>
      </c>
      <c r="F912" s="31">
        <v>10785172300</v>
      </c>
    </row>
    <row r="913" spans="1:6" ht="15" thickBot="1" x14ac:dyDescent="0.2">
      <c r="A913" s="30" t="s">
        <v>9562</v>
      </c>
      <c r="B913" s="26" t="str">
        <f t="shared" si="14"/>
        <v>002936</v>
      </c>
      <c r="C913" s="30" t="s">
        <v>9563</v>
      </c>
      <c r="D913" s="31">
        <v>1.61</v>
      </c>
      <c r="E913" s="31">
        <v>-1.23</v>
      </c>
      <c r="F913" s="31">
        <v>10784927800</v>
      </c>
    </row>
    <row r="914" spans="1:6" ht="15" thickBot="1" x14ac:dyDescent="0.2">
      <c r="A914" s="30" t="s">
        <v>9564</v>
      </c>
      <c r="B914" s="26" t="str">
        <f t="shared" si="14"/>
        <v>688567</v>
      </c>
      <c r="C914" s="30" t="s">
        <v>1939</v>
      </c>
      <c r="D914" s="31">
        <v>8.82</v>
      </c>
      <c r="E914" s="31">
        <v>-0.56000000000000005</v>
      </c>
      <c r="F914" s="31">
        <v>10778956300</v>
      </c>
    </row>
    <row r="915" spans="1:6" ht="15" thickBot="1" x14ac:dyDescent="0.2">
      <c r="A915" s="30" t="s">
        <v>9565</v>
      </c>
      <c r="B915" s="26" t="str">
        <f t="shared" si="14"/>
        <v>601163</v>
      </c>
      <c r="C915" s="30" t="s">
        <v>2022</v>
      </c>
      <c r="D915" s="31">
        <v>13.46</v>
      </c>
      <c r="E915" s="31">
        <v>0.98</v>
      </c>
      <c r="F915" s="31">
        <v>10768000000</v>
      </c>
    </row>
    <row r="916" spans="1:6" ht="15" thickBot="1" x14ac:dyDescent="0.2">
      <c r="A916" s="30" t="s">
        <v>9566</v>
      </c>
      <c r="B916" s="26" t="str">
        <f t="shared" si="14"/>
        <v>300666</v>
      </c>
      <c r="C916" s="30" t="s">
        <v>1650</v>
      </c>
      <c r="D916" s="31">
        <v>48.79</v>
      </c>
      <c r="E916" s="31">
        <v>-0.53</v>
      </c>
      <c r="F916" s="31">
        <v>10758576800</v>
      </c>
    </row>
    <row r="917" spans="1:6" ht="15" thickBot="1" x14ac:dyDescent="0.2">
      <c r="A917" s="30" t="s">
        <v>9567</v>
      </c>
      <c r="B917" s="26" t="str">
        <f t="shared" si="14"/>
        <v>002701</v>
      </c>
      <c r="C917" s="30" t="s">
        <v>2000</v>
      </c>
      <c r="D917" s="31">
        <v>4.18</v>
      </c>
      <c r="E917" s="31">
        <v>-0.95</v>
      </c>
      <c r="F917" s="31">
        <v>10746385900</v>
      </c>
    </row>
    <row r="918" spans="1:6" ht="15" thickBot="1" x14ac:dyDescent="0.2">
      <c r="A918" s="30" t="s">
        <v>9568</v>
      </c>
      <c r="B918" s="26" t="str">
        <f t="shared" si="14"/>
        <v>300459</v>
      </c>
      <c r="C918" s="30" t="s">
        <v>1793</v>
      </c>
      <c r="D918" s="31">
        <v>3.39</v>
      </c>
      <c r="E918" s="31">
        <v>-1.17</v>
      </c>
      <c r="F918" s="31">
        <v>10739320600</v>
      </c>
    </row>
    <row r="919" spans="1:6" ht="15" thickBot="1" x14ac:dyDescent="0.2">
      <c r="A919" s="30" t="s">
        <v>9569</v>
      </c>
      <c r="B919" s="26" t="str">
        <f t="shared" si="14"/>
        <v>002544</v>
      </c>
      <c r="C919" s="30" t="s">
        <v>1967</v>
      </c>
      <c r="D919" s="31">
        <v>15.78</v>
      </c>
      <c r="E919" s="31">
        <v>-1.44</v>
      </c>
      <c r="F919" s="31">
        <v>10716537200</v>
      </c>
    </row>
    <row r="920" spans="1:6" ht="15" thickBot="1" x14ac:dyDescent="0.2">
      <c r="A920" s="30" t="s">
        <v>9570</v>
      </c>
      <c r="B920" s="26" t="str">
        <f t="shared" si="14"/>
        <v>688208</v>
      </c>
      <c r="C920" s="30" t="s">
        <v>2012</v>
      </c>
      <c r="D920" s="31">
        <v>23.71</v>
      </c>
      <c r="E920" s="31">
        <v>2.77</v>
      </c>
      <c r="F920" s="31">
        <v>10714005700</v>
      </c>
    </row>
    <row r="921" spans="1:6" ht="15" thickBot="1" x14ac:dyDescent="0.2">
      <c r="A921" s="30" t="s">
        <v>9571</v>
      </c>
      <c r="B921" s="26" t="str">
        <f t="shared" si="14"/>
        <v>600808</v>
      </c>
      <c r="C921" s="30" t="s">
        <v>1812</v>
      </c>
      <c r="D921" s="31">
        <v>1.79</v>
      </c>
      <c r="E921" s="31">
        <v>-1.1100000000000001</v>
      </c>
      <c r="F921" s="31">
        <v>10682274600</v>
      </c>
    </row>
    <row r="922" spans="1:6" ht="15" thickBot="1" x14ac:dyDescent="0.2">
      <c r="A922" s="30" t="s">
        <v>9572</v>
      </c>
      <c r="B922" s="26" t="str">
        <f t="shared" si="14"/>
        <v>002176</v>
      </c>
      <c r="C922" s="30" t="s">
        <v>1860</v>
      </c>
      <c r="D922" s="31">
        <v>6.26</v>
      </c>
      <c r="E922" s="31">
        <v>-3.25</v>
      </c>
      <c r="F922" s="31">
        <v>10679679700</v>
      </c>
    </row>
    <row r="923" spans="1:6" ht="15" thickBot="1" x14ac:dyDescent="0.2">
      <c r="A923" s="30" t="s">
        <v>9573</v>
      </c>
      <c r="B923" s="26" t="str">
        <f t="shared" si="14"/>
        <v>301035</v>
      </c>
      <c r="C923" s="30" t="s">
        <v>2002</v>
      </c>
      <c r="D923" s="31">
        <v>38.33</v>
      </c>
      <c r="E923" s="31">
        <v>0.66</v>
      </c>
      <c r="F923" s="31">
        <v>10676967800</v>
      </c>
    </row>
    <row r="924" spans="1:6" ht="15" thickBot="1" x14ac:dyDescent="0.2">
      <c r="A924" s="30" t="s">
        <v>9574</v>
      </c>
      <c r="B924" s="26" t="str">
        <f t="shared" si="14"/>
        <v>300364</v>
      </c>
      <c r="C924" s="30" t="s">
        <v>1766</v>
      </c>
      <c r="D924" s="31">
        <v>16.14</v>
      </c>
      <c r="E924" s="31">
        <v>-2.36</v>
      </c>
      <c r="F924" s="31">
        <v>10668126000</v>
      </c>
    </row>
    <row r="925" spans="1:6" ht="15" thickBot="1" x14ac:dyDescent="0.2">
      <c r="A925" s="30" t="s">
        <v>9575</v>
      </c>
      <c r="B925" s="26" t="str">
        <f t="shared" si="14"/>
        <v>300775</v>
      </c>
      <c r="C925" s="30" t="s">
        <v>1925</v>
      </c>
      <c r="D925" s="31">
        <v>20.02</v>
      </c>
      <c r="E925" s="31">
        <v>-0.55000000000000004</v>
      </c>
      <c r="F925" s="31">
        <v>10659522500</v>
      </c>
    </row>
    <row r="926" spans="1:6" ht="15" thickBot="1" x14ac:dyDescent="0.2">
      <c r="A926" s="30" t="s">
        <v>9576</v>
      </c>
      <c r="B926" s="26" t="str">
        <f t="shared" si="14"/>
        <v>688347</v>
      </c>
      <c r="C926" s="30" t="s">
        <v>9577</v>
      </c>
      <c r="D926" s="31">
        <v>27.21</v>
      </c>
      <c r="E926" s="31">
        <v>0.48</v>
      </c>
      <c r="F926" s="31">
        <v>10651082400</v>
      </c>
    </row>
    <row r="927" spans="1:6" ht="15" thickBot="1" x14ac:dyDescent="0.2">
      <c r="A927" s="30" t="s">
        <v>9578</v>
      </c>
      <c r="B927" s="26" t="str">
        <f t="shared" si="14"/>
        <v>688303</v>
      </c>
      <c r="C927" s="30" t="s">
        <v>557</v>
      </c>
      <c r="D927" s="31">
        <v>19.28</v>
      </c>
      <c r="E927" s="31">
        <v>-0.26</v>
      </c>
      <c r="F927" s="31">
        <v>10650999100</v>
      </c>
    </row>
    <row r="928" spans="1:6" ht="15" thickBot="1" x14ac:dyDescent="0.2">
      <c r="A928" s="30" t="s">
        <v>9579</v>
      </c>
      <c r="B928" s="26" t="str">
        <f t="shared" si="14"/>
        <v>000539</v>
      </c>
      <c r="C928" s="30" t="s">
        <v>1109</v>
      </c>
      <c r="D928" s="31">
        <v>4.17</v>
      </c>
      <c r="E928" s="31">
        <v>0.24</v>
      </c>
      <c r="F928" s="31">
        <v>10649749000</v>
      </c>
    </row>
    <row r="929" spans="1:6" ht="15" thickBot="1" x14ac:dyDescent="0.2">
      <c r="A929" s="30" t="s">
        <v>9580</v>
      </c>
      <c r="B929" s="26" t="str">
        <f t="shared" si="14"/>
        <v>601137</v>
      </c>
      <c r="C929" s="30" t="s">
        <v>1995</v>
      </c>
      <c r="D929" s="31">
        <v>13.63</v>
      </c>
      <c r="E929" s="31">
        <v>0.67</v>
      </c>
      <c r="F929" s="31">
        <v>10633945000</v>
      </c>
    </row>
    <row r="930" spans="1:6" ht="15" thickBot="1" x14ac:dyDescent="0.2">
      <c r="A930" s="30" t="s">
        <v>9581</v>
      </c>
      <c r="B930" s="26" t="str">
        <f t="shared" si="14"/>
        <v>300458</v>
      </c>
      <c r="C930" s="30" t="s">
        <v>1670</v>
      </c>
      <c r="D930" s="31">
        <v>20.47</v>
      </c>
      <c r="E930" s="31">
        <v>0.28999999999999998</v>
      </c>
      <c r="F930" s="31">
        <v>10598256100</v>
      </c>
    </row>
    <row r="931" spans="1:6" ht="15" thickBot="1" x14ac:dyDescent="0.2">
      <c r="A931" s="30" t="s">
        <v>9582</v>
      </c>
      <c r="B931" s="26" t="str">
        <f t="shared" si="14"/>
        <v>688390</v>
      </c>
      <c r="C931" s="30" t="s">
        <v>1845</v>
      </c>
      <c r="D931" s="31">
        <v>43.65</v>
      </c>
      <c r="E931" s="31">
        <v>-4.2300000000000004</v>
      </c>
      <c r="F931" s="31">
        <v>10588896500</v>
      </c>
    </row>
    <row r="932" spans="1:6" ht="15" thickBot="1" x14ac:dyDescent="0.2">
      <c r="A932" s="30" t="s">
        <v>9583</v>
      </c>
      <c r="B932" s="26" t="str">
        <f t="shared" si="14"/>
        <v>600611</v>
      </c>
      <c r="C932" s="30" t="s">
        <v>1568</v>
      </c>
      <c r="D932" s="31">
        <v>6.76</v>
      </c>
      <c r="E932" s="31">
        <v>0</v>
      </c>
      <c r="F932" s="31">
        <v>10568018600</v>
      </c>
    </row>
    <row r="933" spans="1:6" ht="15" thickBot="1" x14ac:dyDescent="0.2">
      <c r="A933" s="30" t="s">
        <v>9584</v>
      </c>
      <c r="B933" s="26" t="str">
        <f t="shared" si="14"/>
        <v>002320</v>
      </c>
      <c r="C933" s="30" t="s">
        <v>2075</v>
      </c>
      <c r="D933" s="31">
        <v>4.7300000000000004</v>
      </c>
      <c r="E933" s="31">
        <v>-0.84</v>
      </c>
      <c r="F933" s="31">
        <v>10542854000</v>
      </c>
    </row>
    <row r="934" spans="1:6" ht="15" thickBot="1" x14ac:dyDescent="0.2">
      <c r="A934" s="30" t="s">
        <v>9585</v>
      </c>
      <c r="B934" s="26" t="str">
        <f t="shared" si="14"/>
        <v>600850</v>
      </c>
      <c r="C934" s="30" t="s">
        <v>1814</v>
      </c>
      <c r="D934" s="31">
        <v>17.32</v>
      </c>
      <c r="E934" s="31">
        <v>0.64</v>
      </c>
      <c r="F934" s="31">
        <v>10540951400</v>
      </c>
    </row>
    <row r="935" spans="1:6" ht="15" thickBot="1" x14ac:dyDescent="0.2">
      <c r="A935" s="30" t="s">
        <v>9586</v>
      </c>
      <c r="B935" s="26" t="str">
        <f t="shared" si="14"/>
        <v>300761</v>
      </c>
      <c r="C935" s="30" t="s">
        <v>1457</v>
      </c>
      <c r="D935" s="31">
        <v>17.39</v>
      </c>
      <c r="E935" s="31">
        <v>-1.03</v>
      </c>
      <c r="F935" s="31">
        <v>10519195200</v>
      </c>
    </row>
    <row r="936" spans="1:6" ht="15" thickBot="1" x14ac:dyDescent="0.2">
      <c r="A936" s="30" t="s">
        <v>9587</v>
      </c>
      <c r="B936" s="26" t="str">
        <f t="shared" si="14"/>
        <v>600667</v>
      </c>
      <c r="C936" s="30" t="s">
        <v>2020</v>
      </c>
      <c r="D936" s="31">
        <v>4.99</v>
      </c>
      <c r="E936" s="31">
        <v>-1.19</v>
      </c>
      <c r="F936" s="31">
        <v>10509889000</v>
      </c>
    </row>
    <row r="937" spans="1:6" ht="15" thickBot="1" x14ac:dyDescent="0.2">
      <c r="A937" s="30" t="s">
        <v>9588</v>
      </c>
      <c r="B937" s="26" t="str">
        <f t="shared" si="14"/>
        <v>002091</v>
      </c>
      <c r="C937" s="30" t="s">
        <v>2036</v>
      </c>
      <c r="D937" s="31">
        <v>6.57</v>
      </c>
      <c r="E937" s="31">
        <v>0.15</v>
      </c>
      <c r="F937" s="31">
        <v>10493810800</v>
      </c>
    </row>
    <row r="938" spans="1:6" ht="15" thickBot="1" x14ac:dyDescent="0.2">
      <c r="A938" s="30" t="s">
        <v>9589</v>
      </c>
      <c r="B938" s="26" t="str">
        <f t="shared" si="14"/>
        <v>002015</v>
      </c>
      <c r="C938" s="30" t="s">
        <v>1978</v>
      </c>
      <c r="D938" s="31">
        <v>6.46</v>
      </c>
      <c r="E938" s="31">
        <v>-1.97</v>
      </c>
      <c r="F938" s="31">
        <v>10486677000</v>
      </c>
    </row>
    <row r="939" spans="1:6" ht="15" thickBot="1" x14ac:dyDescent="0.2">
      <c r="A939" s="30" t="s">
        <v>9590</v>
      </c>
      <c r="B939" s="26" t="str">
        <f t="shared" si="14"/>
        <v>300475</v>
      </c>
      <c r="C939" s="30" t="s">
        <v>1941</v>
      </c>
      <c r="D939" s="31">
        <v>23.82</v>
      </c>
      <c r="E939" s="31">
        <v>-0.57999999999999996</v>
      </c>
      <c r="F939" s="31">
        <v>10486535100</v>
      </c>
    </row>
    <row r="940" spans="1:6" ht="15" thickBot="1" x14ac:dyDescent="0.2">
      <c r="A940" s="30" t="s">
        <v>9591</v>
      </c>
      <c r="B940" s="26" t="str">
        <f t="shared" si="14"/>
        <v>603733</v>
      </c>
      <c r="C940" s="30" t="s">
        <v>2018</v>
      </c>
      <c r="D940" s="31">
        <v>14.85</v>
      </c>
      <c r="E940" s="31">
        <v>-0.27</v>
      </c>
      <c r="F940" s="31">
        <v>10483736900</v>
      </c>
    </row>
    <row r="941" spans="1:6" ht="15" thickBot="1" x14ac:dyDescent="0.2">
      <c r="A941" s="30" t="s">
        <v>9592</v>
      </c>
      <c r="B941" s="26" t="str">
        <f t="shared" si="14"/>
        <v>300315</v>
      </c>
      <c r="C941" s="30" t="s">
        <v>1905</v>
      </c>
      <c r="D941" s="31">
        <v>4.04</v>
      </c>
      <c r="E941" s="31">
        <v>-1.22</v>
      </c>
      <c r="F941" s="31">
        <v>10480717300</v>
      </c>
    </row>
    <row r="942" spans="1:6" ht="15" thickBot="1" x14ac:dyDescent="0.2">
      <c r="A942" s="30" t="s">
        <v>9593</v>
      </c>
      <c r="B942" s="26" t="str">
        <f t="shared" si="14"/>
        <v>688200</v>
      </c>
      <c r="C942" s="30" t="s">
        <v>2055</v>
      </c>
      <c r="D942" s="31">
        <v>77.37</v>
      </c>
      <c r="E942" s="31">
        <v>-0.67</v>
      </c>
      <c r="F942" s="31">
        <v>10478948500</v>
      </c>
    </row>
    <row r="943" spans="1:6" ht="15" thickBot="1" x14ac:dyDescent="0.2">
      <c r="A943" s="30" t="s">
        <v>9594</v>
      </c>
      <c r="B943" s="26" t="str">
        <f t="shared" si="14"/>
        <v>000860</v>
      </c>
      <c r="C943" s="30" t="s">
        <v>2006</v>
      </c>
      <c r="D943" s="31">
        <v>14.12</v>
      </c>
      <c r="E943" s="31">
        <v>-1.26</v>
      </c>
      <c r="F943" s="31">
        <v>10473749900</v>
      </c>
    </row>
    <row r="944" spans="1:6" ht="15" thickBot="1" x14ac:dyDescent="0.2">
      <c r="A944" s="30" t="s">
        <v>9595</v>
      </c>
      <c r="B944" s="26" t="str">
        <f t="shared" si="14"/>
        <v>002668</v>
      </c>
      <c r="C944" s="30" t="s">
        <v>2145</v>
      </c>
      <c r="D944" s="31">
        <v>9.65</v>
      </c>
      <c r="E944" s="31">
        <v>5.93</v>
      </c>
      <c r="F944" s="31">
        <v>10461675300</v>
      </c>
    </row>
    <row r="945" spans="1:6" ht="15" thickBot="1" x14ac:dyDescent="0.2">
      <c r="A945" s="30" t="s">
        <v>9596</v>
      </c>
      <c r="B945" s="26" t="str">
        <f t="shared" si="14"/>
        <v>688561</v>
      </c>
      <c r="C945" s="30" t="s">
        <v>1538</v>
      </c>
      <c r="D945" s="31">
        <v>20.5</v>
      </c>
      <c r="E945" s="31">
        <v>-1.87</v>
      </c>
      <c r="F945" s="31">
        <v>10456203700</v>
      </c>
    </row>
    <row r="946" spans="1:6" ht="15" thickBot="1" x14ac:dyDescent="0.2">
      <c r="A946" s="30" t="s">
        <v>9597</v>
      </c>
      <c r="B946" s="26" t="str">
        <f t="shared" si="14"/>
        <v>001696</v>
      </c>
      <c r="C946" s="30" t="s">
        <v>1564</v>
      </c>
      <c r="D946" s="31">
        <v>11.73</v>
      </c>
      <c r="E946" s="31">
        <v>2.63</v>
      </c>
      <c r="F946" s="31">
        <v>10455415000</v>
      </c>
    </row>
    <row r="947" spans="1:6" ht="15" thickBot="1" x14ac:dyDescent="0.2">
      <c r="A947" s="30" t="s">
        <v>9598</v>
      </c>
      <c r="B947" s="26" t="str">
        <f t="shared" si="14"/>
        <v>603920</v>
      </c>
      <c r="C947" s="30" t="s">
        <v>1614</v>
      </c>
      <c r="D947" s="31">
        <v>19.329999999999998</v>
      </c>
      <c r="E947" s="31">
        <v>-4.54</v>
      </c>
      <c r="F947" s="31">
        <v>10450257500</v>
      </c>
    </row>
    <row r="948" spans="1:6" ht="15" thickBot="1" x14ac:dyDescent="0.2">
      <c r="A948" s="30" t="s">
        <v>9599</v>
      </c>
      <c r="B948" s="26" t="str">
        <f t="shared" si="14"/>
        <v>000029</v>
      </c>
      <c r="C948" s="30" t="s">
        <v>2123</v>
      </c>
      <c r="D948" s="31">
        <v>11.7</v>
      </c>
      <c r="E948" s="31">
        <v>2.9</v>
      </c>
      <c r="F948" s="31">
        <v>10432422000</v>
      </c>
    </row>
    <row r="949" spans="1:6" ht="15" thickBot="1" x14ac:dyDescent="0.2">
      <c r="A949" s="30" t="s">
        <v>9600</v>
      </c>
      <c r="B949" s="26" t="str">
        <f t="shared" si="14"/>
        <v>002312</v>
      </c>
      <c r="C949" s="30" t="s">
        <v>1501</v>
      </c>
      <c r="D949" s="31">
        <v>7.63</v>
      </c>
      <c r="E949" s="31">
        <v>1.73</v>
      </c>
      <c r="F949" s="31">
        <v>10429575300</v>
      </c>
    </row>
    <row r="950" spans="1:6" ht="15" thickBot="1" x14ac:dyDescent="0.2">
      <c r="A950" s="30" t="s">
        <v>9601</v>
      </c>
      <c r="B950" s="26" t="str">
        <f t="shared" si="14"/>
        <v>600623</v>
      </c>
      <c r="C950" s="30" t="s">
        <v>1909</v>
      </c>
      <c r="D950" s="31">
        <v>5.58</v>
      </c>
      <c r="E950" s="31">
        <v>0.36</v>
      </c>
      <c r="F950" s="31">
        <v>10391057900</v>
      </c>
    </row>
    <row r="951" spans="1:6" ht="15" thickBot="1" x14ac:dyDescent="0.2">
      <c r="A951" s="30" t="s">
        <v>9602</v>
      </c>
      <c r="B951" s="26" t="str">
        <f t="shared" si="14"/>
        <v>600057</v>
      </c>
      <c r="C951" s="30" t="s">
        <v>2028</v>
      </c>
      <c r="D951" s="31">
        <v>4.74</v>
      </c>
      <c r="E951" s="31">
        <v>1.07</v>
      </c>
      <c r="F951" s="31">
        <v>10390601300</v>
      </c>
    </row>
    <row r="952" spans="1:6" ht="15" thickBot="1" x14ac:dyDescent="0.2">
      <c r="A952" s="30" t="s">
        <v>9603</v>
      </c>
      <c r="B952" s="26" t="str">
        <f t="shared" si="14"/>
        <v>688017</v>
      </c>
      <c r="C952" s="30" t="s">
        <v>2010</v>
      </c>
      <c r="D952" s="31">
        <v>61.43</v>
      </c>
      <c r="E952" s="31">
        <v>1.1000000000000001</v>
      </c>
      <c r="F952" s="31">
        <v>10367164400</v>
      </c>
    </row>
    <row r="953" spans="1:6" ht="15" thickBot="1" x14ac:dyDescent="0.2">
      <c r="A953" s="30" t="s">
        <v>9604</v>
      </c>
      <c r="B953" s="26" t="str">
        <f t="shared" si="14"/>
        <v>002506</v>
      </c>
      <c r="C953" s="30" t="s">
        <v>2049</v>
      </c>
      <c r="D953" s="31">
        <v>1.77</v>
      </c>
      <c r="E953" s="31">
        <v>-1.1200000000000001</v>
      </c>
      <c r="F953" s="31">
        <v>10351687600</v>
      </c>
    </row>
    <row r="954" spans="1:6" ht="15" thickBot="1" x14ac:dyDescent="0.2">
      <c r="A954" s="30" t="s">
        <v>9605</v>
      </c>
      <c r="B954" s="26" t="str">
        <f t="shared" si="14"/>
        <v>603515</v>
      </c>
      <c r="C954" s="30" t="s">
        <v>2041</v>
      </c>
      <c r="D954" s="31">
        <v>13.97</v>
      </c>
      <c r="E954" s="31">
        <v>1.0900000000000001</v>
      </c>
      <c r="F954" s="31">
        <v>10346964000</v>
      </c>
    </row>
    <row r="955" spans="1:6" ht="15" thickBot="1" x14ac:dyDescent="0.2">
      <c r="A955" s="30" t="s">
        <v>9606</v>
      </c>
      <c r="B955" s="26" t="str">
        <f t="shared" si="14"/>
        <v>600718</v>
      </c>
      <c r="C955" s="30" t="s">
        <v>2111</v>
      </c>
      <c r="D955" s="31">
        <v>8.59</v>
      </c>
      <c r="E955" s="31">
        <v>1.06</v>
      </c>
      <c r="F955" s="31">
        <v>10339812800</v>
      </c>
    </row>
    <row r="956" spans="1:6" ht="15" thickBot="1" x14ac:dyDescent="0.2">
      <c r="A956" s="30" t="s">
        <v>9607</v>
      </c>
      <c r="B956" s="26" t="str">
        <f t="shared" si="14"/>
        <v>002222</v>
      </c>
      <c r="C956" s="30" t="s">
        <v>2097</v>
      </c>
      <c r="D956" s="31">
        <v>22.05</v>
      </c>
      <c r="E956" s="31">
        <v>3.13</v>
      </c>
      <c r="F956" s="31">
        <v>10322745300</v>
      </c>
    </row>
    <row r="957" spans="1:6" ht="15" thickBot="1" x14ac:dyDescent="0.2">
      <c r="A957" s="30" t="s">
        <v>9608</v>
      </c>
      <c r="B957" s="26" t="str">
        <f t="shared" si="14"/>
        <v>600757</v>
      </c>
      <c r="C957" s="30" t="s">
        <v>2016</v>
      </c>
      <c r="D957" s="31">
        <v>8.5</v>
      </c>
      <c r="E957" s="31">
        <v>-1.73</v>
      </c>
      <c r="F957" s="31">
        <v>10314725400</v>
      </c>
    </row>
    <row r="958" spans="1:6" ht="15" thickBot="1" x14ac:dyDescent="0.2">
      <c r="A958" s="30" t="s">
        <v>9609</v>
      </c>
      <c r="B958" s="26" t="str">
        <f t="shared" si="14"/>
        <v>000410</v>
      </c>
      <c r="C958" s="30" t="s">
        <v>1772</v>
      </c>
      <c r="D958" s="31">
        <v>6.12</v>
      </c>
      <c r="E958" s="31">
        <v>-1.45</v>
      </c>
      <c r="F958" s="31">
        <v>10287205600</v>
      </c>
    </row>
    <row r="959" spans="1:6" ht="15" thickBot="1" x14ac:dyDescent="0.2">
      <c r="A959" s="30" t="s">
        <v>9610</v>
      </c>
      <c r="B959" s="26" t="str">
        <f t="shared" si="14"/>
        <v>601949</v>
      </c>
      <c r="C959" s="30" t="s">
        <v>2030</v>
      </c>
      <c r="D959" s="31">
        <v>5.64</v>
      </c>
      <c r="E959" s="31">
        <v>-1.23</v>
      </c>
      <c r="F959" s="31">
        <v>10278900000</v>
      </c>
    </row>
    <row r="960" spans="1:6" ht="15" thickBot="1" x14ac:dyDescent="0.2">
      <c r="A960" s="30" t="s">
        <v>9611</v>
      </c>
      <c r="B960" s="26" t="str">
        <f t="shared" si="14"/>
        <v>601718</v>
      </c>
      <c r="C960" s="30" t="s">
        <v>2113</v>
      </c>
      <c r="D960" s="31">
        <v>2.34</v>
      </c>
      <c r="E960" s="31">
        <v>-0.85</v>
      </c>
      <c r="F960" s="31">
        <v>10276412800</v>
      </c>
    </row>
    <row r="961" spans="1:6" ht="15" thickBot="1" x14ac:dyDescent="0.2">
      <c r="A961" s="30" t="s">
        <v>9612</v>
      </c>
      <c r="B961" s="26" t="str">
        <f t="shared" si="14"/>
        <v>600971</v>
      </c>
      <c r="C961" s="30" t="s">
        <v>2115</v>
      </c>
      <c r="D961" s="31">
        <v>8.56</v>
      </c>
      <c r="E961" s="31">
        <v>1.42</v>
      </c>
      <c r="F961" s="31">
        <v>10272041800</v>
      </c>
    </row>
    <row r="962" spans="1:6" ht="15" thickBot="1" x14ac:dyDescent="0.2">
      <c r="A962" s="30" t="s">
        <v>9613</v>
      </c>
      <c r="B962" s="26" t="str">
        <f t="shared" si="14"/>
        <v>600211</v>
      </c>
      <c r="C962" s="30" t="s">
        <v>2047</v>
      </c>
      <c r="D962" s="31">
        <v>31.86</v>
      </c>
      <c r="E962" s="31">
        <v>0.13</v>
      </c>
      <c r="F962" s="31">
        <v>10269089600</v>
      </c>
    </row>
    <row r="963" spans="1:6" ht="15" thickBot="1" x14ac:dyDescent="0.2">
      <c r="A963" s="30" t="s">
        <v>9614</v>
      </c>
      <c r="B963" s="26" t="str">
        <f t="shared" ref="B963:B1026" si="15">LEFT(A963,6)</f>
        <v>002705</v>
      </c>
      <c r="C963" s="30" t="s">
        <v>2083</v>
      </c>
      <c r="D963" s="31">
        <v>12.68</v>
      </c>
      <c r="E963" s="31">
        <v>1.77</v>
      </c>
      <c r="F963" s="31">
        <v>10247486600</v>
      </c>
    </row>
    <row r="964" spans="1:6" ht="15" thickBot="1" x14ac:dyDescent="0.2">
      <c r="A964" s="30" t="s">
        <v>9615</v>
      </c>
      <c r="B964" s="26" t="str">
        <f t="shared" si="15"/>
        <v>688772</v>
      </c>
      <c r="C964" s="30" t="s">
        <v>9616</v>
      </c>
      <c r="D964" s="31">
        <v>13.3</v>
      </c>
      <c r="E964" s="31">
        <v>-4.8</v>
      </c>
      <c r="F964" s="31">
        <v>10243053100</v>
      </c>
    </row>
    <row r="965" spans="1:6" ht="15" thickBot="1" x14ac:dyDescent="0.2">
      <c r="A965" s="30" t="s">
        <v>9617</v>
      </c>
      <c r="B965" s="26" t="str">
        <f t="shared" si="15"/>
        <v>600552</v>
      </c>
      <c r="C965" s="30" t="s">
        <v>1829</v>
      </c>
      <c r="D965" s="31">
        <v>10.83</v>
      </c>
      <c r="E965" s="31">
        <v>-0.28000000000000003</v>
      </c>
      <c r="F965" s="31">
        <v>10230092700</v>
      </c>
    </row>
    <row r="966" spans="1:6" ht="15" thickBot="1" x14ac:dyDescent="0.2">
      <c r="A966" s="30" t="s">
        <v>9618</v>
      </c>
      <c r="B966" s="26" t="str">
        <f t="shared" si="15"/>
        <v>688475</v>
      </c>
      <c r="C966" s="30" t="s">
        <v>9619</v>
      </c>
      <c r="D966" s="31">
        <v>25.25</v>
      </c>
      <c r="E966" s="31">
        <v>2.4300000000000002</v>
      </c>
      <c r="F966" s="31">
        <v>10220568800</v>
      </c>
    </row>
    <row r="967" spans="1:6" ht="15" thickBot="1" x14ac:dyDescent="0.2">
      <c r="A967" s="30" t="s">
        <v>9620</v>
      </c>
      <c r="B967" s="26" t="str">
        <f t="shared" si="15"/>
        <v>603283</v>
      </c>
      <c r="C967" s="30" t="s">
        <v>1935</v>
      </c>
      <c r="D967" s="31">
        <v>53.75</v>
      </c>
      <c r="E967" s="31">
        <v>-5.45</v>
      </c>
      <c r="F967" s="31">
        <v>10217157300</v>
      </c>
    </row>
    <row r="968" spans="1:6" ht="15" thickBot="1" x14ac:dyDescent="0.2">
      <c r="A968" s="30" t="s">
        <v>9621</v>
      </c>
      <c r="B968" s="26" t="str">
        <f t="shared" si="15"/>
        <v>003006</v>
      </c>
      <c r="C968" s="30" t="s">
        <v>2156</v>
      </c>
      <c r="D968" s="31">
        <v>23.8</v>
      </c>
      <c r="E968" s="31">
        <v>2.1</v>
      </c>
      <c r="F968" s="31">
        <v>10201784100</v>
      </c>
    </row>
    <row r="969" spans="1:6" ht="15" thickBot="1" x14ac:dyDescent="0.2">
      <c r="A969" s="30" t="s">
        <v>9622</v>
      </c>
      <c r="B969" s="26" t="str">
        <f t="shared" si="15"/>
        <v>600461</v>
      </c>
      <c r="C969" s="30" t="s">
        <v>1953</v>
      </c>
      <c r="D969" s="31">
        <v>8.64</v>
      </c>
      <c r="E969" s="31">
        <v>-1.82</v>
      </c>
      <c r="F969" s="31">
        <v>10191614400</v>
      </c>
    </row>
    <row r="970" spans="1:6" ht="15" thickBot="1" x14ac:dyDescent="0.2">
      <c r="A970" s="30" t="s">
        <v>9623</v>
      </c>
      <c r="B970" s="26" t="str">
        <f t="shared" si="15"/>
        <v>600572</v>
      </c>
      <c r="C970" s="30" t="s">
        <v>2091</v>
      </c>
      <c r="D970" s="31">
        <v>3.97</v>
      </c>
      <c r="E970" s="31">
        <v>-0.25</v>
      </c>
      <c r="F970" s="31">
        <v>10176283000</v>
      </c>
    </row>
    <row r="971" spans="1:6" ht="15" thickBot="1" x14ac:dyDescent="0.2">
      <c r="A971" s="30" t="s">
        <v>9624</v>
      </c>
      <c r="B971" s="26" t="str">
        <f t="shared" si="15"/>
        <v>300677</v>
      </c>
      <c r="C971" s="30" t="s">
        <v>1220</v>
      </c>
      <c r="D971" s="31">
        <v>21.7</v>
      </c>
      <c r="E971" s="31">
        <v>-20.02</v>
      </c>
      <c r="F971" s="31">
        <v>10175798900</v>
      </c>
    </row>
    <row r="972" spans="1:6" ht="15" thickBot="1" x14ac:dyDescent="0.2">
      <c r="A972" s="30" t="s">
        <v>9625</v>
      </c>
      <c r="B972" s="26" t="str">
        <f t="shared" si="15"/>
        <v>002407</v>
      </c>
      <c r="C972" s="30" t="s">
        <v>1827</v>
      </c>
      <c r="D972" s="31">
        <v>9.4</v>
      </c>
      <c r="E972" s="31">
        <v>-1.47</v>
      </c>
      <c r="F972" s="31">
        <v>10154957000</v>
      </c>
    </row>
    <row r="973" spans="1:6" ht="15" thickBot="1" x14ac:dyDescent="0.2">
      <c r="A973" s="30" t="s">
        <v>9626</v>
      </c>
      <c r="B973" s="26" t="str">
        <f t="shared" si="15"/>
        <v>600395</v>
      </c>
      <c r="C973" s="30" t="s">
        <v>2039</v>
      </c>
      <c r="D973" s="31">
        <v>4.7300000000000004</v>
      </c>
      <c r="E973" s="31">
        <v>-0.84</v>
      </c>
      <c r="F973" s="31">
        <v>10153535700</v>
      </c>
    </row>
    <row r="974" spans="1:6" ht="15" thickBot="1" x14ac:dyDescent="0.2">
      <c r="A974" s="30" t="s">
        <v>9627</v>
      </c>
      <c r="B974" s="26" t="str">
        <f t="shared" si="15"/>
        <v>600602</v>
      </c>
      <c r="C974" s="30" t="s">
        <v>1931</v>
      </c>
      <c r="D974" s="31">
        <v>9.4499999999999993</v>
      </c>
      <c r="E974" s="31">
        <v>-0.84</v>
      </c>
      <c r="F974" s="31">
        <v>10152163300</v>
      </c>
    </row>
    <row r="975" spans="1:6" ht="15" thickBot="1" x14ac:dyDescent="0.2">
      <c r="A975" s="30" t="s">
        <v>9628</v>
      </c>
      <c r="B975" s="26" t="str">
        <f t="shared" si="15"/>
        <v>603277</v>
      </c>
      <c r="C975" s="30" t="s">
        <v>2061</v>
      </c>
      <c r="D975" s="31">
        <v>24.14</v>
      </c>
      <c r="E975" s="31">
        <v>0.46</v>
      </c>
      <c r="F975" s="31">
        <v>10151220000</v>
      </c>
    </row>
    <row r="976" spans="1:6" ht="15" thickBot="1" x14ac:dyDescent="0.2">
      <c r="A976" s="30" t="s">
        <v>9629</v>
      </c>
      <c r="B976" s="26" t="str">
        <f t="shared" si="15"/>
        <v>688018</v>
      </c>
      <c r="C976" s="30" t="s">
        <v>2077</v>
      </c>
      <c r="D976" s="31">
        <v>90.4</v>
      </c>
      <c r="E976" s="31">
        <v>-1.53</v>
      </c>
      <c r="F976" s="31">
        <v>10142919000</v>
      </c>
    </row>
    <row r="977" spans="1:6" ht="15" thickBot="1" x14ac:dyDescent="0.2">
      <c r="A977" s="30" t="s">
        <v>9630</v>
      </c>
      <c r="B977" s="26" t="str">
        <f t="shared" si="15"/>
        <v>301358</v>
      </c>
      <c r="C977" s="30" t="s">
        <v>9631</v>
      </c>
      <c r="D977" s="31">
        <v>26.4</v>
      </c>
      <c r="E977" s="31">
        <v>-1.05</v>
      </c>
      <c r="F977" s="31">
        <v>10122635100</v>
      </c>
    </row>
    <row r="978" spans="1:6" ht="15" thickBot="1" x14ac:dyDescent="0.2">
      <c r="A978" s="30" t="s">
        <v>9632</v>
      </c>
      <c r="B978" s="26" t="str">
        <f t="shared" si="15"/>
        <v>002268</v>
      </c>
      <c r="C978" s="30" t="s">
        <v>2087</v>
      </c>
      <c r="D978" s="31">
        <v>12</v>
      </c>
      <c r="E978" s="31">
        <v>0.17</v>
      </c>
      <c r="F978" s="31">
        <v>10119355900</v>
      </c>
    </row>
    <row r="979" spans="1:6" ht="15" thickBot="1" x14ac:dyDescent="0.2">
      <c r="A979" s="30" t="s">
        <v>9633</v>
      </c>
      <c r="B979" s="26" t="str">
        <f t="shared" si="15"/>
        <v>002847</v>
      </c>
      <c r="C979" s="30" t="s">
        <v>1951</v>
      </c>
      <c r="D979" s="31">
        <v>41.15</v>
      </c>
      <c r="E979" s="31">
        <v>2.93</v>
      </c>
      <c r="F979" s="31">
        <v>10114655100</v>
      </c>
    </row>
    <row r="980" spans="1:6" ht="15" thickBot="1" x14ac:dyDescent="0.2">
      <c r="A980" s="30" t="s">
        <v>9634</v>
      </c>
      <c r="B980" s="26" t="str">
        <f t="shared" si="15"/>
        <v>688166</v>
      </c>
      <c r="C980" s="30" t="s">
        <v>2137</v>
      </c>
      <c r="D980" s="31">
        <v>23.93</v>
      </c>
      <c r="E980" s="31">
        <v>4.04</v>
      </c>
      <c r="F980" s="31">
        <v>10109624800</v>
      </c>
    </row>
    <row r="981" spans="1:6" ht="15" thickBot="1" x14ac:dyDescent="0.2">
      <c r="A981" s="30" t="s">
        <v>9635</v>
      </c>
      <c r="B981" s="26" t="str">
        <f t="shared" si="15"/>
        <v>002484</v>
      </c>
      <c r="C981" s="30" t="s">
        <v>1984</v>
      </c>
      <c r="D981" s="31">
        <v>12.32</v>
      </c>
      <c r="E981" s="31">
        <v>-0.73</v>
      </c>
      <c r="F981" s="31">
        <v>10105196800</v>
      </c>
    </row>
    <row r="982" spans="1:6" ht="15" thickBot="1" x14ac:dyDescent="0.2">
      <c r="A982" s="30" t="s">
        <v>9636</v>
      </c>
      <c r="B982" s="26" t="str">
        <f t="shared" si="15"/>
        <v>600328</v>
      </c>
      <c r="C982" s="30" t="s">
        <v>2066</v>
      </c>
      <c r="D982" s="31">
        <v>6.9</v>
      </c>
      <c r="E982" s="31">
        <v>-2.13</v>
      </c>
      <c r="F982" s="31">
        <v>10079356600</v>
      </c>
    </row>
    <row r="983" spans="1:6" ht="15" thickBot="1" x14ac:dyDescent="0.2">
      <c r="A983" s="30" t="s">
        <v>9637</v>
      </c>
      <c r="B983" s="26" t="str">
        <f t="shared" si="15"/>
        <v>603883</v>
      </c>
      <c r="C983" s="30" t="s">
        <v>1802</v>
      </c>
      <c r="D983" s="31">
        <v>13.28</v>
      </c>
      <c r="E983" s="31">
        <v>2.5499999999999998</v>
      </c>
      <c r="F983" s="31">
        <v>10065134200</v>
      </c>
    </row>
    <row r="984" spans="1:6" ht="15" thickBot="1" x14ac:dyDescent="0.2">
      <c r="A984" s="30" t="s">
        <v>9638</v>
      </c>
      <c r="B984" s="26" t="str">
        <f t="shared" si="15"/>
        <v>600597</v>
      </c>
      <c r="C984" s="30" t="s">
        <v>2099</v>
      </c>
      <c r="D984" s="31">
        <v>7.29</v>
      </c>
      <c r="E984" s="31">
        <v>-1.62</v>
      </c>
      <c r="F984" s="31">
        <v>10048939600</v>
      </c>
    </row>
    <row r="985" spans="1:6" ht="15" thickBot="1" x14ac:dyDescent="0.2">
      <c r="A985" s="30" t="s">
        <v>9639</v>
      </c>
      <c r="B985" s="26" t="str">
        <f t="shared" si="15"/>
        <v>002563</v>
      </c>
      <c r="C985" s="30" t="s">
        <v>1789</v>
      </c>
      <c r="D985" s="31">
        <v>4.55</v>
      </c>
      <c r="E985" s="31">
        <v>1.1100000000000001</v>
      </c>
      <c r="F985" s="31">
        <v>10048412600</v>
      </c>
    </row>
    <row r="986" spans="1:6" ht="15" thickBot="1" x14ac:dyDescent="0.2">
      <c r="A986" s="30" t="s">
        <v>9640</v>
      </c>
      <c r="B986" s="26" t="str">
        <f t="shared" si="15"/>
        <v>002373</v>
      </c>
      <c r="C986" s="30" t="s">
        <v>1821</v>
      </c>
      <c r="D986" s="31">
        <v>7.28</v>
      </c>
      <c r="E986" s="31">
        <v>-0.82</v>
      </c>
      <c r="F986" s="31">
        <v>10028885200</v>
      </c>
    </row>
    <row r="987" spans="1:6" ht="15" thickBot="1" x14ac:dyDescent="0.2">
      <c r="A987" s="30" t="s">
        <v>9641</v>
      </c>
      <c r="B987" s="26" t="str">
        <f t="shared" si="15"/>
        <v>300212</v>
      </c>
      <c r="C987" s="30" t="s">
        <v>2057</v>
      </c>
      <c r="D987" s="31">
        <v>14.29</v>
      </c>
      <c r="E987" s="31">
        <v>-1.31</v>
      </c>
      <c r="F987" s="31">
        <v>9974893600</v>
      </c>
    </row>
    <row r="988" spans="1:6" ht="15" thickBot="1" x14ac:dyDescent="0.2">
      <c r="A988" s="30" t="s">
        <v>9642</v>
      </c>
      <c r="B988" s="26" t="str">
        <f t="shared" si="15"/>
        <v>600633</v>
      </c>
      <c r="C988" s="30" t="s">
        <v>2093</v>
      </c>
      <c r="D988" s="31">
        <v>7.88</v>
      </c>
      <c r="E988" s="31">
        <v>-1.25</v>
      </c>
      <c r="F988" s="31">
        <v>9973956500</v>
      </c>
    </row>
    <row r="989" spans="1:6" ht="15" thickBot="1" x14ac:dyDescent="0.2">
      <c r="A989" s="30" t="s">
        <v>9643</v>
      </c>
      <c r="B989" s="26" t="str">
        <f t="shared" si="15"/>
        <v>300034</v>
      </c>
      <c r="C989" s="30" t="s">
        <v>2081</v>
      </c>
      <c r="D989" s="31">
        <v>13</v>
      </c>
      <c r="E989" s="31">
        <v>-0.08</v>
      </c>
      <c r="F989" s="31">
        <v>9963055500</v>
      </c>
    </row>
    <row r="990" spans="1:6" ht="15" thickBot="1" x14ac:dyDescent="0.2">
      <c r="A990" s="30" t="s">
        <v>9644</v>
      </c>
      <c r="B990" s="26" t="str">
        <f t="shared" si="15"/>
        <v>002755</v>
      </c>
      <c r="C990" s="30" t="s">
        <v>2121</v>
      </c>
      <c r="D990" s="31">
        <v>10.72</v>
      </c>
      <c r="E990" s="31">
        <v>-0.83</v>
      </c>
      <c r="F990" s="31">
        <v>9949784900</v>
      </c>
    </row>
    <row r="991" spans="1:6" ht="15" thickBot="1" x14ac:dyDescent="0.2">
      <c r="A991" s="30" t="s">
        <v>9645</v>
      </c>
      <c r="B991" s="26" t="str">
        <f t="shared" si="15"/>
        <v>600821</v>
      </c>
      <c r="C991" s="30" t="s">
        <v>2154</v>
      </c>
      <c r="D991" s="31">
        <v>4.97</v>
      </c>
      <c r="E991" s="31">
        <v>-0.6</v>
      </c>
      <c r="F991" s="31">
        <v>9926399400</v>
      </c>
    </row>
    <row r="992" spans="1:6" ht="15" thickBot="1" x14ac:dyDescent="0.2">
      <c r="A992" s="30" t="s">
        <v>9646</v>
      </c>
      <c r="B992" s="26" t="str">
        <f t="shared" si="15"/>
        <v>002151</v>
      </c>
      <c r="C992" s="30" t="s">
        <v>1781</v>
      </c>
      <c r="D992" s="31">
        <v>22.48</v>
      </c>
      <c r="E992" s="31">
        <v>0.09</v>
      </c>
      <c r="F992" s="31">
        <v>9925821900</v>
      </c>
    </row>
    <row r="993" spans="1:6" ht="15" thickBot="1" x14ac:dyDescent="0.2">
      <c r="A993" s="30" t="s">
        <v>9647</v>
      </c>
      <c r="B993" s="26" t="str">
        <f t="shared" si="15"/>
        <v>000688</v>
      </c>
      <c r="C993" s="30" t="s">
        <v>2135</v>
      </c>
      <c r="D993" s="31">
        <v>8.8800000000000008</v>
      </c>
      <c r="E993" s="31">
        <v>-0.11</v>
      </c>
      <c r="F993" s="31">
        <v>9925127500</v>
      </c>
    </row>
    <row r="994" spans="1:6" ht="15" thickBot="1" x14ac:dyDescent="0.2">
      <c r="A994" s="30" t="s">
        <v>9648</v>
      </c>
      <c r="B994" s="26" t="str">
        <f t="shared" si="15"/>
        <v>688516</v>
      </c>
      <c r="C994" s="30" t="s">
        <v>1976</v>
      </c>
      <c r="D994" s="31">
        <v>34.130000000000003</v>
      </c>
      <c r="E994" s="31">
        <v>-2.46</v>
      </c>
      <c r="F994" s="31">
        <v>9905920300</v>
      </c>
    </row>
    <row r="995" spans="1:6" ht="15" thickBot="1" x14ac:dyDescent="0.2">
      <c r="A995" s="30" t="s">
        <v>9649</v>
      </c>
      <c r="B995" s="26" t="str">
        <f t="shared" si="15"/>
        <v>000810</v>
      </c>
      <c r="C995" s="30" t="s">
        <v>1992</v>
      </c>
      <c r="D995" s="31">
        <v>8.85</v>
      </c>
      <c r="E995" s="31">
        <v>-2.21</v>
      </c>
      <c r="F995" s="31">
        <v>9890686100</v>
      </c>
    </row>
    <row r="996" spans="1:6" ht="15" thickBot="1" x14ac:dyDescent="0.2">
      <c r="A996" s="30" t="s">
        <v>9650</v>
      </c>
      <c r="B996" s="26" t="str">
        <f t="shared" si="15"/>
        <v>603888</v>
      </c>
      <c r="C996" s="30" t="s">
        <v>2133</v>
      </c>
      <c r="D996" s="31">
        <v>19.05</v>
      </c>
      <c r="E996" s="31">
        <v>-0.52</v>
      </c>
      <c r="F996" s="31">
        <v>9887509300</v>
      </c>
    </row>
    <row r="997" spans="1:6" ht="15" thickBot="1" x14ac:dyDescent="0.2">
      <c r="A997" s="30" t="s">
        <v>9651</v>
      </c>
      <c r="B997" s="26" t="str">
        <f t="shared" si="15"/>
        <v>600864</v>
      </c>
      <c r="C997" s="30" t="s">
        <v>2194</v>
      </c>
      <c r="D997" s="31">
        <v>4.75</v>
      </c>
      <c r="E997" s="31">
        <v>0.64</v>
      </c>
      <c r="F997" s="31">
        <v>9882710000</v>
      </c>
    </row>
    <row r="998" spans="1:6" ht="15" thickBot="1" x14ac:dyDescent="0.2">
      <c r="A998" s="30" t="s">
        <v>9652</v>
      </c>
      <c r="B998" s="26" t="str">
        <f t="shared" si="15"/>
        <v>000035</v>
      </c>
      <c r="C998" s="30" t="s">
        <v>2064</v>
      </c>
      <c r="D998" s="31">
        <v>4.03</v>
      </c>
      <c r="E998" s="31">
        <v>-1.23</v>
      </c>
      <c r="F998" s="31">
        <v>9873125200</v>
      </c>
    </row>
    <row r="999" spans="1:6" ht="15" thickBot="1" x14ac:dyDescent="0.2">
      <c r="A999" s="30" t="s">
        <v>9653</v>
      </c>
      <c r="B999" s="26" t="str">
        <f t="shared" si="15"/>
        <v>002075</v>
      </c>
      <c r="C999" s="30" t="s">
        <v>1990</v>
      </c>
      <c r="D999" s="31">
        <v>4.5</v>
      </c>
      <c r="E999" s="31">
        <v>-4.46</v>
      </c>
      <c r="F999" s="31">
        <v>9872198600</v>
      </c>
    </row>
    <row r="1000" spans="1:6" ht="15" thickBot="1" x14ac:dyDescent="0.2">
      <c r="A1000" s="30" t="s">
        <v>9654</v>
      </c>
      <c r="B1000" s="26" t="str">
        <f t="shared" si="15"/>
        <v>600399</v>
      </c>
      <c r="C1000" s="30" t="s">
        <v>2127</v>
      </c>
      <c r="D1000" s="31">
        <v>5</v>
      </c>
      <c r="E1000" s="31">
        <v>-1.77</v>
      </c>
      <c r="F1000" s="31">
        <v>9860500000</v>
      </c>
    </row>
    <row r="1001" spans="1:6" ht="15" thickBot="1" x14ac:dyDescent="0.2">
      <c r="A1001" s="30" t="s">
        <v>9655</v>
      </c>
      <c r="B1001" s="26" t="str">
        <f t="shared" si="15"/>
        <v>688016</v>
      </c>
      <c r="C1001" s="30" t="s">
        <v>2095</v>
      </c>
      <c r="D1001" s="31">
        <v>79.849999999999994</v>
      </c>
      <c r="E1001" s="31">
        <v>-1.07</v>
      </c>
      <c r="F1001" s="31">
        <v>9842480000</v>
      </c>
    </row>
    <row r="1002" spans="1:6" ht="15" thickBot="1" x14ac:dyDescent="0.2">
      <c r="A1002" s="30" t="s">
        <v>9656</v>
      </c>
      <c r="B1002" s="26" t="str">
        <f t="shared" si="15"/>
        <v>688289</v>
      </c>
      <c r="C1002" s="30" t="s">
        <v>2152</v>
      </c>
      <c r="D1002" s="31">
        <v>16.850000000000001</v>
      </c>
      <c r="E1002" s="31">
        <v>-1.29</v>
      </c>
      <c r="F1002" s="31">
        <v>9830087900</v>
      </c>
    </row>
    <row r="1003" spans="1:6" ht="15" thickBot="1" x14ac:dyDescent="0.2">
      <c r="A1003" s="30" t="s">
        <v>9657</v>
      </c>
      <c r="B1003" s="26" t="str">
        <f t="shared" si="15"/>
        <v>000156</v>
      </c>
      <c r="C1003" s="30" t="s">
        <v>1897</v>
      </c>
      <c r="D1003" s="31">
        <v>6.05</v>
      </c>
      <c r="E1003" s="31">
        <v>-1.47</v>
      </c>
      <c r="F1003" s="31">
        <v>9828831800</v>
      </c>
    </row>
    <row r="1004" spans="1:6" ht="15" thickBot="1" x14ac:dyDescent="0.2">
      <c r="A1004" s="30" t="s">
        <v>9658</v>
      </c>
      <c r="B1004" s="26" t="str">
        <f t="shared" si="15"/>
        <v>000582</v>
      </c>
      <c r="C1004" s="30" t="s">
        <v>1406</v>
      </c>
      <c r="D1004" s="31">
        <v>6.95</v>
      </c>
      <c r="E1004" s="31">
        <v>1.02</v>
      </c>
      <c r="F1004" s="31">
        <v>9809610900</v>
      </c>
    </row>
    <row r="1005" spans="1:6" ht="15" thickBot="1" x14ac:dyDescent="0.2">
      <c r="A1005" s="30" t="s">
        <v>9659</v>
      </c>
      <c r="B1005" s="26" t="str">
        <f t="shared" si="15"/>
        <v>600273</v>
      </c>
      <c r="C1005" s="30" t="s">
        <v>2160</v>
      </c>
      <c r="D1005" s="31">
        <v>7.04</v>
      </c>
      <c r="E1005" s="31">
        <v>-0.28000000000000003</v>
      </c>
      <c r="F1005" s="31">
        <v>9792958300</v>
      </c>
    </row>
    <row r="1006" spans="1:6" ht="15" thickBot="1" x14ac:dyDescent="0.2">
      <c r="A1006" s="30" t="s">
        <v>9660</v>
      </c>
      <c r="B1006" s="26" t="str">
        <f t="shared" si="15"/>
        <v>002287</v>
      </c>
      <c r="C1006" s="30" t="s">
        <v>2164</v>
      </c>
      <c r="D1006" s="31">
        <v>18.46</v>
      </c>
      <c r="E1006" s="31">
        <v>-0.91</v>
      </c>
      <c r="F1006" s="31">
        <v>9764809500</v>
      </c>
    </row>
    <row r="1007" spans="1:6" ht="15" thickBot="1" x14ac:dyDescent="0.2">
      <c r="A1007" s="30" t="s">
        <v>9661</v>
      </c>
      <c r="B1007" s="26" t="str">
        <f t="shared" si="15"/>
        <v>601200</v>
      </c>
      <c r="C1007" s="30" t="s">
        <v>2196</v>
      </c>
      <c r="D1007" s="31">
        <v>7.24</v>
      </c>
      <c r="E1007" s="31">
        <v>-2.4300000000000002</v>
      </c>
      <c r="F1007" s="31">
        <v>9746707000</v>
      </c>
    </row>
    <row r="1008" spans="1:6" ht="15" thickBot="1" x14ac:dyDescent="0.2">
      <c r="A1008" s="30" t="s">
        <v>9662</v>
      </c>
      <c r="B1008" s="26" t="str">
        <f t="shared" si="15"/>
        <v>000012</v>
      </c>
      <c r="C1008" s="30" t="s">
        <v>1864</v>
      </c>
      <c r="D1008" s="31">
        <v>4.97</v>
      </c>
      <c r="E1008" s="31">
        <v>0.81</v>
      </c>
      <c r="F1008" s="31">
        <v>9737619800</v>
      </c>
    </row>
    <row r="1009" spans="1:6" ht="15" thickBot="1" x14ac:dyDescent="0.2">
      <c r="A1009" s="30" t="s">
        <v>9663</v>
      </c>
      <c r="B1009" s="26" t="str">
        <f t="shared" si="15"/>
        <v>000547</v>
      </c>
      <c r="C1009" s="30" t="s">
        <v>2180</v>
      </c>
      <c r="D1009" s="31">
        <v>6.13</v>
      </c>
      <c r="E1009" s="31">
        <v>-0.16</v>
      </c>
      <c r="F1009" s="31">
        <v>9736589800</v>
      </c>
    </row>
    <row r="1010" spans="1:6" ht="15" thickBot="1" x14ac:dyDescent="0.2">
      <c r="A1010" s="30" t="s">
        <v>9664</v>
      </c>
      <c r="B1010" s="26" t="str">
        <f t="shared" si="15"/>
        <v>600995</v>
      </c>
      <c r="C1010" s="30" t="s">
        <v>759</v>
      </c>
      <c r="D1010" s="31">
        <v>8.77</v>
      </c>
      <c r="E1010" s="31">
        <v>-0.68</v>
      </c>
      <c r="F1010" s="31">
        <v>9726821400</v>
      </c>
    </row>
    <row r="1011" spans="1:6" ht="15" thickBot="1" x14ac:dyDescent="0.2">
      <c r="A1011" s="30" t="s">
        <v>9665</v>
      </c>
      <c r="B1011" s="26" t="str">
        <f t="shared" si="15"/>
        <v>601068</v>
      </c>
      <c r="C1011" s="30" t="s">
        <v>2089</v>
      </c>
      <c r="D1011" s="31">
        <v>3.8</v>
      </c>
      <c r="E1011" s="31">
        <v>-0.78</v>
      </c>
      <c r="F1011" s="31">
        <v>9726444500</v>
      </c>
    </row>
    <row r="1012" spans="1:6" ht="15" thickBot="1" x14ac:dyDescent="0.2">
      <c r="A1012" s="30" t="s">
        <v>9666</v>
      </c>
      <c r="B1012" s="26" t="str">
        <f t="shared" si="15"/>
        <v>601107</v>
      </c>
      <c r="C1012" s="30" t="s">
        <v>1804</v>
      </c>
      <c r="D1012" s="31">
        <v>4.4800000000000004</v>
      </c>
      <c r="E1012" s="31">
        <v>0</v>
      </c>
      <c r="F1012" s="31">
        <v>9689075200</v>
      </c>
    </row>
    <row r="1013" spans="1:6" ht="15" thickBot="1" x14ac:dyDescent="0.2">
      <c r="A1013" s="30" t="s">
        <v>9667</v>
      </c>
      <c r="B1013" s="26" t="str">
        <f t="shared" si="15"/>
        <v>601882</v>
      </c>
      <c r="C1013" s="30" t="s">
        <v>2168</v>
      </c>
      <c r="D1013" s="31">
        <v>18.55</v>
      </c>
      <c r="E1013" s="31">
        <v>0.11</v>
      </c>
      <c r="F1013" s="31">
        <v>9683100000</v>
      </c>
    </row>
    <row r="1014" spans="1:6" ht="15" thickBot="1" x14ac:dyDescent="0.2">
      <c r="A1014" s="30" t="s">
        <v>9668</v>
      </c>
      <c r="B1014" s="26" t="str">
        <f t="shared" si="15"/>
        <v>002139</v>
      </c>
      <c r="C1014" s="30" t="s">
        <v>1885</v>
      </c>
      <c r="D1014" s="31">
        <v>9.0299999999999994</v>
      </c>
      <c r="E1014" s="31">
        <v>-0.22</v>
      </c>
      <c r="F1014" s="31">
        <v>9674757300</v>
      </c>
    </row>
    <row r="1015" spans="1:6" ht="15" thickBot="1" x14ac:dyDescent="0.2">
      <c r="A1015" s="30" t="s">
        <v>9669</v>
      </c>
      <c r="B1015" s="26" t="str">
        <f t="shared" si="15"/>
        <v>002010</v>
      </c>
      <c r="C1015" s="30" t="s">
        <v>2198</v>
      </c>
      <c r="D1015" s="31">
        <v>3.48</v>
      </c>
      <c r="E1015" s="31">
        <v>-0.56999999999999995</v>
      </c>
      <c r="F1015" s="31">
        <v>9673650400</v>
      </c>
    </row>
    <row r="1016" spans="1:6" ht="15" thickBot="1" x14ac:dyDescent="0.2">
      <c r="A1016" s="30" t="s">
        <v>9670</v>
      </c>
      <c r="B1016" s="26" t="str">
        <f t="shared" si="15"/>
        <v>000088</v>
      </c>
      <c r="C1016" s="30" t="s">
        <v>1202</v>
      </c>
      <c r="D1016" s="31">
        <v>4.3</v>
      </c>
      <c r="E1016" s="31">
        <v>0.47</v>
      </c>
      <c r="F1016" s="31">
        <v>9671282500</v>
      </c>
    </row>
    <row r="1017" spans="1:6" ht="15" thickBot="1" x14ac:dyDescent="0.2">
      <c r="A1017" s="30" t="s">
        <v>9671</v>
      </c>
      <c r="B1017" s="26" t="str">
        <f t="shared" si="15"/>
        <v>600269</v>
      </c>
      <c r="C1017" s="30" t="s">
        <v>2178</v>
      </c>
      <c r="D1017" s="31">
        <v>4.1399999999999997</v>
      </c>
      <c r="E1017" s="31">
        <v>-0.48</v>
      </c>
      <c r="F1017" s="31">
        <v>9668585000</v>
      </c>
    </row>
    <row r="1018" spans="1:6" ht="15" thickBot="1" x14ac:dyDescent="0.2">
      <c r="A1018" s="30" t="s">
        <v>9672</v>
      </c>
      <c r="B1018" s="26" t="str">
        <f t="shared" si="15"/>
        <v>300253</v>
      </c>
      <c r="C1018" s="30" t="s">
        <v>1921</v>
      </c>
      <c r="D1018" s="31">
        <v>5.19</v>
      </c>
      <c r="E1018" s="31">
        <v>-0.77</v>
      </c>
      <c r="F1018" s="31">
        <v>9661629800</v>
      </c>
    </row>
    <row r="1019" spans="1:6" ht="15" thickBot="1" x14ac:dyDescent="0.2">
      <c r="A1019" s="30" t="s">
        <v>9673</v>
      </c>
      <c r="B1019" s="26" t="str">
        <f t="shared" si="15"/>
        <v>600064</v>
      </c>
      <c r="C1019" s="30" t="s">
        <v>2250</v>
      </c>
      <c r="D1019" s="31">
        <v>5.58</v>
      </c>
      <c r="E1019" s="31">
        <v>1.0900000000000001</v>
      </c>
      <c r="F1019" s="31">
        <v>9655295200</v>
      </c>
    </row>
    <row r="1020" spans="1:6" ht="15" thickBot="1" x14ac:dyDescent="0.2">
      <c r="A1020" s="30" t="s">
        <v>9674</v>
      </c>
      <c r="B1020" s="26" t="str">
        <f t="shared" si="15"/>
        <v>601512</v>
      </c>
      <c r="C1020" s="30" t="s">
        <v>2222</v>
      </c>
      <c r="D1020" s="31">
        <v>6.43</v>
      </c>
      <c r="E1020" s="31">
        <v>0.31</v>
      </c>
      <c r="F1020" s="31">
        <v>9637862700</v>
      </c>
    </row>
    <row r="1021" spans="1:6" ht="15" thickBot="1" x14ac:dyDescent="0.2">
      <c r="A1021" s="30" t="s">
        <v>9675</v>
      </c>
      <c r="B1021" s="26" t="str">
        <f t="shared" si="15"/>
        <v>000818</v>
      </c>
      <c r="C1021" s="30" t="s">
        <v>2174</v>
      </c>
      <c r="D1021" s="31">
        <v>14.18</v>
      </c>
      <c r="E1021" s="31">
        <v>0.21</v>
      </c>
      <c r="F1021" s="31">
        <v>9605069700</v>
      </c>
    </row>
    <row r="1022" spans="1:6" ht="15" thickBot="1" x14ac:dyDescent="0.2">
      <c r="A1022" s="30" t="s">
        <v>9676</v>
      </c>
      <c r="B1022" s="26" t="str">
        <f t="shared" si="15"/>
        <v>000970</v>
      </c>
      <c r="C1022" s="30" t="s">
        <v>2184</v>
      </c>
      <c r="D1022" s="31">
        <v>7.9</v>
      </c>
      <c r="E1022" s="31">
        <v>-1</v>
      </c>
      <c r="F1022" s="31">
        <v>9604233600</v>
      </c>
    </row>
    <row r="1023" spans="1:6" ht="15" thickBot="1" x14ac:dyDescent="0.2">
      <c r="A1023" s="30" t="s">
        <v>9677</v>
      </c>
      <c r="B1023" s="26" t="str">
        <f t="shared" si="15"/>
        <v>002698</v>
      </c>
      <c r="C1023" s="30" t="s">
        <v>1833</v>
      </c>
      <c r="D1023" s="31">
        <v>11.4</v>
      </c>
      <c r="E1023" s="31">
        <v>1.06</v>
      </c>
      <c r="F1023" s="31">
        <v>9592367800</v>
      </c>
    </row>
    <row r="1024" spans="1:6" ht="15" thickBot="1" x14ac:dyDescent="0.2">
      <c r="A1024" s="30" t="s">
        <v>9678</v>
      </c>
      <c r="B1024" s="26" t="str">
        <f t="shared" si="15"/>
        <v>002617</v>
      </c>
      <c r="C1024" s="30" t="s">
        <v>2103</v>
      </c>
      <c r="D1024" s="31">
        <v>5.07</v>
      </c>
      <c r="E1024" s="31">
        <v>-2.5</v>
      </c>
      <c r="F1024" s="31">
        <v>9589670600</v>
      </c>
    </row>
    <row r="1025" spans="1:6" ht="15" thickBot="1" x14ac:dyDescent="0.2">
      <c r="A1025" s="30" t="s">
        <v>9679</v>
      </c>
      <c r="B1025" s="26" t="str">
        <f t="shared" si="15"/>
        <v>688536</v>
      </c>
      <c r="C1025" s="30" t="s">
        <v>2208</v>
      </c>
      <c r="D1025" s="31">
        <v>72.08</v>
      </c>
      <c r="E1025" s="31">
        <v>-2.81</v>
      </c>
      <c r="F1025" s="31">
        <v>9557912100</v>
      </c>
    </row>
    <row r="1026" spans="1:6" ht="15" thickBot="1" x14ac:dyDescent="0.2">
      <c r="A1026" s="30" t="s">
        <v>9680</v>
      </c>
      <c r="B1026" s="26" t="str">
        <f t="shared" si="15"/>
        <v>688001</v>
      </c>
      <c r="C1026" s="30" t="s">
        <v>2141</v>
      </c>
      <c r="D1026" s="31">
        <v>21.6</v>
      </c>
      <c r="E1026" s="31">
        <v>-1.64</v>
      </c>
      <c r="F1026" s="31">
        <v>9546870400</v>
      </c>
    </row>
    <row r="1027" spans="1:6" ht="15" thickBot="1" x14ac:dyDescent="0.2">
      <c r="A1027" s="30" t="s">
        <v>9681</v>
      </c>
      <c r="B1027" s="26" t="str">
        <f t="shared" ref="B1027:B1090" si="16">LEFT(A1027,6)</f>
        <v>000031</v>
      </c>
      <c r="C1027" s="30" t="s">
        <v>2188</v>
      </c>
      <c r="D1027" s="31">
        <v>2.38</v>
      </c>
      <c r="E1027" s="31">
        <v>2.15</v>
      </c>
      <c r="F1027" s="31">
        <v>9526871500</v>
      </c>
    </row>
    <row r="1028" spans="1:6" ht="15" thickBot="1" x14ac:dyDescent="0.2">
      <c r="A1028" s="30" t="s">
        <v>9682</v>
      </c>
      <c r="B1028" s="26" t="str">
        <f t="shared" si="16"/>
        <v>603027</v>
      </c>
      <c r="C1028" s="30" t="s">
        <v>1980</v>
      </c>
      <c r="D1028" s="31">
        <v>9.91</v>
      </c>
      <c r="E1028" s="31">
        <v>-0.5</v>
      </c>
      <c r="F1028" s="31">
        <v>9525914100</v>
      </c>
    </row>
    <row r="1029" spans="1:6" ht="15" thickBot="1" x14ac:dyDescent="0.2">
      <c r="A1029" s="30" t="s">
        <v>9683</v>
      </c>
      <c r="B1029" s="26" t="str">
        <f t="shared" si="16"/>
        <v>002948</v>
      </c>
      <c r="C1029" s="30" t="s">
        <v>9684</v>
      </c>
      <c r="D1029" s="31">
        <v>3.06</v>
      </c>
      <c r="E1029" s="31">
        <v>0.66</v>
      </c>
      <c r="F1029" s="31">
        <v>9516355600</v>
      </c>
    </row>
    <row r="1030" spans="1:6" ht="15" thickBot="1" x14ac:dyDescent="0.2">
      <c r="A1030" s="30" t="s">
        <v>9685</v>
      </c>
      <c r="B1030" s="26" t="str">
        <f t="shared" si="16"/>
        <v>002240</v>
      </c>
      <c r="C1030" s="30" t="s">
        <v>2004</v>
      </c>
      <c r="D1030" s="31">
        <v>10.96</v>
      </c>
      <c r="E1030" s="31">
        <v>0.55000000000000004</v>
      </c>
      <c r="F1030" s="31">
        <v>9498484600</v>
      </c>
    </row>
    <row r="1031" spans="1:6" ht="15" thickBot="1" x14ac:dyDescent="0.2">
      <c r="A1031" s="30" t="s">
        <v>9686</v>
      </c>
      <c r="B1031" s="26" t="str">
        <f t="shared" si="16"/>
        <v>601028</v>
      </c>
      <c r="C1031" s="30" t="s">
        <v>2234</v>
      </c>
      <c r="D1031" s="31">
        <v>12.1</v>
      </c>
      <c r="E1031" s="31">
        <v>-1.55</v>
      </c>
      <c r="F1031" s="31">
        <v>9474611700</v>
      </c>
    </row>
    <row r="1032" spans="1:6" ht="15" thickBot="1" x14ac:dyDescent="0.2">
      <c r="A1032" s="30" t="s">
        <v>9687</v>
      </c>
      <c r="B1032" s="26" t="str">
        <f t="shared" si="16"/>
        <v>002498</v>
      </c>
      <c r="C1032" s="30" t="s">
        <v>2232</v>
      </c>
      <c r="D1032" s="31">
        <v>2.84</v>
      </c>
      <c r="E1032" s="31">
        <v>-0.7</v>
      </c>
      <c r="F1032" s="31">
        <v>9448100600</v>
      </c>
    </row>
    <row r="1033" spans="1:6" ht="15" thickBot="1" x14ac:dyDescent="0.2">
      <c r="A1033" s="30" t="s">
        <v>9688</v>
      </c>
      <c r="B1033" s="26" t="str">
        <f t="shared" si="16"/>
        <v>600997</v>
      </c>
      <c r="C1033" s="30" t="s">
        <v>2216</v>
      </c>
      <c r="D1033" s="31">
        <v>5.95</v>
      </c>
      <c r="E1033" s="31">
        <v>4.0199999999999996</v>
      </c>
      <c r="F1033" s="31">
        <v>9447409100</v>
      </c>
    </row>
    <row r="1034" spans="1:6" ht="15" thickBot="1" x14ac:dyDescent="0.2">
      <c r="A1034" s="30" t="s">
        <v>9689</v>
      </c>
      <c r="B1034" s="26" t="str">
        <f t="shared" si="16"/>
        <v>300255</v>
      </c>
      <c r="C1034" s="30" t="s">
        <v>2266</v>
      </c>
      <c r="D1034" s="31">
        <v>10.31</v>
      </c>
      <c r="E1034" s="31">
        <v>-1.34</v>
      </c>
      <c r="F1034" s="31">
        <v>9443023400</v>
      </c>
    </row>
    <row r="1035" spans="1:6" ht="15" thickBot="1" x14ac:dyDescent="0.2">
      <c r="A1035" s="30" t="s">
        <v>9690</v>
      </c>
      <c r="B1035" s="26" t="str">
        <f t="shared" si="16"/>
        <v>688088</v>
      </c>
      <c r="C1035" s="30" t="s">
        <v>2190</v>
      </c>
      <c r="D1035" s="31">
        <v>23.51</v>
      </c>
      <c r="E1035" s="31">
        <v>-1.47</v>
      </c>
      <c r="F1035" s="31">
        <v>9431516100</v>
      </c>
    </row>
    <row r="1036" spans="1:6" ht="15" thickBot="1" x14ac:dyDescent="0.2">
      <c r="A1036" s="30" t="s">
        <v>9691</v>
      </c>
      <c r="B1036" s="26" t="str">
        <f t="shared" si="16"/>
        <v>600315</v>
      </c>
      <c r="C1036" s="30" t="s">
        <v>2204</v>
      </c>
      <c r="D1036" s="31">
        <v>13.98</v>
      </c>
      <c r="E1036" s="31">
        <v>7.0000000000000007E-2</v>
      </c>
      <c r="F1036" s="31">
        <v>9397719200</v>
      </c>
    </row>
    <row r="1037" spans="1:6" ht="15" thickBot="1" x14ac:dyDescent="0.2">
      <c r="A1037" s="30" t="s">
        <v>9692</v>
      </c>
      <c r="B1037" s="26" t="str">
        <f t="shared" si="16"/>
        <v>600409</v>
      </c>
      <c r="C1037" s="30" t="s">
        <v>2262</v>
      </c>
      <c r="D1037" s="31">
        <v>4.55</v>
      </c>
      <c r="E1037" s="31">
        <v>0.44</v>
      </c>
      <c r="F1037" s="31">
        <v>9392790000</v>
      </c>
    </row>
    <row r="1038" spans="1:6" ht="15" thickBot="1" x14ac:dyDescent="0.2">
      <c r="A1038" s="30" t="s">
        <v>9693</v>
      </c>
      <c r="B1038" s="26" t="str">
        <f t="shared" si="16"/>
        <v>000680</v>
      </c>
      <c r="C1038" s="30" t="s">
        <v>2131</v>
      </c>
      <c r="D1038" s="31">
        <v>7.17</v>
      </c>
      <c r="E1038" s="31">
        <v>6.54</v>
      </c>
      <c r="F1038" s="31">
        <v>9378334800</v>
      </c>
    </row>
    <row r="1039" spans="1:6" ht="15" thickBot="1" x14ac:dyDescent="0.2">
      <c r="A1039" s="30" t="s">
        <v>9694</v>
      </c>
      <c r="B1039" s="26" t="str">
        <f t="shared" si="16"/>
        <v>000657</v>
      </c>
      <c r="C1039" s="30" t="s">
        <v>2071</v>
      </c>
      <c r="D1039" s="31">
        <v>7.51</v>
      </c>
      <c r="E1039" s="31">
        <v>1.9</v>
      </c>
      <c r="F1039" s="31">
        <v>9376584400</v>
      </c>
    </row>
    <row r="1040" spans="1:6" ht="15" thickBot="1" x14ac:dyDescent="0.2">
      <c r="A1040" s="30" t="s">
        <v>9695</v>
      </c>
      <c r="B1040" s="26" t="str">
        <f t="shared" si="16"/>
        <v>300573</v>
      </c>
      <c r="C1040" s="30" t="s">
        <v>1640</v>
      </c>
      <c r="D1040" s="31">
        <v>69.849999999999994</v>
      </c>
      <c r="E1040" s="31">
        <v>-2.82</v>
      </c>
      <c r="F1040" s="31">
        <v>9359119500</v>
      </c>
    </row>
    <row r="1041" spans="1:6" ht="15" thickBot="1" x14ac:dyDescent="0.2">
      <c r="A1041" s="30" t="s">
        <v>9696</v>
      </c>
      <c r="B1041" s="26" t="str">
        <f t="shared" si="16"/>
        <v>600993</v>
      </c>
      <c r="C1041" s="30" t="s">
        <v>2172</v>
      </c>
      <c r="D1041" s="31">
        <v>21.73</v>
      </c>
      <c r="E1041" s="31">
        <v>-1.63</v>
      </c>
      <c r="F1041" s="31">
        <v>9350571500</v>
      </c>
    </row>
    <row r="1042" spans="1:6" ht="15" thickBot="1" x14ac:dyDescent="0.2">
      <c r="A1042" s="30" t="s">
        <v>9697</v>
      </c>
      <c r="B1042" s="26" t="str">
        <f t="shared" si="16"/>
        <v>002851</v>
      </c>
      <c r="C1042" s="30" t="s">
        <v>1831</v>
      </c>
      <c r="D1042" s="31">
        <v>22.5</v>
      </c>
      <c r="E1042" s="31">
        <v>-1.32</v>
      </c>
      <c r="F1042" s="31">
        <v>9349533600</v>
      </c>
    </row>
    <row r="1043" spans="1:6" ht="15" thickBot="1" x14ac:dyDescent="0.2">
      <c r="A1043" s="30" t="s">
        <v>9698</v>
      </c>
      <c r="B1043" s="26" t="str">
        <f t="shared" si="16"/>
        <v>603567</v>
      </c>
      <c r="C1043" s="30" t="s">
        <v>2206</v>
      </c>
      <c r="D1043" s="31">
        <v>9.93</v>
      </c>
      <c r="E1043" s="31">
        <v>-1.19</v>
      </c>
      <c r="F1043" s="31">
        <v>9329637400</v>
      </c>
    </row>
    <row r="1044" spans="1:6" ht="15" thickBot="1" x14ac:dyDescent="0.2">
      <c r="A1044" s="30" t="s">
        <v>9699</v>
      </c>
      <c r="B1044" s="26" t="str">
        <f t="shared" si="16"/>
        <v>600908</v>
      </c>
      <c r="C1044" s="30" t="s">
        <v>9700</v>
      </c>
      <c r="D1044" s="31">
        <v>4.87</v>
      </c>
      <c r="E1044" s="31">
        <v>-0.82</v>
      </c>
      <c r="F1044" s="31">
        <v>9302889600</v>
      </c>
    </row>
    <row r="1045" spans="1:6" ht="15" thickBot="1" x14ac:dyDescent="0.2">
      <c r="A1045" s="30" t="s">
        <v>9701</v>
      </c>
      <c r="B1045" s="26" t="str">
        <f t="shared" si="16"/>
        <v>001286</v>
      </c>
      <c r="C1045" s="30" t="s">
        <v>9702</v>
      </c>
      <c r="D1045" s="31">
        <v>8.85</v>
      </c>
      <c r="E1045" s="31">
        <v>1.38</v>
      </c>
      <c r="F1045" s="31">
        <v>9292500000</v>
      </c>
    </row>
    <row r="1046" spans="1:6" ht="15" thickBot="1" x14ac:dyDescent="0.2">
      <c r="A1046" s="30" t="s">
        <v>9703</v>
      </c>
      <c r="B1046" s="26" t="str">
        <f t="shared" si="16"/>
        <v>002011</v>
      </c>
      <c r="C1046" s="30" t="s">
        <v>1965</v>
      </c>
      <c r="D1046" s="31">
        <v>10.14</v>
      </c>
      <c r="E1046" s="31">
        <v>0.2</v>
      </c>
      <c r="F1046" s="31">
        <v>9291405500</v>
      </c>
    </row>
    <row r="1047" spans="1:6" ht="15" thickBot="1" x14ac:dyDescent="0.2">
      <c r="A1047" s="30" t="s">
        <v>9704</v>
      </c>
      <c r="B1047" s="26" t="str">
        <f t="shared" si="16"/>
        <v>000762</v>
      </c>
      <c r="C1047" s="30" t="s">
        <v>2166</v>
      </c>
      <c r="D1047" s="31">
        <v>17.82</v>
      </c>
      <c r="E1047" s="31">
        <v>-1.82</v>
      </c>
      <c r="F1047" s="31">
        <v>9280667000</v>
      </c>
    </row>
    <row r="1048" spans="1:6" ht="15" thickBot="1" x14ac:dyDescent="0.2">
      <c r="A1048" s="30" t="s">
        <v>9705</v>
      </c>
      <c r="B1048" s="26" t="str">
        <f t="shared" si="16"/>
        <v>301498</v>
      </c>
      <c r="C1048" s="30" t="s">
        <v>9706</v>
      </c>
      <c r="D1048" s="31">
        <v>51.8</v>
      </c>
      <c r="E1048" s="31">
        <v>2.64</v>
      </c>
      <c r="F1048" s="31">
        <v>9273335400</v>
      </c>
    </row>
    <row r="1049" spans="1:6" ht="15" thickBot="1" x14ac:dyDescent="0.2">
      <c r="A1049" s="30" t="s">
        <v>9707</v>
      </c>
      <c r="B1049" s="26" t="str">
        <f t="shared" si="16"/>
        <v>600787</v>
      </c>
      <c r="C1049" s="30" t="s">
        <v>2274</v>
      </c>
      <c r="D1049" s="31">
        <v>4.2699999999999996</v>
      </c>
      <c r="E1049" s="31">
        <v>-0.23</v>
      </c>
      <c r="F1049" s="31">
        <v>9266239800</v>
      </c>
    </row>
    <row r="1050" spans="1:6" ht="15" thickBot="1" x14ac:dyDescent="0.2">
      <c r="A1050" s="30" t="s">
        <v>9708</v>
      </c>
      <c r="B1050" s="26" t="str">
        <f t="shared" si="16"/>
        <v>002895</v>
      </c>
      <c r="C1050" s="30" t="s">
        <v>2238</v>
      </c>
      <c r="D1050" s="31">
        <v>17.100000000000001</v>
      </c>
      <c r="E1050" s="31">
        <v>0.41</v>
      </c>
      <c r="F1050" s="31">
        <v>9228956200</v>
      </c>
    </row>
    <row r="1051" spans="1:6" ht="15" thickBot="1" x14ac:dyDescent="0.2">
      <c r="A1051" s="30" t="s">
        <v>9709</v>
      </c>
      <c r="B1051" s="26" t="str">
        <f t="shared" si="16"/>
        <v>300827</v>
      </c>
      <c r="C1051" s="30" t="s">
        <v>1702</v>
      </c>
      <c r="D1051" s="31">
        <v>35.630000000000003</v>
      </c>
      <c r="E1051" s="31">
        <v>3.13</v>
      </c>
      <c r="F1051" s="31">
        <v>9214692700</v>
      </c>
    </row>
    <row r="1052" spans="1:6" ht="15" thickBot="1" x14ac:dyDescent="0.2">
      <c r="A1052" s="30" t="s">
        <v>9710</v>
      </c>
      <c r="B1052" s="26" t="str">
        <f t="shared" si="16"/>
        <v>300567</v>
      </c>
      <c r="C1052" s="30" t="s">
        <v>1606</v>
      </c>
      <c r="D1052" s="31">
        <v>45.6</v>
      </c>
      <c r="E1052" s="31">
        <v>-6.08</v>
      </c>
      <c r="F1052" s="31">
        <v>9213106500</v>
      </c>
    </row>
    <row r="1053" spans="1:6" ht="15" thickBot="1" x14ac:dyDescent="0.2">
      <c r="A1053" s="30" t="s">
        <v>9711</v>
      </c>
      <c r="B1053" s="26" t="str">
        <f t="shared" si="16"/>
        <v>300009</v>
      </c>
      <c r="C1053" s="30" t="s">
        <v>1674</v>
      </c>
      <c r="D1053" s="31">
        <v>7.57</v>
      </c>
      <c r="E1053" s="31">
        <v>-0.79</v>
      </c>
      <c r="F1053" s="31">
        <v>9201519800</v>
      </c>
    </row>
    <row r="1054" spans="1:6" ht="15" thickBot="1" x14ac:dyDescent="0.2">
      <c r="A1054" s="30" t="s">
        <v>9712</v>
      </c>
      <c r="B1054" s="26" t="str">
        <f t="shared" si="16"/>
        <v>600877</v>
      </c>
      <c r="C1054" s="30" t="s">
        <v>1847</v>
      </c>
      <c r="D1054" s="31">
        <v>9.9700000000000006</v>
      </c>
      <c r="E1054" s="31">
        <v>-1.68</v>
      </c>
      <c r="F1054" s="31">
        <v>9192135100</v>
      </c>
    </row>
    <row r="1055" spans="1:6" ht="15" thickBot="1" x14ac:dyDescent="0.2">
      <c r="A1055" s="30" t="s">
        <v>9713</v>
      </c>
      <c r="B1055" s="26" t="str">
        <f t="shared" si="16"/>
        <v>603317</v>
      </c>
      <c r="C1055" s="30" t="s">
        <v>2254</v>
      </c>
      <c r="D1055" s="31">
        <v>8.6199999999999992</v>
      </c>
      <c r="E1055" s="31">
        <v>0.7</v>
      </c>
      <c r="F1055" s="31">
        <v>9170181600</v>
      </c>
    </row>
    <row r="1056" spans="1:6" ht="15" thickBot="1" x14ac:dyDescent="0.2">
      <c r="A1056" s="30" t="s">
        <v>9714</v>
      </c>
      <c r="B1056" s="26" t="str">
        <f t="shared" si="16"/>
        <v>603279</v>
      </c>
      <c r="C1056" s="30" t="s">
        <v>2186</v>
      </c>
      <c r="D1056" s="31">
        <v>16.03</v>
      </c>
      <c r="E1056" s="31">
        <v>-0.93</v>
      </c>
      <c r="F1056" s="31">
        <v>9169919400</v>
      </c>
    </row>
    <row r="1057" spans="1:6" ht="15" thickBot="1" x14ac:dyDescent="0.2">
      <c r="A1057" s="30" t="s">
        <v>9715</v>
      </c>
      <c r="B1057" s="26" t="str">
        <f t="shared" si="16"/>
        <v>002607</v>
      </c>
      <c r="C1057" s="30" t="s">
        <v>1871</v>
      </c>
      <c r="D1057" s="31">
        <v>1.82</v>
      </c>
      <c r="E1057" s="31">
        <v>-1.0900000000000001</v>
      </c>
      <c r="F1057" s="31">
        <v>9152314700</v>
      </c>
    </row>
    <row r="1058" spans="1:6" ht="15" thickBot="1" x14ac:dyDescent="0.2">
      <c r="A1058" s="30" t="s">
        <v>9716</v>
      </c>
      <c r="B1058" s="26" t="str">
        <f t="shared" si="16"/>
        <v>600595</v>
      </c>
      <c r="C1058" s="30" t="s">
        <v>2286</v>
      </c>
      <c r="D1058" s="31">
        <v>2.2799999999999998</v>
      </c>
      <c r="E1058" s="31">
        <v>-0.44</v>
      </c>
      <c r="F1058" s="31">
        <v>9138023700</v>
      </c>
    </row>
    <row r="1059" spans="1:6" ht="15" thickBot="1" x14ac:dyDescent="0.2">
      <c r="A1059" s="30" t="s">
        <v>9717</v>
      </c>
      <c r="B1059" s="26" t="str">
        <f t="shared" si="16"/>
        <v>600587</v>
      </c>
      <c r="C1059" s="30" t="s">
        <v>2218</v>
      </c>
      <c r="D1059" s="31">
        <v>15.17</v>
      </c>
      <c r="E1059" s="31">
        <v>-0.59</v>
      </c>
      <c r="F1059" s="31">
        <v>9133045300</v>
      </c>
    </row>
    <row r="1060" spans="1:6" ht="15" thickBot="1" x14ac:dyDescent="0.2">
      <c r="A1060" s="30" t="s">
        <v>9718</v>
      </c>
      <c r="B1060" s="26" t="str">
        <f t="shared" si="16"/>
        <v>603171</v>
      </c>
      <c r="C1060" s="30" t="s">
        <v>9719</v>
      </c>
      <c r="D1060" s="31">
        <v>22.5</v>
      </c>
      <c r="E1060" s="31">
        <v>-0.71</v>
      </c>
      <c r="F1060" s="31">
        <v>9132525000</v>
      </c>
    </row>
    <row r="1061" spans="1:6" ht="15" thickBot="1" x14ac:dyDescent="0.2">
      <c r="A1061" s="30" t="s">
        <v>9720</v>
      </c>
      <c r="B1061" s="26" t="str">
        <f t="shared" si="16"/>
        <v>002747</v>
      </c>
      <c r="C1061" s="30" t="s">
        <v>2069</v>
      </c>
      <c r="D1061" s="31">
        <v>11.6</v>
      </c>
      <c r="E1061" s="31">
        <v>-0.86</v>
      </c>
      <c r="F1061" s="31">
        <v>9128886300</v>
      </c>
    </row>
    <row r="1062" spans="1:6" ht="15" thickBot="1" x14ac:dyDescent="0.2">
      <c r="A1062" s="30" t="s">
        <v>9721</v>
      </c>
      <c r="B1062" s="26" t="str">
        <f t="shared" si="16"/>
        <v>600422</v>
      </c>
      <c r="C1062" s="30" t="s">
        <v>2226</v>
      </c>
      <c r="D1062" s="31">
        <v>12.04</v>
      </c>
      <c r="E1062" s="31">
        <v>-0.17</v>
      </c>
      <c r="F1062" s="31">
        <v>9113988100</v>
      </c>
    </row>
    <row r="1063" spans="1:6" ht="15" thickBot="1" x14ac:dyDescent="0.2">
      <c r="A1063" s="30" t="s">
        <v>9722</v>
      </c>
      <c r="B1063" s="26" t="str">
        <f t="shared" si="16"/>
        <v>000061</v>
      </c>
      <c r="C1063" s="30" t="s">
        <v>2332</v>
      </c>
      <c r="D1063" s="31">
        <v>5.37</v>
      </c>
      <c r="E1063" s="31">
        <v>1.71</v>
      </c>
      <c r="F1063" s="31">
        <v>9112530200</v>
      </c>
    </row>
    <row r="1064" spans="1:6" ht="15" thickBot="1" x14ac:dyDescent="0.2">
      <c r="A1064" s="30" t="s">
        <v>9723</v>
      </c>
      <c r="B1064" s="26" t="str">
        <f t="shared" si="16"/>
        <v>000567</v>
      </c>
      <c r="C1064" s="30" t="s">
        <v>2362</v>
      </c>
      <c r="D1064" s="31">
        <v>4.67</v>
      </c>
      <c r="E1064" s="31">
        <v>2.64</v>
      </c>
      <c r="F1064" s="31">
        <v>9106175700</v>
      </c>
    </row>
    <row r="1065" spans="1:6" ht="15" thickBot="1" x14ac:dyDescent="0.2">
      <c r="A1065" s="30" t="s">
        <v>9724</v>
      </c>
      <c r="B1065" s="26" t="str">
        <f t="shared" si="16"/>
        <v>000516</v>
      </c>
      <c r="C1065" s="30" t="s">
        <v>2158</v>
      </c>
      <c r="D1065" s="31">
        <v>4.1100000000000003</v>
      </c>
      <c r="E1065" s="31">
        <v>-2.84</v>
      </c>
      <c r="F1065" s="31">
        <v>9096343500</v>
      </c>
    </row>
    <row r="1066" spans="1:6" ht="15" thickBot="1" x14ac:dyDescent="0.2">
      <c r="A1066" s="30" t="s">
        <v>9725</v>
      </c>
      <c r="B1066" s="26" t="str">
        <f t="shared" si="16"/>
        <v>002053</v>
      </c>
      <c r="C1066" s="30" t="s">
        <v>2270</v>
      </c>
      <c r="D1066" s="31">
        <v>9.8699999999999992</v>
      </c>
      <c r="E1066" s="31">
        <v>-0.6</v>
      </c>
      <c r="F1066" s="31">
        <v>9087312000</v>
      </c>
    </row>
    <row r="1067" spans="1:6" ht="15" thickBot="1" x14ac:dyDescent="0.2">
      <c r="A1067" s="30" t="s">
        <v>9726</v>
      </c>
      <c r="B1067" s="26" t="str">
        <f t="shared" si="16"/>
        <v>000553</v>
      </c>
      <c r="C1067" s="30" t="s">
        <v>2242</v>
      </c>
      <c r="D1067" s="31">
        <v>4.17</v>
      </c>
      <c r="E1067" s="31">
        <v>-1.65</v>
      </c>
      <c r="F1067" s="31">
        <v>9078371300</v>
      </c>
    </row>
    <row r="1068" spans="1:6" ht="15" thickBot="1" x14ac:dyDescent="0.2">
      <c r="A1068" s="30" t="s">
        <v>9727</v>
      </c>
      <c r="B1068" s="26" t="str">
        <f t="shared" si="16"/>
        <v>300438</v>
      </c>
      <c r="C1068" s="30" t="s">
        <v>1779</v>
      </c>
      <c r="D1068" s="31">
        <v>22.45</v>
      </c>
      <c r="E1068" s="31">
        <v>0.9</v>
      </c>
      <c r="F1068" s="31">
        <v>9073525400</v>
      </c>
    </row>
    <row r="1069" spans="1:6" ht="15" thickBot="1" x14ac:dyDescent="0.2">
      <c r="A1069" s="30" t="s">
        <v>9728</v>
      </c>
      <c r="B1069" s="26" t="str">
        <f t="shared" si="16"/>
        <v>000685</v>
      </c>
      <c r="C1069" s="30" t="s">
        <v>2051</v>
      </c>
      <c r="D1069" s="31">
        <v>7.22</v>
      </c>
      <c r="E1069" s="31">
        <v>0.56000000000000005</v>
      </c>
      <c r="F1069" s="31">
        <v>9053606800</v>
      </c>
    </row>
    <row r="1070" spans="1:6" ht="15" thickBot="1" x14ac:dyDescent="0.2">
      <c r="A1070" s="30" t="s">
        <v>9729</v>
      </c>
      <c r="B1070" s="26" t="str">
        <f t="shared" si="16"/>
        <v>601869</v>
      </c>
      <c r="C1070" s="30" t="s">
        <v>1862</v>
      </c>
      <c r="D1070" s="31">
        <v>22.27</v>
      </c>
      <c r="E1070" s="31">
        <v>-0.36</v>
      </c>
      <c r="F1070" s="31">
        <v>9049154300</v>
      </c>
    </row>
    <row r="1071" spans="1:6" ht="15" thickBot="1" x14ac:dyDescent="0.2">
      <c r="A1071" s="30" t="s">
        <v>9730</v>
      </c>
      <c r="B1071" s="26" t="str">
        <f t="shared" si="16"/>
        <v>300682</v>
      </c>
      <c r="C1071" s="30" t="s">
        <v>2200</v>
      </c>
      <c r="D1071" s="31">
        <v>8.6</v>
      </c>
      <c r="E1071" s="31">
        <v>-2.16</v>
      </c>
      <c r="F1071" s="31">
        <v>9041714300</v>
      </c>
    </row>
    <row r="1072" spans="1:6" ht="15" thickBot="1" x14ac:dyDescent="0.2">
      <c r="A1072" s="30" t="s">
        <v>9731</v>
      </c>
      <c r="B1072" s="26" t="str">
        <f t="shared" si="16"/>
        <v>603530</v>
      </c>
      <c r="C1072" s="30" t="s">
        <v>2272</v>
      </c>
      <c r="D1072" s="31">
        <v>21.08</v>
      </c>
      <c r="E1072" s="31">
        <v>0.53</v>
      </c>
      <c r="F1072" s="31">
        <v>9036659800</v>
      </c>
    </row>
    <row r="1073" spans="1:6" ht="15" thickBot="1" x14ac:dyDescent="0.2">
      <c r="A1073" s="30" t="s">
        <v>9732</v>
      </c>
      <c r="B1073" s="26" t="str">
        <f t="shared" si="16"/>
        <v>000536</v>
      </c>
      <c r="C1073" s="30" t="s">
        <v>2486</v>
      </c>
      <c r="D1073" s="31">
        <v>3.27</v>
      </c>
      <c r="E1073" s="31">
        <v>-9.92</v>
      </c>
      <c r="F1073" s="31">
        <v>9035279800</v>
      </c>
    </row>
    <row r="1074" spans="1:6" ht="15" thickBot="1" x14ac:dyDescent="0.2">
      <c r="A1074" s="30" t="s">
        <v>9733</v>
      </c>
      <c r="B1074" s="26" t="str">
        <f t="shared" si="16"/>
        <v>600266</v>
      </c>
      <c r="C1074" s="30" t="s">
        <v>2451</v>
      </c>
      <c r="D1074" s="31">
        <v>4.3499999999999996</v>
      </c>
      <c r="E1074" s="31">
        <v>5.84</v>
      </c>
      <c r="F1074" s="31">
        <v>9029484300</v>
      </c>
    </row>
    <row r="1075" spans="1:6" ht="15" thickBot="1" x14ac:dyDescent="0.2">
      <c r="A1075" s="30" t="s">
        <v>9734</v>
      </c>
      <c r="B1075" s="26" t="str">
        <f t="shared" si="16"/>
        <v>300741</v>
      </c>
      <c r="C1075" s="30" t="s">
        <v>2252</v>
      </c>
      <c r="D1075" s="31">
        <v>14.65</v>
      </c>
      <c r="E1075" s="31">
        <v>-2.98</v>
      </c>
      <c r="F1075" s="31">
        <v>9022600200</v>
      </c>
    </row>
    <row r="1076" spans="1:6" ht="15" thickBot="1" x14ac:dyDescent="0.2">
      <c r="A1076" s="30" t="s">
        <v>9735</v>
      </c>
      <c r="B1076" s="26" t="str">
        <f t="shared" si="16"/>
        <v>000761</v>
      </c>
      <c r="C1076" s="30" t="s">
        <v>2411</v>
      </c>
      <c r="D1076" s="31">
        <v>2.4300000000000002</v>
      </c>
      <c r="E1076" s="31">
        <v>-3.57</v>
      </c>
      <c r="F1076" s="31">
        <v>9010977200</v>
      </c>
    </row>
    <row r="1077" spans="1:6" ht="15" thickBot="1" x14ac:dyDescent="0.2">
      <c r="A1077" s="30" t="s">
        <v>9736</v>
      </c>
      <c r="B1077" s="26" t="str">
        <f t="shared" si="16"/>
        <v>000828</v>
      </c>
      <c r="C1077" s="30" t="s">
        <v>2304</v>
      </c>
      <c r="D1077" s="31">
        <v>8.66</v>
      </c>
      <c r="E1077" s="31">
        <v>-0.12</v>
      </c>
      <c r="F1077" s="31">
        <v>9002205500</v>
      </c>
    </row>
    <row r="1078" spans="1:6" ht="15" thickBot="1" x14ac:dyDescent="0.2">
      <c r="A1078" s="30" t="s">
        <v>9737</v>
      </c>
      <c r="B1078" s="26" t="str">
        <f t="shared" si="16"/>
        <v>002439</v>
      </c>
      <c r="C1078" s="30" t="s">
        <v>1391</v>
      </c>
      <c r="D1078" s="31">
        <v>12.41</v>
      </c>
      <c r="E1078" s="31">
        <v>-0.72</v>
      </c>
      <c r="F1078" s="31">
        <v>8986982800</v>
      </c>
    </row>
    <row r="1079" spans="1:6" ht="15" thickBot="1" x14ac:dyDescent="0.2">
      <c r="A1079" s="30" t="s">
        <v>9738</v>
      </c>
      <c r="B1079" s="26" t="str">
        <f t="shared" si="16"/>
        <v>002368</v>
      </c>
      <c r="C1079" s="30" t="s">
        <v>2300</v>
      </c>
      <c r="D1079" s="31">
        <v>14.47</v>
      </c>
      <c r="E1079" s="31">
        <v>-2.36</v>
      </c>
      <c r="F1079" s="31">
        <v>8974532500</v>
      </c>
    </row>
    <row r="1080" spans="1:6" ht="15" thickBot="1" x14ac:dyDescent="0.2">
      <c r="A1080" s="30" t="s">
        <v>9739</v>
      </c>
      <c r="B1080" s="26" t="str">
        <f t="shared" si="16"/>
        <v>600996</v>
      </c>
      <c r="C1080" s="30" t="s">
        <v>2338</v>
      </c>
      <c r="D1080" s="31">
        <v>7.41</v>
      </c>
      <c r="E1080" s="31">
        <v>-2.11</v>
      </c>
      <c r="F1080" s="31">
        <v>8972077100</v>
      </c>
    </row>
    <row r="1081" spans="1:6" ht="15" thickBot="1" x14ac:dyDescent="0.2">
      <c r="A1081" s="30" t="s">
        <v>9740</v>
      </c>
      <c r="B1081" s="26" t="str">
        <f t="shared" si="16"/>
        <v>300641</v>
      </c>
      <c r="C1081" s="30" t="s">
        <v>2246</v>
      </c>
      <c r="D1081" s="31">
        <v>16.850000000000001</v>
      </c>
      <c r="E1081" s="31">
        <v>0</v>
      </c>
      <c r="F1081" s="31">
        <v>8970711600</v>
      </c>
    </row>
    <row r="1082" spans="1:6" ht="15" thickBot="1" x14ac:dyDescent="0.2">
      <c r="A1082" s="30" t="s">
        <v>9741</v>
      </c>
      <c r="B1082" s="26" t="str">
        <f t="shared" si="16"/>
        <v>001914</v>
      </c>
      <c r="C1082" s="30" t="s">
        <v>2353</v>
      </c>
      <c r="D1082" s="31">
        <v>8.4499999999999993</v>
      </c>
      <c r="E1082" s="31">
        <v>2.5499999999999998</v>
      </c>
      <c r="F1082" s="31">
        <v>8959896300</v>
      </c>
    </row>
    <row r="1083" spans="1:6" ht="15" thickBot="1" x14ac:dyDescent="0.2">
      <c r="A1083" s="30" t="s">
        <v>9742</v>
      </c>
      <c r="B1083" s="26" t="str">
        <f t="shared" si="16"/>
        <v>603678</v>
      </c>
      <c r="C1083" s="30" t="s">
        <v>2282</v>
      </c>
      <c r="D1083" s="31">
        <v>19.54</v>
      </c>
      <c r="E1083" s="31">
        <v>-1.31</v>
      </c>
      <c r="F1083" s="31">
        <v>8955963200</v>
      </c>
    </row>
    <row r="1084" spans="1:6" ht="15" thickBot="1" x14ac:dyDescent="0.2">
      <c r="A1084" s="30" t="s">
        <v>9743</v>
      </c>
      <c r="B1084" s="26" t="str">
        <f t="shared" si="16"/>
        <v>000869</v>
      </c>
      <c r="C1084" s="30" t="s">
        <v>1982</v>
      </c>
      <c r="D1084" s="31">
        <v>19.670000000000002</v>
      </c>
      <c r="E1084" s="31">
        <v>-0.41</v>
      </c>
      <c r="F1084" s="31">
        <v>8952973500</v>
      </c>
    </row>
    <row r="1085" spans="1:6" ht="15" thickBot="1" x14ac:dyDescent="0.2">
      <c r="A1085" s="30" t="s">
        <v>9744</v>
      </c>
      <c r="B1085" s="26" t="str">
        <f t="shared" si="16"/>
        <v>300068</v>
      </c>
      <c r="C1085" s="30" t="s">
        <v>1957</v>
      </c>
      <c r="D1085" s="31">
        <v>10.78</v>
      </c>
      <c r="E1085" s="31">
        <v>-1.1000000000000001</v>
      </c>
      <c r="F1085" s="31">
        <v>8946389000</v>
      </c>
    </row>
    <row r="1086" spans="1:6" ht="15" thickBot="1" x14ac:dyDescent="0.2">
      <c r="A1086" s="30" t="s">
        <v>9745</v>
      </c>
      <c r="B1086" s="26" t="str">
        <f t="shared" si="16"/>
        <v>003035</v>
      </c>
      <c r="C1086" s="30" t="s">
        <v>1449</v>
      </c>
      <c r="D1086" s="31">
        <v>3.96</v>
      </c>
      <c r="E1086" s="31">
        <v>-0.5</v>
      </c>
      <c r="F1086" s="31">
        <v>8941200000</v>
      </c>
    </row>
    <row r="1087" spans="1:6" ht="15" thickBot="1" x14ac:dyDescent="0.2">
      <c r="A1087" s="30" t="s">
        <v>9746</v>
      </c>
      <c r="B1087" s="26" t="str">
        <f t="shared" si="16"/>
        <v>600773</v>
      </c>
      <c r="C1087" s="30" t="s">
        <v>2085</v>
      </c>
      <c r="D1087" s="31">
        <v>10.89</v>
      </c>
      <c r="E1087" s="31">
        <v>-0.91</v>
      </c>
      <c r="F1087" s="31">
        <v>8926105500</v>
      </c>
    </row>
    <row r="1088" spans="1:6" ht="15" thickBot="1" x14ac:dyDescent="0.2">
      <c r="A1088" s="30" t="s">
        <v>9747</v>
      </c>
      <c r="B1088" s="26" t="str">
        <f t="shared" si="16"/>
        <v>600459</v>
      </c>
      <c r="C1088" s="30" t="s">
        <v>2302</v>
      </c>
      <c r="D1088" s="31">
        <v>11.93</v>
      </c>
      <c r="E1088" s="31">
        <v>0.59</v>
      </c>
      <c r="F1088" s="31">
        <v>8920151900</v>
      </c>
    </row>
    <row r="1089" spans="1:6" ht="15" thickBot="1" x14ac:dyDescent="0.2">
      <c r="A1089" s="30" t="s">
        <v>9748</v>
      </c>
      <c r="B1089" s="26" t="str">
        <f t="shared" si="16"/>
        <v>300672</v>
      </c>
      <c r="C1089" s="30" t="s">
        <v>2202</v>
      </c>
      <c r="D1089" s="31">
        <v>42.42</v>
      </c>
      <c r="E1089" s="31">
        <v>-1.9</v>
      </c>
      <c r="F1089" s="31">
        <v>8912436100</v>
      </c>
    </row>
    <row r="1090" spans="1:6" ht="15" thickBot="1" x14ac:dyDescent="0.2">
      <c r="A1090" s="30" t="s">
        <v>9749</v>
      </c>
      <c r="B1090" s="26" t="str">
        <f t="shared" si="16"/>
        <v>688363</v>
      </c>
      <c r="C1090" s="30" t="s">
        <v>946</v>
      </c>
      <c r="D1090" s="31">
        <v>44.97</v>
      </c>
      <c r="E1090" s="31">
        <v>-3.39</v>
      </c>
      <c r="F1090" s="31">
        <v>8912075500</v>
      </c>
    </row>
    <row r="1091" spans="1:6" ht="15" thickBot="1" x14ac:dyDescent="0.2">
      <c r="A1091" s="30" t="s">
        <v>9750</v>
      </c>
      <c r="B1091" s="26" t="str">
        <f t="shared" ref="B1091:B1154" si="17">LEFT(A1091,6)</f>
        <v>002518</v>
      </c>
      <c r="C1091" s="30" t="s">
        <v>2228</v>
      </c>
      <c r="D1091" s="31">
        <v>15.75</v>
      </c>
      <c r="E1091" s="31">
        <v>-0.38</v>
      </c>
      <c r="F1091" s="31">
        <v>8901867100</v>
      </c>
    </row>
    <row r="1092" spans="1:6" ht="15" thickBot="1" x14ac:dyDescent="0.2">
      <c r="A1092" s="30" t="s">
        <v>9751</v>
      </c>
      <c r="B1092" s="26" t="str">
        <f t="shared" si="17"/>
        <v>002153</v>
      </c>
      <c r="C1092" s="30" t="s">
        <v>1382</v>
      </c>
      <c r="D1092" s="31">
        <v>5.56</v>
      </c>
      <c r="E1092" s="31">
        <v>-1.94</v>
      </c>
      <c r="F1092" s="31">
        <v>8894686800</v>
      </c>
    </row>
    <row r="1093" spans="1:6" ht="15" thickBot="1" x14ac:dyDescent="0.2">
      <c r="A1093" s="30" t="s">
        <v>9752</v>
      </c>
      <c r="B1093" s="26" t="str">
        <f t="shared" si="17"/>
        <v>600033</v>
      </c>
      <c r="C1093" s="30" t="s">
        <v>2379</v>
      </c>
      <c r="D1093" s="31">
        <v>3.24</v>
      </c>
      <c r="E1093" s="31">
        <v>0.31</v>
      </c>
      <c r="F1093" s="31">
        <v>8891856000</v>
      </c>
    </row>
    <row r="1094" spans="1:6" ht="15" thickBot="1" x14ac:dyDescent="0.2">
      <c r="A1094" s="30" t="s">
        <v>9753</v>
      </c>
      <c r="B1094" s="26" t="str">
        <f t="shared" si="17"/>
        <v>001203</v>
      </c>
      <c r="C1094" s="30" t="s">
        <v>1945</v>
      </c>
      <c r="D1094" s="31">
        <v>7.24</v>
      </c>
      <c r="E1094" s="31">
        <v>-0.82</v>
      </c>
      <c r="F1094" s="31">
        <v>8884836400</v>
      </c>
    </row>
    <row r="1095" spans="1:6" ht="15" thickBot="1" x14ac:dyDescent="0.2">
      <c r="A1095" s="30" t="s">
        <v>9754</v>
      </c>
      <c r="B1095" s="26" t="str">
        <f t="shared" si="17"/>
        <v>300595</v>
      </c>
      <c r="C1095" s="30" t="s">
        <v>1751</v>
      </c>
      <c r="D1095" s="31">
        <v>13.27</v>
      </c>
      <c r="E1095" s="31">
        <v>-1.49</v>
      </c>
      <c r="F1095" s="31">
        <v>8870925500</v>
      </c>
    </row>
    <row r="1096" spans="1:6" ht="15" thickBot="1" x14ac:dyDescent="0.2">
      <c r="A1096" s="30" t="s">
        <v>9755</v>
      </c>
      <c r="B1096" s="26" t="str">
        <f t="shared" si="17"/>
        <v>300229</v>
      </c>
      <c r="C1096" s="30" t="s">
        <v>2284</v>
      </c>
      <c r="D1096" s="31">
        <v>11.16</v>
      </c>
      <c r="E1096" s="31">
        <v>-1.24</v>
      </c>
      <c r="F1096" s="31">
        <v>8868866000</v>
      </c>
    </row>
    <row r="1097" spans="1:6" ht="15" thickBot="1" x14ac:dyDescent="0.2">
      <c r="A1097" s="30" t="s">
        <v>9756</v>
      </c>
      <c r="B1097" s="26" t="str">
        <f t="shared" si="17"/>
        <v>603599</v>
      </c>
      <c r="C1097" s="30" t="s">
        <v>2296</v>
      </c>
      <c r="D1097" s="31">
        <v>9.73</v>
      </c>
      <c r="E1097" s="31">
        <v>-0.31</v>
      </c>
      <c r="F1097" s="31">
        <v>8856920700</v>
      </c>
    </row>
    <row r="1098" spans="1:6" ht="15" thickBot="1" x14ac:dyDescent="0.2">
      <c r="A1098" s="30" t="s">
        <v>9757</v>
      </c>
      <c r="B1098" s="26" t="str">
        <f t="shared" si="17"/>
        <v>600446</v>
      </c>
      <c r="C1098" s="30" t="s">
        <v>2318</v>
      </c>
      <c r="D1098" s="31">
        <v>9.35</v>
      </c>
      <c r="E1098" s="31">
        <v>-0.85</v>
      </c>
      <c r="F1098" s="31">
        <v>8847671300</v>
      </c>
    </row>
    <row r="1099" spans="1:6" ht="15" thickBot="1" x14ac:dyDescent="0.2">
      <c r="A1099" s="30" t="s">
        <v>9758</v>
      </c>
      <c r="B1099" s="26" t="str">
        <f t="shared" si="17"/>
        <v>600596</v>
      </c>
      <c r="C1099" s="30" t="s">
        <v>2256</v>
      </c>
      <c r="D1099" s="31">
        <v>6.84</v>
      </c>
      <c r="E1099" s="31">
        <v>-0.57999999999999996</v>
      </c>
      <c r="F1099" s="31">
        <v>8843927900</v>
      </c>
    </row>
    <row r="1100" spans="1:6" ht="15" thickBot="1" x14ac:dyDescent="0.2">
      <c r="A1100" s="30" t="s">
        <v>9759</v>
      </c>
      <c r="B1100" s="26" t="str">
        <f t="shared" si="17"/>
        <v>600894</v>
      </c>
      <c r="C1100" s="30" t="s">
        <v>2320</v>
      </c>
      <c r="D1100" s="31">
        <v>10.28</v>
      </c>
      <c r="E1100" s="31">
        <v>4.58</v>
      </c>
      <c r="F1100" s="31">
        <v>8840254100</v>
      </c>
    </row>
    <row r="1101" spans="1:6" ht="15" thickBot="1" x14ac:dyDescent="0.2">
      <c r="A1101" s="30" t="s">
        <v>9760</v>
      </c>
      <c r="B1101" s="26" t="str">
        <f t="shared" si="17"/>
        <v>300777</v>
      </c>
      <c r="C1101" s="30" t="s">
        <v>2292</v>
      </c>
      <c r="D1101" s="31">
        <v>20.85</v>
      </c>
      <c r="E1101" s="31">
        <v>1.66</v>
      </c>
      <c r="F1101" s="31">
        <v>8835037000</v>
      </c>
    </row>
    <row r="1102" spans="1:6" ht="15" thickBot="1" x14ac:dyDescent="0.2">
      <c r="A1102" s="30" t="s">
        <v>9761</v>
      </c>
      <c r="B1102" s="26" t="str">
        <f t="shared" si="17"/>
        <v>600185</v>
      </c>
      <c r="C1102" s="30" t="s">
        <v>2405</v>
      </c>
      <c r="D1102" s="31">
        <v>4.68</v>
      </c>
      <c r="E1102" s="31">
        <v>-1.27</v>
      </c>
      <c r="F1102" s="31">
        <v>8821827100</v>
      </c>
    </row>
    <row r="1103" spans="1:6" ht="15" thickBot="1" x14ac:dyDescent="0.2">
      <c r="A1103" s="30" t="s">
        <v>9762</v>
      </c>
      <c r="B1103" s="26" t="str">
        <f t="shared" si="17"/>
        <v>688276</v>
      </c>
      <c r="C1103" s="30" t="s">
        <v>9763</v>
      </c>
      <c r="D1103" s="31">
        <v>21.3</v>
      </c>
      <c r="E1103" s="31">
        <v>-3.4</v>
      </c>
      <c r="F1103" s="31">
        <v>8810906800</v>
      </c>
    </row>
    <row r="1104" spans="1:6" ht="15" thickBot="1" x14ac:dyDescent="0.2">
      <c r="A1104" s="30" t="s">
        <v>9764</v>
      </c>
      <c r="B1104" s="26" t="str">
        <f t="shared" si="17"/>
        <v>600740</v>
      </c>
      <c r="C1104" s="30" t="s">
        <v>2399</v>
      </c>
      <c r="D1104" s="31">
        <v>3.42</v>
      </c>
      <c r="E1104" s="31">
        <v>-0.28999999999999998</v>
      </c>
      <c r="F1104" s="31">
        <v>8762454300</v>
      </c>
    </row>
    <row r="1105" spans="1:6" ht="15" thickBot="1" x14ac:dyDescent="0.2">
      <c r="A1105" s="30" t="s">
        <v>9765</v>
      </c>
      <c r="B1105" s="26" t="str">
        <f t="shared" si="17"/>
        <v>300182</v>
      </c>
      <c r="C1105" s="30" t="s">
        <v>2034</v>
      </c>
      <c r="D1105" s="31">
        <v>3.91</v>
      </c>
      <c r="E1105" s="31">
        <v>0</v>
      </c>
      <c r="F1105" s="31">
        <v>8758073700</v>
      </c>
    </row>
    <row r="1106" spans="1:6" ht="15" thickBot="1" x14ac:dyDescent="0.2">
      <c r="A1106" s="30" t="s">
        <v>9766</v>
      </c>
      <c r="B1106" s="26" t="str">
        <f t="shared" si="17"/>
        <v>600641</v>
      </c>
      <c r="C1106" s="30" t="s">
        <v>2358</v>
      </c>
      <c r="D1106" s="31">
        <v>9.41</v>
      </c>
      <c r="E1106" s="31">
        <v>1.51</v>
      </c>
      <c r="F1106" s="31">
        <v>8757227500</v>
      </c>
    </row>
    <row r="1107" spans="1:6" ht="15" thickBot="1" x14ac:dyDescent="0.2">
      <c r="A1107" s="30" t="s">
        <v>9767</v>
      </c>
      <c r="B1107" s="26" t="str">
        <f t="shared" si="17"/>
        <v>002158</v>
      </c>
      <c r="C1107" s="30" t="s">
        <v>2324</v>
      </c>
      <c r="D1107" s="31">
        <v>16.39</v>
      </c>
      <c r="E1107" s="31">
        <v>0.06</v>
      </c>
      <c r="F1107" s="31">
        <v>8745739200</v>
      </c>
    </row>
    <row r="1108" spans="1:6" ht="15" thickBot="1" x14ac:dyDescent="0.2">
      <c r="A1108" s="30" t="s">
        <v>9768</v>
      </c>
      <c r="B1108" s="26" t="str">
        <f t="shared" si="17"/>
        <v>301004</v>
      </c>
      <c r="C1108" s="30" t="s">
        <v>2276</v>
      </c>
      <c r="D1108" s="31">
        <v>92</v>
      </c>
      <c r="E1108" s="31">
        <v>2.77</v>
      </c>
      <c r="F1108" s="31">
        <v>8742149400</v>
      </c>
    </row>
    <row r="1109" spans="1:6" ht="15" thickBot="1" x14ac:dyDescent="0.2">
      <c r="A1109" s="30" t="s">
        <v>9769</v>
      </c>
      <c r="B1109" s="26" t="str">
        <f t="shared" si="17"/>
        <v>605368</v>
      </c>
      <c r="C1109" s="30" t="s">
        <v>2345</v>
      </c>
      <c r="D1109" s="31">
        <v>13.24</v>
      </c>
      <c r="E1109" s="31">
        <v>1.61</v>
      </c>
      <c r="F1109" s="31">
        <v>8741739800</v>
      </c>
    </row>
    <row r="1110" spans="1:6" ht="15" thickBot="1" x14ac:dyDescent="0.2">
      <c r="A1110" s="30" t="s">
        <v>9770</v>
      </c>
      <c r="B1110" s="26" t="str">
        <f t="shared" si="17"/>
        <v>000839</v>
      </c>
      <c r="C1110" s="30" t="s">
        <v>2360</v>
      </c>
      <c r="D1110" s="31">
        <v>2.23</v>
      </c>
      <c r="E1110" s="31">
        <v>-2.62</v>
      </c>
      <c r="F1110" s="31">
        <v>8741212800</v>
      </c>
    </row>
    <row r="1111" spans="1:6" ht="15" thickBot="1" x14ac:dyDescent="0.2">
      <c r="A1111" s="30" t="s">
        <v>9771</v>
      </c>
      <c r="B1111" s="26" t="str">
        <f t="shared" si="17"/>
        <v>002675</v>
      </c>
      <c r="C1111" s="30" t="s">
        <v>2117</v>
      </c>
      <c r="D1111" s="31">
        <v>11.72</v>
      </c>
      <c r="E1111" s="31">
        <v>-1.43</v>
      </c>
      <c r="F1111" s="31">
        <v>8711947700</v>
      </c>
    </row>
    <row r="1112" spans="1:6" ht="15" thickBot="1" x14ac:dyDescent="0.2">
      <c r="A1112" s="30" t="s">
        <v>9772</v>
      </c>
      <c r="B1112" s="26" t="str">
        <f t="shared" si="17"/>
        <v>688375</v>
      </c>
      <c r="C1112" s="30" t="s">
        <v>9773</v>
      </c>
      <c r="D1112" s="31">
        <v>32.81</v>
      </c>
      <c r="E1112" s="31">
        <v>-0.67</v>
      </c>
      <c r="F1112" s="31">
        <v>8710147700</v>
      </c>
    </row>
    <row r="1113" spans="1:6" ht="15" thickBot="1" x14ac:dyDescent="0.2">
      <c r="A1113" s="30" t="s">
        <v>9774</v>
      </c>
      <c r="B1113" s="26" t="str">
        <f t="shared" si="17"/>
        <v>002497</v>
      </c>
      <c r="C1113" s="30" t="s">
        <v>2139</v>
      </c>
      <c r="D1113" s="31">
        <v>8.24</v>
      </c>
      <c r="E1113" s="31">
        <v>-1.44</v>
      </c>
      <c r="F1113" s="31">
        <v>8681037300</v>
      </c>
    </row>
    <row r="1114" spans="1:6" ht="15" thickBot="1" x14ac:dyDescent="0.2">
      <c r="A1114" s="30" t="s">
        <v>9775</v>
      </c>
      <c r="B1114" s="26" t="str">
        <f t="shared" si="17"/>
        <v>600657</v>
      </c>
      <c r="C1114" s="30" t="s">
        <v>2532</v>
      </c>
      <c r="D1114" s="31">
        <v>3.04</v>
      </c>
      <c r="E1114" s="31">
        <v>3.4</v>
      </c>
      <c r="F1114" s="31">
        <v>8669710900</v>
      </c>
    </row>
    <row r="1115" spans="1:6" ht="15" thickBot="1" x14ac:dyDescent="0.2">
      <c r="A1115" s="30" t="s">
        <v>9776</v>
      </c>
      <c r="B1115" s="26" t="str">
        <f t="shared" si="17"/>
        <v>600114</v>
      </c>
      <c r="C1115" s="30" t="s">
        <v>2330</v>
      </c>
      <c r="D1115" s="31">
        <v>14.02</v>
      </c>
      <c r="E1115" s="31">
        <v>-1.68</v>
      </c>
      <c r="F1115" s="31">
        <v>8641696300</v>
      </c>
    </row>
    <row r="1116" spans="1:6" ht="15" thickBot="1" x14ac:dyDescent="0.2">
      <c r="A1116" s="30" t="s">
        <v>9777</v>
      </c>
      <c r="B1116" s="26" t="str">
        <f t="shared" si="17"/>
        <v>002901</v>
      </c>
      <c r="C1116" s="30" t="s">
        <v>2119</v>
      </c>
      <c r="D1116" s="31">
        <v>24.62</v>
      </c>
      <c r="E1116" s="31">
        <v>-1.1599999999999999</v>
      </c>
      <c r="F1116" s="31">
        <v>8632140000</v>
      </c>
    </row>
    <row r="1117" spans="1:6" ht="15" thickBot="1" x14ac:dyDescent="0.2">
      <c r="A1117" s="30" t="s">
        <v>9778</v>
      </c>
      <c r="B1117" s="26" t="str">
        <f t="shared" si="17"/>
        <v>601005</v>
      </c>
      <c r="C1117" s="30" t="s">
        <v>2326</v>
      </c>
      <c r="D1117" s="31">
        <v>1.03</v>
      </c>
      <c r="E1117" s="31">
        <v>0</v>
      </c>
      <c r="F1117" s="31">
        <v>8631889300</v>
      </c>
    </row>
    <row r="1118" spans="1:6" ht="15" thickBot="1" x14ac:dyDescent="0.2">
      <c r="A1118" s="30" t="s">
        <v>9779</v>
      </c>
      <c r="B1118" s="26" t="str">
        <f t="shared" si="17"/>
        <v>000829</v>
      </c>
      <c r="C1118" s="30" t="s">
        <v>2377</v>
      </c>
      <c r="D1118" s="31">
        <v>8.42</v>
      </c>
      <c r="E1118" s="31">
        <v>1.08</v>
      </c>
      <c r="F1118" s="31">
        <v>8623171800</v>
      </c>
    </row>
    <row r="1119" spans="1:6" ht="15" thickBot="1" x14ac:dyDescent="0.2">
      <c r="A1119" s="30" t="s">
        <v>9780</v>
      </c>
      <c r="B1119" s="26" t="str">
        <f t="shared" si="17"/>
        <v>600835</v>
      </c>
      <c r="C1119" s="30" t="s">
        <v>2149</v>
      </c>
      <c r="D1119" s="31">
        <v>10.69</v>
      </c>
      <c r="E1119" s="31">
        <v>1.1399999999999999</v>
      </c>
      <c r="F1119" s="31">
        <v>8621531000</v>
      </c>
    </row>
    <row r="1120" spans="1:6" ht="15" thickBot="1" x14ac:dyDescent="0.2">
      <c r="A1120" s="30" t="s">
        <v>9781</v>
      </c>
      <c r="B1120" s="26" t="str">
        <f t="shared" si="17"/>
        <v>300456</v>
      </c>
      <c r="C1120" s="30" t="s">
        <v>2059</v>
      </c>
      <c r="D1120" s="31">
        <v>14.52</v>
      </c>
      <c r="E1120" s="31">
        <v>4.01</v>
      </c>
      <c r="F1120" s="31">
        <v>8617570300</v>
      </c>
    </row>
    <row r="1121" spans="1:6" ht="15" thickBot="1" x14ac:dyDescent="0.2">
      <c r="A1121" s="30" t="s">
        <v>9782</v>
      </c>
      <c r="B1121" s="26" t="str">
        <f t="shared" si="17"/>
        <v>688161</v>
      </c>
      <c r="C1121" s="30" t="s">
        <v>9783</v>
      </c>
      <c r="D1121" s="31">
        <v>21.54</v>
      </c>
      <c r="E1121" s="31">
        <v>-0.55000000000000004</v>
      </c>
      <c r="F1121" s="31">
        <v>8616000000</v>
      </c>
    </row>
    <row r="1122" spans="1:6" ht="15" thickBot="1" x14ac:dyDescent="0.2">
      <c r="A1122" s="30" t="s">
        <v>9784</v>
      </c>
      <c r="B1122" s="26" t="str">
        <f t="shared" si="17"/>
        <v>601311</v>
      </c>
      <c r="C1122" s="30" t="s">
        <v>2364</v>
      </c>
      <c r="D1122" s="31">
        <v>7.34</v>
      </c>
      <c r="E1122" s="31">
        <v>-1.08</v>
      </c>
      <c r="F1122" s="31">
        <v>8610892500</v>
      </c>
    </row>
    <row r="1123" spans="1:6" ht="15" thickBot="1" x14ac:dyDescent="0.2">
      <c r="A1123" s="30" t="s">
        <v>9785</v>
      </c>
      <c r="B1123" s="26" t="str">
        <f t="shared" si="17"/>
        <v>300811</v>
      </c>
      <c r="C1123" s="30" t="s">
        <v>2045</v>
      </c>
      <c r="D1123" s="31">
        <v>37.619999999999997</v>
      </c>
      <c r="E1123" s="31">
        <v>-1.1000000000000001</v>
      </c>
      <c r="F1123" s="31">
        <v>8604403900</v>
      </c>
    </row>
    <row r="1124" spans="1:6" ht="15" thickBot="1" x14ac:dyDescent="0.2">
      <c r="A1124" s="30" t="s">
        <v>9786</v>
      </c>
      <c r="B1124" s="26" t="str">
        <f t="shared" si="17"/>
        <v>002131</v>
      </c>
      <c r="C1124" s="30" t="s">
        <v>2244</v>
      </c>
      <c r="D1124" s="31">
        <v>1.47</v>
      </c>
      <c r="E1124" s="31">
        <v>0.69</v>
      </c>
      <c r="F1124" s="31">
        <v>8601318000</v>
      </c>
    </row>
    <row r="1125" spans="1:6" ht="15" thickBot="1" x14ac:dyDescent="0.2">
      <c r="A1125" s="30" t="s">
        <v>9787</v>
      </c>
      <c r="B1125" s="26" t="str">
        <f t="shared" si="17"/>
        <v>600133</v>
      </c>
      <c r="C1125" s="30" t="s">
        <v>2672</v>
      </c>
      <c r="D1125" s="31">
        <v>8.0500000000000007</v>
      </c>
      <c r="E1125" s="31">
        <v>0.63</v>
      </c>
      <c r="F1125" s="31">
        <v>8583231000</v>
      </c>
    </row>
    <row r="1126" spans="1:6" ht="15" thickBot="1" x14ac:dyDescent="0.2">
      <c r="A1126" s="30" t="s">
        <v>9788</v>
      </c>
      <c r="B1126" s="26" t="str">
        <f t="shared" si="17"/>
        <v>300492</v>
      </c>
      <c r="C1126" s="30" t="s">
        <v>2278</v>
      </c>
      <c r="D1126" s="31">
        <v>61</v>
      </c>
      <c r="E1126" s="31">
        <v>-2.34</v>
      </c>
      <c r="F1126" s="31">
        <v>8569674700</v>
      </c>
    </row>
    <row r="1127" spans="1:6" ht="15" thickBot="1" x14ac:dyDescent="0.2">
      <c r="A1127" s="30" t="s">
        <v>9789</v>
      </c>
      <c r="B1127" s="26" t="str">
        <f t="shared" si="17"/>
        <v>600645</v>
      </c>
      <c r="C1127" s="30" t="s">
        <v>2417</v>
      </c>
      <c r="D1127" s="31">
        <v>18.32</v>
      </c>
      <c r="E1127" s="31">
        <v>-2.29</v>
      </c>
      <c r="F1127" s="31">
        <v>8569549400</v>
      </c>
    </row>
    <row r="1128" spans="1:6" ht="15" thickBot="1" x14ac:dyDescent="0.2">
      <c r="A1128" s="30" t="s">
        <v>9790</v>
      </c>
      <c r="B1128" s="26" t="str">
        <f t="shared" si="17"/>
        <v>600888</v>
      </c>
      <c r="C1128" s="30" t="s">
        <v>2383</v>
      </c>
      <c r="D1128" s="31">
        <v>6.26</v>
      </c>
      <c r="E1128" s="31">
        <v>0.32</v>
      </c>
      <c r="F1128" s="31">
        <v>8564218400</v>
      </c>
    </row>
    <row r="1129" spans="1:6" ht="15" thickBot="1" x14ac:dyDescent="0.2">
      <c r="A1129" s="30" t="s">
        <v>9791</v>
      </c>
      <c r="B1129" s="26" t="str">
        <f t="shared" si="17"/>
        <v>000791</v>
      </c>
      <c r="C1129" s="30" t="s">
        <v>2437</v>
      </c>
      <c r="D1129" s="31">
        <v>5.35</v>
      </c>
      <c r="E1129" s="31">
        <v>0.19</v>
      </c>
      <c r="F1129" s="31">
        <v>8562807600</v>
      </c>
    </row>
    <row r="1130" spans="1:6" ht="15" thickBot="1" x14ac:dyDescent="0.2">
      <c r="A1130" s="30" t="s">
        <v>9792</v>
      </c>
      <c r="B1130" s="26" t="str">
        <f t="shared" si="17"/>
        <v>300083</v>
      </c>
      <c r="C1130" s="30" t="s">
        <v>2176</v>
      </c>
      <c r="D1130" s="31">
        <v>5.73</v>
      </c>
      <c r="E1130" s="31">
        <v>0.35</v>
      </c>
      <c r="F1130" s="31">
        <v>8555091800</v>
      </c>
    </row>
    <row r="1131" spans="1:6" ht="15" thickBot="1" x14ac:dyDescent="0.2">
      <c r="A1131" s="30" t="s">
        <v>9793</v>
      </c>
      <c r="B1131" s="26" t="str">
        <f t="shared" si="17"/>
        <v>688097</v>
      </c>
      <c r="C1131" s="30" t="s">
        <v>2328</v>
      </c>
      <c r="D1131" s="31">
        <v>19.329999999999998</v>
      </c>
      <c r="E1131" s="31">
        <v>0.1</v>
      </c>
      <c r="F1131" s="31">
        <v>8545928600</v>
      </c>
    </row>
    <row r="1132" spans="1:6" ht="15" thickBot="1" x14ac:dyDescent="0.2">
      <c r="A1132" s="30" t="s">
        <v>9794</v>
      </c>
      <c r="B1132" s="26" t="str">
        <f t="shared" si="17"/>
        <v>600577</v>
      </c>
      <c r="C1132" s="30" t="s">
        <v>2439</v>
      </c>
      <c r="D1132" s="31">
        <v>4.05</v>
      </c>
      <c r="E1132" s="31">
        <v>0.75</v>
      </c>
      <c r="F1132" s="31">
        <v>8540148600</v>
      </c>
    </row>
    <row r="1133" spans="1:6" ht="15" thickBot="1" x14ac:dyDescent="0.2">
      <c r="A1133" s="30" t="s">
        <v>9795</v>
      </c>
      <c r="B1133" s="26" t="str">
        <f t="shared" si="17"/>
        <v>002019</v>
      </c>
      <c r="C1133" s="30" t="s">
        <v>1753</v>
      </c>
      <c r="D1133" s="31">
        <v>10.14</v>
      </c>
      <c r="E1133" s="31">
        <v>0.2</v>
      </c>
      <c r="F1133" s="31">
        <v>8532547200</v>
      </c>
    </row>
    <row r="1134" spans="1:6" ht="15" thickBot="1" x14ac:dyDescent="0.2">
      <c r="A1134" s="30" t="s">
        <v>9796</v>
      </c>
      <c r="B1134" s="26" t="str">
        <f t="shared" si="17"/>
        <v>300773</v>
      </c>
      <c r="C1134" s="30" t="s">
        <v>2258</v>
      </c>
      <c r="D1134" s="31">
        <v>11.61</v>
      </c>
      <c r="E1134" s="31">
        <v>-0.26</v>
      </c>
      <c r="F1134" s="31">
        <v>8525634100</v>
      </c>
    </row>
    <row r="1135" spans="1:6" ht="15" thickBot="1" x14ac:dyDescent="0.2">
      <c r="A1135" s="30" t="s">
        <v>9797</v>
      </c>
      <c r="B1135" s="26" t="str">
        <f t="shared" si="17"/>
        <v>002061</v>
      </c>
      <c r="C1135" s="30" t="s">
        <v>2435</v>
      </c>
      <c r="D1135" s="31">
        <v>3.28</v>
      </c>
      <c r="E1135" s="31">
        <v>0</v>
      </c>
      <c r="F1135" s="31">
        <v>8525172300</v>
      </c>
    </row>
    <row r="1136" spans="1:6" ht="15" thickBot="1" x14ac:dyDescent="0.2">
      <c r="A1136" s="30" t="s">
        <v>9798</v>
      </c>
      <c r="B1136" s="26" t="str">
        <f t="shared" si="17"/>
        <v>601059</v>
      </c>
      <c r="C1136" s="30" t="s">
        <v>9799</v>
      </c>
      <c r="D1136" s="31">
        <v>12.32</v>
      </c>
      <c r="E1136" s="31">
        <v>0.08</v>
      </c>
      <c r="F1136" s="31">
        <v>8520512000</v>
      </c>
    </row>
    <row r="1137" spans="1:6" ht="15" thickBot="1" x14ac:dyDescent="0.2">
      <c r="A1137" s="30" t="s">
        <v>9800</v>
      </c>
      <c r="B1137" s="26" t="str">
        <f t="shared" si="17"/>
        <v>002249</v>
      </c>
      <c r="C1137" s="30" t="s">
        <v>1895</v>
      </c>
      <c r="D1137" s="31">
        <v>4.72</v>
      </c>
      <c r="E1137" s="31">
        <v>0.21</v>
      </c>
      <c r="F1137" s="31">
        <v>8519139700</v>
      </c>
    </row>
    <row r="1138" spans="1:6" ht="15" thickBot="1" x14ac:dyDescent="0.2">
      <c r="A1138" s="30" t="s">
        <v>9801</v>
      </c>
      <c r="B1138" s="26" t="str">
        <f t="shared" si="17"/>
        <v>603300</v>
      </c>
      <c r="C1138" s="30" t="s">
        <v>2415</v>
      </c>
      <c r="D1138" s="31">
        <v>4.32</v>
      </c>
      <c r="E1138" s="31">
        <v>-0.46</v>
      </c>
      <c r="F1138" s="31">
        <v>8513020300</v>
      </c>
    </row>
    <row r="1139" spans="1:6" ht="15" thickBot="1" x14ac:dyDescent="0.2">
      <c r="A1139" s="30" t="s">
        <v>9802</v>
      </c>
      <c r="B1139" s="26" t="str">
        <f t="shared" si="17"/>
        <v>603127</v>
      </c>
      <c r="C1139" s="30" t="s">
        <v>2260</v>
      </c>
      <c r="D1139" s="31">
        <v>13.48</v>
      </c>
      <c r="E1139" s="31">
        <v>-0.15</v>
      </c>
      <c r="F1139" s="31">
        <v>8498899100</v>
      </c>
    </row>
    <row r="1140" spans="1:6" ht="15" thickBot="1" x14ac:dyDescent="0.2">
      <c r="A1140" s="30" t="s">
        <v>9803</v>
      </c>
      <c r="B1140" s="26" t="str">
        <f t="shared" si="17"/>
        <v>000552</v>
      </c>
      <c r="C1140" s="30" t="s">
        <v>1810</v>
      </c>
      <c r="D1140" s="31">
        <v>2.2799999999999998</v>
      </c>
      <c r="E1140" s="31">
        <v>1.79</v>
      </c>
      <c r="F1140" s="31">
        <v>8494764700</v>
      </c>
    </row>
    <row r="1141" spans="1:6" ht="15" thickBot="1" x14ac:dyDescent="0.2">
      <c r="A1141" s="30" t="s">
        <v>9804</v>
      </c>
      <c r="B1141" s="26" t="str">
        <f t="shared" si="17"/>
        <v>603983</v>
      </c>
      <c r="C1141" s="30" t="s">
        <v>2340</v>
      </c>
      <c r="D1141" s="31">
        <v>21.16</v>
      </c>
      <c r="E1141" s="31">
        <v>-0.47</v>
      </c>
      <c r="F1141" s="31">
        <v>8485160000</v>
      </c>
    </row>
    <row r="1142" spans="1:6" ht="15" thickBot="1" x14ac:dyDescent="0.2">
      <c r="A1142" s="30" t="s">
        <v>9805</v>
      </c>
      <c r="B1142" s="26" t="str">
        <f t="shared" si="17"/>
        <v>600759</v>
      </c>
      <c r="C1142" s="30" t="s">
        <v>2423</v>
      </c>
      <c r="D1142" s="31">
        <v>2.04</v>
      </c>
      <c r="E1142" s="31">
        <v>-1.45</v>
      </c>
      <c r="F1142" s="31">
        <v>8453119000</v>
      </c>
    </row>
    <row r="1143" spans="1:6" ht="15" thickBot="1" x14ac:dyDescent="0.2">
      <c r="A1143" s="30" t="s">
        <v>9806</v>
      </c>
      <c r="B1143" s="26" t="str">
        <f t="shared" si="17"/>
        <v>603055</v>
      </c>
      <c r="C1143" s="30" t="s">
        <v>2342</v>
      </c>
      <c r="D1143" s="31">
        <v>9.5500000000000007</v>
      </c>
      <c r="E1143" s="31">
        <v>-0.21</v>
      </c>
      <c r="F1143" s="31">
        <v>8435449100</v>
      </c>
    </row>
    <row r="1144" spans="1:6" ht="15" thickBot="1" x14ac:dyDescent="0.2">
      <c r="A1144" s="30" t="s">
        <v>9807</v>
      </c>
      <c r="B1144" s="26" t="str">
        <f t="shared" si="17"/>
        <v>300118</v>
      </c>
      <c r="C1144" s="30" t="s">
        <v>2014</v>
      </c>
      <c r="D1144" s="31">
        <v>9.1</v>
      </c>
      <c r="E1144" s="31">
        <v>-2.2599999999999998</v>
      </c>
      <c r="F1144" s="31">
        <v>8434117300</v>
      </c>
    </row>
    <row r="1145" spans="1:6" ht="15" thickBot="1" x14ac:dyDescent="0.2">
      <c r="A1145" s="30" t="s">
        <v>9808</v>
      </c>
      <c r="B1145" s="26" t="str">
        <f t="shared" si="17"/>
        <v>688006</v>
      </c>
      <c r="C1145" s="30" t="s">
        <v>2349</v>
      </c>
      <c r="D1145" s="31">
        <v>13.97</v>
      </c>
      <c r="E1145" s="31">
        <v>-0.99</v>
      </c>
      <c r="F1145" s="31">
        <v>8433300000</v>
      </c>
    </row>
    <row r="1146" spans="1:6" ht="15" thickBot="1" x14ac:dyDescent="0.2">
      <c r="A1146" s="30" t="s">
        <v>9809</v>
      </c>
      <c r="B1146" s="26" t="str">
        <f t="shared" si="17"/>
        <v>601860</v>
      </c>
      <c r="C1146" s="30" t="s">
        <v>9810</v>
      </c>
      <c r="D1146" s="31">
        <v>2.38</v>
      </c>
      <c r="E1146" s="31">
        <v>-0.83</v>
      </c>
      <c r="F1146" s="31">
        <v>8426678400</v>
      </c>
    </row>
    <row r="1147" spans="1:6" ht="15" thickBot="1" x14ac:dyDescent="0.2">
      <c r="A1147" s="30" t="s">
        <v>9811</v>
      </c>
      <c r="B1147" s="26" t="str">
        <f t="shared" si="17"/>
        <v>000727</v>
      </c>
      <c r="C1147" s="30" t="s">
        <v>2391</v>
      </c>
      <c r="D1147" s="31">
        <v>1.86</v>
      </c>
      <c r="E1147" s="31">
        <v>-1.59</v>
      </c>
      <c r="F1147" s="31">
        <v>8424994600</v>
      </c>
    </row>
    <row r="1148" spans="1:6" ht="15" thickBot="1" x14ac:dyDescent="0.2">
      <c r="A1148" s="30" t="s">
        <v>9812</v>
      </c>
      <c r="B1148" s="26" t="str">
        <f t="shared" si="17"/>
        <v>300457</v>
      </c>
      <c r="C1148" s="30" t="s">
        <v>2298</v>
      </c>
      <c r="D1148" s="31">
        <v>13.29</v>
      </c>
      <c r="E1148" s="31">
        <v>-1.77</v>
      </c>
      <c r="F1148" s="31">
        <v>8422910400</v>
      </c>
    </row>
    <row r="1149" spans="1:6" ht="15" thickBot="1" x14ac:dyDescent="0.2">
      <c r="A1149" s="30" t="s">
        <v>9813</v>
      </c>
      <c r="B1149" s="26" t="str">
        <f t="shared" si="17"/>
        <v>002807</v>
      </c>
      <c r="C1149" s="30" t="s">
        <v>9814</v>
      </c>
      <c r="D1149" s="31">
        <v>3.42</v>
      </c>
      <c r="E1149" s="31">
        <v>-0.57999999999999996</v>
      </c>
      <c r="F1149" s="31">
        <v>8407965800</v>
      </c>
    </row>
    <row r="1150" spans="1:6" ht="15" thickBot="1" x14ac:dyDescent="0.2">
      <c r="A1150" s="30" t="s">
        <v>9815</v>
      </c>
      <c r="B1150" s="26" t="str">
        <f t="shared" si="17"/>
        <v>601020</v>
      </c>
      <c r="C1150" s="30" t="s">
        <v>2370</v>
      </c>
      <c r="D1150" s="31">
        <v>10.25</v>
      </c>
      <c r="E1150" s="31">
        <v>-1.1599999999999999</v>
      </c>
      <c r="F1150" s="31">
        <v>8404638200</v>
      </c>
    </row>
    <row r="1151" spans="1:6" ht="15" thickBot="1" x14ac:dyDescent="0.2">
      <c r="A1151" s="30" t="s">
        <v>9816</v>
      </c>
      <c r="B1151" s="26" t="str">
        <f t="shared" si="17"/>
        <v>600267</v>
      </c>
      <c r="C1151" s="30" t="s">
        <v>2413</v>
      </c>
      <c r="D1151" s="31">
        <v>6.99</v>
      </c>
      <c r="E1151" s="31">
        <v>-1.1299999999999999</v>
      </c>
      <c r="F1151" s="31">
        <v>8375340700</v>
      </c>
    </row>
    <row r="1152" spans="1:6" ht="15" thickBot="1" x14ac:dyDescent="0.2">
      <c r="A1152" s="30" t="s">
        <v>9817</v>
      </c>
      <c r="B1152" s="26" t="str">
        <f t="shared" si="17"/>
        <v>000690</v>
      </c>
      <c r="C1152" s="30" t="s">
        <v>2482</v>
      </c>
      <c r="D1152" s="31">
        <v>3.85</v>
      </c>
      <c r="E1152" s="31">
        <v>-0.52</v>
      </c>
      <c r="F1152" s="31">
        <v>8371713100</v>
      </c>
    </row>
    <row r="1153" spans="1:6" ht="15" thickBot="1" x14ac:dyDescent="0.2">
      <c r="A1153" s="30" t="s">
        <v>9818</v>
      </c>
      <c r="B1153" s="26" t="str">
        <f t="shared" si="17"/>
        <v>600782</v>
      </c>
      <c r="C1153" s="30" t="s">
        <v>2457</v>
      </c>
      <c r="D1153" s="31">
        <v>2.66</v>
      </c>
      <c r="E1153" s="31">
        <v>-0.75</v>
      </c>
      <c r="F1153" s="31">
        <v>8367434700</v>
      </c>
    </row>
    <row r="1154" spans="1:6" ht="15" thickBot="1" x14ac:dyDescent="0.2">
      <c r="A1154" s="30" t="s">
        <v>9819</v>
      </c>
      <c r="B1154" s="26" t="str">
        <f t="shared" si="17"/>
        <v>000712</v>
      </c>
      <c r="C1154" s="30" t="s">
        <v>9820</v>
      </c>
      <c r="D1154" s="31">
        <v>9.34</v>
      </c>
      <c r="E1154" s="31">
        <v>0.54</v>
      </c>
      <c r="F1154" s="31">
        <v>8360719400</v>
      </c>
    </row>
    <row r="1155" spans="1:6" ht="15" thickBot="1" x14ac:dyDescent="0.2">
      <c r="A1155" s="30" t="s">
        <v>9821</v>
      </c>
      <c r="B1155" s="26" t="str">
        <f t="shared" ref="B1155:B1218" si="18">LEFT(A1155,6)</f>
        <v>605116</v>
      </c>
      <c r="C1155" s="30" t="s">
        <v>2268</v>
      </c>
      <c r="D1155" s="31">
        <v>21.14</v>
      </c>
      <c r="E1155" s="31">
        <v>-4.5999999999999996</v>
      </c>
      <c r="F1155" s="31">
        <v>8359453600</v>
      </c>
    </row>
    <row r="1156" spans="1:6" ht="15" thickBot="1" x14ac:dyDescent="0.2">
      <c r="A1156" s="30" t="s">
        <v>9822</v>
      </c>
      <c r="B1156" s="26" t="str">
        <f t="shared" si="18"/>
        <v>002099</v>
      </c>
      <c r="C1156" s="30" t="s">
        <v>2397</v>
      </c>
      <c r="D1156" s="31">
        <v>5.17</v>
      </c>
      <c r="E1156" s="31">
        <v>-2.08</v>
      </c>
      <c r="F1156" s="31">
        <v>8357483100</v>
      </c>
    </row>
    <row r="1157" spans="1:6" ht="15" thickBot="1" x14ac:dyDescent="0.2">
      <c r="A1157" s="30" t="s">
        <v>9823</v>
      </c>
      <c r="B1157" s="26" t="str">
        <f t="shared" si="18"/>
        <v>300738</v>
      </c>
      <c r="C1157" s="30" t="s">
        <v>2419</v>
      </c>
      <c r="D1157" s="31">
        <v>8.66</v>
      </c>
      <c r="E1157" s="31">
        <v>-0.35</v>
      </c>
      <c r="F1157" s="31">
        <v>8353106900</v>
      </c>
    </row>
    <row r="1158" spans="1:6" ht="15" thickBot="1" x14ac:dyDescent="0.2">
      <c r="A1158" s="30" t="s">
        <v>9824</v>
      </c>
      <c r="B1158" s="26" t="str">
        <f t="shared" si="18"/>
        <v>000930</v>
      </c>
      <c r="C1158" s="30" t="s">
        <v>2449</v>
      </c>
      <c r="D1158" s="31">
        <v>4.5</v>
      </c>
      <c r="E1158" s="31">
        <v>-0.88</v>
      </c>
      <c r="F1158" s="31">
        <v>8353040800</v>
      </c>
    </row>
    <row r="1159" spans="1:6" ht="15" thickBot="1" x14ac:dyDescent="0.2">
      <c r="A1159" s="30" t="s">
        <v>9825</v>
      </c>
      <c r="B1159" s="26" t="str">
        <f t="shared" si="18"/>
        <v>300049</v>
      </c>
      <c r="C1159" s="30" t="s">
        <v>2107</v>
      </c>
      <c r="D1159" s="31">
        <v>35.74</v>
      </c>
      <c r="E1159" s="31">
        <v>-2.11</v>
      </c>
      <c r="F1159" s="31">
        <v>8345338000</v>
      </c>
    </row>
    <row r="1160" spans="1:6" ht="15" thickBot="1" x14ac:dyDescent="0.2">
      <c r="A1160" s="30" t="s">
        <v>9826</v>
      </c>
      <c r="B1160" s="26" t="str">
        <f t="shared" si="18"/>
        <v>300568</v>
      </c>
      <c r="C1160" s="30" t="s">
        <v>2129</v>
      </c>
      <c r="D1160" s="31">
        <v>6.87</v>
      </c>
      <c r="E1160" s="31">
        <v>-2.83</v>
      </c>
      <c r="F1160" s="31">
        <v>8339389900</v>
      </c>
    </row>
    <row r="1161" spans="1:6" ht="15" thickBot="1" x14ac:dyDescent="0.2">
      <c r="A1161" s="30" t="s">
        <v>9827</v>
      </c>
      <c r="B1161" s="26" t="str">
        <f t="shared" si="18"/>
        <v>603185</v>
      </c>
      <c r="C1161" s="30" t="s">
        <v>2375</v>
      </c>
      <c r="D1161" s="31">
        <v>12.28</v>
      </c>
      <c r="E1161" s="31">
        <v>-2.23</v>
      </c>
      <c r="F1161" s="31">
        <v>8338392600</v>
      </c>
    </row>
    <row r="1162" spans="1:6" ht="15" thickBot="1" x14ac:dyDescent="0.2">
      <c r="A1162" s="30" t="s">
        <v>9828</v>
      </c>
      <c r="B1162" s="26" t="str">
        <f t="shared" si="18"/>
        <v>300026</v>
      </c>
      <c r="C1162" s="30" t="s">
        <v>2230</v>
      </c>
      <c r="D1162" s="31">
        <v>3.1</v>
      </c>
      <c r="E1162" s="31">
        <v>-2.21</v>
      </c>
      <c r="F1162" s="31">
        <v>8326215500</v>
      </c>
    </row>
    <row r="1163" spans="1:6" ht="15" thickBot="1" x14ac:dyDescent="0.2">
      <c r="A1163" s="30" t="s">
        <v>9829</v>
      </c>
      <c r="B1163" s="26" t="str">
        <f t="shared" si="18"/>
        <v>688055</v>
      </c>
      <c r="C1163" s="30" t="s">
        <v>2409</v>
      </c>
      <c r="D1163" s="31">
        <v>2.4900000000000002</v>
      </c>
      <c r="E1163" s="31">
        <v>-1.58</v>
      </c>
      <c r="F1163" s="31">
        <v>8300000200</v>
      </c>
    </row>
    <row r="1164" spans="1:6" ht="15" thickBot="1" x14ac:dyDescent="0.2">
      <c r="A1164" s="30" t="s">
        <v>9830</v>
      </c>
      <c r="B1164" s="26" t="str">
        <f t="shared" si="18"/>
        <v>688063</v>
      </c>
      <c r="C1164" s="30" t="s">
        <v>2308</v>
      </c>
      <c r="D1164" s="31">
        <v>33.81</v>
      </c>
      <c r="E1164" s="31">
        <v>-5.43</v>
      </c>
      <c r="F1164" s="31">
        <v>8295596200</v>
      </c>
    </row>
    <row r="1165" spans="1:6" ht="15" thickBot="1" x14ac:dyDescent="0.2">
      <c r="A1165" s="30" t="s">
        <v>9831</v>
      </c>
      <c r="B1165" s="26" t="str">
        <f t="shared" si="18"/>
        <v>002925</v>
      </c>
      <c r="C1165" s="30" t="s">
        <v>2294</v>
      </c>
      <c r="D1165" s="31">
        <v>11.25</v>
      </c>
      <c r="E1165" s="31">
        <v>-1.58</v>
      </c>
      <c r="F1165" s="31">
        <v>8281850500</v>
      </c>
    </row>
    <row r="1166" spans="1:6" ht="15" thickBot="1" x14ac:dyDescent="0.2">
      <c r="A1166" s="30" t="s">
        <v>9832</v>
      </c>
      <c r="B1166" s="26" t="str">
        <f t="shared" si="18"/>
        <v>603100</v>
      </c>
      <c r="C1166" s="30" t="s">
        <v>2443</v>
      </c>
      <c r="D1166" s="31">
        <v>16.27</v>
      </c>
      <c r="E1166" s="31">
        <v>1.5</v>
      </c>
      <c r="F1166" s="31">
        <v>8271830700</v>
      </c>
    </row>
    <row r="1167" spans="1:6" ht="15" thickBot="1" x14ac:dyDescent="0.2">
      <c r="A1167" s="30" t="s">
        <v>9833</v>
      </c>
      <c r="B1167" s="26" t="str">
        <f t="shared" si="18"/>
        <v>688177</v>
      </c>
      <c r="C1167" s="30" t="s">
        <v>2484</v>
      </c>
      <c r="D1167" s="31">
        <v>19.97</v>
      </c>
      <c r="E1167" s="31">
        <v>0.15</v>
      </c>
      <c r="F1167" s="31">
        <v>8269177600</v>
      </c>
    </row>
    <row r="1168" spans="1:6" ht="15" thickBot="1" x14ac:dyDescent="0.2">
      <c r="A1168" s="30" t="s">
        <v>9834</v>
      </c>
      <c r="B1168" s="26" t="str">
        <f t="shared" si="18"/>
        <v>688582</v>
      </c>
      <c r="C1168" s="30" t="s">
        <v>9835</v>
      </c>
      <c r="D1168" s="31">
        <v>34</v>
      </c>
      <c r="E1168" s="31">
        <v>0.59</v>
      </c>
      <c r="F1168" s="31">
        <v>8264774400</v>
      </c>
    </row>
    <row r="1169" spans="1:6" ht="15" thickBot="1" x14ac:dyDescent="0.2">
      <c r="A1169" s="30" t="s">
        <v>9836</v>
      </c>
      <c r="B1169" s="26" t="str">
        <f t="shared" si="18"/>
        <v>601136</v>
      </c>
      <c r="C1169" s="30" t="s">
        <v>9837</v>
      </c>
      <c r="D1169" s="31">
        <v>17.16</v>
      </c>
      <c r="E1169" s="31">
        <v>0.41</v>
      </c>
      <c r="F1169" s="31">
        <v>8262262000</v>
      </c>
    </row>
    <row r="1170" spans="1:6" ht="15" thickBot="1" x14ac:dyDescent="0.2">
      <c r="A1170" s="30" t="s">
        <v>9838</v>
      </c>
      <c r="B1170" s="26" t="str">
        <f t="shared" si="18"/>
        <v>688779</v>
      </c>
      <c r="C1170" s="30" t="s">
        <v>9839</v>
      </c>
      <c r="D1170" s="31">
        <v>4.28</v>
      </c>
      <c r="E1170" s="31">
        <v>-2.06</v>
      </c>
      <c r="F1170" s="31">
        <v>8257054700</v>
      </c>
    </row>
    <row r="1171" spans="1:6" ht="15" thickBot="1" x14ac:dyDescent="0.2">
      <c r="A1171" s="30" t="s">
        <v>9840</v>
      </c>
      <c r="B1171" s="26" t="str">
        <f t="shared" si="18"/>
        <v>002572</v>
      </c>
      <c r="C1171" s="30" t="s">
        <v>1739</v>
      </c>
      <c r="D1171" s="31">
        <v>12.67</v>
      </c>
      <c r="E1171" s="31">
        <v>1.2</v>
      </c>
      <c r="F1171" s="31">
        <v>8254044100</v>
      </c>
    </row>
    <row r="1172" spans="1:6" ht="15" thickBot="1" x14ac:dyDescent="0.2">
      <c r="A1172" s="30" t="s">
        <v>9841</v>
      </c>
      <c r="B1172" s="26" t="str">
        <f t="shared" si="18"/>
        <v>000801</v>
      </c>
      <c r="C1172" s="30" t="s">
        <v>2459</v>
      </c>
      <c r="D1172" s="31">
        <v>8.06</v>
      </c>
      <c r="E1172" s="31">
        <v>0</v>
      </c>
      <c r="F1172" s="31">
        <v>8243821600</v>
      </c>
    </row>
    <row r="1173" spans="1:6" ht="15" thickBot="1" x14ac:dyDescent="0.2">
      <c r="A1173" s="30" t="s">
        <v>9842</v>
      </c>
      <c r="B1173" s="26" t="str">
        <f t="shared" si="18"/>
        <v>600507</v>
      </c>
      <c r="C1173" s="30" t="s">
        <v>2516</v>
      </c>
      <c r="D1173" s="31">
        <v>3.56</v>
      </c>
      <c r="E1173" s="31">
        <v>-1.93</v>
      </c>
      <c r="F1173" s="31">
        <v>8234948900</v>
      </c>
    </row>
    <row r="1174" spans="1:6" ht="15" thickBot="1" x14ac:dyDescent="0.2">
      <c r="A1174" s="30" t="s">
        <v>9843</v>
      </c>
      <c r="B1174" s="26" t="str">
        <f t="shared" si="18"/>
        <v>002317</v>
      </c>
      <c r="C1174" s="30" t="s">
        <v>2192</v>
      </c>
      <c r="D1174" s="31">
        <v>10.8</v>
      </c>
      <c r="E1174" s="31">
        <v>-1.82</v>
      </c>
      <c r="F1174" s="31">
        <v>8225468000</v>
      </c>
    </row>
    <row r="1175" spans="1:6" ht="15" thickBot="1" x14ac:dyDescent="0.2">
      <c r="A1175" s="30" t="s">
        <v>9844</v>
      </c>
      <c r="B1175" s="26" t="str">
        <f t="shared" si="18"/>
        <v>603108</v>
      </c>
      <c r="C1175" s="30" t="s">
        <v>2427</v>
      </c>
      <c r="D1175" s="31">
        <v>13.73</v>
      </c>
      <c r="E1175" s="31">
        <v>0.15</v>
      </c>
      <c r="F1175" s="31">
        <v>8222387900</v>
      </c>
    </row>
    <row r="1176" spans="1:6" ht="15" thickBot="1" x14ac:dyDescent="0.2">
      <c r="A1176" s="30" t="s">
        <v>9845</v>
      </c>
      <c r="B1176" s="26" t="str">
        <f t="shared" si="18"/>
        <v>601778</v>
      </c>
      <c r="C1176" s="30" t="s">
        <v>2492</v>
      </c>
      <c r="D1176" s="31">
        <v>2.2999999999999998</v>
      </c>
      <c r="E1176" s="31">
        <v>-0.86</v>
      </c>
      <c r="F1176" s="31">
        <v>8213200000</v>
      </c>
    </row>
    <row r="1177" spans="1:6" ht="15" thickBot="1" x14ac:dyDescent="0.2">
      <c r="A1177" s="30" t="s">
        <v>9846</v>
      </c>
      <c r="B1177" s="26" t="str">
        <f t="shared" si="18"/>
        <v>600020</v>
      </c>
      <c r="C1177" s="30" t="s">
        <v>2490</v>
      </c>
      <c r="D1177" s="31">
        <v>3.65</v>
      </c>
      <c r="E1177" s="31">
        <v>-0.82</v>
      </c>
      <c r="F1177" s="31">
        <v>8202907200</v>
      </c>
    </row>
    <row r="1178" spans="1:6" ht="15" thickBot="1" x14ac:dyDescent="0.2">
      <c r="A1178" s="30" t="s">
        <v>9847</v>
      </c>
      <c r="B1178" s="26" t="str">
        <f t="shared" si="18"/>
        <v>002387</v>
      </c>
      <c r="C1178" s="30" t="s">
        <v>2316</v>
      </c>
      <c r="D1178" s="31">
        <v>5.92</v>
      </c>
      <c r="E1178" s="31">
        <v>-2.95</v>
      </c>
      <c r="F1178" s="31">
        <v>8194981900</v>
      </c>
    </row>
    <row r="1179" spans="1:6" ht="15" thickBot="1" x14ac:dyDescent="0.2">
      <c r="A1179" s="30" t="s">
        <v>9848</v>
      </c>
      <c r="B1179" s="26" t="str">
        <f t="shared" si="18"/>
        <v>300415</v>
      </c>
      <c r="C1179" s="30" t="s">
        <v>2447</v>
      </c>
      <c r="D1179" s="31">
        <v>18.13</v>
      </c>
      <c r="E1179" s="31">
        <v>-0.39</v>
      </c>
      <c r="F1179" s="31">
        <v>8164181700</v>
      </c>
    </row>
    <row r="1180" spans="1:6" ht="15" thickBot="1" x14ac:dyDescent="0.2">
      <c r="A1180" s="30" t="s">
        <v>9849</v>
      </c>
      <c r="B1180" s="26" t="str">
        <f t="shared" si="18"/>
        <v>688032</v>
      </c>
      <c r="C1180" s="30" t="s">
        <v>1298</v>
      </c>
      <c r="D1180" s="31">
        <v>131.5</v>
      </c>
      <c r="E1180" s="31">
        <v>-0.89</v>
      </c>
      <c r="F1180" s="31">
        <v>8158826800</v>
      </c>
    </row>
    <row r="1181" spans="1:6" ht="15" thickBot="1" x14ac:dyDescent="0.2">
      <c r="A1181" s="30" t="s">
        <v>9850</v>
      </c>
      <c r="B1181" s="26" t="str">
        <f t="shared" si="18"/>
        <v>300762</v>
      </c>
      <c r="C1181" s="30" t="s">
        <v>2500</v>
      </c>
      <c r="D1181" s="31">
        <v>12.99</v>
      </c>
      <c r="E1181" s="31">
        <v>1.0900000000000001</v>
      </c>
      <c r="F1181" s="31">
        <v>8157275400</v>
      </c>
    </row>
    <row r="1182" spans="1:6" ht="15" thickBot="1" x14ac:dyDescent="0.2">
      <c r="A1182" s="30" t="s">
        <v>9851</v>
      </c>
      <c r="B1182" s="26" t="str">
        <f t="shared" si="18"/>
        <v>600648</v>
      </c>
      <c r="C1182" s="30" t="s">
        <v>2336</v>
      </c>
      <c r="D1182" s="31">
        <v>8.7200000000000006</v>
      </c>
      <c r="E1182" s="31">
        <v>0.69</v>
      </c>
      <c r="F1182" s="31">
        <v>8151383000</v>
      </c>
    </row>
    <row r="1183" spans="1:6" ht="15" thickBot="1" x14ac:dyDescent="0.2">
      <c r="A1183" s="30" t="s">
        <v>9852</v>
      </c>
      <c r="B1183" s="26" t="str">
        <f t="shared" si="18"/>
        <v>600639</v>
      </c>
      <c r="C1183" s="30" t="s">
        <v>2264</v>
      </c>
      <c r="D1183" s="31">
        <v>9.58</v>
      </c>
      <c r="E1183" s="31">
        <v>1.48</v>
      </c>
      <c r="F1183" s="31">
        <v>8145267600</v>
      </c>
    </row>
    <row r="1184" spans="1:6" ht="15" thickBot="1" x14ac:dyDescent="0.2">
      <c r="A1184" s="30" t="s">
        <v>9853</v>
      </c>
      <c r="B1184" s="26" t="str">
        <f t="shared" si="18"/>
        <v>000521</v>
      </c>
      <c r="C1184" s="30" t="s">
        <v>2453</v>
      </c>
      <c r="D1184" s="31">
        <v>9.2799999999999994</v>
      </c>
      <c r="E1184" s="31">
        <v>8.41</v>
      </c>
      <c r="F1184" s="31">
        <v>8122072700</v>
      </c>
    </row>
    <row r="1185" spans="1:6" ht="15" thickBot="1" x14ac:dyDescent="0.2">
      <c r="A1185" s="30" t="s">
        <v>9854</v>
      </c>
      <c r="B1185" s="26" t="str">
        <f t="shared" si="18"/>
        <v>000032</v>
      </c>
      <c r="C1185" s="30" t="s">
        <v>1489</v>
      </c>
      <c r="D1185" s="31">
        <v>12.59</v>
      </c>
      <c r="E1185" s="31">
        <v>-1.49</v>
      </c>
      <c r="F1185" s="31">
        <v>8117576400</v>
      </c>
    </row>
    <row r="1186" spans="1:6" ht="15" thickBot="1" x14ac:dyDescent="0.2">
      <c r="A1186" s="30" t="s">
        <v>9855</v>
      </c>
      <c r="B1186" s="26" t="str">
        <f t="shared" si="18"/>
        <v>600917</v>
      </c>
      <c r="C1186" s="30" t="s">
        <v>2524</v>
      </c>
      <c r="D1186" s="31">
        <v>5.2</v>
      </c>
      <c r="E1186" s="31">
        <v>-0.38</v>
      </c>
      <c r="F1186" s="31">
        <v>8117406800</v>
      </c>
    </row>
    <row r="1187" spans="1:6" ht="15" thickBot="1" x14ac:dyDescent="0.2">
      <c r="A1187" s="30" t="s">
        <v>9856</v>
      </c>
      <c r="B1187" s="26" t="str">
        <f t="shared" si="18"/>
        <v>002237</v>
      </c>
      <c r="C1187" s="30" t="s">
        <v>2101</v>
      </c>
      <c r="D1187" s="31">
        <v>8.9</v>
      </c>
      <c r="E1187" s="31">
        <v>-0.11</v>
      </c>
      <c r="F1187" s="31">
        <v>8102866200</v>
      </c>
    </row>
    <row r="1188" spans="1:6" ht="15" thickBot="1" x14ac:dyDescent="0.2">
      <c r="A1188" s="30" t="s">
        <v>9857</v>
      </c>
      <c r="B1188" s="26" t="str">
        <f t="shared" si="18"/>
        <v>688083</v>
      </c>
      <c r="C1188" s="30" t="s">
        <v>2542</v>
      </c>
      <c r="D1188" s="31">
        <v>66.760000000000005</v>
      </c>
      <c r="E1188" s="31">
        <v>-1.53</v>
      </c>
      <c r="F1188" s="31">
        <v>8098241600</v>
      </c>
    </row>
    <row r="1189" spans="1:6" ht="15" thickBot="1" x14ac:dyDescent="0.2">
      <c r="A1189" s="30" t="s">
        <v>9858</v>
      </c>
      <c r="B1189" s="26" t="str">
        <f t="shared" si="18"/>
        <v>300296</v>
      </c>
      <c r="C1189" s="30" t="s">
        <v>2125</v>
      </c>
      <c r="D1189" s="31">
        <v>3.87</v>
      </c>
      <c r="E1189" s="31">
        <v>-1.28</v>
      </c>
      <c r="F1189" s="31">
        <v>8096489400</v>
      </c>
    </row>
    <row r="1190" spans="1:6" ht="15" thickBot="1" x14ac:dyDescent="0.2">
      <c r="A1190" s="30" t="s">
        <v>9859</v>
      </c>
      <c r="B1190" s="26" t="str">
        <f t="shared" si="18"/>
        <v>000950</v>
      </c>
      <c r="C1190" s="30" t="s">
        <v>2496</v>
      </c>
      <c r="D1190" s="31">
        <v>4.68</v>
      </c>
      <c r="E1190" s="31">
        <v>-2.2999999999999998</v>
      </c>
      <c r="F1190" s="31">
        <v>8087904400</v>
      </c>
    </row>
    <row r="1191" spans="1:6" ht="15" thickBot="1" x14ac:dyDescent="0.2">
      <c r="A1191" s="30" t="s">
        <v>9860</v>
      </c>
      <c r="B1191" s="26" t="str">
        <f t="shared" si="18"/>
        <v>600338</v>
      </c>
      <c r="C1191" s="30" t="s">
        <v>2498</v>
      </c>
      <c r="D1191" s="31">
        <v>8.84</v>
      </c>
      <c r="E1191" s="31">
        <v>-0.79</v>
      </c>
      <c r="F1191" s="31">
        <v>8081617900</v>
      </c>
    </row>
    <row r="1192" spans="1:6" ht="15" thickBot="1" x14ac:dyDescent="0.2">
      <c r="A1192" s="30" t="s">
        <v>9861</v>
      </c>
      <c r="B1192" s="26" t="str">
        <f t="shared" si="18"/>
        <v>603477</v>
      </c>
      <c r="C1192" s="30" t="s">
        <v>2466</v>
      </c>
      <c r="D1192" s="31">
        <v>15.84</v>
      </c>
      <c r="E1192" s="31">
        <v>-2.34</v>
      </c>
      <c r="F1192" s="31">
        <v>8079509700</v>
      </c>
    </row>
    <row r="1193" spans="1:6" ht="15" thickBot="1" x14ac:dyDescent="0.2">
      <c r="A1193" s="30" t="s">
        <v>9862</v>
      </c>
      <c r="B1193" s="26" t="str">
        <f t="shared" si="18"/>
        <v>600163</v>
      </c>
      <c r="C1193" s="30" t="s">
        <v>2546</v>
      </c>
      <c r="D1193" s="31">
        <v>4.24</v>
      </c>
      <c r="E1193" s="31">
        <v>-0.24</v>
      </c>
      <c r="F1193" s="31">
        <v>8068703600</v>
      </c>
    </row>
    <row r="1194" spans="1:6" ht="15" thickBot="1" x14ac:dyDescent="0.2">
      <c r="A1194" s="30" t="s">
        <v>9863</v>
      </c>
      <c r="B1194" s="26" t="str">
        <f t="shared" si="18"/>
        <v>300357</v>
      </c>
      <c r="C1194" s="30" t="s">
        <v>2306</v>
      </c>
      <c r="D1194" s="31">
        <v>16.66</v>
      </c>
      <c r="E1194" s="31">
        <v>-0.72</v>
      </c>
      <c r="F1194" s="31">
        <v>8064509700</v>
      </c>
    </row>
    <row r="1195" spans="1:6" ht="15" thickBot="1" x14ac:dyDescent="0.2">
      <c r="A1195" s="30" t="s">
        <v>9864</v>
      </c>
      <c r="B1195" s="26" t="str">
        <f t="shared" si="18"/>
        <v>000969</v>
      </c>
      <c r="C1195" s="30" t="s">
        <v>2455</v>
      </c>
      <c r="D1195" s="31">
        <v>7.86</v>
      </c>
      <c r="E1195" s="31">
        <v>-1.1299999999999999</v>
      </c>
      <c r="F1195" s="31">
        <v>8064362700</v>
      </c>
    </row>
    <row r="1196" spans="1:6" ht="15" thickBot="1" x14ac:dyDescent="0.2">
      <c r="A1196" s="30" t="s">
        <v>9865</v>
      </c>
      <c r="B1196" s="26" t="str">
        <f t="shared" si="18"/>
        <v>000935</v>
      </c>
      <c r="C1196" s="30" t="s">
        <v>2606</v>
      </c>
      <c r="D1196" s="31">
        <v>10.55</v>
      </c>
      <c r="E1196" s="31">
        <v>1.54</v>
      </c>
      <c r="F1196" s="31">
        <v>8054295500</v>
      </c>
    </row>
    <row r="1197" spans="1:6" ht="15" thickBot="1" x14ac:dyDescent="0.2">
      <c r="A1197" s="30" t="s">
        <v>9866</v>
      </c>
      <c r="B1197" s="26" t="str">
        <f t="shared" si="18"/>
        <v>688139</v>
      </c>
      <c r="C1197" s="30" t="s">
        <v>2538</v>
      </c>
      <c r="D1197" s="31">
        <v>25.32</v>
      </c>
      <c r="E1197" s="31">
        <v>0.32</v>
      </c>
      <c r="F1197" s="31">
        <v>8050557500</v>
      </c>
    </row>
    <row r="1198" spans="1:6" ht="15" thickBot="1" x14ac:dyDescent="0.2">
      <c r="A1198" s="30" t="s">
        <v>9867</v>
      </c>
      <c r="B1198" s="26" t="str">
        <f t="shared" si="18"/>
        <v>002865</v>
      </c>
      <c r="C1198" s="30" t="s">
        <v>2368</v>
      </c>
      <c r="D1198" s="31">
        <v>35.79</v>
      </c>
      <c r="E1198" s="31">
        <v>-2.85</v>
      </c>
      <c r="F1198" s="31">
        <v>8026628800</v>
      </c>
    </row>
    <row r="1199" spans="1:6" ht="15" thickBot="1" x14ac:dyDescent="0.2">
      <c r="A1199" s="30" t="s">
        <v>9868</v>
      </c>
      <c r="B1199" s="26" t="str">
        <f t="shared" si="18"/>
        <v>300188</v>
      </c>
      <c r="C1199" s="30" t="s">
        <v>2312</v>
      </c>
      <c r="D1199" s="31">
        <v>10.25</v>
      </c>
      <c r="E1199" s="31">
        <v>-0.57999999999999996</v>
      </c>
      <c r="F1199" s="31">
        <v>8014941600</v>
      </c>
    </row>
    <row r="1200" spans="1:6" ht="15" thickBot="1" x14ac:dyDescent="0.2">
      <c r="A1200" s="30" t="s">
        <v>9869</v>
      </c>
      <c r="B1200" s="26" t="str">
        <f t="shared" si="18"/>
        <v>600728</v>
      </c>
      <c r="C1200" s="30" t="s">
        <v>2536</v>
      </c>
      <c r="D1200" s="31">
        <v>3.75</v>
      </c>
      <c r="E1200" s="31">
        <v>-1.06</v>
      </c>
      <c r="F1200" s="31">
        <v>8001230500</v>
      </c>
    </row>
    <row r="1201" spans="1:6" ht="15" thickBot="1" x14ac:dyDescent="0.2">
      <c r="A1201" s="30" t="s">
        <v>9870</v>
      </c>
      <c r="B1201" s="26" t="str">
        <f t="shared" si="18"/>
        <v>600017</v>
      </c>
      <c r="C1201" s="30" t="s">
        <v>2582</v>
      </c>
      <c r="D1201" s="31">
        <v>2.6</v>
      </c>
      <c r="E1201" s="31">
        <v>0</v>
      </c>
      <c r="F1201" s="31">
        <v>7996700100</v>
      </c>
    </row>
    <row r="1202" spans="1:6" ht="15" thickBot="1" x14ac:dyDescent="0.2">
      <c r="A1202" s="30" t="s">
        <v>9871</v>
      </c>
      <c r="B1202" s="26" t="str">
        <f t="shared" si="18"/>
        <v>600649</v>
      </c>
      <c r="C1202" s="30" t="s">
        <v>2618</v>
      </c>
      <c r="D1202" s="31">
        <v>3.16</v>
      </c>
      <c r="E1202" s="31">
        <v>1.94</v>
      </c>
      <c r="F1202" s="31">
        <v>7993459000</v>
      </c>
    </row>
    <row r="1203" spans="1:6" ht="15" thickBot="1" x14ac:dyDescent="0.2">
      <c r="A1203" s="30" t="s">
        <v>9872</v>
      </c>
      <c r="B1203" s="26" t="str">
        <f t="shared" si="18"/>
        <v>002051</v>
      </c>
      <c r="C1203" s="30" t="s">
        <v>2566</v>
      </c>
      <c r="D1203" s="31">
        <v>6.46</v>
      </c>
      <c r="E1203" s="31">
        <v>-0.77</v>
      </c>
      <c r="F1203" s="31">
        <v>7992961500</v>
      </c>
    </row>
    <row r="1204" spans="1:6" ht="15" thickBot="1" x14ac:dyDescent="0.2">
      <c r="A1204" s="30" t="s">
        <v>9873</v>
      </c>
      <c r="B1204" s="26" t="str">
        <f t="shared" si="18"/>
        <v>002063</v>
      </c>
      <c r="C1204" s="30" t="s">
        <v>2421</v>
      </c>
      <c r="D1204" s="31">
        <v>4.54</v>
      </c>
      <c r="E1204" s="31">
        <v>0.67</v>
      </c>
      <c r="F1204" s="31">
        <v>7985031300</v>
      </c>
    </row>
    <row r="1205" spans="1:6" ht="15" thickBot="1" x14ac:dyDescent="0.2">
      <c r="A1205" s="30" t="s">
        <v>9874</v>
      </c>
      <c r="B1205" s="26" t="str">
        <f t="shared" si="18"/>
        <v>605011</v>
      </c>
      <c r="C1205" s="30" t="s">
        <v>9875</v>
      </c>
      <c r="D1205" s="31">
        <v>19.940000000000001</v>
      </c>
      <c r="E1205" s="31">
        <v>9.98</v>
      </c>
      <c r="F1205" s="31">
        <v>7977994000</v>
      </c>
    </row>
    <row r="1206" spans="1:6" ht="15" thickBot="1" x14ac:dyDescent="0.2">
      <c r="A1206" s="30" t="s">
        <v>9876</v>
      </c>
      <c r="B1206" s="26" t="str">
        <f t="shared" si="18"/>
        <v>600037</v>
      </c>
      <c r="C1206" s="30" t="s">
        <v>2584</v>
      </c>
      <c r="D1206" s="31">
        <v>5.73</v>
      </c>
      <c r="E1206" s="31">
        <v>-1.72</v>
      </c>
      <c r="F1206" s="31">
        <v>7974887300</v>
      </c>
    </row>
    <row r="1207" spans="1:6" ht="15" thickBot="1" x14ac:dyDescent="0.2">
      <c r="A1207" s="30" t="s">
        <v>9877</v>
      </c>
      <c r="B1207" s="26" t="str">
        <f t="shared" si="18"/>
        <v>601595</v>
      </c>
      <c r="C1207" s="30" t="s">
        <v>2351</v>
      </c>
      <c r="D1207" s="31">
        <v>17.79</v>
      </c>
      <c r="E1207" s="31">
        <v>-3.89</v>
      </c>
      <c r="F1207" s="31">
        <v>7973478000</v>
      </c>
    </row>
    <row r="1208" spans="1:6" ht="15" thickBot="1" x14ac:dyDescent="0.2">
      <c r="A1208" s="30" t="s">
        <v>9878</v>
      </c>
      <c r="B1208" s="26" t="str">
        <f t="shared" si="18"/>
        <v>300236</v>
      </c>
      <c r="C1208" s="30" t="s">
        <v>2290</v>
      </c>
      <c r="D1208" s="31">
        <v>28.5</v>
      </c>
      <c r="E1208" s="31">
        <v>0.71</v>
      </c>
      <c r="F1208" s="31">
        <v>7934933400</v>
      </c>
    </row>
    <row r="1209" spans="1:6" ht="15" thickBot="1" x14ac:dyDescent="0.2">
      <c r="A1209" s="30" t="s">
        <v>9879</v>
      </c>
      <c r="B1209" s="26" t="str">
        <f t="shared" si="18"/>
        <v>000049</v>
      </c>
      <c r="C1209" s="30" t="s">
        <v>2488</v>
      </c>
      <c r="D1209" s="31">
        <v>20.62</v>
      </c>
      <c r="E1209" s="31">
        <v>-0.96</v>
      </c>
      <c r="F1209" s="31">
        <v>7928331500</v>
      </c>
    </row>
    <row r="1210" spans="1:6" ht="15" thickBot="1" x14ac:dyDescent="0.2">
      <c r="A1210" s="30" t="s">
        <v>9880</v>
      </c>
      <c r="B1210" s="26" t="str">
        <f t="shared" si="18"/>
        <v>002396</v>
      </c>
      <c r="C1210" s="30" t="s">
        <v>2540</v>
      </c>
      <c r="D1210" s="31">
        <v>13.59</v>
      </c>
      <c r="E1210" s="31">
        <v>-0.37</v>
      </c>
      <c r="F1210" s="31">
        <v>7926779000</v>
      </c>
    </row>
    <row r="1211" spans="1:6" ht="15" thickBot="1" x14ac:dyDescent="0.2">
      <c r="A1211" s="30" t="s">
        <v>9881</v>
      </c>
      <c r="B1211" s="26" t="str">
        <f t="shared" si="18"/>
        <v>300133</v>
      </c>
      <c r="C1211" s="30" t="s">
        <v>2214</v>
      </c>
      <c r="D1211" s="31">
        <v>4.88</v>
      </c>
      <c r="E1211" s="31">
        <v>-2.0099999999999998</v>
      </c>
      <c r="F1211" s="31">
        <v>7925461700</v>
      </c>
    </row>
    <row r="1212" spans="1:6" ht="15" thickBot="1" x14ac:dyDescent="0.2">
      <c r="A1212" s="30" t="s">
        <v>9882</v>
      </c>
      <c r="B1212" s="26" t="str">
        <f t="shared" si="18"/>
        <v>002400</v>
      </c>
      <c r="C1212" s="30" t="s">
        <v>2544</v>
      </c>
      <c r="D1212" s="31">
        <v>4.59</v>
      </c>
      <c r="E1212" s="31">
        <v>-0.43</v>
      </c>
      <c r="F1212" s="31">
        <v>7923095600</v>
      </c>
    </row>
    <row r="1213" spans="1:6" ht="15" thickBot="1" x14ac:dyDescent="0.2">
      <c r="A1213" s="30" t="s">
        <v>9883</v>
      </c>
      <c r="B1213" s="26" t="str">
        <f t="shared" si="18"/>
        <v>600776</v>
      </c>
      <c r="C1213" s="30" t="s">
        <v>2372</v>
      </c>
      <c r="D1213" s="31">
        <v>8.2799999999999994</v>
      </c>
      <c r="E1213" s="31">
        <v>-1.31</v>
      </c>
      <c r="F1213" s="31">
        <v>7915680500</v>
      </c>
    </row>
    <row r="1214" spans="1:6" ht="15" thickBot="1" x14ac:dyDescent="0.2">
      <c r="A1214" s="30" t="s">
        <v>9884</v>
      </c>
      <c r="B1214" s="26" t="str">
        <f t="shared" si="18"/>
        <v>002761</v>
      </c>
      <c r="C1214" s="30" t="s">
        <v>2580</v>
      </c>
      <c r="D1214" s="31">
        <v>7.32</v>
      </c>
      <c r="E1214" s="31">
        <v>1.1100000000000001</v>
      </c>
      <c r="F1214" s="31">
        <v>7915424300</v>
      </c>
    </row>
    <row r="1215" spans="1:6" ht="15" thickBot="1" x14ac:dyDescent="0.2">
      <c r="A1215" s="30" t="s">
        <v>9885</v>
      </c>
      <c r="B1215" s="26" t="str">
        <f t="shared" si="18"/>
        <v>603919</v>
      </c>
      <c r="C1215" s="30" t="s">
        <v>2474</v>
      </c>
      <c r="D1215" s="31">
        <v>15.59</v>
      </c>
      <c r="E1215" s="31">
        <v>-2.62</v>
      </c>
      <c r="F1215" s="31">
        <v>7908183400</v>
      </c>
    </row>
    <row r="1216" spans="1:6" ht="15" thickBot="1" x14ac:dyDescent="0.2">
      <c r="A1216" s="30" t="s">
        <v>9886</v>
      </c>
      <c r="B1216" s="26" t="str">
        <f t="shared" si="18"/>
        <v>000555</v>
      </c>
      <c r="C1216" s="30" t="s">
        <v>2572</v>
      </c>
      <c r="D1216" s="31">
        <v>8.1199999999999992</v>
      </c>
      <c r="E1216" s="31">
        <v>-0.37</v>
      </c>
      <c r="F1216" s="31">
        <v>7894993100</v>
      </c>
    </row>
    <row r="1217" spans="1:6" ht="15" thickBot="1" x14ac:dyDescent="0.2">
      <c r="A1217" s="30" t="s">
        <v>9887</v>
      </c>
      <c r="B1217" s="26" t="str">
        <f t="shared" si="18"/>
        <v>002183</v>
      </c>
      <c r="C1217" s="30" t="s">
        <v>2753</v>
      </c>
      <c r="D1217" s="31">
        <v>3.04</v>
      </c>
      <c r="E1217" s="31">
        <v>-2.25</v>
      </c>
      <c r="F1217" s="31">
        <v>7894862000</v>
      </c>
    </row>
    <row r="1218" spans="1:6" ht="15" thickBot="1" x14ac:dyDescent="0.2">
      <c r="A1218" s="30" t="s">
        <v>9888</v>
      </c>
      <c r="B1218" s="26" t="str">
        <f t="shared" si="18"/>
        <v>688052</v>
      </c>
      <c r="C1218" s="30" t="s">
        <v>9889</v>
      </c>
      <c r="D1218" s="31">
        <v>84.47</v>
      </c>
      <c r="E1218" s="31">
        <v>0.33</v>
      </c>
      <c r="F1218" s="31">
        <v>7884476500</v>
      </c>
    </row>
    <row r="1219" spans="1:6" ht="15" thickBot="1" x14ac:dyDescent="0.2">
      <c r="A1219" s="30" t="s">
        <v>9890</v>
      </c>
      <c r="B1219" s="26" t="str">
        <f t="shared" ref="B1219:B1282" si="19">LEFT(A1219,6)</f>
        <v>002233</v>
      </c>
      <c r="C1219" s="30" t="s">
        <v>2614</v>
      </c>
      <c r="D1219" s="31">
        <v>6.61</v>
      </c>
      <c r="E1219" s="31">
        <v>-2.36</v>
      </c>
      <c r="F1219" s="31">
        <v>7875715600</v>
      </c>
    </row>
    <row r="1220" spans="1:6" ht="15" thickBot="1" x14ac:dyDescent="0.2">
      <c r="A1220" s="30" t="s">
        <v>9891</v>
      </c>
      <c r="B1220" s="26" t="str">
        <f t="shared" si="19"/>
        <v>000877</v>
      </c>
      <c r="C1220" s="30" t="s">
        <v>714</v>
      </c>
      <c r="D1220" s="31">
        <v>4.32</v>
      </c>
      <c r="E1220" s="31">
        <v>-0.69</v>
      </c>
      <c r="F1220" s="31">
        <v>7871647600</v>
      </c>
    </row>
    <row r="1221" spans="1:6" ht="15" thickBot="1" x14ac:dyDescent="0.2">
      <c r="A1221" s="30" t="s">
        <v>9892</v>
      </c>
      <c r="B1221" s="26" t="str">
        <f t="shared" si="19"/>
        <v>603305</v>
      </c>
      <c r="C1221" s="30" t="s">
        <v>2504</v>
      </c>
      <c r="D1221" s="31">
        <v>8.43</v>
      </c>
      <c r="E1221" s="31">
        <v>-0.24</v>
      </c>
      <c r="F1221" s="31">
        <v>7867001900</v>
      </c>
    </row>
    <row r="1222" spans="1:6" ht="15" thickBot="1" x14ac:dyDescent="0.2">
      <c r="A1222" s="30" t="s">
        <v>9893</v>
      </c>
      <c r="B1222" s="26" t="str">
        <f t="shared" si="19"/>
        <v>603866</v>
      </c>
      <c r="C1222" s="30" t="s">
        <v>2476</v>
      </c>
      <c r="D1222" s="31">
        <v>4.91</v>
      </c>
      <c r="E1222" s="31">
        <v>-0.81</v>
      </c>
      <c r="F1222" s="31">
        <v>7854621100</v>
      </c>
    </row>
    <row r="1223" spans="1:6" ht="15" thickBot="1" x14ac:dyDescent="0.2">
      <c r="A1223" s="30" t="s">
        <v>9894</v>
      </c>
      <c r="B1223" s="26" t="str">
        <f t="shared" si="19"/>
        <v>600771</v>
      </c>
      <c r="C1223" s="30" t="s">
        <v>2512</v>
      </c>
      <c r="D1223" s="31">
        <v>16.010000000000002</v>
      </c>
      <c r="E1223" s="31">
        <v>-1.96</v>
      </c>
      <c r="F1223" s="31">
        <v>7836753200</v>
      </c>
    </row>
    <row r="1224" spans="1:6" ht="15" thickBot="1" x14ac:dyDescent="0.2">
      <c r="A1224" s="30" t="s">
        <v>9895</v>
      </c>
      <c r="B1224" s="26" t="str">
        <f t="shared" si="19"/>
        <v>300779</v>
      </c>
      <c r="C1224" s="30" t="s">
        <v>2147</v>
      </c>
      <c r="D1224" s="31">
        <v>52.8</v>
      </c>
      <c r="E1224" s="31">
        <v>1.89</v>
      </c>
      <c r="F1224" s="31">
        <v>7834447700</v>
      </c>
    </row>
    <row r="1225" spans="1:6" ht="15" thickBot="1" x14ac:dyDescent="0.2">
      <c r="A1225" s="30" t="s">
        <v>9896</v>
      </c>
      <c r="B1225" s="26" t="str">
        <f t="shared" si="19"/>
        <v>600869</v>
      </c>
      <c r="C1225" s="30" t="s">
        <v>2518</v>
      </c>
      <c r="D1225" s="31">
        <v>3.53</v>
      </c>
      <c r="E1225" s="31">
        <v>-2.4900000000000002</v>
      </c>
      <c r="F1225" s="31">
        <v>7834315200</v>
      </c>
    </row>
    <row r="1226" spans="1:6" ht="15" thickBot="1" x14ac:dyDescent="0.2">
      <c r="A1226" s="30" t="s">
        <v>9897</v>
      </c>
      <c r="B1226" s="26" t="str">
        <f t="shared" si="19"/>
        <v>002946</v>
      </c>
      <c r="C1226" s="30" t="s">
        <v>2520</v>
      </c>
      <c r="D1226" s="31">
        <v>9.18</v>
      </c>
      <c r="E1226" s="31">
        <v>-1.5</v>
      </c>
      <c r="F1226" s="31">
        <v>7817473100</v>
      </c>
    </row>
    <row r="1227" spans="1:6" ht="15" thickBot="1" x14ac:dyDescent="0.2">
      <c r="A1227" s="30" t="s">
        <v>9898</v>
      </c>
      <c r="B1227" s="26" t="str">
        <f t="shared" si="19"/>
        <v>600335</v>
      </c>
      <c r="C1227" s="30" t="s">
        <v>2592</v>
      </c>
      <c r="D1227" s="31">
        <v>5.22</v>
      </c>
      <c r="E1227" s="31">
        <v>0.19</v>
      </c>
      <c r="F1227" s="31">
        <v>7808017000</v>
      </c>
    </row>
    <row r="1228" spans="1:6" ht="15" thickBot="1" x14ac:dyDescent="0.2">
      <c r="A1228" s="30" t="s">
        <v>9899</v>
      </c>
      <c r="B1228" s="26" t="str">
        <f t="shared" si="19"/>
        <v>603881</v>
      </c>
      <c r="C1228" s="30" t="s">
        <v>2598</v>
      </c>
      <c r="D1228" s="31">
        <v>13.04</v>
      </c>
      <c r="E1228" s="31">
        <v>-0.91</v>
      </c>
      <c r="F1228" s="31">
        <v>7806363400</v>
      </c>
    </row>
    <row r="1229" spans="1:6" ht="15" thickBot="1" x14ac:dyDescent="0.2">
      <c r="A1229" s="30" t="s">
        <v>9900</v>
      </c>
      <c r="B1229" s="26" t="str">
        <f t="shared" si="19"/>
        <v>600508</v>
      </c>
      <c r="C1229" s="30" t="s">
        <v>2628</v>
      </c>
      <c r="D1229" s="31">
        <v>10.8</v>
      </c>
      <c r="E1229" s="31">
        <v>1.41</v>
      </c>
      <c r="F1229" s="31">
        <v>7805354400</v>
      </c>
    </row>
    <row r="1230" spans="1:6" ht="15" thickBot="1" x14ac:dyDescent="0.2">
      <c r="A1230" s="30" t="s">
        <v>9901</v>
      </c>
      <c r="B1230" s="26" t="str">
        <f t="shared" si="19"/>
        <v>600686</v>
      </c>
      <c r="C1230" s="30" t="s">
        <v>2431</v>
      </c>
      <c r="D1230" s="31">
        <v>10.88</v>
      </c>
      <c r="E1230" s="31">
        <v>-2.42</v>
      </c>
      <c r="F1230" s="31">
        <v>7801475900</v>
      </c>
    </row>
    <row r="1231" spans="1:6" ht="15" thickBot="1" x14ac:dyDescent="0.2">
      <c r="A1231" s="30" t="s">
        <v>9902</v>
      </c>
      <c r="B1231" s="26" t="str">
        <f t="shared" si="19"/>
        <v>002100</v>
      </c>
      <c r="C1231" s="30" t="s">
        <v>2528</v>
      </c>
      <c r="D1231" s="31">
        <v>5.71</v>
      </c>
      <c r="E1231" s="31">
        <v>-3.38</v>
      </c>
      <c r="F1231" s="31">
        <v>7795586200</v>
      </c>
    </row>
    <row r="1232" spans="1:6" ht="15" thickBot="1" x14ac:dyDescent="0.2">
      <c r="A1232" s="30" t="s">
        <v>9903</v>
      </c>
      <c r="B1232" s="26" t="str">
        <f t="shared" si="19"/>
        <v>600925</v>
      </c>
      <c r="C1232" s="30" t="s">
        <v>9904</v>
      </c>
      <c r="D1232" s="31">
        <v>4.84</v>
      </c>
      <c r="E1232" s="31">
        <v>0</v>
      </c>
      <c r="F1232" s="31">
        <v>7773275200</v>
      </c>
    </row>
    <row r="1233" spans="1:6" ht="15" thickBot="1" x14ac:dyDescent="0.2">
      <c r="A1233" s="30" t="s">
        <v>9905</v>
      </c>
      <c r="B1233" s="26" t="str">
        <f t="shared" si="19"/>
        <v>600179</v>
      </c>
      <c r="C1233" s="30" t="s">
        <v>2366</v>
      </c>
      <c r="D1233" s="31">
        <v>2.08</v>
      </c>
      <c r="E1233" s="31">
        <v>-1.42</v>
      </c>
      <c r="F1233" s="31">
        <v>7767211900</v>
      </c>
    </row>
    <row r="1234" spans="1:6" ht="15" thickBot="1" x14ac:dyDescent="0.2">
      <c r="A1234" s="30" t="s">
        <v>9906</v>
      </c>
      <c r="B1234" s="26" t="str">
        <f t="shared" si="19"/>
        <v>600307</v>
      </c>
      <c r="C1234" s="30" t="s">
        <v>2720</v>
      </c>
      <c r="D1234" s="31">
        <v>1.24</v>
      </c>
      <c r="E1234" s="31">
        <v>0</v>
      </c>
      <c r="F1234" s="31">
        <v>7766563200</v>
      </c>
    </row>
    <row r="1235" spans="1:6" ht="15" thickBot="1" x14ac:dyDescent="0.2">
      <c r="A1235" s="30" t="s">
        <v>9907</v>
      </c>
      <c r="B1235" s="26" t="str">
        <f t="shared" si="19"/>
        <v>002626</v>
      </c>
      <c r="C1235" s="30" t="s">
        <v>2576</v>
      </c>
      <c r="D1235" s="31">
        <v>12.73</v>
      </c>
      <c r="E1235" s="31">
        <v>-1.62</v>
      </c>
      <c r="F1235" s="31">
        <v>7763323900</v>
      </c>
    </row>
    <row r="1236" spans="1:6" ht="15" thickBot="1" x14ac:dyDescent="0.2">
      <c r="A1236" s="30" t="s">
        <v>9908</v>
      </c>
      <c r="B1236" s="26" t="str">
        <f t="shared" si="19"/>
        <v>300432</v>
      </c>
      <c r="C1236" s="30" t="s">
        <v>2480</v>
      </c>
      <c r="D1236" s="31">
        <v>6.44</v>
      </c>
      <c r="E1236" s="31">
        <v>-2.57</v>
      </c>
      <c r="F1236" s="31">
        <v>7759467600</v>
      </c>
    </row>
    <row r="1237" spans="1:6" ht="15" thickBot="1" x14ac:dyDescent="0.2">
      <c r="A1237" s="30" t="s">
        <v>9909</v>
      </c>
      <c r="B1237" s="26" t="str">
        <f t="shared" si="19"/>
        <v>000758</v>
      </c>
      <c r="C1237" s="30" t="s">
        <v>2600</v>
      </c>
      <c r="D1237" s="31">
        <v>3.94</v>
      </c>
      <c r="E1237" s="31">
        <v>0</v>
      </c>
      <c r="F1237" s="31">
        <v>7759098700</v>
      </c>
    </row>
    <row r="1238" spans="1:6" ht="15" thickBot="1" x14ac:dyDescent="0.2">
      <c r="A1238" s="30" t="s">
        <v>9910</v>
      </c>
      <c r="B1238" s="26" t="str">
        <f t="shared" si="19"/>
        <v>603327</v>
      </c>
      <c r="C1238" s="30" t="s">
        <v>2526</v>
      </c>
      <c r="D1238" s="31">
        <v>10.37</v>
      </c>
      <c r="E1238" s="31">
        <v>-1.71</v>
      </c>
      <c r="F1238" s="31">
        <v>7731096200</v>
      </c>
    </row>
    <row r="1239" spans="1:6" ht="15" thickBot="1" x14ac:dyDescent="0.2">
      <c r="A1239" s="30" t="s">
        <v>9911</v>
      </c>
      <c r="B1239" s="26" t="str">
        <f t="shared" si="19"/>
        <v>000913</v>
      </c>
      <c r="C1239" s="30" t="s">
        <v>2407</v>
      </c>
      <c r="D1239" s="31">
        <v>16.71</v>
      </c>
      <c r="E1239" s="31">
        <v>1.95</v>
      </c>
      <c r="F1239" s="31">
        <v>7704543600</v>
      </c>
    </row>
    <row r="1240" spans="1:6" ht="15" thickBot="1" x14ac:dyDescent="0.2">
      <c r="A1240" s="30" t="s">
        <v>9912</v>
      </c>
      <c r="B1240" s="26" t="str">
        <f t="shared" si="19"/>
        <v>600259</v>
      </c>
      <c r="C1240" s="30" t="s">
        <v>2534</v>
      </c>
      <c r="D1240" s="31">
        <v>23.35</v>
      </c>
      <c r="E1240" s="31">
        <v>-1.81</v>
      </c>
      <c r="F1240" s="31">
        <v>7693585500</v>
      </c>
    </row>
    <row r="1241" spans="1:6" ht="15" thickBot="1" x14ac:dyDescent="0.2">
      <c r="A1241" s="30" t="s">
        <v>9913</v>
      </c>
      <c r="B1241" s="26" t="str">
        <f t="shared" si="19"/>
        <v>300770</v>
      </c>
      <c r="C1241" s="30" t="s">
        <v>2610</v>
      </c>
      <c r="D1241" s="31">
        <v>33.5</v>
      </c>
      <c r="E1241" s="31">
        <v>0</v>
      </c>
      <c r="F1241" s="31">
        <v>7675885500</v>
      </c>
    </row>
    <row r="1242" spans="1:6" ht="15" thickBot="1" x14ac:dyDescent="0.2">
      <c r="A1242" s="30" t="s">
        <v>9914</v>
      </c>
      <c r="B1242" s="26" t="str">
        <f t="shared" si="19"/>
        <v>002020</v>
      </c>
      <c r="C1242" s="30" t="s">
        <v>2248</v>
      </c>
      <c r="D1242" s="31">
        <v>10.6</v>
      </c>
      <c r="E1242" s="31">
        <v>-1.3</v>
      </c>
      <c r="F1242" s="31">
        <v>7674064400</v>
      </c>
    </row>
    <row r="1243" spans="1:6" ht="15" thickBot="1" x14ac:dyDescent="0.2">
      <c r="A1243" s="30" t="s">
        <v>9915</v>
      </c>
      <c r="B1243" s="26" t="str">
        <f t="shared" si="19"/>
        <v>600475</v>
      </c>
      <c r="C1243" s="30" t="s">
        <v>2626</v>
      </c>
      <c r="D1243" s="31">
        <v>8.14</v>
      </c>
      <c r="E1243" s="31">
        <v>-1.69</v>
      </c>
      <c r="F1243" s="31">
        <v>7671188800</v>
      </c>
    </row>
    <row r="1244" spans="1:6" ht="15" thickBot="1" x14ac:dyDescent="0.2">
      <c r="A1244" s="30" t="s">
        <v>9916</v>
      </c>
      <c r="B1244" s="26" t="str">
        <f t="shared" si="19"/>
        <v>600812</v>
      </c>
      <c r="C1244" s="30" t="s">
        <v>2620</v>
      </c>
      <c r="D1244" s="31">
        <v>4.47</v>
      </c>
      <c r="E1244" s="31">
        <v>-1.33</v>
      </c>
      <c r="F1244" s="31">
        <v>7669314800</v>
      </c>
    </row>
    <row r="1245" spans="1:6" ht="15" thickBot="1" x14ac:dyDescent="0.2">
      <c r="A1245" s="30" t="s">
        <v>9917</v>
      </c>
      <c r="B1245" s="26" t="str">
        <f t="shared" si="19"/>
        <v>002511</v>
      </c>
      <c r="C1245" s="30" t="s">
        <v>2558</v>
      </c>
      <c r="D1245" s="31">
        <v>6.01</v>
      </c>
      <c r="E1245" s="31">
        <v>-0.83</v>
      </c>
      <c r="F1245" s="31">
        <v>7650297400</v>
      </c>
    </row>
    <row r="1246" spans="1:6" ht="15" thickBot="1" x14ac:dyDescent="0.2">
      <c r="A1246" s="30" t="s">
        <v>9918</v>
      </c>
      <c r="B1246" s="26" t="str">
        <f t="shared" si="19"/>
        <v>002245</v>
      </c>
      <c r="C1246" s="30" t="s">
        <v>2472</v>
      </c>
      <c r="D1246" s="31">
        <v>7.03</v>
      </c>
      <c r="E1246" s="31">
        <v>-0.14000000000000001</v>
      </c>
      <c r="F1246" s="31">
        <v>7643446600</v>
      </c>
    </row>
    <row r="1247" spans="1:6" ht="15" thickBot="1" x14ac:dyDescent="0.2">
      <c r="A1247" s="30" t="s">
        <v>9919</v>
      </c>
      <c r="B1247" s="26" t="str">
        <f t="shared" si="19"/>
        <v>000923</v>
      </c>
      <c r="C1247" s="30" t="s">
        <v>2590</v>
      </c>
      <c r="D1247" s="31">
        <v>12.15</v>
      </c>
      <c r="E1247" s="31">
        <v>0.17</v>
      </c>
      <c r="F1247" s="31">
        <v>7628933100</v>
      </c>
    </row>
    <row r="1248" spans="1:6" ht="15" thickBot="1" x14ac:dyDescent="0.2">
      <c r="A1248" s="30" t="s">
        <v>9920</v>
      </c>
      <c r="B1248" s="26" t="str">
        <f t="shared" si="19"/>
        <v>002204</v>
      </c>
      <c r="C1248" s="30" t="s">
        <v>2686</v>
      </c>
      <c r="D1248" s="31">
        <v>3.95</v>
      </c>
      <c r="E1248" s="31">
        <v>0.51</v>
      </c>
      <c r="F1248" s="31">
        <v>7628911600</v>
      </c>
    </row>
    <row r="1249" spans="1:6" ht="15" thickBot="1" x14ac:dyDescent="0.2">
      <c r="A1249" s="30" t="s">
        <v>9921</v>
      </c>
      <c r="B1249" s="26" t="str">
        <f t="shared" si="19"/>
        <v>688114</v>
      </c>
      <c r="C1249" s="30" t="s">
        <v>8529</v>
      </c>
      <c r="D1249" s="31">
        <v>35.79</v>
      </c>
      <c r="E1249" s="31">
        <v>-1.57</v>
      </c>
      <c r="F1249" s="31">
        <v>7620853800</v>
      </c>
    </row>
    <row r="1250" spans="1:6" ht="15" thickBot="1" x14ac:dyDescent="0.2">
      <c r="A1250" s="30" t="s">
        <v>9922</v>
      </c>
      <c r="B1250" s="26" t="str">
        <f t="shared" si="19"/>
        <v>300620</v>
      </c>
      <c r="C1250" s="30" t="s">
        <v>2514</v>
      </c>
      <c r="D1250" s="31">
        <v>31.42</v>
      </c>
      <c r="E1250" s="31">
        <v>-1.84</v>
      </c>
      <c r="F1250" s="31">
        <v>7617061700</v>
      </c>
    </row>
    <row r="1251" spans="1:6" ht="15" thickBot="1" x14ac:dyDescent="0.2">
      <c r="A1251" s="30" t="s">
        <v>9923</v>
      </c>
      <c r="B1251" s="26" t="str">
        <f t="shared" si="19"/>
        <v>688297</v>
      </c>
      <c r="C1251" s="30" t="s">
        <v>9924</v>
      </c>
      <c r="D1251" s="31">
        <v>28.01</v>
      </c>
      <c r="E1251" s="31">
        <v>-1.27</v>
      </c>
      <c r="F1251" s="31">
        <v>7608130600</v>
      </c>
    </row>
    <row r="1252" spans="1:6" ht="15" thickBot="1" x14ac:dyDescent="0.2">
      <c r="A1252" s="30" t="s">
        <v>9925</v>
      </c>
      <c r="B1252" s="26" t="str">
        <f t="shared" si="19"/>
        <v>600783</v>
      </c>
      <c r="C1252" s="30" t="s">
        <v>2725</v>
      </c>
      <c r="D1252" s="31">
        <v>10.220000000000001</v>
      </c>
      <c r="E1252" s="31">
        <v>1.0900000000000001</v>
      </c>
      <c r="F1252" s="31">
        <v>7607352000</v>
      </c>
    </row>
    <row r="1253" spans="1:6" ht="15" thickBot="1" x14ac:dyDescent="0.2">
      <c r="A1253" s="30" t="s">
        <v>9926</v>
      </c>
      <c r="B1253" s="26" t="str">
        <f t="shared" si="19"/>
        <v>300856</v>
      </c>
      <c r="C1253" s="30" t="s">
        <v>2470</v>
      </c>
      <c r="D1253" s="31">
        <v>23.33</v>
      </c>
      <c r="E1253" s="31">
        <v>-0.77</v>
      </c>
      <c r="F1253" s="31">
        <v>7607131300</v>
      </c>
    </row>
    <row r="1254" spans="1:6" ht="15" thickBot="1" x14ac:dyDescent="0.2">
      <c r="A1254" s="30" t="s">
        <v>9927</v>
      </c>
      <c r="B1254" s="26" t="str">
        <f t="shared" si="19"/>
        <v>603876</v>
      </c>
      <c r="C1254" s="30" t="s">
        <v>2604</v>
      </c>
      <c r="D1254" s="31">
        <v>8.58</v>
      </c>
      <c r="E1254" s="31">
        <v>-0.46</v>
      </c>
      <c r="F1254" s="31">
        <v>7606099200</v>
      </c>
    </row>
    <row r="1255" spans="1:6" ht="15" thickBot="1" x14ac:dyDescent="0.2">
      <c r="A1255" s="30" t="s">
        <v>9928</v>
      </c>
      <c r="B1255" s="26" t="str">
        <f t="shared" si="19"/>
        <v>002654</v>
      </c>
      <c r="C1255" s="30" t="s">
        <v>2654</v>
      </c>
      <c r="D1255" s="31">
        <v>8.99</v>
      </c>
      <c r="E1255" s="31">
        <v>-2.71</v>
      </c>
      <c r="F1255" s="31">
        <v>7598730500</v>
      </c>
    </row>
    <row r="1256" spans="1:6" ht="15" thickBot="1" x14ac:dyDescent="0.2">
      <c r="A1256" s="30" t="s">
        <v>9929</v>
      </c>
      <c r="B1256" s="26" t="str">
        <f t="shared" si="19"/>
        <v>605099</v>
      </c>
      <c r="C1256" s="30" t="s">
        <v>2781</v>
      </c>
      <c r="D1256" s="31">
        <v>18.97</v>
      </c>
      <c r="E1256" s="31">
        <v>3.95</v>
      </c>
      <c r="F1256" s="31">
        <v>7589707300</v>
      </c>
    </row>
    <row r="1257" spans="1:6" ht="15" thickBot="1" x14ac:dyDescent="0.2">
      <c r="A1257" s="30" t="s">
        <v>9930</v>
      </c>
      <c r="B1257" s="26" t="str">
        <f t="shared" si="19"/>
        <v>603299</v>
      </c>
      <c r="C1257" s="30" t="s">
        <v>2664</v>
      </c>
      <c r="D1257" s="31">
        <v>9.81</v>
      </c>
      <c r="E1257" s="31">
        <v>-0.1</v>
      </c>
      <c r="F1257" s="31">
        <v>7587507100</v>
      </c>
    </row>
    <row r="1258" spans="1:6" ht="15" thickBot="1" x14ac:dyDescent="0.2">
      <c r="A1258" s="30" t="s">
        <v>9931</v>
      </c>
      <c r="B1258" s="26" t="str">
        <f t="shared" si="19"/>
        <v>002004</v>
      </c>
      <c r="C1258" s="30" t="s">
        <v>2578</v>
      </c>
      <c r="D1258" s="31">
        <v>4.03</v>
      </c>
      <c r="E1258" s="31">
        <v>0.25</v>
      </c>
      <c r="F1258" s="31">
        <v>7585382900</v>
      </c>
    </row>
    <row r="1259" spans="1:6" ht="15" thickBot="1" x14ac:dyDescent="0.2">
      <c r="A1259" s="30" t="s">
        <v>9932</v>
      </c>
      <c r="B1259" s="26" t="str">
        <f t="shared" si="19"/>
        <v>605599</v>
      </c>
      <c r="C1259" s="30" t="s">
        <v>9933</v>
      </c>
      <c r="D1259" s="31">
        <v>9.74</v>
      </c>
      <c r="E1259" s="31">
        <v>0.1</v>
      </c>
      <c r="F1259" s="31">
        <v>7575555800</v>
      </c>
    </row>
    <row r="1260" spans="1:6" ht="15" thickBot="1" x14ac:dyDescent="0.2">
      <c r="A1260" s="30" t="s">
        <v>9934</v>
      </c>
      <c r="B1260" s="26" t="str">
        <f t="shared" si="19"/>
        <v>000990</v>
      </c>
      <c r="C1260" s="30" t="s">
        <v>2650</v>
      </c>
      <c r="D1260" s="31">
        <v>6.23</v>
      </c>
      <c r="E1260" s="31">
        <v>-0.32</v>
      </c>
      <c r="F1260" s="31">
        <v>7570924200</v>
      </c>
    </row>
    <row r="1261" spans="1:6" ht="15" thickBot="1" x14ac:dyDescent="0.2">
      <c r="A1261" s="30" t="s">
        <v>9935</v>
      </c>
      <c r="B1261" s="26" t="str">
        <f t="shared" si="19"/>
        <v>600662</v>
      </c>
      <c r="C1261" s="30" t="s">
        <v>2043</v>
      </c>
      <c r="D1261" s="31">
        <v>3.88</v>
      </c>
      <c r="E1261" s="31">
        <v>-6.73</v>
      </c>
      <c r="F1261" s="31">
        <v>7555410700</v>
      </c>
    </row>
    <row r="1262" spans="1:6" ht="15" thickBot="1" x14ac:dyDescent="0.2">
      <c r="A1262" s="30" t="s">
        <v>9936</v>
      </c>
      <c r="B1262" s="26" t="str">
        <f t="shared" si="19"/>
        <v>000928</v>
      </c>
      <c r="C1262" s="30" t="s">
        <v>2714</v>
      </c>
      <c r="D1262" s="31">
        <v>5.26</v>
      </c>
      <c r="E1262" s="31">
        <v>0.19</v>
      </c>
      <c r="F1262" s="31">
        <v>7546138400</v>
      </c>
    </row>
    <row r="1263" spans="1:6" ht="15" thickBot="1" x14ac:dyDescent="0.2">
      <c r="A1263" s="30" t="s">
        <v>9937</v>
      </c>
      <c r="B1263" s="26" t="str">
        <f t="shared" si="19"/>
        <v>300674</v>
      </c>
      <c r="C1263" s="30" t="s">
        <v>2668</v>
      </c>
      <c r="D1263" s="31">
        <v>10.73</v>
      </c>
      <c r="E1263" s="31">
        <v>-1.38</v>
      </c>
      <c r="F1263" s="31">
        <v>7545099600</v>
      </c>
    </row>
    <row r="1264" spans="1:6" ht="15" thickBot="1" x14ac:dyDescent="0.2">
      <c r="A1264" s="30" t="s">
        <v>9938</v>
      </c>
      <c r="B1264" s="26" t="str">
        <f t="shared" si="19"/>
        <v>002335</v>
      </c>
      <c r="C1264" s="30" t="s">
        <v>2314</v>
      </c>
      <c r="D1264" s="31">
        <v>18.809999999999999</v>
      </c>
      <c r="E1264" s="31">
        <v>-0.32</v>
      </c>
      <c r="F1264" s="31">
        <v>7539587400</v>
      </c>
    </row>
    <row r="1265" spans="1:6" ht="15" thickBot="1" x14ac:dyDescent="0.2">
      <c r="A1265" s="30" t="s">
        <v>9939</v>
      </c>
      <c r="B1265" s="26" t="str">
        <f t="shared" si="19"/>
        <v>002081</v>
      </c>
      <c r="C1265" s="30" t="s">
        <v>2676</v>
      </c>
      <c r="D1265" s="31">
        <v>2.85</v>
      </c>
      <c r="E1265" s="31">
        <v>-0.7</v>
      </c>
      <c r="F1265" s="31">
        <v>7533801500</v>
      </c>
    </row>
    <row r="1266" spans="1:6" ht="15" thickBot="1" x14ac:dyDescent="0.2">
      <c r="A1266" s="30" t="s">
        <v>9940</v>
      </c>
      <c r="B1266" s="26" t="str">
        <f t="shared" si="19"/>
        <v>688484</v>
      </c>
      <c r="C1266" s="30" t="s">
        <v>9941</v>
      </c>
      <c r="D1266" s="31">
        <v>26.03</v>
      </c>
      <c r="E1266" s="31">
        <v>-0.99</v>
      </c>
      <c r="F1266" s="31">
        <v>7526226600</v>
      </c>
    </row>
    <row r="1267" spans="1:6" ht="15" thickBot="1" x14ac:dyDescent="0.2">
      <c r="A1267" s="30" t="s">
        <v>9942</v>
      </c>
      <c r="B1267" s="26" t="str">
        <f t="shared" si="19"/>
        <v>601686</v>
      </c>
      <c r="C1267" s="30" t="s">
        <v>2698</v>
      </c>
      <c r="D1267" s="31">
        <v>5.26</v>
      </c>
      <c r="E1267" s="31">
        <v>-0.38</v>
      </c>
      <c r="F1267" s="31">
        <v>7516796900</v>
      </c>
    </row>
    <row r="1268" spans="1:6" ht="15" thickBot="1" x14ac:dyDescent="0.2">
      <c r="A1268" s="30" t="s">
        <v>9943</v>
      </c>
      <c r="B1268" s="26" t="str">
        <f t="shared" si="19"/>
        <v>601828</v>
      </c>
      <c r="C1268" s="30" t="s">
        <v>2494</v>
      </c>
      <c r="D1268" s="31">
        <v>2.08</v>
      </c>
      <c r="E1268" s="31">
        <v>-0.48</v>
      </c>
      <c r="F1268" s="31">
        <v>7515969800</v>
      </c>
    </row>
    <row r="1269" spans="1:6" ht="15" thickBot="1" x14ac:dyDescent="0.2">
      <c r="A1269" s="30" t="s">
        <v>9944</v>
      </c>
      <c r="B1269" s="26" t="str">
        <f t="shared" si="19"/>
        <v>601528</v>
      </c>
      <c r="C1269" s="30" t="s">
        <v>9945</v>
      </c>
      <c r="D1269" s="31">
        <v>4.4000000000000004</v>
      </c>
      <c r="E1269" s="31">
        <v>-0.9</v>
      </c>
      <c r="F1269" s="31">
        <v>7503945700</v>
      </c>
    </row>
    <row r="1270" spans="1:6" ht="15" thickBot="1" x14ac:dyDescent="0.2">
      <c r="A1270" s="30" t="s">
        <v>9946</v>
      </c>
      <c r="B1270" s="26" t="str">
        <f t="shared" si="19"/>
        <v>600151</v>
      </c>
      <c r="C1270" s="30" t="s">
        <v>2827</v>
      </c>
      <c r="D1270" s="31">
        <v>5.23</v>
      </c>
      <c r="E1270" s="31">
        <v>0</v>
      </c>
      <c r="F1270" s="31">
        <v>7501139500</v>
      </c>
    </row>
    <row r="1271" spans="1:6" ht="15" thickBot="1" x14ac:dyDescent="0.2">
      <c r="A1271" s="30" t="s">
        <v>9947</v>
      </c>
      <c r="B1271" s="26" t="str">
        <f t="shared" si="19"/>
        <v>300045</v>
      </c>
      <c r="C1271" s="30" t="s">
        <v>2026</v>
      </c>
      <c r="D1271" s="31">
        <v>15.42</v>
      </c>
      <c r="E1271" s="31">
        <v>-0.39</v>
      </c>
      <c r="F1271" s="31">
        <v>7492440200</v>
      </c>
    </row>
    <row r="1272" spans="1:6" ht="15" thickBot="1" x14ac:dyDescent="0.2">
      <c r="A1272" s="30" t="s">
        <v>9948</v>
      </c>
      <c r="B1272" s="26" t="str">
        <f t="shared" si="19"/>
        <v>002239</v>
      </c>
      <c r="C1272" s="30" t="s">
        <v>2702</v>
      </c>
      <c r="D1272" s="31">
        <v>2.31</v>
      </c>
      <c r="E1272" s="31">
        <v>0.87</v>
      </c>
      <c r="F1272" s="31">
        <v>7491683800</v>
      </c>
    </row>
    <row r="1273" spans="1:6" ht="15" thickBot="1" x14ac:dyDescent="0.2">
      <c r="A1273" s="30" t="s">
        <v>9949</v>
      </c>
      <c r="B1273" s="26" t="str">
        <f t="shared" si="19"/>
        <v>002839</v>
      </c>
      <c r="C1273" s="30" t="s">
        <v>9950</v>
      </c>
      <c r="D1273" s="31">
        <v>3.61</v>
      </c>
      <c r="E1273" s="31">
        <v>-0.55000000000000004</v>
      </c>
      <c r="F1273" s="31">
        <v>7481507400</v>
      </c>
    </row>
    <row r="1274" spans="1:6" ht="15" thickBot="1" x14ac:dyDescent="0.2">
      <c r="A1274" s="30" t="s">
        <v>9951</v>
      </c>
      <c r="B1274" s="26" t="str">
        <f t="shared" si="19"/>
        <v>002192</v>
      </c>
      <c r="C1274" s="30" t="s">
        <v>2554</v>
      </c>
      <c r="D1274" s="31">
        <v>28.82</v>
      </c>
      <c r="E1274" s="31">
        <v>0.56000000000000005</v>
      </c>
      <c r="F1274" s="31">
        <v>7467845000</v>
      </c>
    </row>
    <row r="1275" spans="1:6" ht="15" thickBot="1" x14ac:dyDescent="0.2">
      <c r="A1275" s="30" t="s">
        <v>9952</v>
      </c>
      <c r="B1275" s="26" t="str">
        <f t="shared" si="19"/>
        <v>300910</v>
      </c>
      <c r="C1275" s="30" t="s">
        <v>2032</v>
      </c>
      <c r="D1275" s="31">
        <v>36.450000000000003</v>
      </c>
      <c r="E1275" s="31">
        <v>1.82</v>
      </c>
      <c r="F1275" s="31">
        <v>7458283900</v>
      </c>
    </row>
    <row r="1276" spans="1:6" ht="15" thickBot="1" x14ac:dyDescent="0.2">
      <c r="A1276" s="30" t="s">
        <v>9953</v>
      </c>
      <c r="B1276" s="26" t="str">
        <f t="shared" si="19"/>
        <v>600664</v>
      </c>
      <c r="C1276" s="30" t="s">
        <v>2646</v>
      </c>
      <c r="D1276" s="31">
        <v>2.96</v>
      </c>
      <c r="E1276" s="31">
        <v>-1.99</v>
      </c>
      <c r="F1276" s="31">
        <v>7454789200</v>
      </c>
    </row>
    <row r="1277" spans="1:6" ht="15" thickBot="1" x14ac:dyDescent="0.2">
      <c r="A1277" s="30" t="s">
        <v>9954</v>
      </c>
      <c r="B1277" s="26" t="str">
        <f t="shared" si="19"/>
        <v>603043</v>
      </c>
      <c r="C1277" s="30" t="s">
        <v>2612</v>
      </c>
      <c r="D1277" s="31">
        <v>13.09</v>
      </c>
      <c r="E1277" s="31">
        <v>-1.65</v>
      </c>
      <c r="F1277" s="31">
        <v>7445209800</v>
      </c>
    </row>
    <row r="1278" spans="1:6" ht="15" thickBot="1" x14ac:dyDescent="0.2">
      <c r="A1278" s="30" t="s">
        <v>9955</v>
      </c>
      <c r="B1278" s="26" t="str">
        <f t="shared" si="19"/>
        <v>603220</v>
      </c>
      <c r="C1278" s="30" t="s">
        <v>2622</v>
      </c>
      <c r="D1278" s="31">
        <v>17.149999999999999</v>
      </c>
      <c r="E1278" s="31">
        <v>-0.64</v>
      </c>
      <c r="F1278" s="31">
        <v>7442631600</v>
      </c>
    </row>
    <row r="1279" spans="1:6" ht="15" thickBot="1" x14ac:dyDescent="0.2">
      <c r="A1279" s="30" t="s">
        <v>9956</v>
      </c>
      <c r="B1279" s="26" t="str">
        <f t="shared" si="19"/>
        <v>002275</v>
      </c>
      <c r="C1279" s="30" t="s">
        <v>2602</v>
      </c>
      <c r="D1279" s="31">
        <v>13.31</v>
      </c>
      <c r="E1279" s="31">
        <v>-0.3</v>
      </c>
      <c r="F1279" s="31">
        <v>7440839900</v>
      </c>
    </row>
    <row r="1280" spans="1:6" ht="15" thickBot="1" x14ac:dyDescent="0.2">
      <c r="A1280" s="30" t="s">
        <v>9957</v>
      </c>
      <c r="B1280" s="26" t="str">
        <f t="shared" si="19"/>
        <v>000628</v>
      </c>
      <c r="C1280" s="30" t="s">
        <v>1642</v>
      </c>
      <c r="D1280" s="31">
        <v>38.700000000000003</v>
      </c>
      <c r="E1280" s="31">
        <v>-3.03</v>
      </c>
      <c r="F1280" s="31">
        <v>7433662800</v>
      </c>
    </row>
    <row r="1281" spans="1:6" ht="15" thickBot="1" x14ac:dyDescent="0.2">
      <c r="A1281" s="30" t="s">
        <v>9958</v>
      </c>
      <c r="B1281" s="26" t="str">
        <f t="shared" si="19"/>
        <v>688300</v>
      </c>
      <c r="C1281" s="30" t="s">
        <v>2733</v>
      </c>
      <c r="D1281" s="31">
        <v>40.020000000000003</v>
      </c>
      <c r="E1281" s="31">
        <v>0.88</v>
      </c>
      <c r="F1281" s="31">
        <v>7433536200</v>
      </c>
    </row>
    <row r="1282" spans="1:6" ht="15" thickBot="1" x14ac:dyDescent="0.2">
      <c r="A1282" s="30" t="s">
        <v>9959</v>
      </c>
      <c r="B1282" s="26" t="str">
        <f t="shared" si="19"/>
        <v>000065</v>
      </c>
      <c r="C1282" s="30" t="s">
        <v>2502</v>
      </c>
      <c r="D1282" s="31">
        <v>8.1999999999999993</v>
      </c>
      <c r="E1282" s="31">
        <v>0</v>
      </c>
      <c r="F1282" s="31">
        <v>7427945600</v>
      </c>
    </row>
    <row r="1283" spans="1:6" ht="15" thickBot="1" x14ac:dyDescent="0.2">
      <c r="A1283" s="30" t="s">
        <v>9960</v>
      </c>
      <c r="B1283" s="26" t="str">
        <f t="shared" ref="B1283:B1346" si="20">LEFT(A1283,6)</f>
        <v>600206</v>
      </c>
      <c r="C1283" s="30" t="s">
        <v>2688</v>
      </c>
      <c r="D1283" s="31">
        <v>8.77</v>
      </c>
      <c r="E1283" s="31">
        <v>-0.45</v>
      </c>
      <c r="F1283" s="31">
        <v>7424272700</v>
      </c>
    </row>
    <row r="1284" spans="1:6" ht="15" thickBot="1" x14ac:dyDescent="0.2">
      <c r="A1284" s="30" t="s">
        <v>9961</v>
      </c>
      <c r="B1284" s="26" t="str">
        <f t="shared" si="20"/>
        <v>603328</v>
      </c>
      <c r="C1284" s="30" t="s">
        <v>2660</v>
      </c>
      <c r="D1284" s="31">
        <v>7.42</v>
      </c>
      <c r="E1284" s="31">
        <v>-2.88</v>
      </c>
      <c r="F1284" s="31">
        <v>7408444200</v>
      </c>
    </row>
    <row r="1285" spans="1:6" ht="15" thickBot="1" x14ac:dyDescent="0.2">
      <c r="A1285" s="30" t="s">
        <v>9962</v>
      </c>
      <c r="B1285" s="26" t="str">
        <f t="shared" si="20"/>
        <v>603517</v>
      </c>
      <c r="C1285" s="30" t="s">
        <v>2642</v>
      </c>
      <c r="D1285" s="31">
        <v>11.94</v>
      </c>
      <c r="E1285" s="31">
        <v>0</v>
      </c>
      <c r="F1285" s="31">
        <v>7401907500</v>
      </c>
    </row>
    <row r="1286" spans="1:6" ht="15" thickBot="1" x14ac:dyDescent="0.2">
      <c r="A1286" s="30" t="s">
        <v>9963</v>
      </c>
      <c r="B1286" s="26" t="str">
        <f t="shared" si="20"/>
        <v>688106</v>
      </c>
      <c r="C1286" s="30" t="s">
        <v>2682</v>
      </c>
      <c r="D1286" s="31">
        <v>15.17</v>
      </c>
      <c r="E1286" s="31">
        <v>-0.85</v>
      </c>
      <c r="F1286" s="31">
        <v>7397691300</v>
      </c>
    </row>
    <row r="1287" spans="1:6" ht="15" thickBot="1" x14ac:dyDescent="0.2">
      <c r="A1287" s="30" t="s">
        <v>9964</v>
      </c>
      <c r="B1287" s="26" t="str">
        <f t="shared" si="20"/>
        <v>301308</v>
      </c>
      <c r="C1287" s="30" t="s">
        <v>9965</v>
      </c>
      <c r="D1287" s="31">
        <v>63.8</v>
      </c>
      <c r="E1287" s="31">
        <v>-1.0900000000000001</v>
      </c>
      <c r="F1287" s="31">
        <v>7391624500</v>
      </c>
    </row>
    <row r="1288" spans="1:6" ht="15" thickBot="1" x14ac:dyDescent="0.2">
      <c r="A1288" s="30" t="s">
        <v>9966</v>
      </c>
      <c r="B1288" s="26" t="str">
        <f t="shared" si="20"/>
        <v>600210</v>
      </c>
      <c r="C1288" s="30" t="s">
        <v>2696</v>
      </c>
      <c r="D1288" s="31">
        <v>4.87</v>
      </c>
      <c r="E1288" s="31">
        <v>-0.82</v>
      </c>
      <c r="F1288" s="31">
        <v>7386505100</v>
      </c>
    </row>
    <row r="1289" spans="1:6" ht="15" thickBot="1" x14ac:dyDescent="0.2">
      <c r="A1289" s="30" t="s">
        <v>9967</v>
      </c>
      <c r="B1289" s="26" t="str">
        <f t="shared" si="20"/>
        <v>600640</v>
      </c>
      <c r="C1289" s="30" t="s">
        <v>2658</v>
      </c>
      <c r="D1289" s="31">
        <v>9.2799999999999994</v>
      </c>
      <c r="E1289" s="31">
        <v>-1.28</v>
      </c>
      <c r="F1289" s="31">
        <v>7384058300</v>
      </c>
    </row>
    <row r="1290" spans="1:6" ht="15" thickBot="1" x14ac:dyDescent="0.2">
      <c r="A1290" s="30" t="s">
        <v>9968</v>
      </c>
      <c r="B1290" s="26" t="str">
        <f t="shared" si="20"/>
        <v>600305</v>
      </c>
      <c r="C1290" s="30" t="s">
        <v>2656</v>
      </c>
      <c r="D1290" s="31">
        <v>6.65</v>
      </c>
      <c r="E1290" s="31">
        <v>-2.35</v>
      </c>
      <c r="F1290" s="31">
        <v>7335125600</v>
      </c>
    </row>
    <row r="1291" spans="1:6" ht="15" thickBot="1" x14ac:dyDescent="0.2">
      <c r="A1291" s="30" t="s">
        <v>9969</v>
      </c>
      <c r="B1291" s="26" t="str">
        <f t="shared" si="20"/>
        <v>300821</v>
      </c>
      <c r="C1291" s="30" t="s">
        <v>2694</v>
      </c>
      <c r="D1291" s="31">
        <v>6.11</v>
      </c>
      <c r="E1291" s="31">
        <v>-0.81</v>
      </c>
      <c r="F1291" s="31">
        <v>7330168500</v>
      </c>
    </row>
    <row r="1292" spans="1:6" ht="15" thickBot="1" x14ac:dyDescent="0.2">
      <c r="A1292" s="30" t="s">
        <v>9970</v>
      </c>
      <c r="B1292" s="26" t="str">
        <f t="shared" si="20"/>
        <v>600987</v>
      </c>
      <c r="C1292" s="30" t="s">
        <v>2863</v>
      </c>
      <c r="D1292" s="31">
        <v>6.97</v>
      </c>
      <c r="E1292" s="31">
        <v>1.1599999999999999</v>
      </c>
      <c r="F1292" s="31">
        <v>7324207400</v>
      </c>
    </row>
    <row r="1293" spans="1:6" ht="15" thickBot="1" x14ac:dyDescent="0.2">
      <c r="A1293" s="30" t="s">
        <v>9971</v>
      </c>
      <c r="B1293" s="26" t="str">
        <f t="shared" si="20"/>
        <v>000030</v>
      </c>
      <c r="C1293" s="30" t="s">
        <v>2704</v>
      </c>
      <c r="D1293" s="31">
        <v>4.3099999999999996</v>
      </c>
      <c r="E1293" s="31">
        <v>0.23</v>
      </c>
      <c r="F1293" s="31">
        <v>7293422800</v>
      </c>
    </row>
    <row r="1294" spans="1:6" ht="15" thickBot="1" x14ac:dyDescent="0.2">
      <c r="A1294" s="30" t="s">
        <v>9972</v>
      </c>
      <c r="B1294" s="26" t="str">
        <f t="shared" si="20"/>
        <v>300428</v>
      </c>
      <c r="C1294" s="30" t="s">
        <v>2334</v>
      </c>
      <c r="D1294" s="31">
        <v>13.61</v>
      </c>
      <c r="E1294" s="31">
        <v>-0.51</v>
      </c>
      <c r="F1294" s="31">
        <v>7286840400</v>
      </c>
    </row>
    <row r="1295" spans="1:6" ht="15" thickBot="1" x14ac:dyDescent="0.2">
      <c r="A1295" s="30" t="s">
        <v>9973</v>
      </c>
      <c r="B1295" s="26" t="str">
        <f t="shared" si="20"/>
        <v>600094</v>
      </c>
      <c r="C1295" s="30" t="s">
        <v>2739</v>
      </c>
      <c r="D1295" s="31">
        <v>3.2</v>
      </c>
      <c r="E1295" s="31">
        <v>1.59</v>
      </c>
      <c r="F1295" s="31">
        <v>7285135900</v>
      </c>
    </row>
    <row r="1296" spans="1:6" ht="15" thickBot="1" x14ac:dyDescent="0.2">
      <c r="A1296" s="30" t="s">
        <v>9974</v>
      </c>
      <c r="B1296" s="26" t="str">
        <f t="shared" si="20"/>
        <v>003021</v>
      </c>
      <c r="C1296" s="30" t="s">
        <v>2393</v>
      </c>
      <c r="D1296" s="31">
        <v>35.270000000000003</v>
      </c>
      <c r="E1296" s="31">
        <v>1.61</v>
      </c>
      <c r="F1296" s="31">
        <v>7272574500</v>
      </c>
    </row>
    <row r="1297" spans="1:6" ht="15" thickBot="1" x14ac:dyDescent="0.2">
      <c r="A1297" s="30" t="s">
        <v>9975</v>
      </c>
      <c r="B1297" s="26" t="str">
        <f t="shared" si="20"/>
        <v>300660</v>
      </c>
      <c r="C1297" s="30" t="s">
        <v>2706</v>
      </c>
      <c r="D1297" s="31">
        <v>22.77</v>
      </c>
      <c r="E1297" s="31">
        <v>-0.39</v>
      </c>
      <c r="F1297" s="31">
        <v>7266858300</v>
      </c>
    </row>
    <row r="1298" spans="1:6" ht="15" thickBot="1" x14ac:dyDescent="0.2">
      <c r="A1298" s="30" t="s">
        <v>9976</v>
      </c>
      <c r="B1298" s="26" t="str">
        <f t="shared" si="20"/>
        <v>605008</v>
      </c>
      <c r="C1298" s="30" t="s">
        <v>2722</v>
      </c>
      <c r="D1298" s="31">
        <v>11.24</v>
      </c>
      <c r="E1298" s="31">
        <v>-0.44</v>
      </c>
      <c r="F1298" s="31">
        <v>7220355900</v>
      </c>
    </row>
    <row r="1299" spans="1:6" ht="15" thickBot="1" x14ac:dyDescent="0.2">
      <c r="A1299" s="30" t="s">
        <v>9977</v>
      </c>
      <c r="B1299" s="26" t="str">
        <f t="shared" si="20"/>
        <v>002745</v>
      </c>
      <c r="C1299" s="30" t="s">
        <v>2073</v>
      </c>
      <c r="D1299" s="31">
        <v>6.78</v>
      </c>
      <c r="E1299" s="31">
        <v>-1.17</v>
      </c>
      <c r="F1299" s="31">
        <v>7218503500</v>
      </c>
    </row>
    <row r="1300" spans="1:6" ht="15" thickBot="1" x14ac:dyDescent="0.2">
      <c r="A1300" s="30" t="s">
        <v>9978</v>
      </c>
      <c r="B1300" s="26" t="str">
        <f t="shared" si="20"/>
        <v>603039</v>
      </c>
      <c r="C1300" s="30" t="s">
        <v>2763</v>
      </c>
      <c r="D1300" s="31">
        <v>27.66</v>
      </c>
      <c r="E1300" s="31">
        <v>-0.11</v>
      </c>
      <c r="F1300" s="31">
        <v>7208281000</v>
      </c>
    </row>
    <row r="1301" spans="1:6" ht="15" thickBot="1" x14ac:dyDescent="0.2">
      <c r="A1301" s="30" t="s">
        <v>9979</v>
      </c>
      <c r="B1301" s="26" t="str">
        <f t="shared" si="20"/>
        <v>300685</v>
      </c>
      <c r="C1301" s="30" t="s">
        <v>2640</v>
      </c>
      <c r="D1301" s="31">
        <v>18.3</v>
      </c>
      <c r="E1301" s="31">
        <v>-3.38</v>
      </c>
      <c r="F1301" s="31">
        <v>7203655500</v>
      </c>
    </row>
    <row r="1302" spans="1:6" ht="15" thickBot="1" x14ac:dyDescent="0.2">
      <c r="A1302" s="30" t="s">
        <v>9980</v>
      </c>
      <c r="B1302" s="26" t="str">
        <f t="shared" si="20"/>
        <v>000719</v>
      </c>
      <c r="C1302" s="30" t="s">
        <v>1959</v>
      </c>
      <c r="D1302" s="31">
        <v>10.77</v>
      </c>
      <c r="E1302" s="31">
        <v>0.28000000000000003</v>
      </c>
      <c r="F1302" s="31">
        <v>7185179000</v>
      </c>
    </row>
    <row r="1303" spans="1:6" ht="15" thickBot="1" x14ac:dyDescent="0.2">
      <c r="A1303" s="30" t="s">
        <v>9981</v>
      </c>
      <c r="B1303" s="26" t="str">
        <f t="shared" si="20"/>
        <v>002428</v>
      </c>
      <c r="C1303" s="30" t="s">
        <v>2630</v>
      </c>
      <c r="D1303" s="31">
        <v>10.99</v>
      </c>
      <c r="E1303" s="31">
        <v>-1.7</v>
      </c>
      <c r="F1303" s="31">
        <v>7176861500</v>
      </c>
    </row>
    <row r="1304" spans="1:6" ht="15" thickBot="1" x14ac:dyDescent="0.2">
      <c r="A1304" s="30" t="s">
        <v>9982</v>
      </c>
      <c r="B1304" s="26" t="str">
        <f t="shared" si="20"/>
        <v>601069</v>
      </c>
      <c r="C1304" s="30" t="s">
        <v>2224</v>
      </c>
      <c r="D1304" s="31">
        <v>10.48</v>
      </c>
      <c r="E1304" s="31">
        <v>1.06</v>
      </c>
      <c r="F1304" s="31">
        <v>7168244100</v>
      </c>
    </row>
    <row r="1305" spans="1:6" ht="15" thickBot="1" x14ac:dyDescent="0.2">
      <c r="A1305" s="30" t="s">
        <v>9983</v>
      </c>
      <c r="B1305" s="26" t="str">
        <f t="shared" si="20"/>
        <v>000676</v>
      </c>
      <c r="C1305" s="30" t="s">
        <v>2775</v>
      </c>
      <c r="D1305" s="31">
        <v>5.66</v>
      </c>
      <c r="E1305" s="31">
        <v>1.8</v>
      </c>
      <c r="F1305" s="31">
        <v>7153023100</v>
      </c>
    </row>
    <row r="1306" spans="1:6" ht="15" thickBot="1" x14ac:dyDescent="0.2">
      <c r="A1306" s="30" t="s">
        <v>9984</v>
      </c>
      <c r="B1306" s="26" t="str">
        <f t="shared" si="20"/>
        <v>688387</v>
      </c>
      <c r="C1306" s="30" t="s">
        <v>9985</v>
      </c>
      <c r="D1306" s="31">
        <v>5.25</v>
      </c>
      <c r="E1306" s="31">
        <v>2.94</v>
      </c>
      <c r="F1306" s="31">
        <v>7151660600</v>
      </c>
    </row>
    <row r="1307" spans="1:6" ht="15" thickBot="1" x14ac:dyDescent="0.2">
      <c r="A1307" s="30" t="s">
        <v>9986</v>
      </c>
      <c r="B1307" s="26" t="str">
        <f t="shared" si="20"/>
        <v>000899</v>
      </c>
      <c r="C1307" s="30" t="s">
        <v>2805</v>
      </c>
      <c r="D1307" s="31">
        <v>7.31</v>
      </c>
      <c r="E1307" s="31">
        <v>0.97</v>
      </c>
      <c r="F1307" s="31">
        <v>7132204400</v>
      </c>
    </row>
    <row r="1308" spans="1:6" ht="15" thickBot="1" x14ac:dyDescent="0.2">
      <c r="A1308" s="30" t="s">
        <v>9987</v>
      </c>
      <c r="B1308" s="26" t="str">
        <f t="shared" si="20"/>
        <v>002922</v>
      </c>
      <c r="C1308" s="30" t="s">
        <v>2731</v>
      </c>
      <c r="D1308" s="31">
        <v>19.260000000000002</v>
      </c>
      <c r="E1308" s="31">
        <v>0.47</v>
      </c>
      <c r="F1308" s="31">
        <v>7125421900</v>
      </c>
    </row>
    <row r="1309" spans="1:6" ht="15" thickBot="1" x14ac:dyDescent="0.2">
      <c r="A1309" s="30" t="s">
        <v>9988</v>
      </c>
      <c r="B1309" s="26" t="str">
        <f t="shared" si="20"/>
        <v>300257</v>
      </c>
      <c r="C1309" s="30" t="s">
        <v>2666</v>
      </c>
      <c r="D1309" s="31">
        <v>7.46</v>
      </c>
      <c r="E1309" s="31">
        <v>-0.67</v>
      </c>
      <c r="F1309" s="31">
        <v>7120993100</v>
      </c>
    </row>
    <row r="1310" spans="1:6" ht="15" thickBot="1" x14ac:dyDescent="0.2">
      <c r="A1310" s="30" t="s">
        <v>9989</v>
      </c>
      <c r="B1310" s="26" t="str">
        <f t="shared" si="20"/>
        <v>600651</v>
      </c>
      <c r="C1310" s="30" t="s">
        <v>2853</v>
      </c>
      <c r="D1310" s="31">
        <v>2.84</v>
      </c>
      <c r="E1310" s="31">
        <v>1.43</v>
      </c>
      <c r="F1310" s="31">
        <v>7119959600</v>
      </c>
    </row>
    <row r="1311" spans="1:6" ht="15" thickBot="1" x14ac:dyDescent="0.2">
      <c r="A1311" s="30" t="s">
        <v>9990</v>
      </c>
      <c r="B1311" s="26" t="str">
        <f t="shared" si="20"/>
        <v>002267</v>
      </c>
      <c r="C1311" s="30" t="s">
        <v>2817</v>
      </c>
      <c r="D1311" s="31">
        <v>6.4</v>
      </c>
      <c r="E1311" s="31">
        <v>-0.31</v>
      </c>
      <c r="F1311" s="31">
        <v>7117282800</v>
      </c>
    </row>
    <row r="1312" spans="1:6" ht="15" thickBot="1" x14ac:dyDescent="0.2">
      <c r="A1312" s="30" t="s">
        <v>9991</v>
      </c>
      <c r="B1312" s="26" t="str">
        <f t="shared" si="20"/>
        <v>300168</v>
      </c>
      <c r="C1312" s="30" t="s">
        <v>2735</v>
      </c>
      <c r="D1312" s="31">
        <v>4.9400000000000004</v>
      </c>
      <c r="E1312" s="31">
        <v>-1.59</v>
      </c>
      <c r="F1312" s="31">
        <v>7109561800</v>
      </c>
    </row>
    <row r="1313" spans="1:6" ht="15" thickBot="1" x14ac:dyDescent="0.2">
      <c r="A1313" s="30" t="s">
        <v>9992</v>
      </c>
      <c r="B1313" s="26" t="str">
        <f t="shared" si="20"/>
        <v>600903</v>
      </c>
      <c r="C1313" s="30" t="s">
        <v>2799</v>
      </c>
      <c r="D1313" s="31">
        <v>6.18</v>
      </c>
      <c r="E1313" s="31">
        <v>-0.8</v>
      </c>
      <c r="F1313" s="31">
        <v>7107026200</v>
      </c>
    </row>
    <row r="1314" spans="1:6" ht="15" thickBot="1" x14ac:dyDescent="0.2">
      <c r="A1314" s="30" t="s">
        <v>9993</v>
      </c>
      <c r="B1314" s="26" t="str">
        <f t="shared" si="20"/>
        <v>603053</v>
      </c>
      <c r="C1314" s="30" t="s">
        <v>2807</v>
      </c>
      <c r="D1314" s="31">
        <v>7.99</v>
      </c>
      <c r="E1314" s="31">
        <v>0</v>
      </c>
      <c r="F1314" s="31">
        <v>7102231100</v>
      </c>
    </row>
    <row r="1315" spans="1:6" ht="15" thickBot="1" x14ac:dyDescent="0.2">
      <c r="A1315" s="30" t="s">
        <v>9994</v>
      </c>
      <c r="B1315" s="26" t="str">
        <f t="shared" si="20"/>
        <v>688596</v>
      </c>
      <c r="C1315" s="30" t="s">
        <v>2793</v>
      </c>
      <c r="D1315" s="31">
        <v>24.7</v>
      </c>
      <c r="E1315" s="31">
        <v>2.0699999999999998</v>
      </c>
      <c r="F1315" s="31">
        <v>7100941000</v>
      </c>
    </row>
    <row r="1316" spans="1:6" ht="15" thickBot="1" x14ac:dyDescent="0.2">
      <c r="A1316" s="30" t="s">
        <v>9995</v>
      </c>
      <c r="B1316" s="26" t="str">
        <f t="shared" si="20"/>
        <v>002402</v>
      </c>
      <c r="C1316" s="30" t="s">
        <v>2433</v>
      </c>
      <c r="D1316" s="31">
        <v>8.7899999999999991</v>
      </c>
      <c r="E1316" s="31">
        <v>-1.9</v>
      </c>
      <c r="F1316" s="31">
        <v>7096427600</v>
      </c>
    </row>
    <row r="1317" spans="1:6" ht="15" thickBot="1" x14ac:dyDescent="0.2">
      <c r="A1317" s="30" t="s">
        <v>9996</v>
      </c>
      <c r="B1317" s="26" t="str">
        <f t="shared" si="20"/>
        <v>000901</v>
      </c>
      <c r="C1317" s="30" t="s">
        <v>2729</v>
      </c>
      <c r="D1317" s="31">
        <v>8.89</v>
      </c>
      <c r="E1317" s="31">
        <v>-1.44</v>
      </c>
      <c r="F1317" s="31">
        <v>7095939200</v>
      </c>
    </row>
    <row r="1318" spans="1:6" ht="15" thickBot="1" x14ac:dyDescent="0.2">
      <c r="A1318" s="30" t="s">
        <v>9997</v>
      </c>
      <c r="B1318" s="26" t="str">
        <f t="shared" si="20"/>
        <v>000980</v>
      </c>
      <c r="C1318" s="30" t="s">
        <v>2710</v>
      </c>
      <c r="D1318" s="31">
        <v>1.45</v>
      </c>
      <c r="E1318" s="31">
        <v>0.69</v>
      </c>
      <c r="F1318" s="31">
        <v>7092764400</v>
      </c>
    </row>
    <row r="1319" spans="1:6" ht="15" thickBot="1" x14ac:dyDescent="0.2">
      <c r="A1319" s="30" t="s">
        <v>9998</v>
      </c>
      <c r="B1319" s="26" t="str">
        <f t="shared" si="20"/>
        <v>002226</v>
      </c>
      <c r="C1319" s="30" t="s">
        <v>2212</v>
      </c>
      <c r="D1319" s="31">
        <v>3.87</v>
      </c>
      <c r="E1319" s="31">
        <v>4.5999999999999996</v>
      </c>
      <c r="F1319" s="31">
        <v>7073068400</v>
      </c>
    </row>
    <row r="1320" spans="1:6" ht="15" thickBot="1" x14ac:dyDescent="0.2">
      <c r="A1320" s="30" t="s">
        <v>9999</v>
      </c>
      <c r="B1320" s="26" t="str">
        <f t="shared" si="20"/>
        <v>000681</v>
      </c>
      <c r="C1320" s="30" t="s">
        <v>2662</v>
      </c>
      <c r="D1320" s="31">
        <v>10.46</v>
      </c>
      <c r="E1320" s="31">
        <v>-1.78</v>
      </c>
      <c r="F1320" s="31">
        <v>7071208900</v>
      </c>
    </row>
    <row r="1321" spans="1:6" ht="15" thickBot="1" x14ac:dyDescent="0.2">
      <c r="A1321" s="30" t="s">
        <v>10000</v>
      </c>
      <c r="B1321" s="26" t="str">
        <f t="shared" si="20"/>
        <v>000848</v>
      </c>
      <c r="C1321" s="30" t="s">
        <v>2737</v>
      </c>
      <c r="D1321" s="31">
        <v>6.8</v>
      </c>
      <c r="E1321" s="31">
        <v>0</v>
      </c>
      <c r="F1321" s="31">
        <v>7068787500</v>
      </c>
    </row>
    <row r="1322" spans="1:6" ht="15" thickBot="1" x14ac:dyDescent="0.2">
      <c r="A1322" s="30" t="s">
        <v>10001</v>
      </c>
      <c r="B1322" s="26" t="str">
        <f t="shared" si="20"/>
        <v>300181</v>
      </c>
      <c r="C1322" s="30" t="s">
        <v>2401</v>
      </c>
      <c r="D1322" s="31">
        <v>11.76</v>
      </c>
      <c r="E1322" s="31">
        <v>0.34</v>
      </c>
      <c r="F1322" s="31">
        <v>7068729700</v>
      </c>
    </row>
    <row r="1323" spans="1:6" ht="15" thickBot="1" x14ac:dyDescent="0.2">
      <c r="A1323" s="30" t="s">
        <v>10002</v>
      </c>
      <c r="B1323" s="26" t="str">
        <f t="shared" si="20"/>
        <v>301029</v>
      </c>
      <c r="C1323" s="30" t="s">
        <v>2105</v>
      </c>
      <c r="D1323" s="31">
        <v>17.48</v>
      </c>
      <c r="E1323" s="31">
        <v>2.76</v>
      </c>
      <c r="F1323" s="31">
        <v>7065909400</v>
      </c>
    </row>
    <row r="1324" spans="1:6" ht="15" thickBot="1" x14ac:dyDescent="0.2">
      <c r="A1324" s="30" t="s">
        <v>10003</v>
      </c>
      <c r="B1324" s="26" t="str">
        <f t="shared" si="20"/>
        <v>688658</v>
      </c>
      <c r="C1324" s="30" t="s">
        <v>2530</v>
      </c>
      <c r="D1324" s="31">
        <v>15.68</v>
      </c>
      <c r="E1324" s="31">
        <v>-5.26</v>
      </c>
      <c r="F1324" s="31">
        <v>7056000000</v>
      </c>
    </row>
    <row r="1325" spans="1:6" ht="15" thickBot="1" x14ac:dyDescent="0.2">
      <c r="A1325" s="30" t="s">
        <v>10004</v>
      </c>
      <c r="B1325" s="26" t="str">
        <f t="shared" si="20"/>
        <v>300525</v>
      </c>
      <c r="C1325" s="30" t="s">
        <v>2347</v>
      </c>
      <c r="D1325" s="31">
        <v>11.61</v>
      </c>
      <c r="E1325" s="31">
        <v>-0.77</v>
      </c>
      <c r="F1325" s="31">
        <v>7046371100</v>
      </c>
    </row>
    <row r="1326" spans="1:6" ht="15" thickBot="1" x14ac:dyDescent="0.2">
      <c r="A1326" s="30" t="s">
        <v>10005</v>
      </c>
      <c r="B1326" s="26" t="str">
        <f t="shared" si="20"/>
        <v>002030</v>
      </c>
      <c r="C1326" s="30" t="s">
        <v>2783</v>
      </c>
      <c r="D1326" s="31">
        <v>5.0199999999999996</v>
      </c>
      <c r="E1326" s="31">
        <v>-0.4</v>
      </c>
      <c r="F1326" s="31">
        <v>7045299100</v>
      </c>
    </row>
    <row r="1327" spans="1:6" ht="15" thickBot="1" x14ac:dyDescent="0.2">
      <c r="A1327" s="30" t="s">
        <v>10006</v>
      </c>
      <c r="B1327" s="26" t="str">
        <f t="shared" si="20"/>
        <v>600330</v>
      </c>
      <c r="C1327" s="30" t="s">
        <v>2777</v>
      </c>
      <c r="D1327" s="31">
        <v>5.71</v>
      </c>
      <c r="E1327" s="31">
        <v>-0.35</v>
      </c>
      <c r="F1327" s="31">
        <v>7042910500</v>
      </c>
    </row>
    <row r="1328" spans="1:6" ht="15" thickBot="1" x14ac:dyDescent="0.2">
      <c r="A1328" s="30" t="s">
        <v>10007</v>
      </c>
      <c r="B1328" s="26" t="str">
        <f t="shared" si="20"/>
        <v>002643</v>
      </c>
      <c r="C1328" s="30" t="s">
        <v>2727</v>
      </c>
      <c r="D1328" s="31">
        <v>7.79</v>
      </c>
      <c r="E1328" s="31">
        <v>0.52</v>
      </c>
      <c r="F1328" s="31">
        <v>7031533000</v>
      </c>
    </row>
    <row r="1329" spans="1:6" ht="15" thickBot="1" x14ac:dyDescent="0.2">
      <c r="A1329" s="30" t="s">
        <v>10008</v>
      </c>
      <c r="B1329" s="26" t="str">
        <f t="shared" si="20"/>
        <v>603083</v>
      </c>
      <c r="C1329" s="30" t="s">
        <v>2708</v>
      </c>
      <c r="D1329" s="31">
        <v>26.5</v>
      </c>
      <c r="E1329" s="31">
        <v>-3.11</v>
      </c>
      <c r="F1329" s="31">
        <v>7024546000</v>
      </c>
    </row>
    <row r="1330" spans="1:6" ht="15" thickBot="1" x14ac:dyDescent="0.2">
      <c r="A1330" s="30" t="s">
        <v>10009</v>
      </c>
      <c r="B1330" s="26" t="str">
        <f t="shared" si="20"/>
        <v>300776</v>
      </c>
      <c r="C1330" s="30" t="s">
        <v>1919</v>
      </c>
      <c r="D1330" s="31">
        <v>42.03</v>
      </c>
      <c r="E1330" s="31">
        <v>0.55000000000000004</v>
      </c>
      <c r="F1330" s="31">
        <v>7024174900</v>
      </c>
    </row>
    <row r="1331" spans="1:6" ht="15" thickBot="1" x14ac:dyDescent="0.2">
      <c r="A1331" s="30" t="s">
        <v>10010</v>
      </c>
      <c r="B1331" s="26" t="str">
        <f t="shared" si="20"/>
        <v>600502</v>
      </c>
      <c r="C1331" s="30" t="s">
        <v>2931</v>
      </c>
      <c r="D1331" s="31">
        <v>4.09</v>
      </c>
      <c r="E1331" s="31">
        <v>1.74</v>
      </c>
      <c r="F1331" s="31">
        <v>7020623800</v>
      </c>
    </row>
    <row r="1332" spans="1:6" ht="15" thickBot="1" x14ac:dyDescent="0.2">
      <c r="A1332" s="30" t="s">
        <v>10011</v>
      </c>
      <c r="B1332" s="26" t="str">
        <f t="shared" si="20"/>
        <v>002488</v>
      </c>
      <c r="C1332" s="30" t="s">
        <v>2616</v>
      </c>
      <c r="D1332" s="31">
        <v>7.63</v>
      </c>
      <c r="E1332" s="31">
        <v>-1.8</v>
      </c>
      <c r="F1332" s="31">
        <v>7020240900</v>
      </c>
    </row>
    <row r="1333" spans="1:6" ht="15" thickBot="1" x14ac:dyDescent="0.2">
      <c r="A1333" s="30" t="s">
        <v>10012</v>
      </c>
      <c r="B1333" s="26" t="str">
        <f t="shared" si="20"/>
        <v>002243</v>
      </c>
      <c r="C1333" s="30" t="s">
        <v>2922</v>
      </c>
      <c r="D1333" s="31">
        <v>5.83</v>
      </c>
      <c r="E1333" s="31">
        <v>2.46</v>
      </c>
      <c r="F1333" s="31">
        <v>7020149600</v>
      </c>
    </row>
    <row r="1334" spans="1:6" ht="15" thickBot="1" x14ac:dyDescent="0.2">
      <c r="A1334" s="30" t="s">
        <v>10013</v>
      </c>
      <c r="B1334" s="26" t="str">
        <f t="shared" si="20"/>
        <v>600746</v>
      </c>
      <c r="C1334" s="30" t="s">
        <v>2779</v>
      </c>
      <c r="D1334" s="31">
        <v>6.01</v>
      </c>
      <c r="E1334" s="31">
        <v>-0.83</v>
      </c>
      <c r="F1334" s="31">
        <v>7008154900</v>
      </c>
    </row>
    <row r="1335" spans="1:6" ht="15" thickBot="1" x14ac:dyDescent="0.2">
      <c r="A1335" s="30" t="s">
        <v>10014</v>
      </c>
      <c r="B1335" s="26" t="str">
        <f t="shared" si="20"/>
        <v>002171</v>
      </c>
      <c r="C1335" s="30" t="s">
        <v>2765</v>
      </c>
      <c r="D1335" s="31">
        <v>5.4</v>
      </c>
      <c r="E1335" s="31">
        <v>1.1200000000000001</v>
      </c>
      <c r="F1335" s="31">
        <v>7006671800</v>
      </c>
    </row>
    <row r="1336" spans="1:6" ht="15" thickBot="1" x14ac:dyDescent="0.2">
      <c r="A1336" s="30" t="s">
        <v>10015</v>
      </c>
      <c r="B1336" s="26" t="str">
        <f t="shared" si="20"/>
        <v>300455</v>
      </c>
      <c r="C1336" s="30" t="s">
        <v>2759</v>
      </c>
      <c r="D1336" s="31">
        <v>9.8699999999999992</v>
      </c>
      <c r="E1336" s="31">
        <v>-0.6</v>
      </c>
      <c r="F1336" s="31">
        <v>6994103400</v>
      </c>
    </row>
    <row r="1337" spans="1:6" ht="15" thickBot="1" x14ac:dyDescent="0.2">
      <c r="A1337" s="30" t="s">
        <v>10016</v>
      </c>
      <c r="B1337" s="26" t="str">
        <f t="shared" si="20"/>
        <v>002978</v>
      </c>
      <c r="C1337" s="30" t="s">
        <v>2210</v>
      </c>
      <c r="D1337" s="31">
        <v>23.38</v>
      </c>
      <c r="E1337" s="31">
        <v>-0.72</v>
      </c>
      <c r="F1337" s="31">
        <v>6990620000</v>
      </c>
    </row>
    <row r="1338" spans="1:6" ht="15" thickBot="1" x14ac:dyDescent="0.2">
      <c r="A1338" s="30" t="s">
        <v>10017</v>
      </c>
      <c r="B1338" s="26" t="str">
        <f t="shared" si="20"/>
        <v>000498</v>
      </c>
      <c r="C1338" s="30" t="s">
        <v>2712</v>
      </c>
      <c r="D1338" s="31">
        <v>4.79</v>
      </c>
      <c r="E1338" s="31">
        <v>0.63</v>
      </c>
      <c r="F1338" s="31">
        <v>6983352000</v>
      </c>
    </row>
    <row r="1339" spans="1:6" ht="15" thickBot="1" x14ac:dyDescent="0.2">
      <c r="A1339" s="30" t="s">
        <v>10018</v>
      </c>
      <c r="B1339" s="26" t="str">
        <f t="shared" si="20"/>
        <v>603619</v>
      </c>
      <c r="C1339" s="30" t="s">
        <v>2574</v>
      </c>
      <c r="D1339" s="31">
        <v>17.43</v>
      </c>
      <c r="E1339" s="31">
        <v>0.35</v>
      </c>
      <c r="F1339" s="31">
        <v>6972001700</v>
      </c>
    </row>
    <row r="1340" spans="1:6" ht="15" thickBot="1" x14ac:dyDescent="0.2">
      <c r="A1340" s="30" t="s">
        <v>10019</v>
      </c>
      <c r="B1340" s="26" t="str">
        <f t="shared" si="20"/>
        <v>603698</v>
      </c>
      <c r="C1340" s="30" t="s">
        <v>2843</v>
      </c>
      <c r="D1340" s="31">
        <v>12.99</v>
      </c>
      <c r="E1340" s="31">
        <v>-0.69</v>
      </c>
      <c r="F1340" s="31">
        <v>6962510100</v>
      </c>
    </row>
    <row r="1341" spans="1:6" ht="15" thickBot="1" x14ac:dyDescent="0.2">
      <c r="A1341" s="30" t="s">
        <v>10020</v>
      </c>
      <c r="B1341" s="26" t="str">
        <f t="shared" si="20"/>
        <v>600458</v>
      </c>
      <c r="C1341" s="30" t="s">
        <v>2767</v>
      </c>
      <c r="D1341" s="31">
        <v>8.67</v>
      </c>
      <c r="E1341" s="31">
        <v>-0.12</v>
      </c>
      <c r="F1341" s="31">
        <v>6960260000</v>
      </c>
    </row>
    <row r="1342" spans="1:6" ht="15" thickBot="1" x14ac:dyDescent="0.2">
      <c r="A1342" s="30" t="s">
        <v>10021</v>
      </c>
      <c r="B1342" s="26" t="str">
        <f t="shared" si="20"/>
        <v>000885</v>
      </c>
      <c r="C1342" s="30" t="s">
        <v>2937</v>
      </c>
      <c r="D1342" s="31">
        <v>10.8</v>
      </c>
      <c r="E1342" s="31">
        <v>-0.55000000000000004</v>
      </c>
      <c r="F1342" s="31">
        <v>6934445200</v>
      </c>
    </row>
    <row r="1343" spans="1:6" ht="15" thickBot="1" x14ac:dyDescent="0.2">
      <c r="A1343" s="30" t="s">
        <v>10022</v>
      </c>
      <c r="B1343" s="26" t="str">
        <f t="shared" si="20"/>
        <v>600480</v>
      </c>
      <c r="C1343" s="30" t="s">
        <v>2789</v>
      </c>
      <c r="D1343" s="31">
        <v>7.56</v>
      </c>
      <c r="E1343" s="31">
        <v>0.8</v>
      </c>
      <c r="F1343" s="31">
        <v>6932258500</v>
      </c>
    </row>
    <row r="1344" spans="1:6" ht="15" thickBot="1" x14ac:dyDescent="0.2">
      <c r="A1344" s="30" t="s">
        <v>10023</v>
      </c>
      <c r="B1344" s="26" t="str">
        <f t="shared" si="20"/>
        <v>688123</v>
      </c>
      <c r="C1344" s="30" t="s">
        <v>2813</v>
      </c>
      <c r="D1344" s="31">
        <v>44</v>
      </c>
      <c r="E1344" s="31">
        <v>0.21</v>
      </c>
      <c r="F1344" s="31">
        <v>6926565500</v>
      </c>
    </row>
    <row r="1345" spans="1:6" ht="15" thickBot="1" x14ac:dyDescent="0.2">
      <c r="A1345" s="30" t="s">
        <v>10024</v>
      </c>
      <c r="B1345" s="26" t="str">
        <f t="shared" si="20"/>
        <v>600586</v>
      </c>
      <c r="C1345" s="30" t="s">
        <v>2841</v>
      </c>
      <c r="D1345" s="31">
        <v>4.84</v>
      </c>
      <c r="E1345" s="31">
        <v>-1.23</v>
      </c>
      <c r="F1345" s="31">
        <v>6915246800</v>
      </c>
    </row>
    <row r="1346" spans="1:6" ht="15" thickBot="1" x14ac:dyDescent="0.2">
      <c r="A1346" s="30" t="s">
        <v>10025</v>
      </c>
      <c r="B1346" s="26" t="str">
        <f t="shared" si="20"/>
        <v>600557</v>
      </c>
      <c r="C1346" s="30" t="s">
        <v>2769</v>
      </c>
      <c r="D1346" s="31">
        <v>11.95</v>
      </c>
      <c r="E1346" s="31">
        <v>-0.25</v>
      </c>
      <c r="F1346" s="31">
        <v>6913041000</v>
      </c>
    </row>
    <row r="1347" spans="1:6" ht="15" thickBot="1" x14ac:dyDescent="0.2">
      <c r="A1347" s="30" t="s">
        <v>10026</v>
      </c>
      <c r="B1347" s="26" t="str">
        <f t="shared" ref="B1347:B1410" si="21">LEFT(A1347,6)</f>
        <v>601609</v>
      </c>
      <c r="C1347" s="30" t="s">
        <v>2849</v>
      </c>
      <c r="D1347" s="31">
        <v>4.67</v>
      </c>
      <c r="E1347" s="31">
        <v>0.22</v>
      </c>
      <c r="F1347" s="31">
        <v>6904479500</v>
      </c>
    </row>
    <row r="1348" spans="1:6" ht="15" thickBot="1" x14ac:dyDescent="0.2">
      <c r="A1348" s="30" t="s">
        <v>10027</v>
      </c>
      <c r="B1348" s="26" t="str">
        <f t="shared" si="21"/>
        <v>300747</v>
      </c>
      <c r="C1348" s="30" t="s">
        <v>2596</v>
      </c>
      <c r="D1348" s="31">
        <v>13.55</v>
      </c>
      <c r="E1348" s="31">
        <v>-1.31</v>
      </c>
      <c r="F1348" s="31">
        <v>6900657800</v>
      </c>
    </row>
    <row r="1349" spans="1:6" ht="15" thickBot="1" x14ac:dyDescent="0.2">
      <c r="A1349" s="30" t="s">
        <v>10028</v>
      </c>
      <c r="B1349" s="26" t="str">
        <f t="shared" si="21"/>
        <v>000650</v>
      </c>
      <c r="C1349" s="30" t="s">
        <v>2743</v>
      </c>
      <c r="D1349" s="31">
        <v>5.17</v>
      </c>
      <c r="E1349" s="31">
        <v>-0.57999999999999996</v>
      </c>
      <c r="F1349" s="31">
        <v>6883264800</v>
      </c>
    </row>
    <row r="1350" spans="1:6" ht="15" thickBot="1" x14ac:dyDescent="0.2">
      <c r="A1350" s="30" t="s">
        <v>10029</v>
      </c>
      <c r="B1350" s="26" t="str">
        <f t="shared" si="21"/>
        <v>301047</v>
      </c>
      <c r="C1350" s="30" t="s">
        <v>2815</v>
      </c>
      <c r="D1350" s="31">
        <v>55.44</v>
      </c>
      <c r="E1350" s="31">
        <v>-1.81</v>
      </c>
      <c r="F1350" s="31">
        <v>6880908500</v>
      </c>
    </row>
    <row r="1351" spans="1:6" ht="15" thickBot="1" x14ac:dyDescent="0.2">
      <c r="A1351" s="30" t="s">
        <v>10030</v>
      </c>
      <c r="B1351" s="26" t="str">
        <f t="shared" si="21"/>
        <v>002043</v>
      </c>
      <c r="C1351" s="30" t="s">
        <v>2638</v>
      </c>
      <c r="D1351" s="31">
        <v>9.36</v>
      </c>
      <c r="E1351" s="31">
        <v>1.85</v>
      </c>
      <c r="F1351" s="31">
        <v>6865323200</v>
      </c>
    </row>
    <row r="1352" spans="1:6" ht="15" thickBot="1" x14ac:dyDescent="0.2">
      <c r="A1352" s="30" t="s">
        <v>10031</v>
      </c>
      <c r="B1352" s="26" t="str">
        <f t="shared" si="21"/>
        <v>002588</v>
      </c>
      <c r="C1352" s="30" t="s">
        <v>2588</v>
      </c>
      <c r="D1352" s="31">
        <v>6.73</v>
      </c>
      <c r="E1352" s="31">
        <v>-0.59</v>
      </c>
      <c r="F1352" s="31">
        <v>6861631100</v>
      </c>
    </row>
    <row r="1353" spans="1:6" ht="15" thickBot="1" x14ac:dyDescent="0.2">
      <c r="A1353" s="30" t="s">
        <v>10032</v>
      </c>
      <c r="B1353" s="26" t="str">
        <f t="shared" si="21"/>
        <v>603398</v>
      </c>
      <c r="C1353" s="30" t="s">
        <v>2977</v>
      </c>
      <c r="D1353" s="31">
        <v>15.82</v>
      </c>
      <c r="E1353" s="31">
        <v>-7.86</v>
      </c>
      <c r="F1353" s="31">
        <v>6860208900</v>
      </c>
    </row>
    <row r="1354" spans="1:6" ht="15" thickBot="1" x14ac:dyDescent="0.2">
      <c r="A1354" s="30" t="s">
        <v>10033</v>
      </c>
      <c r="B1354" s="26" t="str">
        <f t="shared" si="21"/>
        <v>600059</v>
      </c>
      <c r="C1354" s="30" t="s">
        <v>2866</v>
      </c>
      <c r="D1354" s="31">
        <v>7.52</v>
      </c>
      <c r="E1354" s="31">
        <v>-0.53</v>
      </c>
      <c r="F1354" s="31">
        <v>6854798900</v>
      </c>
    </row>
    <row r="1355" spans="1:6" ht="15" thickBot="1" x14ac:dyDescent="0.2">
      <c r="A1355" s="30" t="s">
        <v>10034</v>
      </c>
      <c r="B1355" s="26" t="str">
        <f t="shared" si="21"/>
        <v>002242</v>
      </c>
      <c r="C1355" s="30" t="s">
        <v>2872</v>
      </c>
      <c r="D1355" s="31">
        <v>8.9499999999999993</v>
      </c>
      <c r="E1355" s="31">
        <v>1.94</v>
      </c>
      <c r="F1355" s="31">
        <v>6853066000</v>
      </c>
    </row>
    <row r="1356" spans="1:6" ht="15" thickBot="1" x14ac:dyDescent="0.2">
      <c r="A1356" s="30" t="s">
        <v>10035</v>
      </c>
      <c r="B1356" s="26" t="str">
        <f t="shared" si="21"/>
        <v>600635</v>
      </c>
      <c r="C1356" s="30" t="s">
        <v>2674</v>
      </c>
      <c r="D1356" s="31">
        <v>2.83</v>
      </c>
      <c r="E1356" s="31">
        <v>0</v>
      </c>
      <c r="F1356" s="31">
        <v>6845180400</v>
      </c>
    </row>
    <row r="1357" spans="1:6" ht="15" thickBot="1" x14ac:dyDescent="0.2">
      <c r="A1357" s="30" t="s">
        <v>10036</v>
      </c>
      <c r="B1357" s="26" t="str">
        <f t="shared" si="21"/>
        <v>601500</v>
      </c>
      <c r="C1357" s="30" t="s">
        <v>2868</v>
      </c>
      <c r="D1357" s="31">
        <v>4.3600000000000003</v>
      </c>
      <c r="E1357" s="31">
        <v>0</v>
      </c>
      <c r="F1357" s="31">
        <v>6837526600</v>
      </c>
    </row>
    <row r="1358" spans="1:6" ht="15" thickBot="1" x14ac:dyDescent="0.2">
      <c r="A1358" s="30" t="s">
        <v>10037</v>
      </c>
      <c r="B1358" s="26" t="str">
        <f t="shared" si="21"/>
        <v>002036</v>
      </c>
      <c r="C1358" s="30" t="s">
        <v>2395</v>
      </c>
      <c r="D1358" s="31">
        <v>6.49</v>
      </c>
      <c r="E1358" s="31">
        <v>-4.84</v>
      </c>
      <c r="F1358" s="31">
        <v>6837351500</v>
      </c>
    </row>
    <row r="1359" spans="1:6" ht="15" thickBot="1" x14ac:dyDescent="0.2">
      <c r="A1359" s="30" t="s">
        <v>10038</v>
      </c>
      <c r="B1359" s="26" t="str">
        <f t="shared" si="21"/>
        <v>000048</v>
      </c>
      <c r="C1359" s="30" t="s">
        <v>2876</v>
      </c>
      <c r="D1359" s="31">
        <v>13.04</v>
      </c>
      <c r="E1359" s="31">
        <v>0.39</v>
      </c>
      <c r="F1359" s="31">
        <v>6823039800</v>
      </c>
    </row>
    <row r="1360" spans="1:6" ht="15" thickBot="1" x14ac:dyDescent="0.2">
      <c r="A1360" s="30" t="s">
        <v>10039</v>
      </c>
      <c r="B1360" s="26" t="str">
        <f t="shared" si="21"/>
        <v>601339</v>
      </c>
      <c r="C1360" s="30" t="s">
        <v>2896</v>
      </c>
      <c r="D1360" s="31">
        <v>4.54</v>
      </c>
      <c r="E1360" s="31">
        <v>0</v>
      </c>
      <c r="F1360" s="31">
        <v>6810000000</v>
      </c>
    </row>
    <row r="1361" spans="1:6" ht="15" thickBot="1" x14ac:dyDescent="0.2">
      <c r="A1361" s="30" t="s">
        <v>10040</v>
      </c>
      <c r="B1361" s="26" t="str">
        <f t="shared" si="21"/>
        <v>603690</v>
      </c>
      <c r="C1361" s="30" t="s">
        <v>2859</v>
      </c>
      <c r="D1361" s="31">
        <v>17.649999999999999</v>
      </c>
      <c r="E1361" s="31">
        <v>0.34</v>
      </c>
      <c r="F1361" s="31">
        <v>6805278200</v>
      </c>
    </row>
    <row r="1362" spans="1:6" ht="15" thickBot="1" x14ac:dyDescent="0.2">
      <c r="A1362" s="30" t="s">
        <v>10041</v>
      </c>
      <c r="B1362" s="26" t="str">
        <f t="shared" si="21"/>
        <v>603662</v>
      </c>
      <c r="C1362" s="30" t="s">
        <v>2823</v>
      </c>
      <c r="D1362" s="31">
        <v>24.19</v>
      </c>
      <c r="E1362" s="31">
        <v>2.0299999999999998</v>
      </c>
      <c r="F1362" s="31">
        <v>6793274500</v>
      </c>
    </row>
    <row r="1363" spans="1:6" ht="15" thickBot="1" x14ac:dyDescent="0.2">
      <c r="A1363" s="30" t="s">
        <v>10042</v>
      </c>
      <c r="B1363" s="26" t="str">
        <f t="shared" si="21"/>
        <v>002302</v>
      </c>
      <c r="C1363" s="30" t="s">
        <v>2833</v>
      </c>
      <c r="D1363" s="31">
        <v>5.38</v>
      </c>
      <c r="E1363" s="31">
        <v>-1.1000000000000001</v>
      </c>
      <c r="F1363" s="31">
        <v>6791466200</v>
      </c>
    </row>
    <row r="1364" spans="1:6" ht="15" thickBot="1" x14ac:dyDescent="0.2">
      <c r="A1364" s="30" t="s">
        <v>10043</v>
      </c>
      <c r="B1364" s="26" t="str">
        <f t="shared" si="21"/>
        <v>300101</v>
      </c>
      <c r="C1364" s="30" t="s">
        <v>2801</v>
      </c>
      <c r="D1364" s="31">
        <v>12.06</v>
      </c>
      <c r="E1364" s="31">
        <v>-2.59</v>
      </c>
      <c r="F1364" s="31">
        <v>6787973600</v>
      </c>
    </row>
    <row r="1365" spans="1:6" ht="15" thickBot="1" x14ac:dyDescent="0.2">
      <c r="A1365" s="30" t="s">
        <v>10044</v>
      </c>
      <c r="B1365" s="26" t="str">
        <f t="shared" si="21"/>
        <v>000544</v>
      </c>
      <c r="C1365" s="30" t="s">
        <v>2888</v>
      </c>
      <c r="D1365" s="31">
        <v>6.96</v>
      </c>
      <c r="E1365" s="31">
        <v>0</v>
      </c>
      <c r="F1365" s="31">
        <v>6783804000</v>
      </c>
    </row>
    <row r="1366" spans="1:6" ht="15" thickBot="1" x14ac:dyDescent="0.2">
      <c r="A1366" s="30" t="s">
        <v>10045</v>
      </c>
      <c r="B1366" s="26" t="str">
        <f t="shared" si="21"/>
        <v>002726</v>
      </c>
      <c r="C1366" s="30" t="s">
        <v>2821</v>
      </c>
      <c r="D1366" s="31">
        <v>6.29</v>
      </c>
      <c r="E1366" s="31">
        <v>-2.93</v>
      </c>
      <c r="F1366" s="31">
        <v>6775037200</v>
      </c>
    </row>
    <row r="1367" spans="1:6" ht="15" thickBot="1" x14ac:dyDescent="0.2">
      <c r="A1367" s="30" t="s">
        <v>10046</v>
      </c>
      <c r="B1367" s="26" t="str">
        <f t="shared" si="21"/>
        <v>300360</v>
      </c>
      <c r="C1367" s="30" t="s">
        <v>2811</v>
      </c>
      <c r="D1367" s="31">
        <v>13.53</v>
      </c>
      <c r="E1367" s="31">
        <v>-0.37</v>
      </c>
      <c r="F1367" s="31">
        <v>6761193200</v>
      </c>
    </row>
    <row r="1368" spans="1:6" ht="15" thickBot="1" x14ac:dyDescent="0.2">
      <c r="A1368" s="30" t="s">
        <v>10047</v>
      </c>
      <c r="B1368" s="26" t="str">
        <f t="shared" si="21"/>
        <v>300613</v>
      </c>
      <c r="C1368" s="30" t="s">
        <v>2700</v>
      </c>
      <c r="D1368" s="31">
        <v>31.04</v>
      </c>
      <c r="E1368" s="31">
        <v>-0.57999999999999996</v>
      </c>
      <c r="F1368" s="31">
        <v>6753611000</v>
      </c>
    </row>
    <row r="1369" spans="1:6" ht="15" thickBot="1" x14ac:dyDescent="0.2">
      <c r="A1369" s="30" t="s">
        <v>10048</v>
      </c>
      <c r="B1369" s="26" t="str">
        <f t="shared" si="21"/>
        <v>688116</v>
      </c>
      <c r="C1369" s="30" t="s">
        <v>2785</v>
      </c>
      <c r="D1369" s="31">
        <v>19.600000000000001</v>
      </c>
      <c r="E1369" s="31">
        <v>-1.46</v>
      </c>
      <c r="F1369" s="31">
        <v>6753428300</v>
      </c>
    </row>
    <row r="1370" spans="1:6" ht="15" thickBot="1" x14ac:dyDescent="0.2">
      <c r="A1370" s="30" t="s">
        <v>10049</v>
      </c>
      <c r="B1370" s="26" t="str">
        <f t="shared" si="21"/>
        <v>603713</v>
      </c>
      <c r="C1370" s="30" t="s">
        <v>2831</v>
      </c>
      <c r="D1370" s="31">
        <v>41.73</v>
      </c>
      <c r="E1370" s="31">
        <v>-0.74</v>
      </c>
      <c r="F1370" s="31">
        <v>6751503500</v>
      </c>
    </row>
    <row r="1371" spans="1:6" ht="15" thickBot="1" x14ac:dyDescent="0.2">
      <c r="A1371" s="30" t="s">
        <v>10050</v>
      </c>
      <c r="B1371" s="26" t="str">
        <f t="shared" si="21"/>
        <v>002182</v>
      </c>
      <c r="C1371" s="30" t="s">
        <v>2356</v>
      </c>
      <c r="D1371" s="31">
        <v>8.66</v>
      </c>
      <c r="E1371" s="31">
        <v>-0.23</v>
      </c>
      <c r="F1371" s="31">
        <v>6743649900</v>
      </c>
    </row>
    <row r="1372" spans="1:6" ht="15" thickBot="1" x14ac:dyDescent="0.2">
      <c r="A1372" s="30" t="s">
        <v>10051</v>
      </c>
      <c r="B1372" s="26" t="str">
        <f t="shared" si="21"/>
        <v>002041</v>
      </c>
      <c r="C1372" s="30" t="s">
        <v>2909</v>
      </c>
      <c r="D1372" s="31">
        <v>7.65</v>
      </c>
      <c r="E1372" s="31">
        <v>-1.54</v>
      </c>
      <c r="F1372" s="31">
        <v>6732000000</v>
      </c>
    </row>
    <row r="1373" spans="1:6" ht="15" thickBot="1" x14ac:dyDescent="0.2">
      <c r="A1373" s="30" t="s">
        <v>10052</v>
      </c>
      <c r="B1373" s="26" t="str">
        <f t="shared" si="21"/>
        <v>603267</v>
      </c>
      <c r="C1373" s="30" t="s">
        <v>2809</v>
      </c>
      <c r="D1373" s="31">
        <v>29.03</v>
      </c>
      <c r="E1373" s="31">
        <v>-1.53</v>
      </c>
      <c r="F1373" s="31">
        <v>6730477800</v>
      </c>
    </row>
    <row r="1374" spans="1:6" ht="15" thickBot="1" x14ac:dyDescent="0.2">
      <c r="A1374" s="30" t="s">
        <v>10053</v>
      </c>
      <c r="B1374" s="26" t="str">
        <f t="shared" si="21"/>
        <v>603227</v>
      </c>
      <c r="C1374" s="30" t="s">
        <v>2679</v>
      </c>
      <c r="D1374" s="31">
        <v>6.9</v>
      </c>
      <c r="E1374" s="31">
        <v>-0.15</v>
      </c>
      <c r="F1374" s="31">
        <v>6721120700</v>
      </c>
    </row>
    <row r="1375" spans="1:6" ht="15" thickBot="1" x14ac:dyDescent="0.2">
      <c r="A1375" s="30" t="s">
        <v>10054</v>
      </c>
      <c r="B1375" s="26" t="str">
        <f t="shared" si="21"/>
        <v>688630</v>
      </c>
      <c r="C1375" s="30" t="s">
        <v>10055</v>
      </c>
      <c r="D1375" s="31">
        <v>51.1</v>
      </c>
      <c r="E1375" s="31">
        <v>2.78</v>
      </c>
      <c r="F1375" s="31">
        <v>6715515300</v>
      </c>
    </row>
    <row r="1376" spans="1:6" ht="15" thickBot="1" x14ac:dyDescent="0.2">
      <c r="A1376" s="30" t="s">
        <v>10056</v>
      </c>
      <c r="B1376" s="26" t="str">
        <f t="shared" si="21"/>
        <v>603533</v>
      </c>
      <c r="C1376" s="30" t="s">
        <v>2857</v>
      </c>
      <c r="D1376" s="31">
        <v>15.29</v>
      </c>
      <c r="E1376" s="31">
        <v>-1.1000000000000001</v>
      </c>
      <c r="F1376" s="31">
        <v>6710732600</v>
      </c>
    </row>
    <row r="1377" spans="1:6" ht="15" thickBot="1" x14ac:dyDescent="0.2">
      <c r="A1377" s="30" t="s">
        <v>10057</v>
      </c>
      <c r="B1377" s="26" t="str">
        <f t="shared" si="21"/>
        <v>600125</v>
      </c>
      <c r="C1377" s="30" t="s">
        <v>2943</v>
      </c>
      <c r="D1377" s="31">
        <v>5.14</v>
      </c>
      <c r="E1377" s="31">
        <v>0.2</v>
      </c>
      <c r="F1377" s="31">
        <v>6710382400</v>
      </c>
    </row>
    <row r="1378" spans="1:6" ht="15" thickBot="1" x14ac:dyDescent="0.2">
      <c r="A1378" s="30" t="s">
        <v>10058</v>
      </c>
      <c r="B1378" s="26" t="str">
        <f t="shared" si="21"/>
        <v>002827</v>
      </c>
      <c r="C1378" s="30" t="s">
        <v>3032</v>
      </c>
      <c r="D1378" s="31">
        <v>24.24</v>
      </c>
      <c r="E1378" s="31">
        <v>2.37</v>
      </c>
      <c r="F1378" s="31">
        <v>6690212700</v>
      </c>
    </row>
    <row r="1379" spans="1:6" ht="15" thickBot="1" x14ac:dyDescent="0.2">
      <c r="A1379" s="30" t="s">
        <v>10059</v>
      </c>
      <c r="B1379" s="26" t="str">
        <f t="shared" si="21"/>
        <v>001287</v>
      </c>
      <c r="C1379" s="30" t="s">
        <v>10060</v>
      </c>
      <c r="D1379" s="31">
        <v>15.29</v>
      </c>
      <c r="E1379" s="31">
        <v>-1.42</v>
      </c>
      <c r="F1379" s="31">
        <v>6687761900</v>
      </c>
    </row>
    <row r="1380" spans="1:6" ht="15" thickBot="1" x14ac:dyDescent="0.2">
      <c r="A1380" s="30" t="s">
        <v>10061</v>
      </c>
      <c r="B1380" s="26" t="str">
        <f t="shared" si="21"/>
        <v>000420</v>
      </c>
      <c r="C1380" s="30" t="s">
        <v>2915</v>
      </c>
      <c r="D1380" s="31">
        <v>2.72</v>
      </c>
      <c r="E1380" s="31">
        <v>-0.73</v>
      </c>
      <c r="F1380" s="31">
        <v>6685809300</v>
      </c>
    </row>
    <row r="1381" spans="1:6" ht="15" thickBot="1" x14ac:dyDescent="0.2">
      <c r="A1381" s="30" t="s">
        <v>10062</v>
      </c>
      <c r="B1381" s="26" t="str">
        <f t="shared" si="21"/>
        <v>603693</v>
      </c>
      <c r="C1381" s="30" t="s">
        <v>2692</v>
      </c>
      <c r="D1381" s="31">
        <v>8.32</v>
      </c>
      <c r="E1381" s="31">
        <v>-0.95</v>
      </c>
      <c r="F1381" s="31">
        <v>6684288000</v>
      </c>
    </row>
    <row r="1382" spans="1:6" ht="15" thickBot="1" x14ac:dyDescent="0.2">
      <c r="A1382" s="30" t="s">
        <v>10063</v>
      </c>
      <c r="B1382" s="26" t="str">
        <f t="shared" si="21"/>
        <v>000917</v>
      </c>
      <c r="C1382" s="30" t="s">
        <v>2949</v>
      </c>
      <c r="D1382" s="31">
        <v>4.71</v>
      </c>
      <c r="E1382" s="31">
        <v>-0.63</v>
      </c>
      <c r="F1382" s="31">
        <v>6676233600</v>
      </c>
    </row>
    <row r="1383" spans="1:6" ht="15" thickBot="1" x14ac:dyDescent="0.2">
      <c r="A1383" s="30" t="s">
        <v>10064</v>
      </c>
      <c r="B1383" s="26" t="str">
        <f t="shared" si="21"/>
        <v>603197</v>
      </c>
      <c r="C1383" s="30" t="s">
        <v>2918</v>
      </c>
      <c r="D1383" s="31">
        <v>31.71</v>
      </c>
      <c r="E1383" s="31">
        <v>1.31</v>
      </c>
      <c r="F1383" s="31">
        <v>6670414800</v>
      </c>
    </row>
    <row r="1384" spans="1:6" ht="15" thickBot="1" x14ac:dyDescent="0.2">
      <c r="A1384" s="30" t="s">
        <v>10065</v>
      </c>
      <c r="B1384" s="26" t="str">
        <f t="shared" si="21"/>
        <v>603323</v>
      </c>
      <c r="C1384" s="30" t="s">
        <v>10066</v>
      </c>
      <c r="D1384" s="31">
        <v>4.2300000000000004</v>
      </c>
      <c r="E1384" s="31">
        <v>1.2</v>
      </c>
      <c r="F1384" s="31">
        <v>6665189300</v>
      </c>
    </row>
    <row r="1385" spans="1:6" ht="15" thickBot="1" x14ac:dyDescent="0.2">
      <c r="A1385" s="30" t="s">
        <v>10067</v>
      </c>
      <c r="B1385" s="26" t="str">
        <f t="shared" si="21"/>
        <v>300319</v>
      </c>
      <c r="C1385" s="30" t="s">
        <v>2771</v>
      </c>
      <c r="D1385" s="31">
        <v>8.0299999999999994</v>
      </c>
      <c r="E1385" s="31">
        <v>-2.0699999999999998</v>
      </c>
      <c r="F1385" s="31">
        <v>6662940700</v>
      </c>
    </row>
    <row r="1386" spans="1:6" ht="15" thickBot="1" x14ac:dyDescent="0.2">
      <c r="A1386" s="30" t="s">
        <v>10068</v>
      </c>
      <c r="B1386" s="26" t="str">
        <f t="shared" si="21"/>
        <v>300772</v>
      </c>
      <c r="C1386" s="30" t="s">
        <v>2884</v>
      </c>
      <c r="D1386" s="31">
        <v>9.58</v>
      </c>
      <c r="E1386" s="31">
        <v>0.11</v>
      </c>
      <c r="F1386" s="31">
        <v>6656636000</v>
      </c>
    </row>
    <row r="1387" spans="1:6" ht="15" thickBot="1" x14ac:dyDescent="0.2">
      <c r="A1387" s="30" t="s">
        <v>10069</v>
      </c>
      <c r="B1387" s="26" t="str">
        <f t="shared" si="21"/>
        <v>000981</v>
      </c>
      <c r="C1387" s="30" t="s">
        <v>2079</v>
      </c>
      <c r="D1387" s="31">
        <v>1.02</v>
      </c>
      <c r="E1387" s="31">
        <v>-0.97</v>
      </c>
      <c r="F1387" s="31">
        <v>6655658600</v>
      </c>
    </row>
    <row r="1388" spans="1:6" ht="15" thickBot="1" x14ac:dyDescent="0.2">
      <c r="A1388" s="30" t="s">
        <v>10070</v>
      </c>
      <c r="B1388" s="26" t="str">
        <f t="shared" si="21"/>
        <v>600199</v>
      </c>
      <c r="C1388" s="30" t="s">
        <v>2901</v>
      </c>
      <c r="D1388" s="31">
        <v>10.11</v>
      </c>
      <c r="E1388" s="31">
        <v>0.2</v>
      </c>
      <c r="F1388" s="31">
        <v>6650325900</v>
      </c>
    </row>
    <row r="1389" spans="1:6" ht="15" thickBot="1" x14ac:dyDescent="0.2">
      <c r="A1389" s="30" t="s">
        <v>10071</v>
      </c>
      <c r="B1389" s="26" t="str">
        <f t="shared" si="21"/>
        <v>002967</v>
      </c>
      <c r="C1389" s="30" t="s">
        <v>2761</v>
      </c>
      <c r="D1389" s="31">
        <v>12.29</v>
      </c>
      <c r="E1389" s="31">
        <v>0.9</v>
      </c>
      <c r="F1389" s="31">
        <v>6649023200</v>
      </c>
    </row>
    <row r="1390" spans="1:6" ht="15" thickBot="1" x14ac:dyDescent="0.2">
      <c r="A1390" s="30" t="s">
        <v>10072</v>
      </c>
      <c r="B1390" s="26" t="str">
        <f t="shared" si="21"/>
        <v>605090</v>
      </c>
      <c r="C1390" s="30" t="s">
        <v>1399</v>
      </c>
      <c r="D1390" s="31">
        <v>24.42</v>
      </c>
      <c r="E1390" s="31">
        <v>0.28999999999999998</v>
      </c>
      <c r="F1390" s="31">
        <v>6642281800</v>
      </c>
    </row>
    <row r="1391" spans="1:6" ht="15" thickBot="1" x14ac:dyDescent="0.2">
      <c r="A1391" s="30" t="s">
        <v>10073</v>
      </c>
      <c r="B1391" s="26" t="str">
        <f t="shared" si="21"/>
        <v>603128</v>
      </c>
      <c r="C1391" s="30" t="s">
        <v>2981</v>
      </c>
      <c r="D1391" s="31">
        <v>5.07</v>
      </c>
      <c r="E1391" s="31">
        <v>0.6</v>
      </c>
      <c r="F1391" s="31">
        <v>6636865700</v>
      </c>
    </row>
    <row r="1392" spans="1:6" ht="15" thickBot="1" x14ac:dyDescent="0.2">
      <c r="A1392" s="30" t="s">
        <v>10074</v>
      </c>
      <c r="B1392" s="26" t="str">
        <f t="shared" si="21"/>
        <v>600509</v>
      </c>
      <c r="C1392" s="30" t="s">
        <v>2989</v>
      </c>
      <c r="D1392" s="31">
        <v>4.8099999999999996</v>
      </c>
      <c r="E1392" s="31">
        <v>0.21</v>
      </c>
      <c r="F1392" s="31">
        <v>6633146800</v>
      </c>
    </row>
    <row r="1393" spans="1:6" ht="15" thickBot="1" x14ac:dyDescent="0.2">
      <c r="A1393" s="30" t="s">
        <v>10075</v>
      </c>
      <c r="B1393" s="26" t="str">
        <f t="shared" si="21"/>
        <v>000401</v>
      </c>
      <c r="C1393" s="30" t="s">
        <v>1933</v>
      </c>
      <c r="D1393" s="31">
        <v>4.28</v>
      </c>
      <c r="E1393" s="31">
        <v>0.94</v>
      </c>
      <c r="F1393" s="31">
        <v>6622443700</v>
      </c>
    </row>
    <row r="1394" spans="1:6" ht="15" thickBot="1" x14ac:dyDescent="0.2">
      <c r="A1394" s="30" t="s">
        <v>10076</v>
      </c>
      <c r="B1394" s="26" t="str">
        <f t="shared" si="21"/>
        <v>002928</v>
      </c>
      <c r="C1394" s="30" t="s">
        <v>2837</v>
      </c>
      <c r="D1394" s="31">
        <v>5.18</v>
      </c>
      <c r="E1394" s="31">
        <v>-2.81</v>
      </c>
      <c r="F1394" s="31">
        <v>6621291200</v>
      </c>
    </row>
    <row r="1395" spans="1:6" ht="15" thickBot="1" x14ac:dyDescent="0.2">
      <c r="A1395" s="30" t="s">
        <v>10077</v>
      </c>
      <c r="B1395" s="26" t="str">
        <f t="shared" si="21"/>
        <v>300624</v>
      </c>
      <c r="C1395" s="30" t="s">
        <v>2570</v>
      </c>
      <c r="D1395" s="31">
        <v>38.65</v>
      </c>
      <c r="E1395" s="31">
        <v>-4.38</v>
      </c>
      <c r="F1395" s="31">
        <v>6618163800</v>
      </c>
    </row>
    <row r="1396" spans="1:6" ht="15" thickBot="1" x14ac:dyDescent="0.2">
      <c r="A1396" s="30" t="s">
        <v>10078</v>
      </c>
      <c r="B1396" s="26" t="str">
        <f t="shared" si="21"/>
        <v>002534</v>
      </c>
      <c r="C1396" s="30" t="s">
        <v>2845</v>
      </c>
      <c r="D1396" s="31">
        <v>9.0399999999999991</v>
      </c>
      <c r="E1396" s="31">
        <v>-1.2</v>
      </c>
      <c r="F1396" s="31">
        <v>6606587100</v>
      </c>
    </row>
    <row r="1397" spans="1:6" ht="15" thickBot="1" x14ac:dyDescent="0.2">
      <c r="A1397" s="30" t="s">
        <v>10079</v>
      </c>
      <c r="B1397" s="26" t="str">
        <f t="shared" si="21"/>
        <v>603013</v>
      </c>
      <c r="C1397" s="30" t="s">
        <v>2955</v>
      </c>
      <c r="D1397" s="31">
        <v>12.88</v>
      </c>
      <c r="E1397" s="31">
        <v>0</v>
      </c>
      <c r="F1397" s="31">
        <v>6602278500</v>
      </c>
    </row>
    <row r="1398" spans="1:6" ht="15" thickBot="1" x14ac:dyDescent="0.2">
      <c r="A1398" s="30" t="s">
        <v>10080</v>
      </c>
      <c r="B1398" s="26" t="str">
        <f t="shared" si="21"/>
        <v>603992</v>
      </c>
      <c r="C1398" s="30" t="s">
        <v>2741</v>
      </c>
      <c r="D1398" s="31">
        <v>16.46</v>
      </c>
      <c r="E1398" s="31">
        <v>-3.18</v>
      </c>
      <c r="F1398" s="31">
        <v>6600682000</v>
      </c>
    </row>
    <row r="1399" spans="1:6" ht="15" thickBot="1" x14ac:dyDescent="0.2">
      <c r="A1399" s="30" t="s">
        <v>10081</v>
      </c>
      <c r="B1399" s="26" t="str">
        <f t="shared" si="21"/>
        <v>600326</v>
      </c>
      <c r="C1399" s="30" t="s">
        <v>3020</v>
      </c>
      <c r="D1399" s="31">
        <v>5.12</v>
      </c>
      <c r="E1399" s="31">
        <v>1.19</v>
      </c>
      <c r="F1399" s="31">
        <v>6589542500</v>
      </c>
    </row>
    <row r="1400" spans="1:6" ht="15" thickBot="1" x14ac:dyDescent="0.2">
      <c r="A1400" s="30" t="s">
        <v>10082</v>
      </c>
      <c r="B1400" s="26" t="str">
        <f t="shared" si="21"/>
        <v>605365</v>
      </c>
      <c r="C1400" s="30" t="s">
        <v>10083</v>
      </c>
      <c r="D1400" s="31">
        <v>13.1</v>
      </c>
      <c r="E1400" s="31">
        <v>-1.43</v>
      </c>
      <c r="F1400" s="31">
        <v>6576368700</v>
      </c>
    </row>
    <row r="1401" spans="1:6" ht="15" thickBot="1" x14ac:dyDescent="0.2">
      <c r="A1401" s="30" t="s">
        <v>10084</v>
      </c>
      <c r="B1401" s="26" t="str">
        <f t="shared" si="21"/>
        <v>002378</v>
      </c>
      <c r="C1401" s="30" t="s">
        <v>2969</v>
      </c>
      <c r="D1401" s="31">
        <v>5.5</v>
      </c>
      <c r="E1401" s="31">
        <v>0.37</v>
      </c>
      <c r="F1401" s="31">
        <v>6572992700</v>
      </c>
    </row>
    <row r="1402" spans="1:6" ht="15" thickBot="1" x14ac:dyDescent="0.2">
      <c r="A1402" s="30" t="s">
        <v>10085</v>
      </c>
      <c r="B1402" s="26" t="str">
        <f t="shared" si="21"/>
        <v>601619</v>
      </c>
      <c r="C1402" s="30" t="s">
        <v>3010</v>
      </c>
      <c r="D1402" s="31">
        <v>2.7</v>
      </c>
      <c r="E1402" s="31">
        <v>0.37</v>
      </c>
      <c r="F1402" s="31">
        <v>6572748300</v>
      </c>
    </row>
    <row r="1403" spans="1:6" ht="15" thickBot="1" x14ac:dyDescent="0.2">
      <c r="A1403" s="30" t="s">
        <v>10086</v>
      </c>
      <c r="B1403" s="26" t="str">
        <f t="shared" si="21"/>
        <v>600481</v>
      </c>
      <c r="C1403" s="30" t="s">
        <v>2890</v>
      </c>
      <c r="D1403" s="31">
        <v>3.51</v>
      </c>
      <c r="E1403" s="31">
        <v>-1.1299999999999999</v>
      </c>
      <c r="F1403" s="31">
        <v>6566081200</v>
      </c>
    </row>
    <row r="1404" spans="1:6" ht="15" thickBot="1" x14ac:dyDescent="0.2">
      <c r="A1404" s="30" t="s">
        <v>10087</v>
      </c>
      <c r="B1404" s="26" t="str">
        <f t="shared" si="21"/>
        <v>002832</v>
      </c>
      <c r="C1404" s="30" t="s">
        <v>2170</v>
      </c>
      <c r="D1404" s="31">
        <v>16.86</v>
      </c>
      <c r="E1404" s="31">
        <v>1.08</v>
      </c>
      <c r="F1404" s="31">
        <v>6565592300</v>
      </c>
    </row>
    <row r="1405" spans="1:6" ht="15" thickBot="1" x14ac:dyDescent="0.2">
      <c r="A1405" s="30" t="s">
        <v>10088</v>
      </c>
      <c r="B1405" s="26" t="str">
        <f t="shared" si="21"/>
        <v>301301</v>
      </c>
      <c r="C1405" s="30" t="s">
        <v>10089</v>
      </c>
      <c r="D1405" s="31">
        <v>10.66</v>
      </c>
      <c r="E1405" s="31">
        <v>0.38</v>
      </c>
      <c r="F1405" s="31">
        <v>6565412500</v>
      </c>
    </row>
    <row r="1406" spans="1:6" ht="15" thickBot="1" x14ac:dyDescent="0.2">
      <c r="A1406" s="30" t="s">
        <v>10090</v>
      </c>
      <c r="B1406" s="26" t="str">
        <f t="shared" si="21"/>
        <v>603308</v>
      </c>
      <c r="C1406" s="30" t="s">
        <v>2971</v>
      </c>
      <c r="D1406" s="31">
        <v>9.66</v>
      </c>
      <c r="E1406" s="31">
        <v>0.94</v>
      </c>
      <c r="F1406" s="31">
        <v>6559492000</v>
      </c>
    </row>
    <row r="1407" spans="1:6" ht="15" thickBot="1" x14ac:dyDescent="0.2">
      <c r="A1407" s="30" t="s">
        <v>10091</v>
      </c>
      <c r="B1407" s="26" t="str">
        <f t="shared" si="21"/>
        <v>000837</v>
      </c>
      <c r="C1407" s="30" t="s">
        <v>2874</v>
      </c>
      <c r="D1407" s="31">
        <v>6.75</v>
      </c>
      <c r="E1407" s="31">
        <v>-0.15</v>
      </c>
      <c r="F1407" s="31">
        <v>6553607300</v>
      </c>
    </row>
    <row r="1408" spans="1:6" ht="15" thickBot="1" x14ac:dyDescent="0.2">
      <c r="A1408" s="30" t="s">
        <v>10092</v>
      </c>
      <c r="B1408" s="26" t="str">
        <f t="shared" si="21"/>
        <v>003039</v>
      </c>
      <c r="C1408" s="30" t="s">
        <v>10093</v>
      </c>
      <c r="D1408" s="31">
        <v>10.6</v>
      </c>
      <c r="E1408" s="31">
        <v>-1.58</v>
      </c>
      <c r="F1408" s="31">
        <v>6545698500</v>
      </c>
    </row>
    <row r="1409" spans="1:6" ht="15" thickBot="1" x14ac:dyDescent="0.2">
      <c r="A1409" s="30" t="s">
        <v>10094</v>
      </c>
      <c r="B1409" s="26" t="str">
        <f t="shared" si="21"/>
        <v>300224</v>
      </c>
      <c r="C1409" s="30" t="s">
        <v>2935</v>
      </c>
      <c r="D1409" s="31">
        <v>8.0299999999999994</v>
      </c>
      <c r="E1409" s="31">
        <v>-0.86</v>
      </c>
      <c r="F1409" s="31">
        <v>6544120300</v>
      </c>
    </row>
    <row r="1410" spans="1:6" ht="15" thickBot="1" x14ac:dyDescent="0.2">
      <c r="A1410" s="30" t="s">
        <v>10095</v>
      </c>
      <c r="B1410" s="26" t="str">
        <f t="shared" si="21"/>
        <v>000503</v>
      </c>
      <c r="C1410" s="30" t="s">
        <v>2926</v>
      </c>
      <c r="D1410" s="31">
        <v>6.84</v>
      </c>
      <c r="E1410" s="31">
        <v>-1.87</v>
      </c>
      <c r="F1410" s="31">
        <v>6532962600</v>
      </c>
    </row>
    <row r="1411" spans="1:6" ht="15" thickBot="1" x14ac:dyDescent="0.2">
      <c r="A1411" s="30" t="s">
        <v>10096</v>
      </c>
      <c r="B1411" s="26" t="str">
        <f t="shared" ref="B1411:B1474" si="22">LEFT(A1411,6)</f>
        <v>002079</v>
      </c>
      <c r="C1411" s="30" t="s">
        <v>3220</v>
      </c>
      <c r="D1411" s="31">
        <v>8.09</v>
      </c>
      <c r="E1411" s="31">
        <v>-1.1000000000000001</v>
      </c>
      <c r="F1411" s="31">
        <v>6531261500</v>
      </c>
    </row>
    <row r="1412" spans="1:6" ht="15" thickBot="1" x14ac:dyDescent="0.2">
      <c r="A1412" s="30" t="s">
        <v>10097</v>
      </c>
      <c r="B1412" s="26" t="str">
        <f t="shared" si="22"/>
        <v>688220</v>
      </c>
      <c r="C1412" s="30" t="s">
        <v>1696</v>
      </c>
      <c r="D1412" s="31">
        <v>29.05</v>
      </c>
      <c r="E1412" s="31">
        <v>-3.13</v>
      </c>
      <c r="F1412" s="31">
        <v>6524844100</v>
      </c>
    </row>
    <row r="1413" spans="1:6" ht="15" thickBot="1" x14ac:dyDescent="0.2">
      <c r="A1413" s="30" t="s">
        <v>10098</v>
      </c>
      <c r="B1413" s="26" t="str">
        <f t="shared" si="22"/>
        <v>000589</v>
      </c>
      <c r="C1413" s="30" t="s">
        <v>2941</v>
      </c>
      <c r="D1413" s="31">
        <v>4.26</v>
      </c>
      <c r="E1413" s="31">
        <v>0</v>
      </c>
      <c r="F1413" s="31">
        <v>6518258000</v>
      </c>
    </row>
    <row r="1414" spans="1:6" ht="15" thickBot="1" x14ac:dyDescent="0.2">
      <c r="A1414" s="30" t="s">
        <v>10099</v>
      </c>
      <c r="B1414" s="26" t="str">
        <f t="shared" si="22"/>
        <v>300401</v>
      </c>
      <c r="C1414" s="30" t="s">
        <v>2985</v>
      </c>
      <c r="D1414" s="31">
        <v>12.23</v>
      </c>
      <c r="E1414" s="31">
        <v>-0.08</v>
      </c>
      <c r="F1414" s="31">
        <v>6517595700</v>
      </c>
    </row>
    <row r="1415" spans="1:6" ht="15" thickBot="1" x14ac:dyDescent="0.2">
      <c r="A1415" s="30" t="s">
        <v>10100</v>
      </c>
      <c r="B1415" s="26" t="str">
        <f t="shared" si="22"/>
        <v>600058</v>
      </c>
      <c r="C1415" s="30" t="s">
        <v>3054</v>
      </c>
      <c r="D1415" s="31">
        <v>6.08</v>
      </c>
      <c r="E1415" s="31">
        <v>-1.62</v>
      </c>
      <c r="F1415" s="31">
        <v>6517217100</v>
      </c>
    </row>
    <row r="1416" spans="1:6" ht="15" thickBot="1" x14ac:dyDescent="0.2">
      <c r="A1416" s="30" t="s">
        <v>10101</v>
      </c>
      <c r="B1416" s="26" t="str">
        <f t="shared" si="22"/>
        <v>603099</v>
      </c>
      <c r="C1416" s="30" t="s">
        <v>3204</v>
      </c>
      <c r="D1416" s="31">
        <v>24.42</v>
      </c>
      <c r="E1416" s="31">
        <v>2.82</v>
      </c>
      <c r="F1416" s="31">
        <v>6512081400</v>
      </c>
    </row>
    <row r="1417" spans="1:6" ht="15" thickBot="1" x14ac:dyDescent="0.2">
      <c r="A1417" s="30" t="s">
        <v>10102</v>
      </c>
      <c r="B1417" s="26" t="str">
        <f t="shared" si="22"/>
        <v>600927</v>
      </c>
      <c r="C1417" s="30" t="s">
        <v>10103</v>
      </c>
      <c r="D1417" s="31">
        <v>12.34</v>
      </c>
      <c r="E1417" s="31">
        <v>1.73</v>
      </c>
      <c r="F1417" s="31">
        <v>6509572200</v>
      </c>
    </row>
    <row r="1418" spans="1:6" ht="15" thickBot="1" x14ac:dyDescent="0.2">
      <c r="A1418" s="30" t="s">
        <v>10104</v>
      </c>
      <c r="B1418" s="26" t="str">
        <f t="shared" si="22"/>
        <v>603588</v>
      </c>
      <c r="C1418" s="30" t="s">
        <v>2880</v>
      </c>
      <c r="D1418" s="31">
        <v>4.2699999999999996</v>
      </c>
      <c r="E1418" s="31">
        <v>-1.39</v>
      </c>
      <c r="F1418" s="31">
        <v>6504211100</v>
      </c>
    </row>
    <row r="1419" spans="1:6" ht="15" thickBot="1" x14ac:dyDescent="0.2">
      <c r="A1419" s="30" t="s">
        <v>10105</v>
      </c>
      <c r="B1419" s="26" t="str">
        <f t="shared" si="22"/>
        <v>300185</v>
      </c>
      <c r="C1419" s="30" t="s">
        <v>2847</v>
      </c>
      <c r="D1419" s="31">
        <v>1.77</v>
      </c>
      <c r="E1419" s="31">
        <v>-1.67</v>
      </c>
      <c r="F1419" s="31">
        <v>6500831700</v>
      </c>
    </row>
    <row r="1420" spans="1:6" ht="15" thickBot="1" x14ac:dyDescent="0.2">
      <c r="A1420" s="30" t="s">
        <v>10106</v>
      </c>
      <c r="B1420" s="26" t="str">
        <f t="shared" si="22"/>
        <v>601606</v>
      </c>
      <c r="C1420" s="30" t="s">
        <v>3038</v>
      </c>
      <c r="D1420" s="31">
        <v>8.9700000000000006</v>
      </c>
      <c r="E1420" s="31">
        <v>-0.88</v>
      </c>
      <c r="F1420" s="31">
        <v>6496328700</v>
      </c>
    </row>
    <row r="1421" spans="1:6" ht="15" thickBot="1" x14ac:dyDescent="0.2">
      <c r="A1421" s="30" t="s">
        <v>10107</v>
      </c>
      <c r="B1421" s="26" t="str">
        <f t="shared" si="22"/>
        <v>600197</v>
      </c>
      <c r="C1421" s="30" t="s">
        <v>2924</v>
      </c>
      <c r="D1421" s="31">
        <v>13.76</v>
      </c>
      <c r="E1421" s="31">
        <v>-1.29</v>
      </c>
      <c r="F1421" s="31">
        <v>6494813400</v>
      </c>
    </row>
    <row r="1422" spans="1:6" ht="15" thickBot="1" x14ac:dyDescent="0.2">
      <c r="A1422" s="30" t="s">
        <v>10108</v>
      </c>
      <c r="B1422" s="26" t="str">
        <f t="shared" si="22"/>
        <v>603508</v>
      </c>
      <c r="C1422" s="30" t="s">
        <v>2987</v>
      </c>
      <c r="D1422" s="31">
        <v>17.02</v>
      </c>
      <c r="E1422" s="31">
        <v>0</v>
      </c>
      <c r="F1422" s="31">
        <v>6489289900</v>
      </c>
    </row>
    <row r="1423" spans="1:6" ht="15" thickBot="1" x14ac:dyDescent="0.2">
      <c r="A1423" s="30" t="s">
        <v>10109</v>
      </c>
      <c r="B1423" s="26" t="str">
        <f t="shared" si="22"/>
        <v>002605</v>
      </c>
      <c r="C1423" s="30" t="s">
        <v>2385</v>
      </c>
      <c r="D1423" s="31">
        <v>19.510000000000002</v>
      </c>
      <c r="E1423" s="31">
        <v>-2.89</v>
      </c>
      <c r="F1423" s="31">
        <v>6487305500</v>
      </c>
    </row>
    <row r="1424" spans="1:6" ht="15" thickBot="1" x14ac:dyDescent="0.2">
      <c r="A1424" s="30" t="s">
        <v>10110</v>
      </c>
      <c r="B1424" s="26" t="str">
        <f t="shared" si="22"/>
        <v>002174</v>
      </c>
      <c r="C1424" s="30" t="s">
        <v>2947</v>
      </c>
      <c r="D1424" s="31">
        <v>7.09</v>
      </c>
      <c r="E1424" s="31">
        <v>-1.66</v>
      </c>
      <c r="F1424" s="31">
        <v>6483764200</v>
      </c>
    </row>
    <row r="1425" spans="1:6" ht="15" thickBot="1" x14ac:dyDescent="0.2">
      <c r="A1425" s="30" t="s">
        <v>10111</v>
      </c>
      <c r="B1425" s="26" t="str">
        <f t="shared" si="22"/>
        <v>002545</v>
      </c>
      <c r="C1425" s="30" t="s">
        <v>2773</v>
      </c>
      <c r="D1425" s="31">
        <v>5.73</v>
      </c>
      <c r="E1425" s="31">
        <v>0</v>
      </c>
      <c r="F1425" s="31">
        <v>6475838000</v>
      </c>
    </row>
    <row r="1426" spans="1:6" ht="15" thickBot="1" x14ac:dyDescent="0.2">
      <c r="A1426" s="30" t="s">
        <v>10112</v>
      </c>
      <c r="B1426" s="26" t="str">
        <f t="shared" si="22"/>
        <v>600252</v>
      </c>
      <c r="C1426" s="30" t="s">
        <v>3030</v>
      </c>
      <c r="D1426" s="31">
        <v>1.89</v>
      </c>
      <c r="E1426" s="31">
        <v>-0.53</v>
      </c>
      <c r="F1426" s="31">
        <v>6473644500</v>
      </c>
    </row>
    <row r="1427" spans="1:6" ht="15" thickBot="1" x14ac:dyDescent="0.2">
      <c r="A1427" s="30" t="s">
        <v>10113</v>
      </c>
      <c r="B1427" s="26" t="str">
        <f t="shared" si="22"/>
        <v>300527</v>
      </c>
      <c r="C1427" s="30" t="s">
        <v>3049</v>
      </c>
      <c r="D1427" s="31">
        <v>6.72</v>
      </c>
      <c r="E1427" s="31">
        <v>-1.9</v>
      </c>
      <c r="F1427" s="31">
        <v>6472985900</v>
      </c>
    </row>
    <row r="1428" spans="1:6" ht="15" thickBot="1" x14ac:dyDescent="0.2">
      <c r="A1428" s="30" t="s">
        <v>10114</v>
      </c>
      <c r="B1428" s="26" t="str">
        <f t="shared" si="22"/>
        <v>002567</v>
      </c>
      <c r="C1428" s="30" t="s">
        <v>2907</v>
      </c>
      <c r="D1428" s="31">
        <v>4.5199999999999996</v>
      </c>
      <c r="E1428" s="31">
        <v>-2.38</v>
      </c>
      <c r="F1428" s="31">
        <v>6470445000</v>
      </c>
    </row>
    <row r="1429" spans="1:6" ht="15" thickBot="1" x14ac:dyDescent="0.2">
      <c r="A1429" s="30" t="s">
        <v>10115</v>
      </c>
      <c r="B1429" s="26" t="str">
        <f t="shared" si="22"/>
        <v>002254</v>
      </c>
      <c r="C1429" s="30" t="s">
        <v>2894</v>
      </c>
      <c r="D1429" s="31">
        <v>7.95</v>
      </c>
      <c r="E1429" s="31">
        <v>-0.13</v>
      </c>
      <c r="F1429" s="31">
        <v>6455281700</v>
      </c>
    </row>
    <row r="1430" spans="1:6" ht="15" thickBot="1" x14ac:dyDescent="0.2">
      <c r="A1430" s="30" t="s">
        <v>10116</v>
      </c>
      <c r="B1430" s="26" t="str">
        <f t="shared" si="22"/>
        <v>600055</v>
      </c>
      <c r="C1430" s="30" t="s">
        <v>2403</v>
      </c>
      <c r="D1430" s="31">
        <v>11.91</v>
      </c>
      <c r="E1430" s="31">
        <v>-0.92</v>
      </c>
      <c r="F1430" s="31">
        <v>6441120900</v>
      </c>
    </row>
    <row r="1431" spans="1:6" ht="15" thickBot="1" x14ac:dyDescent="0.2">
      <c r="A1431" s="30" t="s">
        <v>10117</v>
      </c>
      <c r="B1431" s="26" t="str">
        <f t="shared" si="22"/>
        <v>001301</v>
      </c>
      <c r="C1431" s="30" t="s">
        <v>10118</v>
      </c>
      <c r="D1431" s="31">
        <v>40.39</v>
      </c>
      <c r="E1431" s="31">
        <v>0.75</v>
      </c>
      <c r="F1431" s="31">
        <v>6438715300</v>
      </c>
    </row>
    <row r="1432" spans="1:6" ht="15" thickBot="1" x14ac:dyDescent="0.2">
      <c r="A1432" s="30" t="s">
        <v>10119</v>
      </c>
      <c r="B1432" s="26" t="str">
        <f t="shared" si="22"/>
        <v>600643</v>
      </c>
      <c r="C1432" s="30" t="s">
        <v>3168</v>
      </c>
      <c r="D1432" s="31">
        <v>4.04</v>
      </c>
      <c r="E1432" s="31">
        <v>1.51</v>
      </c>
      <c r="F1432" s="31">
        <v>6425020900</v>
      </c>
    </row>
    <row r="1433" spans="1:6" ht="15" thickBot="1" x14ac:dyDescent="0.2">
      <c r="A1433" s="30" t="s">
        <v>10120</v>
      </c>
      <c r="B1433" s="26" t="str">
        <f t="shared" si="22"/>
        <v>601890</v>
      </c>
      <c r="C1433" s="30" t="s">
        <v>3008</v>
      </c>
      <c r="D1433" s="31">
        <v>6.69</v>
      </c>
      <c r="E1433" s="31">
        <v>-1.47</v>
      </c>
      <c r="F1433" s="31">
        <v>6418386000</v>
      </c>
    </row>
    <row r="1434" spans="1:6" ht="15" thickBot="1" x14ac:dyDescent="0.2">
      <c r="A1434" s="30" t="s">
        <v>10121</v>
      </c>
      <c r="B1434" s="26" t="str">
        <f t="shared" si="22"/>
        <v>002073</v>
      </c>
      <c r="C1434" s="30" t="s">
        <v>2939</v>
      </c>
      <c r="D1434" s="31">
        <v>6.68</v>
      </c>
      <c r="E1434" s="31">
        <v>0</v>
      </c>
      <c r="F1434" s="31">
        <v>6417813200</v>
      </c>
    </row>
    <row r="1435" spans="1:6" ht="15" thickBot="1" x14ac:dyDescent="0.2">
      <c r="A1435" s="30" t="s">
        <v>10122</v>
      </c>
      <c r="B1435" s="26" t="str">
        <f t="shared" si="22"/>
        <v>600138</v>
      </c>
      <c r="C1435" s="30" t="s">
        <v>3024</v>
      </c>
      <c r="D1435" s="31">
        <v>8.86</v>
      </c>
      <c r="E1435" s="31">
        <v>-1.01</v>
      </c>
      <c r="F1435" s="31">
        <v>6413222400</v>
      </c>
    </row>
    <row r="1436" spans="1:6" ht="15" thickBot="1" x14ac:dyDescent="0.2">
      <c r="A1436" s="30" t="s">
        <v>10123</v>
      </c>
      <c r="B1436" s="26" t="str">
        <f t="shared" si="22"/>
        <v>002276</v>
      </c>
      <c r="C1436" s="30" t="s">
        <v>2995</v>
      </c>
      <c r="D1436" s="31">
        <v>6.38</v>
      </c>
      <c r="E1436" s="31">
        <v>-0.78</v>
      </c>
      <c r="F1436" s="31">
        <v>6412431700</v>
      </c>
    </row>
    <row r="1437" spans="1:6" ht="15" thickBot="1" x14ac:dyDescent="0.2">
      <c r="A1437" s="30" t="s">
        <v>10124</v>
      </c>
      <c r="B1437" s="26" t="str">
        <f t="shared" si="22"/>
        <v>002338</v>
      </c>
      <c r="C1437" s="30" t="s">
        <v>3191</v>
      </c>
      <c r="D1437" s="31">
        <v>26.71</v>
      </c>
      <c r="E1437" s="31">
        <v>10.01</v>
      </c>
      <c r="F1437" s="31">
        <v>6410239700</v>
      </c>
    </row>
    <row r="1438" spans="1:6" ht="15" thickBot="1" x14ac:dyDescent="0.2">
      <c r="A1438" s="30" t="s">
        <v>10125</v>
      </c>
      <c r="B1438" s="26" t="str">
        <f t="shared" si="22"/>
        <v>002859</v>
      </c>
      <c r="C1438" s="30" t="s">
        <v>2829</v>
      </c>
      <c r="D1438" s="31">
        <v>15.8</v>
      </c>
      <c r="E1438" s="31">
        <v>-0.75</v>
      </c>
      <c r="F1438" s="31">
        <v>6408245200</v>
      </c>
    </row>
    <row r="1439" spans="1:6" ht="15" thickBot="1" x14ac:dyDescent="0.2">
      <c r="A1439" s="30" t="s">
        <v>10126</v>
      </c>
      <c r="B1439" s="26" t="str">
        <f t="shared" si="22"/>
        <v>600963</v>
      </c>
      <c r="C1439" s="30" t="s">
        <v>3064</v>
      </c>
      <c r="D1439" s="31">
        <v>3.64</v>
      </c>
      <c r="E1439" s="31">
        <v>-3.19</v>
      </c>
      <c r="F1439" s="31">
        <v>6397547000</v>
      </c>
    </row>
    <row r="1440" spans="1:6" ht="15" thickBot="1" x14ac:dyDescent="0.2">
      <c r="A1440" s="30" t="s">
        <v>10127</v>
      </c>
      <c r="B1440" s="26" t="str">
        <f t="shared" si="22"/>
        <v>000402</v>
      </c>
      <c r="C1440" s="30" t="s">
        <v>3156</v>
      </c>
      <c r="D1440" s="31">
        <v>2.14</v>
      </c>
      <c r="E1440" s="31">
        <v>1.91</v>
      </c>
      <c r="F1440" s="31">
        <v>6394812000</v>
      </c>
    </row>
    <row r="1441" spans="1:6" ht="15" thickBot="1" x14ac:dyDescent="0.2">
      <c r="A1441" s="30" t="s">
        <v>10128</v>
      </c>
      <c r="B1441" s="26" t="str">
        <f t="shared" si="22"/>
        <v>605183</v>
      </c>
      <c r="C1441" s="30" t="s">
        <v>3003</v>
      </c>
      <c r="D1441" s="31">
        <v>15.37</v>
      </c>
      <c r="E1441" s="31">
        <v>-0.52</v>
      </c>
      <c r="F1441" s="31">
        <v>6392123900</v>
      </c>
    </row>
    <row r="1442" spans="1:6" ht="15" thickBot="1" x14ac:dyDescent="0.2">
      <c r="A1442" s="30" t="s">
        <v>10129</v>
      </c>
      <c r="B1442" s="26" t="str">
        <f t="shared" si="22"/>
        <v>600810</v>
      </c>
      <c r="C1442" s="30" t="s">
        <v>3103</v>
      </c>
      <c r="D1442" s="31">
        <v>6.11</v>
      </c>
      <c r="E1442" s="31">
        <v>-0.97</v>
      </c>
      <c r="F1442" s="31">
        <v>6379942100</v>
      </c>
    </row>
    <row r="1443" spans="1:6" ht="15" thickBot="1" x14ac:dyDescent="0.2">
      <c r="A1443" s="30" t="s">
        <v>10130</v>
      </c>
      <c r="B1443" s="26" t="str">
        <f t="shared" si="22"/>
        <v>000603</v>
      </c>
      <c r="C1443" s="30" t="s">
        <v>2878</v>
      </c>
      <c r="D1443" s="31">
        <v>10.08</v>
      </c>
      <c r="E1443" s="31">
        <v>0</v>
      </c>
      <c r="F1443" s="31">
        <v>6375497800</v>
      </c>
    </row>
    <row r="1444" spans="1:6" ht="15" thickBot="1" x14ac:dyDescent="0.2">
      <c r="A1444" s="30" t="s">
        <v>10131</v>
      </c>
      <c r="B1444" s="26" t="str">
        <f t="shared" si="22"/>
        <v>301050</v>
      </c>
      <c r="C1444" s="30" t="s">
        <v>2652</v>
      </c>
      <c r="D1444" s="31">
        <v>42.64</v>
      </c>
      <c r="E1444" s="31">
        <v>-0.63</v>
      </c>
      <c r="F1444" s="31">
        <v>6369747200</v>
      </c>
    </row>
    <row r="1445" spans="1:6" ht="15" thickBot="1" x14ac:dyDescent="0.2">
      <c r="A1445" s="30" t="s">
        <v>10132</v>
      </c>
      <c r="B1445" s="26" t="str">
        <f t="shared" si="22"/>
        <v>002992</v>
      </c>
      <c r="C1445" s="30" t="s">
        <v>2562</v>
      </c>
      <c r="D1445" s="31">
        <v>40.479999999999997</v>
      </c>
      <c r="E1445" s="31">
        <v>-3.39</v>
      </c>
      <c r="F1445" s="31">
        <v>6363614300</v>
      </c>
    </row>
    <row r="1446" spans="1:6" ht="15" thickBot="1" x14ac:dyDescent="0.2">
      <c r="A1446" s="30" t="s">
        <v>10133</v>
      </c>
      <c r="B1446" s="26" t="str">
        <f t="shared" si="22"/>
        <v>601678</v>
      </c>
      <c r="C1446" s="30" t="s">
        <v>2967</v>
      </c>
      <c r="D1446" s="31">
        <v>3.09</v>
      </c>
      <c r="E1446" s="31">
        <v>-0.64</v>
      </c>
      <c r="F1446" s="31">
        <v>6359332100</v>
      </c>
    </row>
    <row r="1447" spans="1:6" ht="15" thickBot="1" x14ac:dyDescent="0.2">
      <c r="A1447" s="30" t="s">
        <v>10134</v>
      </c>
      <c r="B1447" s="26" t="str">
        <f t="shared" si="22"/>
        <v>601003</v>
      </c>
      <c r="C1447" s="30" t="s">
        <v>3092</v>
      </c>
      <c r="D1447" s="31">
        <v>2.48</v>
      </c>
      <c r="E1447" s="31">
        <v>0.41</v>
      </c>
      <c r="F1447" s="31">
        <v>6355727100</v>
      </c>
    </row>
    <row r="1448" spans="1:6" ht="15" thickBot="1" x14ac:dyDescent="0.2">
      <c r="A1448" s="30" t="s">
        <v>10135</v>
      </c>
      <c r="B1448" s="26" t="str">
        <f t="shared" si="22"/>
        <v>600201</v>
      </c>
      <c r="C1448" s="30" t="s">
        <v>3046</v>
      </c>
      <c r="D1448" s="31">
        <v>5.67</v>
      </c>
      <c r="E1448" s="31">
        <v>-1.56</v>
      </c>
      <c r="F1448" s="31">
        <v>6352493500</v>
      </c>
    </row>
    <row r="1449" spans="1:6" ht="15" thickBot="1" x14ac:dyDescent="0.2">
      <c r="A1449" s="30" t="s">
        <v>10136</v>
      </c>
      <c r="B1449" s="26" t="str">
        <f t="shared" si="22"/>
        <v>688702</v>
      </c>
      <c r="C1449" s="30" t="s">
        <v>10137</v>
      </c>
      <c r="D1449" s="31">
        <v>31.51</v>
      </c>
      <c r="E1449" s="31">
        <v>-1.22</v>
      </c>
      <c r="F1449" s="31">
        <v>6349006100</v>
      </c>
    </row>
    <row r="1450" spans="1:6" ht="15" thickBot="1" x14ac:dyDescent="0.2">
      <c r="A1450" s="30" t="s">
        <v>10138</v>
      </c>
      <c r="B1450" s="26" t="str">
        <f t="shared" si="22"/>
        <v>688639</v>
      </c>
      <c r="C1450" s="30" t="s">
        <v>2953</v>
      </c>
      <c r="D1450" s="31">
        <v>27.8</v>
      </c>
      <c r="E1450" s="31">
        <v>1.2</v>
      </c>
      <c r="F1450" s="31">
        <v>6348107400</v>
      </c>
    </row>
    <row r="1451" spans="1:6" ht="15" thickBot="1" x14ac:dyDescent="0.2">
      <c r="A1451" s="30" t="s">
        <v>10139</v>
      </c>
      <c r="B1451" s="26" t="str">
        <f t="shared" si="22"/>
        <v>600117</v>
      </c>
      <c r="C1451" s="30" t="s">
        <v>3060</v>
      </c>
      <c r="D1451" s="31">
        <v>1.95</v>
      </c>
      <c r="E1451" s="31">
        <v>-2.5</v>
      </c>
      <c r="F1451" s="31">
        <v>6347474000</v>
      </c>
    </row>
    <row r="1452" spans="1:6" ht="15" thickBot="1" x14ac:dyDescent="0.2">
      <c r="A1452" s="30" t="s">
        <v>10140</v>
      </c>
      <c r="B1452" s="26" t="str">
        <f t="shared" si="22"/>
        <v>300199</v>
      </c>
      <c r="C1452" s="30" t="s">
        <v>2550</v>
      </c>
      <c r="D1452" s="31">
        <v>8.98</v>
      </c>
      <c r="E1452" s="31">
        <v>-0.55000000000000004</v>
      </c>
      <c r="F1452" s="31">
        <v>6342422500</v>
      </c>
    </row>
    <row r="1453" spans="1:6" ht="15" thickBot="1" x14ac:dyDescent="0.2">
      <c r="A1453" s="30" t="s">
        <v>10141</v>
      </c>
      <c r="B1453" s="26" t="str">
        <f t="shared" si="22"/>
        <v>002048</v>
      </c>
      <c r="C1453" s="30" t="s">
        <v>2182</v>
      </c>
      <c r="D1453" s="31">
        <v>12.13</v>
      </c>
      <c r="E1453" s="31">
        <v>1.08</v>
      </c>
      <c r="F1453" s="31">
        <v>6334411100</v>
      </c>
    </row>
    <row r="1454" spans="1:6" ht="15" thickBot="1" x14ac:dyDescent="0.2">
      <c r="A1454" s="30" t="s">
        <v>10142</v>
      </c>
      <c r="B1454" s="26" t="str">
        <f t="shared" si="22"/>
        <v>002101</v>
      </c>
      <c r="C1454" s="30" t="s">
        <v>2855</v>
      </c>
      <c r="D1454" s="31">
        <v>10.15</v>
      </c>
      <c r="E1454" s="31">
        <v>-0.2</v>
      </c>
      <c r="F1454" s="31">
        <v>6323032500</v>
      </c>
    </row>
    <row r="1455" spans="1:6" ht="15" thickBot="1" x14ac:dyDescent="0.2">
      <c r="A1455" s="30" t="s">
        <v>10143</v>
      </c>
      <c r="B1455" s="26" t="str">
        <f t="shared" si="22"/>
        <v>300598</v>
      </c>
      <c r="C1455" s="30" t="s">
        <v>2959</v>
      </c>
      <c r="D1455" s="31">
        <v>29.11</v>
      </c>
      <c r="E1455" s="31">
        <v>-0.55000000000000004</v>
      </c>
      <c r="F1455" s="31">
        <v>6314569600</v>
      </c>
    </row>
    <row r="1456" spans="1:6" ht="15" thickBot="1" x14ac:dyDescent="0.2">
      <c r="A1456" s="30" t="s">
        <v>10144</v>
      </c>
      <c r="B1456" s="26" t="str">
        <f t="shared" si="22"/>
        <v>601208</v>
      </c>
      <c r="C1456" s="30" t="s">
        <v>3128</v>
      </c>
      <c r="D1456" s="31">
        <v>7.03</v>
      </c>
      <c r="E1456" s="31">
        <v>1.44</v>
      </c>
      <c r="F1456" s="31">
        <v>6304385600</v>
      </c>
    </row>
    <row r="1457" spans="1:6" ht="15" thickBot="1" x14ac:dyDescent="0.2">
      <c r="A1457" s="30" t="s">
        <v>10145</v>
      </c>
      <c r="B1457" s="26" t="str">
        <f t="shared" si="22"/>
        <v>688321</v>
      </c>
      <c r="C1457" s="30" t="s">
        <v>2997</v>
      </c>
      <c r="D1457" s="31">
        <v>15.45</v>
      </c>
      <c r="E1457" s="31">
        <v>-2.34</v>
      </c>
      <c r="F1457" s="31">
        <v>6300445800</v>
      </c>
    </row>
    <row r="1458" spans="1:6" ht="15" thickBot="1" x14ac:dyDescent="0.2">
      <c r="A1458" s="30" t="s">
        <v>10146</v>
      </c>
      <c r="B1458" s="26" t="str">
        <f t="shared" si="22"/>
        <v>300130</v>
      </c>
      <c r="C1458" s="30" t="s">
        <v>2389</v>
      </c>
      <c r="D1458" s="31">
        <v>14.74</v>
      </c>
      <c r="E1458" s="31">
        <v>-1.54</v>
      </c>
      <c r="F1458" s="31">
        <v>6297639000</v>
      </c>
    </row>
    <row r="1459" spans="1:6" ht="15" thickBot="1" x14ac:dyDescent="0.2">
      <c r="A1459" s="30" t="s">
        <v>10147</v>
      </c>
      <c r="B1459" s="26" t="str">
        <f t="shared" si="22"/>
        <v>600158</v>
      </c>
      <c r="C1459" s="30" t="s">
        <v>3109</v>
      </c>
      <c r="D1459" s="31">
        <v>6.56</v>
      </c>
      <c r="E1459" s="31">
        <v>-0.3</v>
      </c>
      <c r="F1459" s="31">
        <v>6294405700</v>
      </c>
    </row>
    <row r="1460" spans="1:6" ht="15" thickBot="1" x14ac:dyDescent="0.2">
      <c r="A1460" s="30" t="s">
        <v>10148</v>
      </c>
      <c r="B1460" s="26" t="str">
        <f t="shared" si="22"/>
        <v>000767</v>
      </c>
      <c r="C1460" s="30" t="s">
        <v>2993</v>
      </c>
      <c r="D1460" s="31">
        <v>2.16</v>
      </c>
      <c r="E1460" s="31">
        <v>-0.92</v>
      </c>
      <c r="F1460" s="31">
        <v>6290452300</v>
      </c>
    </row>
    <row r="1461" spans="1:6" ht="15" thickBot="1" x14ac:dyDescent="0.2">
      <c r="A1461" s="30" t="s">
        <v>10149</v>
      </c>
      <c r="B1461" s="26" t="str">
        <f t="shared" si="22"/>
        <v>688128</v>
      </c>
      <c r="C1461" s="30" t="s">
        <v>3114</v>
      </c>
      <c r="D1461" s="31">
        <v>15.51</v>
      </c>
      <c r="E1461" s="31">
        <v>0.65</v>
      </c>
      <c r="F1461" s="31">
        <v>6273795000</v>
      </c>
    </row>
    <row r="1462" spans="1:6" ht="15" thickBot="1" x14ac:dyDescent="0.2">
      <c r="A1462" s="30" t="s">
        <v>10150</v>
      </c>
      <c r="B1462" s="26" t="str">
        <f t="shared" si="22"/>
        <v>600976</v>
      </c>
      <c r="C1462" s="30" t="s">
        <v>3082</v>
      </c>
      <c r="D1462" s="31">
        <v>40.96</v>
      </c>
      <c r="E1462" s="31">
        <v>0.89</v>
      </c>
      <c r="F1462" s="31">
        <v>6271541200</v>
      </c>
    </row>
    <row r="1463" spans="1:6" ht="15" thickBot="1" x14ac:dyDescent="0.2">
      <c r="A1463" s="30" t="s">
        <v>10151</v>
      </c>
      <c r="B1463" s="26" t="str">
        <f t="shared" si="22"/>
        <v>300655</v>
      </c>
      <c r="C1463" s="30" t="s">
        <v>2920</v>
      </c>
      <c r="D1463" s="31">
        <v>6.6</v>
      </c>
      <c r="E1463" s="31">
        <v>6.8</v>
      </c>
      <c r="F1463" s="31">
        <v>6269926400</v>
      </c>
    </row>
    <row r="1464" spans="1:6" ht="15" thickBot="1" x14ac:dyDescent="0.2">
      <c r="A1464" s="30" t="s">
        <v>10152</v>
      </c>
      <c r="B1464" s="26" t="str">
        <f t="shared" si="22"/>
        <v>002274</v>
      </c>
      <c r="C1464" s="30" t="s">
        <v>3078</v>
      </c>
      <c r="D1464" s="31">
        <v>6.67</v>
      </c>
      <c r="E1464" s="31">
        <v>0</v>
      </c>
      <c r="F1464" s="31">
        <v>6255453700</v>
      </c>
    </row>
    <row r="1465" spans="1:6" ht="15" thickBot="1" x14ac:dyDescent="0.2">
      <c r="A1465" s="30" t="s">
        <v>10153</v>
      </c>
      <c r="B1465" s="26" t="str">
        <f t="shared" si="22"/>
        <v>600075</v>
      </c>
      <c r="C1465" s="30" t="s">
        <v>3107</v>
      </c>
      <c r="D1465" s="31">
        <v>3.66</v>
      </c>
      <c r="E1465" s="31">
        <v>-1.08</v>
      </c>
      <c r="F1465" s="31">
        <v>6248944100</v>
      </c>
    </row>
    <row r="1466" spans="1:6" ht="15" thickBot="1" x14ac:dyDescent="0.2">
      <c r="A1466" s="30" t="s">
        <v>10154</v>
      </c>
      <c r="B1466" s="26" t="str">
        <f t="shared" si="22"/>
        <v>000736</v>
      </c>
      <c r="C1466" s="30" t="s">
        <v>3513</v>
      </c>
      <c r="D1466" s="31">
        <v>8.98</v>
      </c>
      <c r="E1466" s="31">
        <v>10.050000000000001</v>
      </c>
      <c r="F1466" s="31">
        <v>6244994500</v>
      </c>
    </row>
    <row r="1467" spans="1:6" ht="15" thickBot="1" x14ac:dyDescent="0.2">
      <c r="A1467" s="30" t="s">
        <v>10155</v>
      </c>
      <c r="B1467" s="26" t="str">
        <f t="shared" si="22"/>
        <v>002110</v>
      </c>
      <c r="C1467" s="30" t="s">
        <v>3164</v>
      </c>
      <c r="D1467" s="31">
        <v>2.57</v>
      </c>
      <c r="E1467" s="31">
        <v>-0.39</v>
      </c>
      <c r="F1467" s="31">
        <v>6242725900</v>
      </c>
    </row>
    <row r="1468" spans="1:6" ht="15" thickBot="1" x14ac:dyDescent="0.2">
      <c r="A1468" s="30" t="s">
        <v>10156</v>
      </c>
      <c r="B1468" s="26" t="str">
        <f t="shared" si="22"/>
        <v>603360</v>
      </c>
      <c r="C1468" s="30" t="s">
        <v>3080</v>
      </c>
      <c r="D1468" s="31">
        <v>12.38</v>
      </c>
      <c r="E1468" s="31">
        <v>-1.36</v>
      </c>
      <c r="F1468" s="31">
        <v>6239369100</v>
      </c>
    </row>
    <row r="1469" spans="1:6" ht="15" thickBot="1" x14ac:dyDescent="0.2">
      <c r="A1469" s="30" t="s">
        <v>10157</v>
      </c>
      <c r="B1469" s="26" t="str">
        <f t="shared" si="22"/>
        <v>002987</v>
      </c>
      <c r="C1469" s="30" t="s">
        <v>3018</v>
      </c>
      <c r="D1469" s="31">
        <v>10.39</v>
      </c>
      <c r="E1469" s="31">
        <v>0.1</v>
      </c>
      <c r="F1469" s="31">
        <v>6238937800</v>
      </c>
    </row>
    <row r="1470" spans="1:6" ht="15" thickBot="1" x14ac:dyDescent="0.2">
      <c r="A1470" s="30" t="s">
        <v>10158</v>
      </c>
      <c r="B1470" s="26" t="str">
        <f t="shared" si="22"/>
        <v>002039</v>
      </c>
      <c r="C1470" s="30" t="s">
        <v>3066</v>
      </c>
      <c r="D1470" s="31">
        <v>14.59</v>
      </c>
      <c r="E1470" s="31">
        <v>-1.42</v>
      </c>
      <c r="F1470" s="31">
        <v>6238073100</v>
      </c>
    </row>
    <row r="1471" spans="1:6" ht="15" thickBot="1" x14ac:dyDescent="0.2">
      <c r="A1471" s="30" t="s">
        <v>10159</v>
      </c>
      <c r="B1471" s="26" t="str">
        <f t="shared" si="22"/>
        <v>688766</v>
      </c>
      <c r="C1471" s="30" t="s">
        <v>10160</v>
      </c>
      <c r="D1471" s="31">
        <v>59.03</v>
      </c>
      <c r="E1471" s="31">
        <v>-2.04</v>
      </c>
      <c r="F1471" s="31">
        <v>6234142700</v>
      </c>
    </row>
    <row r="1472" spans="1:6" ht="15" thickBot="1" x14ac:dyDescent="0.2">
      <c r="A1472" s="30" t="s">
        <v>10161</v>
      </c>
      <c r="B1472" s="26" t="str">
        <f t="shared" si="22"/>
        <v>000595</v>
      </c>
      <c r="C1472" s="30" t="s">
        <v>3541</v>
      </c>
      <c r="D1472" s="31">
        <v>5.47</v>
      </c>
      <c r="E1472" s="31">
        <v>10.06</v>
      </c>
      <c r="F1472" s="31">
        <v>6225203500</v>
      </c>
    </row>
    <row r="1473" spans="1:6" ht="15" thickBot="1" x14ac:dyDescent="0.2">
      <c r="A1473" s="30" t="s">
        <v>10162</v>
      </c>
      <c r="B1473" s="26" t="str">
        <f t="shared" si="22"/>
        <v>603103</v>
      </c>
      <c r="C1473" s="30" t="s">
        <v>3068</v>
      </c>
      <c r="D1473" s="31">
        <v>9.81</v>
      </c>
      <c r="E1473" s="31">
        <v>-1.31</v>
      </c>
      <c r="F1473" s="31">
        <v>6221502000</v>
      </c>
    </row>
    <row r="1474" spans="1:6" ht="15" thickBot="1" x14ac:dyDescent="0.2">
      <c r="A1474" s="30" t="s">
        <v>10163</v>
      </c>
      <c r="B1474" s="26" t="str">
        <f t="shared" si="22"/>
        <v>600720</v>
      </c>
      <c r="C1474" s="30" t="s">
        <v>1336</v>
      </c>
      <c r="D1474" s="31">
        <v>8.01</v>
      </c>
      <c r="E1474" s="31">
        <v>0.38</v>
      </c>
      <c r="F1474" s="31">
        <v>6217063100</v>
      </c>
    </row>
    <row r="1475" spans="1:6" ht="15" thickBot="1" x14ac:dyDescent="0.2">
      <c r="A1475" s="30" t="s">
        <v>10164</v>
      </c>
      <c r="B1475" s="26" t="str">
        <f t="shared" ref="B1475:B1538" si="23">LEFT(A1475,6)</f>
        <v>002434</v>
      </c>
      <c r="C1475" s="30" t="s">
        <v>3112</v>
      </c>
      <c r="D1475" s="31">
        <v>4.74</v>
      </c>
      <c r="E1475" s="31">
        <v>0.21</v>
      </c>
      <c r="F1475" s="31">
        <v>6215756600</v>
      </c>
    </row>
    <row r="1476" spans="1:6" ht="15" thickBot="1" x14ac:dyDescent="0.2">
      <c r="A1476" s="30" t="s">
        <v>10165</v>
      </c>
      <c r="B1476" s="26" t="str">
        <f t="shared" si="23"/>
        <v>002149</v>
      </c>
      <c r="C1476" s="30" t="s">
        <v>3197</v>
      </c>
      <c r="D1476" s="31">
        <v>12.67</v>
      </c>
      <c r="E1476" s="31">
        <v>0.88</v>
      </c>
      <c r="F1476" s="31">
        <v>6184724600</v>
      </c>
    </row>
    <row r="1477" spans="1:6" ht="15" thickBot="1" x14ac:dyDescent="0.2">
      <c r="A1477" s="30" t="s">
        <v>10166</v>
      </c>
      <c r="B1477" s="26" t="str">
        <f t="shared" si="23"/>
        <v>000756</v>
      </c>
      <c r="C1477" s="30" t="s">
        <v>2594</v>
      </c>
      <c r="D1477" s="31">
        <v>13.75</v>
      </c>
      <c r="E1477" s="31">
        <v>-2.14</v>
      </c>
      <c r="F1477" s="31">
        <v>6170647500</v>
      </c>
    </row>
    <row r="1478" spans="1:6" ht="15" thickBot="1" x14ac:dyDescent="0.2">
      <c r="A1478" s="30" t="s">
        <v>10167</v>
      </c>
      <c r="B1478" s="26" t="str">
        <f t="shared" si="23"/>
        <v>600567</v>
      </c>
      <c r="C1478" s="30" t="s">
        <v>3137</v>
      </c>
      <c r="D1478" s="31">
        <v>1.38</v>
      </c>
      <c r="E1478" s="31">
        <v>-0.72</v>
      </c>
      <c r="F1478" s="31">
        <v>6169392700</v>
      </c>
    </row>
    <row r="1479" spans="1:6" ht="15" thickBot="1" x14ac:dyDescent="0.2">
      <c r="A1479" s="30" t="s">
        <v>10168</v>
      </c>
      <c r="B1479" s="26" t="str">
        <f t="shared" si="23"/>
        <v>002077</v>
      </c>
      <c r="C1479" s="30" t="s">
        <v>3098</v>
      </c>
      <c r="D1479" s="31">
        <v>10.63</v>
      </c>
      <c r="E1479" s="31">
        <v>-0.65</v>
      </c>
      <c r="F1479" s="31">
        <v>6169104700</v>
      </c>
    </row>
    <row r="1480" spans="1:6" ht="15" thickBot="1" x14ac:dyDescent="0.2">
      <c r="A1480" s="30" t="s">
        <v>10169</v>
      </c>
      <c r="B1480" s="26" t="str">
        <f t="shared" si="23"/>
        <v>002716</v>
      </c>
      <c r="C1480" s="30" t="s">
        <v>2636</v>
      </c>
      <c r="D1480" s="31">
        <v>2.79</v>
      </c>
      <c r="E1480" s="31">
        <v>-0.36</v>
      </c>
      <c r="F1480" s="31">
        <v>6167236700</v>
      </c>
    </row>
    <row r="1481" spans="1:6" ht="15" thickBot="1" x14ac:dyDescent="0.2">
      <c r="A1481" s="30" t="s">
        <v>10170</v>
      </c>
      <c r="B1481" s="26" t="str">
        <f t="shared" si="23"/>
        <v>600501</v>
      </c>
      <c r="C1481" s="30" t="s">
        <v>3042</v>
      </c>
      <c r="D1481" s="31">
        <v>14.52</v>
      </c>
      <c r="E1481" s="31">
        <v>0.97</v>
      </c>
      <c r="F1481" s="31">
        <v>6165169500</v>
      </c>
    </row>
    <row r="1482" spans="1:6" ht="15" thickBot="1" x14ac:dyDescent="0.2">
      <c r="A1482" s="30" t="s">
        <v>10171</v>
      </c>
      <c r="B1482" s="26" t="str">
        <f t="shared" si="23"/>
        <v>688082</v>
      </c>
      <c r="C1482" s="30" t="s">
        <v>599</v>
      </c>
      <c r="D1482" s="31">
        <v>81.2</v>
      </c>
      <c r="E1482" s="31">
        <v>-0.77</v>
      </c>
      <c r="F1482" s="31">
        <v>6160221100</v>
      </c>
    </row>
    <row r="1483" spans="1:6" ht="15" thickBot="1" x14ac:dyDescent="0.2">
      <c r="A1483" s="30" t="s">
        <v>10172</v>
      </c>
      <c r="B1483" s="26" t="str">
        <f t="shared" si="23"/>
        <v>603050</v>
      </c>
      <c r="C1483" s="30" t="s">
        <v>3090</v>
      </c>
      <c r="D1483" s="31">
        <v>22.6</v>
      </c>
      <c r="E1483" s="31">
        <v>1.89</v>
      </c>
      <c r="F1483" s="31">
        <v>6158793100</v>
      </c>
    </row>
    <row r="1484" spans="1:6" ht="15" thickBot="1" x14ac:dyDescent="0.2">
      <c r="A1484" s="30" t="s">
        <v>10173</v>
      </c>
      <c r="B1484" s="26" t="str">
        <f t="shared" si="23"/>
        <v>000612</v>
      </c>
      <c r="C1484" s="30" t="s">
        <v>3240</v>
      </c>
      <c r="D1484" s="31">
        <v>5.16</v>
      </c>
      <c r="E1484" s="31">
        <v>-1.53</v>
      </c>
      <c r="F1484" s="31">
        <v>6147727900</v>
      </c>
    </row>
    <row r="1485" spans="1:6" ht="15" thickBot="1" x14ac:dyDescent="0.2">
      <c r="A1485" s="30" t="s">
        <v>10174</v>
      </c>
      <c r="B1485" s="26" t="str">
        <f t="shared" si="23"/>
        <v>600929</v>
      </c>
      <c r="C1485" s="30" t="s">
        <v>2468</v>
      </c>
      <c r="D1485" s="31">
        <v>4.9400000000000004</v>
      </c>
      <c r="E1485" s="31">
        <v>-2.37</v>
      </c>
      <c r="F1485" s="31">
        <v>6131986900</v>
      </c>
    </row>
    <row r="1486" spans="1:6" ht="15" thickBot="1" x14ac:dyDescent="0.2">
      <c r="A1486" s="30" t="s">
        <v>10175</v>
      </c>
      <c r="B1486" s="26" t="str">
        <f t="shared" si="23"/>
        <v>000090</v>
      </c>
      <c r="C1486" s="30" t="s">
        <v>3230</v>
      </c>
      <c r="D1486" s="31">
        <v>3.28</v>
      </c>
      <c r="E1486" s="31">
        <v>0.61</v>
      </c>
      <c r="F1486" s="31">
        <v>6128548600</v>
      </c>
    </row>
    <row r="1487" spans="1:6" ht="15" thickBot="1" x14ac:dyDescent="0.2">
      <c r="A1487" s="30" t="s">
        <v>10176</v>
      </c>
      <c r="B1487" s="26" t="str">
        <f t="shared" si="23"/>
        <v>300134</v>
      </c>
      <c r="C1487" s="30" t="s">
        <v>2310</v>
      </c>
      <c r="D1487" s="31">
        <v>8.6</v>
      </c>
      <c r="E1487" s="31">
        <v>-15.02</v>
      </c>
      <c r="F1487" s="31">
        <v>6126794900</v>
      </c>
    </row>
    <row r="1488" spans="1:6" ht="15" thickBot="1" x14ac:dyDescent="0.2">
      <c r="A1488" s="30" t="s">
        <v>10177</v>
      </c>
      <c r="B1488" s="26" t="str">
        <f t="shared" si="23"/>
        <v>603496</v>
      </c>
      <c r="C1488" s="30" t="s">
        <v>3074</v>
      </c>
      <c r="D1488" s="31">
        <v>19.11</v>
      </c>
      <c r="E1488" s="31">
        <v>-1.04</v>
      </c>
      <c r="F1488" s="31">
        <v>6119198600</v>
      </c>
    </row>
    <row r="1489" spans="1:6" ht="15" thickBot="1" x14ac:dyDescent="0.2">
      <c r="A1489" s="30" t="s">
        <v>10178</v>
      </c>
      <c r="B1489" s="26" t="str">
        <f t="shared" si="23"/>
        <v>688005</v>
      </c>
      <c r="C1489" s="30" t="s">
        <v>2143</v>
      </c>
      <c r="D1489" s="31">
        <v>19.38</v>
      </c>
      <c r="E1489" s="31">
        <v>-2.56</v>
      </c>
      <c r="F1489" s="31">
        <v>6113475900</v>
      </c>
    </row>
    <row r="1490" spans="1:6" ht="15" thickBot="1" x14ac:dyDescent="0.2">
      <c r="A1490" s="30" t="s">
        <v>10179</v>
      </c>
      <c r="B1490" s="26" t="str">
        <f t="shared" si="23"/>
        <v>600789</v>
      </c>
      <c r="C1490" s="30" t="s">
        <v>3133</v>
      </c>
      <c r="D1490" s="31">
        <v>6.81</v>
      </c>
      <c r="E1490" s="31">
        <v>-0.87</v>
      </c>
      <c r="F1490" s="31">
        <v>6109677700</v>
      </c>
    </row>
    <row r="1491" spans="1:6" ht="15" thickBot="1" x14ac:dyDescent="0.2">
      <c r="A1491" s="30" t="s">
        <v>10180</v>
      </c>
      <c r="B1491" s="26" t="str">
        <f t="shared" si="23"/>
        <v>002539</v>
      </c>
      <c r="C1491" s="30" t="s">
        <v>2445</v>
      </c>
      <c r="D1491" s="31">
        <v>6.91</v>
      </c>
      <c r="E1491" s="31">
        <v>-0.28999999999999998</v>
      </c>
      <c r="F1491" s="31">
        <v>6102497800</v>
      </c>
    </row>
    <row r="1492" spans="1:6" ht="15" thickBot="1" x14ac:dyDescent="0.2">
      <c r="A1492" s="30" t="s">
        <v>10181</v>
      </c>
      <c r="B1492" s="26" t="str">
        <f t="shared" si="23"/>
        <v>600531</v>
      </c>
      <c r="C1492" s="30" t="s">
        <v>3280</v>
      </c>
      <c r="D1492" s="31">
        <v>5.59</v>
      </c>
      <c r="E1492" s="31">
        <v>1.82</v>
      </c>
      <c r="F1492" s="31">
        <v>6094456300</v>
      </c>
    </row>
    <row r="1493" spans="1:6" ht="15" thickBot="1" x14ac:dyDescent="0.2">
      <c r="A1493" s="30" t="s">
        <v>10182</v>
      </c>
      <c r="B1493" s="26" t="str">
        <f t="shared" si="23"/>
        <v>600556</v>
      </c>
      <c r="C1493" s="30" t="s">
        <v>3105</v>
      </c>
      <c r="D1493" s="31">
        <v>3.37</v>
      </c>
      <c r="E1493" s="31">
        <v>-1.46</v>
      </c>
      <c r="F1493" s="31">
        <v>6092109600</v>
      </c>
    </row>
    <row r="1494" spans="1:6" ht="15" thickBot="1" x14ac:dyDescent="0.2">
      <c r="A1494" s="30" t="s">
        <v>10183</v>
      </c>
      <c r="B1494" s="26" t="str">
        <f t="shared" si="23"/>
        <v>000560</v>
      </c>
      <c r="C1494" s="30" t="s">
        <v>3362</v>
      </c>
      <c r="D1494" s="31">
        <v>2.7</v>
      </c>
      <c r="E1494" s="31">
        <v>10.199999999999999</v>
      </c>
      <c r="F1494" s="31">
        <v>6089235500</v>
      </c>
    </row>
    <row r="1495" spans="1:6" ht="15" thickBot="1" x14ac:dyDescent="0.2">
      <c r="A1495" s="30" t="s">
        <v>10184</v>
      </c>
      <c r="B1495" s="26" t="str">
        <f t="shared" si="23"/>
        <v>300470</v>
      </c>
      <c r="C1495" s="30" t="s">
        <v>2973</v>
      </c>
      <c r="D1495" s="31">
        <v>31.47</v>
      </c>
      <c r="E1495" s="31">
        <v>-0.56999999999999995</v>
      </c>
      <c r="F1495" s="31">
        <v>6075306300</v>
      </c>
    </row>
    <row r="1496" spans="1:6" ht="15" thickBot="1" x14ac:dyDescent="0.2">
      <c r="A1496" s="30" t="s">
        <v>10185</v>
      </c>
      <c r="B1496" s="26" t="str">
        <f t="shared" si="23"/>
        <v>002326</v>
      </c>
      <c r="C1496" s="30" t="s">
        <v>2749</v>
      </c>
      <c r="D1496" s="31">
        <v>7.55</v>
      </c>
      <c r="E1496" s="31">
        <v>-0.79</v>
      </c>
      <c r="F1496" s="31">
        <v>6069998100</v>
      </c>
    </row>
    <row r="1497" spans="1:6" ht="15" thickBot="1" x14ac:dyDescent="0.2">
      <c r="A1497" s="30" t="s">
        <v>10186</v>
      </c>
      <c r="B1497" s="26" t="str">
        <f t="shared" si="23"/>
        <v>300184</v>
      </c>
      <c r="C1497" s="30" t="s">
        <v>2825</v>
      </c>
      <c r="D1497" s="31">
        <v>5.79</v>
      </c>
      <c r="E1497" s="31">
        <v>1.58</v>
      </c>
      <c r="F1497" s="31">
        <v>6069320200</v>
      </c>
    </row>
    <row r="1498" spans="1:6" ht="15" thickBot="1" x14ac:dyDescent="0.2">
      <c r="A1498" s="30" t="s">
        <v>10187</v>
      </c>
      <c r="B1498" s="26" t="str">
        <f t="shared" si="23"/>
        <v>001337</v>
      </c>
      <c r="C1498" s="30" t="s">
        <v>10188</v>
      </c>
      <c r="D1498" s="31">
        <v>21.03</v>
      </c>
      <c r="E1498" s="31">
        <v>-1.5</v>
      </c>
      <c r="F1498" s="31">
        <v>6066229700</v>
      </c>
    </row>
    <row r="1499" spans="1:6" ht="15" thickBot="1" x14ac:dyDescent="0.2">
      <c r="A1499" s="30" t="s">
        <v>10189</v>
      </c>
      <c r="B1499" s="26" t="str">
        <f t="shared" si="23"/>
        <v>000888</v>
      </c>
      <c r="C1499" s="30" t="s">
        <v>3250</v>
      </c>
      <c r="D1499" s="31">
        <v>11.47</v>
      </c>
      <c r="E1499" s="31">
        <v>3.52</v>
      </c>
      <c r="F1499" s="31">
        <v>6043693300</v>
      </c>
    </row>
    <row r="1500" spans="1:6" ht="15" thickBot="1" x14ac:dyDescent="0.2">
      <c r="A1500" s="30" t="s">
        <v>10190</v>
      </c>
      <c r="B1500" s="26" t="str">
        <f t="shared" si="23"/>
        <v>600035</v>
      </c>
      <c r="C1500" s="30" t="s">
        <v>3282</v>
      </c>
      <c r="D1500" s="31">
        <v>3.75</v>
      </c>
      <c r="E1500" s="31">
        <v>1.08</v>
      </c>
      <c r="F1500" s="31">
        <v>6037934600</v>
      </c>
    </row>
    <row r="1501" spans="1:6" ht="15" thickBot="1" x14ac:dyDescent="0.2">
      <c r="A1501" s="30" t="s">
        <v>10191</v>
      </c>
      <c r="B1501" s="26" t="str">
        <f t="shared" si="23"/>
        <v>600882</v>
      </c>
      <c r="C1501" s="30" t="s">
        <v>3122</v>
      </c>
      <c r="D1501" s="31">
        <v>11.78</v>
      </c>
      <c r="E1501" s="31">
        <v>-1.01</v>
      </c>
      <c r="F1501" s="31">
        <v>6031992000</v>
      </c>
    </row>
    <row r="1502" spans="1:6" ht="15" thickBot="1" x14ac:dyDescent="0.2">
      <c r="A1502" s="30" t="s">
        <v>10192</v>
      </c>
      <c r="B1502" s="26" t="str">
        <f t="shared" si="23"/>
        <v>600682</v>
      </c>
      <c r="C1502" s="30" t="s">
        <v>2718</v>
      </c>
      <c r="D1502" s="31">
        <v>5.17</v>
      </c>
      <c r="E1502" s="31">
        <v>-3.72</v>
      </c>
      <c r="F1502" s="31">
        <v>6023361600</v>
      </c>
    </row>
    <row r="1503" spans="1:6" ht="15" thickBot="1" x14ac:dyDescent="0.2">
      <c r="A1503" s="30" t="s">
        <v>10193</v>
      </c>
      <c r="B1503" s="26" t="str">
        <f t="shared" si="23"/>
        <v>002023</v>
      </c>
      <c r="C1503" s="30" t="s">
        <v>3208</v>
      </c>
      <c r="D1503" s="31">
        <v>8.1300000000000008</v>
      </c>
      <c r="E1503" s="31">
        <v>0.37</v>
      </c>
      <c r="F1503" s="31">
        <v>6023193700</v>
      </c>
    </row>
    <row r="1504" spans="1:6" ht="15" thickBot="1" x14ac:dyDescent="0.2">
      <c r="A1504" s="30" t="s">
        <v>10194</v>
      </c>
      <c r="B1504" s="26" t="str">
        <f t="shared" si="23"/>
        <v>605222</v>
      </c>
      <c r="C1504" s="30" t="s">
        <v>3166</v>
      </c>
      <c r="D1504" s="31">
        <v>14.57</v>
      </c>
      <c r="E1504" s="31">
        <v>-0.34</v>
      </c>
      <c r="F1504" s="31">
        <v>6015961200</v>
      </c>
    </row>
    <row r="1505" spans="1:6" ht="15" thickBot="1" x14ac:dyDescent="0.2">
      <c r="A1505" s="30" t="s">
        <v>10195</v>
      </c>
      <c r="B1505" s="26" t="str">
        <f t="shared" si="23"/>
        <v>603009</v>
      </c>
      <c r="C1505" s="30" t="s">
        <v>3086</v>
      </c>
      <c r="D1505" s="31">
        <v>17.77</v>
      </c>
      <c r="E1505" s="31">
        <v>3.13</v>
      </c>
      <c r="F1505" s="31">
        <v>6013527400</v>
      </c>
    </row>
    <row r="1506" spans="1:6" ht="15" thickBot="1" x14ac:dyDescent="0.2">
      <c r="A1506" s="30" t="s">
        <v>10196</v>
      </c>
      <c r="B1506" s="26" t="str">
        <f t="shared" si="23"/>
        <v>300580</v>
      </c>
      <c r="C1506" s="30" t="s">
        <v>2913</v>
      </c>
      <c r="D1506" s="31">
        <v>12.81</v>
      </c>
      <c r="E1506" s="31">
        <v>-1.1599999999999999</v>
      </c>
      <c r="F1506" s="31">
        <v>6013316600</v>
      </c>
    </row>
    <row r="1507" spans="1:6" ht="15" thickBot="1" x14ac:dyDescent="0.2">
      <c r="A1507" s="30" t="s">
        <v>10197</v>
      </c>
      <c r="B1507" s="26" t="str">
        <f t="shared" si="23"/>
        <v>000526</v>
      </c>
      <c r="C1507" s="30" t="s">
        <v>3178</v>
      </c>
      <c r="D1507" s="31">
        <v>50.49</v>
      </c>
      <c r="E1507" s="31">
        <v>4.32</v>
      </c>
      <c r="F1507" s="31">
        <v>6009244500</v>
      </c>
    </row>
    <row r="1508" spans="1:6" ht="15" thickBot="1" x14ac:dyDescent="0.2">
      <c r="A1508" s="30" t="s">
        <v>10198</v>
      </c>
      <c r="B1508" s="26" t="str">
        <f t="shared" si="23"/>
        <v>600063</v>
      </c>
      <c r="C1508" s="30" t="s">
        <v>2928</v>
      </c>
      <c r="D1508" s="31">
        <v>3.12</v>
      </c>
      <c r="E1508" s="31">
        <v>-0.32</v>
      </c>
      <c r="F1508" s="31">
        <v>6008791400</v>
      </c>
    </row>
    <row r="1509" spans="1:6" ht="15" thickBot="1" x14ac:dyDescent="0.2">
      <c r="A1509" s="30" t="s">
        <v>10199</v>
      </c>
      <c r="B1509" s="26" t="str">
        <f t="shared" si="23"/>
        <v>003012</v>
      </c>
      <c r="C1509" s="30" t="s">
        <v>3188</v>
      </c>
      <c r="D1509" s="31">
        <v>5.15</v>
      </c>
      <c r="E1509" s="31">
        <v>-0.19</v>
      </c>
      <c r="F1509" s="31">
        <v>6008397200</v>
      </c>
    </row>
    <row r="1510" spans="1:6" ht="15" thickBot="1" x14ac:dyDescent="0.2">
      <c r="A1510" s="30" t="s">
        <v>10200</v>
      </c>
      <c r="B1510" s="26" t="str">
        <f t="shared" si="23"/>
        <v>600169</v>
      </c>
      <c r="C1510" s="30" t="s">
        <v>3232</v>
      </c>
      <c r="D1510" s="31">
        <v>1.8</v>
      </c>
      <c r="E1510" s="31">
        <v>-0.55000000000000004</v>
      </c>
      <c r="F1510" s="31">
        <v>5999654700</v>
      </c>
    </row>
    <row r="1511" spans="1:6" ht="15" thickBot="1" x14ac:dyDescent="0.2">
      <c r="A1511" s="30" t="s">
        <v>10201</v>
      </c>
      <c r="B1511" s="26" t="str">
        <f t="shared" si="23"/>
        <v>600223</v>
      </c>
      <c r="C1511" s="30" t="s">
        <v>3186</v>
      </c>
      <c r="D1511" s="31">
        <v>5.89</v>
      </c>
      <c r="E1511" s="31">
        <v>-0.51</v>
      </c>
      <c r="F1511" s="31">
        <v>5987590100</v>
      </c>
    </row>
    <row r="1512" spans="1:6" ht="15" thickBot="1" x14ac:dyDescent="0.2">
      <c r="A1512" s="30" t="s">
        <v>10202</v>
      </c>
      <c r="B1512" s="26" t="str">
        <f t="shared" si="23"/>
        <v>300657</v>
      </c>
      <c r="C1512" s="30" t="s">
        <v>3014</v>
      </c>
      <c r="D1512" s="31">
        <v>12.92</v>
      </c>
      <c r="E1512" s="31">
        <v>-1.67</v>
      </c>
      <c r="F1512" s="31">
        <v>5986509300</v>
      </c>
    </row>
    <row r="1513" spans="1:6" ht="15" thickBot="1" x14ac:dyDescent="0.2">
      <c r="A1513" s="30" t="s">
        <v>10203</v>
      </c>
      <c r="B1513" s="26" t="str">
        <f t="shared" si="23"/>
        <v>002891</v>
      </c>
      <c r="C1513" s="30" t="s">
        <v>3201</v>
      </c>
      <c r="D1513" s="31">
        <v>20.329999999999998</v>
      </c>
      <c r="E1513" s="31">
        <v>-0.34</v>
      </c>
      <c r="F1513" s="31">
        <v>5979338400</v>
      </c>
    </row>
    <row r="1514" spans="1:6" ht="15" thickBot="1" x14ac:dyDescent="0.2">
      <c r="A1514" s="30" t="s">
        <v>10204</v>
      </c>
      <c r="B1514" s="26" t="str">
        <f t="shared" si="23"/>
        <v>688248</v>
      </c>
      <c r="C1514" s="30" t="s">
        <v>10205</v>
      </c>
      <c r="D1514" s="31">
        <v>26.17</v>
      </c>
      <c r="E1514" s="31">
        <v>1</v>
      </c>
      <c r="F1514" s="31">
        <v>5977228000</v>
      </c>
    </row>
    <row r="1515" spans="1:6" ht="15" thickBot="1" x14ac:dyDescent="0.2">
      <c r="A1515" s="30" t="s">
        <v>10206</v>
      </c>
      <c r="B1515" s="26" t="str">
        <f t="shared" si="23"/>
        <v>300170</v>
      </c>
      <c r="C1515" s="30" t="s">
        <v>3084</v>
      </c>
      <c r="D1515" s="31">
        <v>6.3</v>
      </c>
      <c r="E1515" s="31">
        <v>-1.25</v>
      </c>
      <c r="F1515" s="31">
        <v>5969842600</v>
      </c>
    </row>
    <row r="1516" spans="1:6" ht="15" thickBot="1" x14ac:dyDescent="0.2">
      <c r="A1516" s="30" t="s">
        <v>10207</v>
      </c>
      <c r="B1516" s="26" t="str">
        <f t="shared" si="23"/>
        <v>600734</v>
      </c>
      <c r="C1516" s="30" t="s">
        <v>3120</v>
      </c>
      <c r="D1516" s="31">
        <v>2.84</v>
      </c>
      <c r="E1516" s="31">
        <v>-0.7</v>
      </c>
      <c r="F1516" s="31">
        <v>5965013400</v>
      </c>
    </row>
    <row r="1517" spans="1:6" ht="15" thickBot="1" x14ac:dyDescent="0.2">
      <c r="A1517" s="30" t="s">
        <v>10208</v>
      </c>
      <c r="B1517" s="26" t="str">
        <f t="shared" si="23"/>
        <v>688127</v>
      </c>
      <c r="C1517" s="30" t="s">
        <v>3152</v>
      </c>
      <c r="D1517" s="31">
        <v>14.85</v>
      </c>
      <c r="E1517" s="31">
        <v>-2.94</v>
      </c>
      <c r="F1517" s="31">
        <v>5963463000</v>
      </c>
    </row>
    <row r="1518" spans="1:6" ht="15" thickBot="1" x14ac:dyDescent="0.2">
      <c r="A1518" s="30" t="s">
        <v>10209</v>
      </c>
      <c r="B1518" s="26" t="str">
        <f t="shared" si="23"/>
        <v>603609</v>
      </c>
      <c r="C1518" s="30" t="s">
        <v>3238</v>
      </c>
      <c r="D1518" s="31">
        <v>6.48</v>
      </c>
      <c r="E1518" s="31">
        <v>-1.37</v>
      </c>
      <c r="F1518" s="31">
        <v>5957930800</v>
      </c>
    </row>
    <row r="1519" spans="1:6" ht="15" thickBot="1" x14ac:dyDescent="0.2">
      <c r="A1519" s="30" t="s">
        <v>10210</v>
      </c>
      <c r="B1519" s="26" t="str">
        <f t="shared" si="23"/>
        <v>600217</v>
      </c>
      <c r="C1519" s="30" t="s">
        <v>2797</v>
      </c>
      <c r="D1519" s="31">
        <v>4.29</v>
      </c>
      <c r="E1519" s="31">
        <v>-2.06</v>
      </c>
      <c r="F1519" s="31">
        <v>5957350500</v>
      </c>
    </row>
    <row r="1520" spans="1:6" ht="15" thickBot="1" x14ac:dyDescent="0.2">
      <c r="A1520" s="30" t="s">
        <v>10211</v>
      </c>
      <c r="B1520" s="26" t="str">
        <f t="shared" si="23"/>
        <v>300482</v>
      </c>
      <c r="C1520" s="30" t="s">
        <v>2162</v>
      </c>
      <c r="D1520" s="31">
        <v>19.54</v>
      </c>
      <c r="E1520" s="31">
        <v>-2.4500000000000002</v>
      </c>
      <c r="F1520" s="31">
        <v>5956059300</v>
      </c>
    </row>
    <row r="1521" spans="1:6" ht="15" thickBot="1" x14ac:dyDescent="0.2">
      <c r="A1521" s="30" t="s">
        <v>10212</v>
      </c>
      <c r="B1521" s="26" t="str">
        <f t="shared" si="23"/>
        <v>002215</v>
      </c>
      <c r="C1521" s="30" t="s">
        <v>2670</v>
      </c>
      <c r="D1521" s="31">
        <v>7.5</v>
      </c>
      <c r="E1521" s="31">
        <v>1.08</v>
      </c>
      <c r="F1521" s="31">
        <v>5955071400</v>
      </c>
    </row>
    <row r="1522" spans="1:6" ht="15" thickBot="1" x14ac:dyDescent="0.2">
      <c r="A1522" s="30" t="s">
        <v>10213</v>
      </c>
      <c r="B1522" s="26" t="str">
        <f t="shared" si="23"/>
        <v>000811</v>
      </c>
      <c r="C1522" s="30" t="s">
        <v>3195</v>
      </c>
      <c r="D1522" s="31">
        <v>7.98</v>
      </c>
      <c r="E1522" s="31">
        <v>0.38</v>
      </c>
      <c r="F1522" s="31">
        <v>5951711300</v>
      </c>
    </row>
    <row r="1523" spans="1:6" ht="15" thickBot="1" x14ac:dyDescent="0.2">
      <c r="A1523" s="30" t="s">
        <v>10214</v>
      </c>
      <c r="B1523" s="26" t="str">
        <f t="shared" si="23"/>
        <v>688586</v>
      </c>
      <c r="C1523" s="30" t="s">
        <v>3193</v>
      </c>
      <c r="D1523" s="31">
        <v>7.5</v>
      </c>
      <c r="E1523" s="31">
        <v>0.4</v>
      </c>
      <c r="F1523" s="31">
        <v>5935043700</v>
      </c>
    </row>
    <row r="1524" spans="1:6" ht="15" thickBot="1" x14ac:dyDescent="0.2">
      <c r="A1524" s="30" t="s">
        <v>10215</v>
      </c>
      <c r="B1524" s="26" t="str">
        <f t="shared" si="23"/>
        <v>300678</v>
      </c>
      <c r="C1524" s="30" t="s">
        <v>3094</v>
      </c>
      <c r="D1524" s="31">
        <v>20.78</v>
      </c>
      <c r="E1524" s="31">
        <v>-1.19</v>
      </c>
      <c r="F1524" s="31">
        <v>5933706800</v>
      </c>
    </row>
    <row r="1525" spans="1:6" ht="15" thickBot="1" x14ac:dyDescent="0.2">
      <c r="A1525" s="30" t="s">
        <v>10216</v>
      </c>
      <c r="B1525" s="26" t="str">
        <f t="shared" si="23"/>
        <v>603093</v>
      </c>
      <c r="C1525" s="30" t="s">
        <v>10217</v>
      </c>
      <c r="D1525" s="31">
        <v>9.7100000000000009</v>
      </c>
      <c r="E1525" s="31">
        <v>3.3</v>
      </c>
      <c r="F1525" s="31">
        <v>5923739800</v>
      </c>
    </row>
    <row r="1526" spans="1:6" ht="15" thickBot="1" x14ac:dyDescent="0.2">
      <c r="A1526" s="30" t="s">
        <v>10218</v>
      </c>
      <c r="B1526" s="26" t="str">
        <f t="shared" si="23"/>
        <v>002219</v>
      </c>
      <c r="C1526" s="30" t="s">
        <v>3146</v>
      </c>
      <c r="D1526" s="31">
        <v>1.8</v>
      </c>
      <c r="E1526" s="31">
        <v>-2.7</v>
      </c>
      <c r="F1526" s="31">
        <v>5915395300</v>
      </c>
    </row>
    <row r="1527" spans="1:6" ht="15" thickBot="1" x14ac:dyDescent="0.2">
      <c r="A1527" s="30" t="s">
        <v>10219</v>
      </c>
      <c r="B1527" s="26" t="str">
        <f t="shared" si="23"/>
        <v>000948</v>
      </c>
      <c r="C1527" s="30" t="s">
        <v>3535</v>
      </c>
      <c r="D1527" s="31">
        <v>15.32</v>
      </c>
      <c r="E1527" s="31">
        <v>-6.13</v>
      </c>
      <c r="F1527" s="31">
        <v>5912667300</v>
      </c>
    </row>
    <row r="1528" spans="1:6" ht="15" thickBot="1" x14ac:dyDescent="0.2">
      <c r="A1528" s="30" t="s">
        <v>10220</v>
      </c>
      <c r="B1528" s="26" t="str">
        <f t="shared" si="23"/>
        <v>605005</v>
      </c>
      <c r="C1528" s="30" t="s">
        <v>3242</v>
      </c>
      <c r="D1528" s="31">
        <v>14.74</v>
      </c>
      <c r="E1528" s="31">
        <v>7.0000000000000007E-2</v>
      </c>
      <c r="F1528" s="31">
        <v>5910740000</v>
      </c>
    </row>
    <row r="1529" spans="1:6" ht="15" thickBot="1" x14ac:dyDescent="0.2">
      <c r="A1529" s="30" t="s">
        <v>10221</v>
      </c>
      <c r="B1529" s="26" t="str">
        <f t="shared" si="23"/>
        <v>605339</v>
      </c>
      <c r="C1529" s="30" t="s">
        <v>10222</v>
      </c>
      <c r="D1529" s="31">
        <v>13.93</v>
      </c>
      <c r="E1529" s="31">
        <v>-1.1399999999999999</v>
      </c>
      <c r="F1529" s="31">
        <v>5910368300</v>
      </c>
    </row>
    <row r="1530" spans="1:6" ht="15" thickBot="1" x14ac:dyDescent="0.2">
      <c r="A1530" s="30" t="s">
        <v>10223</v>
      </c>
      <c r="B1530" s="26" t="str">
        <f t="shared" si="23"/>
        <v>300634</v>
      </c>
      <c r="C1530" s="30" t="s">
        <v>3174</v>
      </c>
      <c r="D1530" s="31">
        <v>13.69</v>
      </c>
      <c r="E1530" s="31">
        <v>0.59</v>
      </c>
      <c r="F1530" s="31">
        <v>5904336100</v>
      </c>
    </row>
    <row r="1531" spans="1:6" ht="15" thickBot="1" x14ac:dyDescent="0.2">
      <c r="A1531" s="30" t="s">
        <v>10224</v>
      </c>
      <c r="B1531" s="26" t="str">
        <f t="shared" si="23"/>
        <v>000755</v>
      </c>
      <c r="C1531" s="30" t="s">
        <v>3210</v>
      </c>
      <c r="D1531" s="31">
        <v>4.0199999999999996</v>
      </c>
      <c r="E1531" s="31">
        <v>-1.71</v>
      </c>
      <c r="F1531" s="31">
        <v>5898587000</v>
      </c>
    </row>
    <row r="1532" spans="1:6" ht="15" thickBot="1" x14ac:dyDescent="0.2">
      <c r="A1532" s="30" t="s">
        <v>10225</v>
      </c>
      <c r="B1532" s="26" t="str">
        <f t="shared" si="23"/>
        <v>603281</v>
      </c>
      <c r="C1532" s="30" t="s">
        <v>10226</v>
      </c>
      <c r="D1532" s="31">
        <v>23.43</v>
      </c>
      <c r="E1532" s="31">
        <v>-1.22</v>
      </c>
      <c r="F1532" s="31">
        <v>5897188500</v>
      </c>
    </row>
    <row r="1533" spans="1:6" ht="15" thickBot="1" x14ac:dyDescent="0.2">
      <c r="A1533" s="30" t="s">
        <v>10227</v>
      </c>
      <c r="B1533" s="26" t="str">
        <f t="shared" si="23"/>
        <v>300008</v>
      </c>
      <c r="C1533" s="30" t="s">
        <v>3182</v>
      </c>
      <c r="D1533" s="31">
        <v>3.58</v>
      </c>
      <c r="E1533" s="31">
        <v>-1.38</v>
      </c>
      <c r="F1533" s="31">
        <v>5896725700</v>
      </c>
    </row>
    <row r="1534" spans="1:6" ht="15" thickBot="1" x14ac:dyDescent="0.2">
      <c r="A1534" s="30" t="s">
        <v>10228</v>
      </c>
      <c r="B1534" s="26" t="str">
        <f t="shared" si="23"/>
        <v>600874</v>
      </c>
      <c r="C1534" s="30" t="s">
        <v>2945</v>
      </c>
      <c r="D1534" s="31">
        <v>4.79</v>
      </c>
      <c r="E1534" s="31">
        <v>-0.42</v>
      </c>
      <c r="F1534" s="31">
        <v>5893702600</v>
      </c>
    </row>
    <row r="1535" spans="1:6" ht="15" thickBot="1" x14ac:dyDescent="0.2">
      <c r="A1535" s="30" t="s">
        <v>10229</v>
      </c>
      <c r="B1535" s="26" t="str">
        <f t="shared" si="23"/>
        <v>002232</v>
      </c>
      <c r="C1535" s="30" t="s">
        <v>3124</v>
      </c>
      <c r="D1535" s="31">
        <v>14.42</v>
      </c>
      <c r="E1535" s="31">
        <v>-2.57</v>
      </c>
      <c r="F1535" s="31">
        <v>5891268700</v>
      </c>
    </row>
    <row r="1536" spans="1:6" ht="15" thickBot="1" x14ac:dyDescent="0.2">
      <c r="A1536" s="30" t="s">
        <v>10230</v>
      </c>
      <c r="B1536" s="26" t="str">
        <f t="shared" si="23"/>
        <v>000821</v>
      </c>
      <c r="C1536" s="30" t="s">
        <v>3144</v>
      </c>
      <c r="D1536" s="31">
        <v>9.7100000000000009</v>
      </c>
      <c r="E1536" s="31">
        <v>0</v>
      </c>
      <c r="F1536" s="31">
        <v>5877057700</v>
      </c>
    </row>
    <row r="1537" spans="1:6" ht="15" thickBot="1" x14ac:dyDescent="0.2">
      <c r="A1537" s="30" t="s">
        <v>10231</v>
      </c>
      <c r="B1537" s="26" t="str">
        <f t="shared" si="23"/>
        <v>300303</v>
      </c>
      <c r="C1537" s="30" t="s">
        <v>2979</v>
      </c>
      <c r="D1537" s="31">
        <v>4.6900000000000004</v>
      </c>
      <c r="E1537" s="31">
        <v>-1.88</v>
      </c>
      <c r="F1537" s="31">
        <v>5874216200</v>
      </c>
    </row>
    <row r="1538" spans="1:6" ht="15" thickBot="1" x14ac:dyDescent="0.2">
      <c r="A1538" s="30" t="s">
        <v>10232</v>
      </c>
      <c r="B1538" s="26" t="str">
        <f t="shared" si="23"/>
        <v>688513</v>
      </c>
      <c r="C1538" s="30" t="s">
        <v>3172</v>
      </c>
      <c r="D1538" s="31">
        <v>33.26</v>
      </c>
      <c r="E1538" s="31">
        <v>-0.15</v>
      </c>
      <c r="F1538" s="31">
        <v>5871462800</v>
      </c>
    </row>
    <row r="1539" spans="1:6" ht="15" thickBot="1" x14ac:dyDescent="0.2">
      <c r="A1539" s="30" t="s">
        <v>10233</v>
      </c>
      <c r="B1539" s="26" t="str">
        <f t="shared" ref="B1539:B1602" si="24">LEFT(A1539,6)</f>
        <v>001227</v>
      </c>
      <c r="C1539" s="30" t="s">
        <v>10234</v>
      </c>
      <c r="D1539" s="31">
        <v>2.12</v>
      </c>
      <c r="E1539" s="31">
        <v>0.47</v>
      </c>
      <c r="F1539" s="31">
        <v>5868418000</v>
      </c>
    </row>
    <row r="1540" spans="1:6" ht="15" thickBot="1" x14ac:dyDescent="0.2">
      <c r="A1540" s="30" t="s">
        <v>10235</v>
      </c>
      <c r="B1540" s="26" t="str">
        <f t="shared" si="24"/>
        <v>688279</v>
      </c>
      <c r="C1540" s="30" t="s">
        <v>10236</v>
      </c>
      <c r="D1540" s="31">
        <v>104.84</v>
      </c>
      <c r="E1540" s="31">
        <v>0.81</v>
      </c>
      <c r="F1540" s="31">
        <v>5856177100</v>
      </c>
    </row>
    <row r="1541" spans="1:6" ht="15" thickBot="1" x14ac:dyDescent="0.2">
      <c r="A1541" s="30" t="s">
        <v>10237</v>
      </c>
      <c r="B1541" s="26" t="str">
        <f t="shared" si="24"/>
        <v>000795</v>
      </c>
      <c r="C1541" s="30" t="s">
        <v>3260</v>
      </c>
      <c r="D1541" s="31">
        <v>5.15</v>
      </c>
      <c r="E1541" s="31">
        <v>-0.96</v>
      </c>
      <c r="F1541" s="31">
        <v>5838473100</v>
      </c>
    </row>
    <row r="1542" spans="1:6" ht="15" thickBot="1" x14ac:dyDescent="0.2">
      <c r="A1542" s="30" t="s">
        <v>10238</v>
      </c>
      <c r="B1542" s="26" t="str">
        <f t="shared" si="24"/>
        <v>000672</v>
      </c>
      <c r="C1542" s="30" t="s">
        <v>3288</v>
      </c>
      <c r="D1542" s="31">
        <v>6.02</v>
      </c>
      <c r="E1542" s="31">
        <v>-0.5</v>
      </c>
      <c r="F1542" s="31">
        <v>5835760600</v>
      </c>
    </row>
    <row r="1543" spans="1:6" ht="15" thickBot="1" x14ac:dyDescent="0.2">
      <c r="A1543" s="30" t="s">
        <v>10239</v>
      </c>
      <c r="B1543" s="26" t="str">
        <f t="shared" si="24"/>
        <v>301219</v>
      </c>
      <c r="C1543" s="30" t="s">
        <v>10240</v>
      </c>
      <c r="D1543" s="31">
        <v>34.68</v>
      </c>
      <c r="E1543" s="31">
        <v>0.52</v>
      </c>
      <c r="F1543" s="31">
        <v>5822117400</v>
      </c>
    </row>
    <row r="1544" spans="1:6" ht="15" thickBot="1" x14ac:dyDescent="0.2">
      <c r="A1544" s="30" t="s">
        <v>10241</v>
      </c>
      <c r="B1544" s="26" t="str">
        <f t="shared" si="24"/>
        <v>600200</v>
      </c>
      <c r="C1544" s="30" t="s">
        <v>3278</v>
      </c>
      <c r="D1544" s="31">
        <v>8.19</v>
      </c>
      <c r="E1544" s="31">
        <v>0.12</v>
      </c>
      <c r="F1544" s="31">
        <v>5822102900</v>
      </c>
    </row>
    <row r="1545" spans="1:6" ht="15" thickBot="1" x14ac:dyDescent="0.2">
      <c r="A1545" s="30" t="s">
        <v>10242</v>
      </c>
      <c r="B1545" s="26" t="str">
        <f t="shared" si="24"/>
        <v>000058</v>
      </c>
      <c r="C1545" s="30" t="s">
        <v>2892</v>
      </c>
      <c r="D1545" s="31">
        <v>5.91</v>
      </c>
      <c r="E1545" s="31">
        <v>-1.17</v>
      </c>
      <c r="F1545" s="31">
        <v>5819645600</v>
      </c>
    </row>
    <row r="1546" spans="1:6" ht="15" thickBot="1" x14ac:dyDescent="0.2">
      <c r="A1546" s="30" t="s">
        <v>10243</v>
      </c>
      <c r="B1546" s="26" t="str">
        <f t="shared" si="24"/>
        <v>300576</v>
      </c>
      <c r="C1546" s="30" t="s">
        <v>2240</v>
      </c>
      <c r="D1546" s="31">
        <v>31.7</v>
      </c>
      <c r="E1546" s="31">
        <v>3.93</v>
      </c>
      <c r="F1546" s="31">
        <v>5817926800</v>
      </c>
    </row>
    <row r="1547" spans="1:6" ht="15" thickBot="1" x14ac:dyDescent="0.2">
      <c r="A1547" s="30" t="s">
        <v>10244</v>
      </c>
      <c r="B1547" s="26" t="str">
        <f t="shared" si="24"/>
        <v>688409</v>
      </c>
      <c r="C1547" s="30" t="s">
        <v>10245</v>
      </c>
      <c r="D1547" s="31">
        <v>32.86</v>
      </c>
      <c r="E1547" s="31">
        <v>2.66</v>
      </c>
      <c r="F1547" s="31">
        <v>5813465100</v>
      </c>
    </row>
    <row r="1548" spans="1:6" ht="15" thickBot="1" x14ac:dyDescent="0.2">
      <c r="A1548" s="30" t="s">
        <v>10246</v>
      </c>
      <c r="B1548" s="26" t="str">
        <f t="shared" si="24"/>
        <v>603668</v>
      </c>
      <c r="C1548" s="30" t="s">
        <v>3366</v>
      </c>
      <c r="D1548" s="31">
        <v>11.57</v>
      </c>
      <c r="E1548" s="31">
        <v>0.96</v>
      </c>
      <c r="F1548" s="31">
        <v>5812024500</v>
      </c>
    </row>
    <row r="1549" spans="1:6" ht="15" thickBot="1" x14ac:dyDescent="0.2">
      <c r="A1549" s="30" t="s">
        <v>10247</v>
      </c>
      <c r="B1549" s="26" t="str">
        <f t="shared" si="24"/>
        <v>000059</v>
      </c>
      <c r="C1549" s="30" t="s">
        <v>3296</v>
      </c>
      <c r="D1549" s="31">
        <v>3.63</v>
      </c>
      <c r="E1549" s="31">
        <v>-1.63</v>
      </c>
      <c r="F1549" s="31">
        <v>5805976400</v>
      </c>
    </row>
    <row r="1550" spans="1:6" ht="15" thickBot="1" x14ac:dyDescent="0.2">
      <c r="A1550" s="30" t="s">
        <v>10248</v>
      </c>
      <c r="B1550" s="26" t="str">
        <f t="shared" si="24"/>
        <v>002045</v>
      </c>
      <c r="C1550" s="30" t="s">
        <v>3131</v>
      </c>
      <c r="D1550" s="31">
        <v>10.23</v>
      </c>
      <c r="E1550" s="31">
        <v>-2.57</v>
      </c>
      <c r="F1550" s="31">
        <v>5805039900</v>
      </c>
    </row>
    <row r="1551" spans="1:6" ht="15" thickBot="1" x14ac:dyDescent="0.2">
      <c r="A1551" s="30" t="s">
        <v>10249</v>
      </c>
      <c r="B1551" s="26" t="str">
        <f t="shared" si="24"/>
        <v>000006</v>
      </c>
      <c r="C1551" s="30" t="s">
        <v>3433</v>
      </c>
      <c r="D1551" s="31">
        <v>4.3</v>
      </c>
      <c r="E1551" s="31">
        <v>-0.69</v>
      </c>
      <c r="F1551" s="31">
        <v>5804945800</v>
      </c>
    </row>
    <row r="1552" spans="1:6" ht="15" thickBot="1" x14ac:dyDescent="0.2">
      <c r="A1552" s="30" t="s">
        <v>10250</v>
      </c>
      <c r="B1552" s="26" t="str">
        <f t="shared" si="24"/>
        <v>300075</v>
      </c>
      <c r="C1552" s="30" t="s">
        <v>2755</v>
      </c>
      <c r="D1552" s="31">
        <v>11.28</v>
      </c>
      <c r="E1552" s="31">
        <v>-1.57</v>
      </c>
      <c r="F1552" s="31">
        <v>5802327400</v>
      </c>
    </row>
    <row r="1553" spans="1:6" ht="15" thickBot="1" x14ac:dyDescent="0.2">
      <c r="A1553" s="30" t="s">
        <v>10251</v>
      </c>
      <c r="B1553" s="26" t="str">
        <f t="shared" si="24"/>
        <v>300855</v>
      </c>
      <c r="C1553" s="30" t="s">
        <v>2508</v>
      </c>
      <c r="D1553" s="31">
        <v>19.8</v>
      </c>
      <c r="E1553" s="31">
        <v>-1.1499999999999999</v>
      </c>
      <c r="F1553" s="31">
        <v>5800531500</v>
      </c>
    </row>
    <row r="1554" spans="1:6" ht="15" thickBot="1" x14ac:dyDescent="0.2">
      <c r="A1554" s="30" t="s">
        <v>10252</v>
      </c>
      <c r="B1554" s="26" t="str">
        <f t="shared" si="24"/>
        <v>600525</v>
      </c>
      <c r="C1554" s="30" t="s">
        <v>3393</v>
      </c>
      <c r="D1554" s="31">
        <v>4.42</v>
      </c>
      <c r="E1554" s="31">
        <v>3.03</v>
      </c>
      <c r="F1554" s="31">
        <v>5791504600</v>
      </c>
    </row>
    <row r="1555" spans="1:6" ht="15" thickBot="1" x14ac:dyDescent="0.2">
      <c r="A1555" s="30" t="s">
        <v>10253</v>
      </c>
      <c r="B1555" s="26" t="str">
        <f t="shared" si="24"/>
        <v>300618</v>
      </c>
      <c r="C1555" s="30" t="s">
        <v>2886</v>
      </c>
      <c r="D1555" s="31">
        <v>21.24</v>
      </c>
      <c r="E1555" s="31">
        <v>-0.61</v>
      </c>
      <c r="F1555" s="31">
        <v>5790298100</v>
      </c>
    </row>
    <row r="1556" spans="1:6" ht="15" thickBot="1" x14ac:dyDescent="0.2">
      <c r="A1556" s="30" t="s">
        <v>10254</v>
      </c>
      <c r="B1556" s="26" t="str">
        <f t="shared" si="24"/>
        <v>002093</v>
      </c>
      <c r="C1556" s="30" t="s">
        <v>3272</v>
      </c>
      <c r="D1556" s="31">
        <v>5.75</v>
      </c>
      <c r="E1556" s="31">
        <v>-1.37</v>
      </c>
      <c r="F1556" s="31">
        <v>5789480900</v>
      </c>
    </row>
    <row r="1557" spans="1:6" ht="15" thickBot="1" x14ac:dyDescent="0.2">
      <c r="A1557" s="30" t="s">
        <v>10255</v>
      </c>
      <c r="B1557" s="26" t="str">
        <f t="shared" si="24"/>
        <v>300327</v>
      </c>
      <c r="C1557" s="30" t="s">
        <v>3222</v>
      </c>
      <c r="D1557" s="31">
        <v>17.059999999999999</v>
      </c>
      <c r="E1557" s="31">
        <v>-0.41</v>
      </c>
      <c r="F1557" s="31">
        <v>5787708200</v>
      </c>
    </row>
    <row r="1558" spans="1:6" ht="15" thickBot="1" x14ac:dyDescent="0.2">
      <c r="A1558" s="30" t="s">
        <v>10256</v>
      </c>
      <c r="B1558" s="26" t="str">
        <f t="shared" si="24"/>
        <v>000912</v>
      </c>
      <c r="C1558" s="30" t="s">
        <v>3386</v>
      </c>
      <c r="D1558" s="31">
        <v>3.69</v>
      </c>
      <c r="E1558" s="31">
        <v>-0.27</v>
      </c>
      <c r="F1558" s="31">
        <v>5785920000</v>
      </c>
    </row>
    <row r="1559" spans="1:6" ht="15" thickBot="1" x14ac:dyDescent="0.2">
      <c r="A1559" s="30" t="s">
        <v>10257</v>
      </c>
      <c r="B1559" s="26" t="str">
        <f t="shared" si="24"/>
        <v>603583</v>
      </c>
      <c r="C1559" s="30" t="s">
        <v>3294</v>
      </c>
      <c r="D1559" s="31">
        <v>15.13</v>
      </c>
      <c r="E1559" s="31">
        <v>1.82</v>
      </c>
      <c r="F1559" s="31">
        <v>5783396400</v>
      </c>
    </row>
    <row r="1560" spans="1:6" ht="15" thickBot="1" x14ac:dyDescent="0.2">
      <c r="A1560" s="30" t="s">
        <v>10258</v>
      </c>
      <c r="B1560" s="26" t="str">
        <f t="shared" si="24"/>
        <v>300393</v>
      </c>
      <c r="C1560" s="30" t="s">
        <v>3268</v>
      </c>
      <c r="D1560" s="31">
        <v>6.06</v>
      </c>
      <c r="E1560" s="31">
        <v>-0.17</v>
      </c>
      <c r="F1560" s="31">
        <v>5781655000</v>
      </c>
    </row>
    <row r="1561" spans="1:6" ht="15" thickBot="1" x14ac:dyDescent="0.2">
      <c r="A1561" s="30" t="s">
        <v>10259</v>
      </c>
      <c r="B1561" s="26" t="str">
        <f t="shared" si="24"/>
        <v>300180</v>
      </c>
      <c r="C1561" s="30" t="s">
        <v>2851</v>
      </c>
      <c r="D1561" s="31">
        <v>3.89</v>
      </c>
      <c r="E1561" s="31">
        <v>1.57</v>
      </c>
      <c r="F1561" s="31">
        <v>5778949700</v>
      </c>
    </row>
    <row r="1562" spans="1:6" ht="15" thickBot="1" x14ac:dyDescent="0.2">
      <c r="A1562" s="30" t="s">
        <v>10260</v>
      </c>
      <c r="B1562" s="26" t="str">
        <f t="shared" si="24"/>
        <v>600376</v>
      </c>
      <c r="C1562" s="30" t="s">
        <v>3509</v>
      </c>
      <c r="D1562" s="31">
        <v>2.2400000000000002</v>
      </c>
      <c r="E1562" s="31">
        <v>3.7</v>
      </c>
      <c r="F1562" s="31">
        <v>5778226100</v>
      </c>
    </row>
    <row r="1563" spans="1:6" ht="15" thickBot="1" x14ac:dyDescent="0.2">
      <c r="A1563" s="30" t="s">
        <v>10261</v>
      </c>
      <c r="B1563" s="26" t="str">
        <f t="shared" si="24"/>
        <v>600366</v>
      </c>
      <c r="C1563" s="30" t="s">
        <v>3135</v>
      </c>
      <c r="D1563" s="31">
        <v>5.43</v>
      </c>
      <c r="E1563" s="31">
        <v>-1.81</v>
      </c>
      <c r="F1563" s="31">
        <v>5776895700</v>
      </c>
    </row>
    <row r="1564" spans="1:6" ht="15" thickBot="1" x14ac:dyDescent="0.2">
      <c r="A1564" s="30" t="s">
        <v>10262</v>
      </c>
      <c r="B1564" s="26" t="str">
        <f t="shared" si="24"/>
        <v>003031</v>
      </c>
      <c r="C1564" s="30" t="s">
        <v>1369</v>
      </c>
      <c r="D1564" s="31">
        <v>34.950000000000003</v>
      </c>
      <c r="E1564" s="31">
        <v>0.72</v>
      </c>
      <c r="F1564" s="31">
        <v>5774153800</v>
      </c>
    </row>
    <row r="1565" spans="1:6" ht="15" thickBot="1" x14ac:dyDescent="0.2">
      <c r="A1565" s="30" t="s">
        <v>10263</v>
      </c>
      <c r="B1565" s="26" t="str">
        <f t="shared" si="24"/>
        <v>600268</v>
      </c>
      <c r="C1565" s="30" t="s">
        <v>3429</v>
      </c>
      <c r="D1565" s="31">
        <v>5.72</v>
      </c>
      <c r="E1565" s="31">
        <v>1.6</v>
      </c>
      <c r="F1565" s="31">
        <v>5753977800</v>
      </c>
    </row>
    <row r="1566" spans="1:6" ht="15" thickBot="1" x14ac:dyDescent="0.2">
      <c r="A1566" s="30" t="s">
        <v>10264</v>
      </c>
      <c r="B1566" s="26" t="str">
        <f t="shared" si="24"/>
        <v>601187</v>
      </c>
      <c r="C1566" s="30" t="s">
        <v>10265</v>
      </c>
      <c r="D1566" s="31">
        <v>4.4800000000000004</v>
      </c>
      <c r="E1566" s="31">
        <v>0</v>
      </c>
      <c r="F1566" s="31">
        <v>5745503700</v>
      </c>
    </row>
    <row r="1567" spans="1:6" ht="15" thickBot="1" x14ac:dyDescent="0.2">
      <c r="A1567" s="30" t="s">
        <v>10266</v>
      </c>
      <c r="B1567" s="26" t="str">
        <f t="shared" si="24"/>
        <v>300769</v>
      </c>
      <c r="C1567" s="30" t="s">
        <v>2745</v>
      </c>
      <c r="D1567" s="31">
        <v>22.81</v>
      </c>
      <c r="E1567" s="31">
        <v>-3.96</v>
      </c>
      <c r="F1567" s="31">
        <v>5742358100</v>
      </c>
    </row>
    <row r="1568" spans="1:6" ht="15" thickBot="1" x14ac:dyDescent="0.2">
      <c r="A1568" s="30" t="s">
        <v>10267</v>
      </c>
      <c r="B1568" s="26" t="str">
        <f t="shared" si="24"/>
        <v>300053</v>
      </c>
      <c r="C1568" s="30" t="s">
        <v>3044</v>
      </c>
      <c r="D1568" s="31">
        <v>9.0299999999999994</v>
      </c>
      <c r="E1568" s="31">
        <v>-0.11</v>
      </c>
      <c r="F1568" s="31">
        <v>5738268200</v>
      </c>
    </row>
    <row r="1569" spans="1:6" ht="15" thickBot="1" x14ac:dyDescent="0.2">
      <c r="A1569" s="30" t="s">
        <v>10268</v>
      </c>
      <c r="B1569" s="26" t="str">
        <f t="shared" si="24"/>
        <v>300363</v>
      </c>
      <c r="C1569" s="30" t="s">
        <v>3028</v>
      </c>
      <c r="D1569" s="31">
        <v>11.45</v>
      </c>
      <c r="E1569" s="31">
        <v>-2.14</v>
      </c>
      <c r="F1569" s="31">
        <v>5730948500</v>
      </c>
    </row>
    <row r="1570" spans="1:6" ht="15" thickBot="1" x14ac:dyDescent="0.2">
      <c r="A1570" s="30" t="s">
        <v>10269</v>
      </c>
      <c r="B1570" s="26" t="str">
        <f t="shared" si="24"/>
        <v>002216</v>
      </c>
      <c r="C1570" s="30" t="s">
        <v>2425</v>
      </c>
      <c r="D1570" s="31">
        <v>9.08</v>
      </c>
      <c r="E1570" s="31">
        <v>-1.2</v>
      </c>
      <c r="F1570" s="31">
        <v>5722726600</v>
      </c>
    </row>
    <row r="1571" spans="1:6" ht="15" thickBot="1" x14ac:dyDescent="0.2">
      <c r="A1571" s="30" t="s">
        <v>10270</v>
      </c>
      <c r="B1571" s="26" t="str">
        <f t="shared" si="24"/>
        <v>603297</v>
      </c>
      <c r="C1571" s="30" t="s">
        <v>3252</v>
      </c>
      <c r="D1571" s="31">
        <v>51.74</v>
      </c>
      <c r="E1571" s="31">
        <v>0.8</v>
      </c>
      <c r="F1571" s="31">
        <v>5714657100</v>
      </c>
    </row>
    <row r="1572" spans="1:6" ht="15" thickBot="1" x14ac:dyDescent="0.2">
      <c r="A1572" s="30" t="s">
        <v>10271</v>
      </c>
      <c r="B1572" s="26" t="str">
        <f t="shared" si="24"/>
        <v>603977</v>
      </c>
      <c r="C1572" s="30" t="s">
        <v>3324</v>
      </c>
      <c r="D1572" s="31">
        <v>9.19</v>
      </c>
      <c r="E1572" s="31">
        <v>0</v>
      </c>
      <c r="F1572" s="31">
        <v>5709212400</v>
      </c>
    </row>
    <row r="1573" spans="1:6" ht="15" thickBot="1" x14ac:dyDescent="0.2">
      <c r="A1573" s="30" t="s">
        <v>10272</v>
      </c>
      <c r="B1573" s="26" t="str">
        <f t="shared" si="24"/>
        <v>000566</v>
      </c>
      <c r="C1573" s="30" t="s">
        <v>3302</v>
      </c>
      <c r="D1573" s="31">
        <v>4.8899999999999997</v>
      </c>
      <c r="E1573" s="31">
        <v>-9.9499999999999993</v>
      </c>
      <c r="F1573" s="31">
        <v>5701298600</v>
      </c>
    </row>
    <row r="1574" spans="1:6" ht="15" thickBot="1" x14ac:dyDescent="0.2">
      <c r="A1574" s="30" t="s">
        <v>10273</v>
      </c>
      <c r="B1574" s="26" t="str">
        <f t="shared" si="24"/>
        <v>603995</v>
      </c>
      <c r="C1574" s="30" t="s">
        <v>3274</v>
      </c>
      <c r="D1574" s="31">
        <v>15.59</v>
      </c>
      <c r="E1574" s="31">
        <v>-0.51</v>
      </c>
      <c r="F1574" s="31">
        <v>5699971000</v>
      </c>
    </row>
    <row r="1575" spans="1:6" ht="15" thickBot="1" x14ac:dyDescent="0.2">
      <c r="A1575" s="30" t="s">
        <v>10274</v>
      </c>
      <c r="B1575" s="26" t="str">
        <f t="shared" si="24"/>
        <v>688322</v>
      </c>
      <c r="C1575" s="30" t="s">
        <v>10275</v>
      </c>
      <c r="D1575" s="31">
        <v>22.14</v>
      </c>
      <c r="E1575" s="31">
        <v>0.77</v>
      </c>
      <c r="F1575" s="31">
        <v>5691414700</v>
      </c>
    </row>
    <row r="1576" spans="1:6" ht="15" thickBot="1" x14ac:dyDescent="0.2">
      <c r="A1576" s="30" t="s">
        <v>10276</v>
      </c>
      <c r="B1576" s="26" t="str">
        <f t="shared" si="24"/>
        <v>600403</v>
      </c>
      <c r="C1576" s="30" t="s">
        <v>3459</v>
      </c>
      <c r="D1576" s="31">
        <v>2.38</v>
      </c>
      <c r="E1576" s="31">
        <v>1.28</v>
      </c>
      <c r="F1576" s="31">
        <v>5690133500</v>
      </c>
    </row>
    <row r="1577" spans="1:6" ht="15" thickBot="1" x14ac:dyDescent="0.2">
      <c r="A1577" s="30" t="s">
        <v>10277</v>
      </c>
      <c r="B1577" s="26" t="str">
        <f t="shared" si="24"/>
        <v>600195</v>
      </c>
      <c r="C1577" s="30" t="s">
        <v>3290</v>
      </c>
      <c r="D1577" s="31">
        <v>5.57</v>
      </c>
      <c r="E1577" s="31">
        <v>-1.59</v>
      </c>
      <c r="F1577" s="31">
        <v>5687795800</v>
      </c>
    </row>
    <row r="1578" spans="1:6" ht="15" thickBot="1" x14ac:dyDescent="0.2">
      <c r="A1578" s="30" t="s">
        <v>10278</v>
      </c>
      <c r="B1578" s="26" t="str">
        <f t="shared" si="24"/>
        <v>000597</v>
      </c>
      <c r="C1578" s="30" t="s">
        <v>3266</v>
      </c>
      <c r="D1578" s="31">
        <v>4.04</v>
      </c>
      <c r="E1578" s="31">
        <v>-2.1800000000000002</v>
      </c>
      <c r="F1578" s="31">
        <v>5683737000</v>
      </c>
    </row>
    <row r="1579" spans="1:6" ht="15" thickBot="1" x14ac:dyDescent="0.2">
      <c r="A1579" s="30" t="s">
        <v>10279</v>
      </c>
      <c r="B1579" s="26" t="str">
        <f t="shared" si="24"/>
        <v>002458</v>
      </c>
      <c r="C1579" s="30" t="s">
        <v>2381</v>
      </c>
      <c r="D1579" s="31">
        <v>7.58</v>
      </c>
      <c r="E1579" s="31">
        <v>-2.82</v>
      </c>
      <c r="F1579" s="31">
        <v>5676424800</v>
      </c>
    </row>
    <row r="1580" spans="1:6" ht="15" thickBot="1" x14ac:dyDescent="0.2">
      <c r="A1580" s="30" t="s">
        <v>10280</v>
      </c>
      <c r="B1580" s="26" t="str">
        <f t="shared" si="24"/>
        <v>603256</v>
      </c>
      <c r="C1580" s="30" t="s">
        <v>3228</v>
      </c>
      <c r="D1580" s="31">
        <v>6.45</v>
      </c>
      <c r="E1580" s="31">
        <v>-0.16</v>
      </c>
      <c r="F1580" s="31">
        <v>5674242400</v>
      </c>
    </row>
    <row r="1581" spans="1:6" ht="15" thickBot="1" x14ac:dyDescent="0.2">
      <c r="A1581" s="30" t="s">
        <v>10281</v>
      </c>
      <c r="B1581" s="26" t="str">
        <f t="shared" si="24"/>
        <v>000557</v>
      </c>
      <c r="C1581" s="30" t="s">
        <v>3364</v>
      </c>
      <c r="D1581" s="31">
        <v>3.89</v>
      </c>
      <c r="E1581" s="31">
        <v>-0.51</v>
      </c>
      <c r="F1581" s="31">
        <v>5671294000</v>
      </c>
    </row>
    <row r="1582" spans="1:6" ht="15" thickBot="1" x14ac:dyDescent="0.2">
      <c r="A1582" s="30" t="s">
        <v>10282</v>
      </c>
      <c r="B1582" s="26" t="str">
        <f t="shared" si="24"/>
        <v>600780</v>
      </c>
      <c r="C1582" s="30" t="s">
        <v>3421</v>
      </c>
      <c r="D1582" s="31">
        <v>4.9400000000000004</v>
      </c>
      <c r="E1582" s="31">
        <v>-0.2</v>
      </c>
      <c r="F1582" s="31">
        <v>5663722500</v>
      </c>
    </row>
    <row r="1583" spans="1:6" ht="15" thickBot="1" x14ac:dyDescent="0.2">
      <c r="A1583" s="30" t="s">
        <v>10283</v>
      </c>
      <c r="B1583" s="26" t="str">
        <f t="shared" si="24"/>
        <v>601015</v>
      </c>
      <c r="C1583" s="30" t="s">
        <v>3461</v>
      </c>
      <c r="D1583" s="31">
        <v>2.77</v>
      </c>
      <c r="E1583" s="31">
        <v>1.84</v>
      </c>
      <c r="F1583" s="31">
        <v>5657718500</v>
      </c>
    </row>
    <row r="1584" spans="1:6" ht="15" thickBot="1" x14ac:dyDescent="0.2">
      <c r="A1584" s="30" t="s">
        <v>10284</v>
      </c>
      <c r="B1584" s="26" t="str">
        <f t="shared" si="24"/>
        <v>000737</v>
      </c>
      <c r="C1584" s="30" t="s">
        <v>1616</v>
      </c>
      <c r="D1584" s="31">
        <v>7.79</v>
      </c>
      <c r="E1584" s="31">
        <v>1.7</v>
      </c>
      <c r="F1584" s="31">
        <v>5657690000</v>
      </c>
    </row>
    <row r="1585" spans="1:6" ht="15" thickBot="1" x14ac:dyDescent="0.2">
      <c r="A1585" s="30" t="s">
        <v>10285</v>
      </c>
      <c r="B1585" s="26" t="str">
        <f t="shared" si="24"/>
        <v>002482</v>
      </c>
      <c r="C1585" s="30" t="s">
        <v>3409</v>
      </c>
      <c r="D1585" s="31">
        <v>1.51</v>
      </c>
      <c r="E1585" s="31">
        <v>-1.31</v>
      </c>
      <c r="F1585" s="31">
        <v>5651537100</v>
      </c>
    </row>
    <row r="1586" spans="1:6" ht="15" thickBot="1" x14ac:dyDescent="0.2">
      <c r="A1586" s="30" t="s">
        <v>10286</v>
      </c>
      <c r="B1586" s="26" t="str">
        <f t="shared" si="24"/>
        <v>002543</v>
      </c>
      <c r="C1586" s="30" t="s">
        <v>3088</v>
      </c>
      <c r="D1586" s="31">
        <v>8.5399999999999991</v>
      </c>
      <c r="E1586" s="31">
        <v>2.0299999999999998</v>
      </c>
      <c r="F1586" s="31">
        <v>5650158000</v>
      </c>
    </row>
    <row r="1587" spans="1:6" ht="15" thickBot="1" x14ac:dyDescent="0.2">
      <c r="A1587" s="30" t="s">
        <v>10287</v>
      </c>
      <c r="B1587" s="26" t="str">
        <f t="shared" si="24"/>
        <v>002426</v>
      </c>
      <c r="C1587" s="30" t="s">
        <v>3334</v>
      </c>
      <c r="D1587" s="31">
        <v>1.66</v>
      </c>
      <c r="E1587" s="31">
        <v>-0.6</v>
      </c>
      <c r="F1587" s="31">
        <v>5648315800</v>
      </c>
    </row>
    <row r="1588" spans="1:6" ht="15" thickBot="1" x14ac:dyDescent="0.2">
      <c r="A1588" s="30" t="s">
        <v>10288</v>
      </c>
      <c r="B1588" s="26" t="str">
        <f t="shared" si="24"/>
        <v>688007</v>
      </c>
      <c r="C1588" s="30" t="s">
        <v>3206</v>
      </c>
      <c r="D1588" s="31">
        <v>12.14</v>
      </c>
      <c r="E1588" s="31">
        <v>-4.1100000000000003</v>
      </c>
      <c r="F1588" s="31">
        <v>5646722200</v>
      </c>
    </row>
    <row r="1589" spans="1:6" ht="15" thickBot="1" x14ac:dyDescent="0.2">
      <c r="A1589" s="30" t="s">
        <v>10289</v>
      </c>
      <c r="B1589" s="26" t="str">
        <f t="shared" si="24"/>
        <v>300290</v>
      </c>
      <c r="C1589" s="30" t="s">
        <v>3304</v>
      </c>
      <c r="D1589" s="31">
        <v>8.83</v>
      </c>
      <c r="E1589" s="31">
        <v>-7.93</v>
      </c>
      <c r="F1589" s="31">
        <v>5644333300</v>
      </c>
    </row>
    <row r="1590" spans="1:6" ht="15" thickBot="1" x14ac:dyDescent="0.2">
      <c r="A1590" s="30" t="s">
        <v>10290</v>
      </c>
      <c r="B1590" s="26" t="str">
        <f t="shared" si="24"/>
        <v>603306</v>
      </c>
      <c r="C1590" s="30" t="s">
        <v>3148</v>
      </c>
      <c r="D1590" s="31">
        <v>17.3</v>
      </c>
      <c r="E1590" s="31">
        <v>-3.03</v>
      </c>
      <c r="F1590" s="31">
        <v>5641429300</v>
      </c>
    </row>
    <row r="1591" spans="1:6" ht="15" thickBot="1" x14ac:dyDescent="0.2">
      <c r="A1591" s="30" t="s">
        <v>10291</v>
      </c>
      <c r="B1591" s="26" t="str">
        <f t="shared" si="24"/>
        <v>002941</v>
      </c>
      <c r="C1591" s="30" t="s">
        <v>3284</v>
      </c>
      <c r="D1591" s="31">
        <v>8.81</v>
      </c>
      <c r="E1591" s="31">
        <v>-2.65</v>
      </c>
      <c r="F1591" s="31">
        <v>5636197800</v>
      </c>
    </row>
    <row r="1592" spans="1:6" ht="15" thickBot="1" x14ac:dyDescent="0.2">
      <c r="A1592" s="30" t="s">
        <v>10292</v>
      </c>
      <c r="B1592" s="26" t="str">
        <f t="shared" si="24"/>
        <v>600053</v>
      </c>
      <c r="C1592" s="30" t="s">
        <v>3659</v>
      </c>
      <c r="D1592" s="31">
        <v>13</v>
      </c>
      <c r="E1592" s="31">
        <v>9.98</v>
      </c>
      <c r="F1592" s="31">
        <v>5636030400</v>
      </c>
    </row>
    <row r="1593" spans="1:6" ht="15" thickBot="1" x14ac:dyDescent="0.2">
      <c r="A1593" s="30" t="s">
        <v>10293</v>
      </c>
      <c r="B1593" s="26" t="str">
        <f t="shared" si="24"/>
        <v>002703</v>
      </c>
      <c r="C1593" s="30" t="s">
        <v>2957</v>
      </c>
      <c r="D1593" s="31">
        <v>10.19</v>
      </c>
      <c r="E1593" s="31">
        <v>-1.26</v>
      </c>
      <c r="F1593" s="31">
        <v>5635684700</v>
      </c>
    </row>
    <row r="1594" spans="1:6" ht="15" thickBot="1" x14ac:dyDescent="0.2">
      <c r="A1594" s="30" t="s">
        <v>10294</v>
      </c>
      <c r="B1594" s="26" t="str">
        <f t="shared" si="24"/>
        <v>000915</v>
      </c>
      <c r="C1594" s="30" t="s">
        <v>3312</v>
      </c>
      <c r="D1594" s="31">
        <v>24.04</v>
      </c>
      <c r="E1594" s="31">
        <v>0.71</v>
      </c>
      <c r="F1594" s="31">
        <v>5630341900</v>
      </c>
    </row>
    <row r="1595" spans="1:6" ht="15" thickBot="1" x14ac:dyDescent="0.2">
      <c r="A1595" s="30" t="s">
        <v>10295</v>
      </c>
      <c r="B1595" s="26" t="str">
        <f t="shared" si="24"/>
        <v>600226</v>
      </c>
      <c r="C1595" s="30" t="s">
        <v>3372</v>
      </c>
      <c r="D1595" s="31">
        <v>1.84</v>
      </c>
      <c r="E1595" s="31">
        <v>-0.54</v>
      </c>
      <c r="F1595" s="31">
        <v>5628701100</v>
      </c>
    </row>
    <row r="1596" spans="1:6" ht="15" thickBot="1" x14ac:dyDescent="0.2">
      <c r="A1596" s="30" t="s">
        <v>10296</v>
      </c>
      <c r="B1596" s="26" t="str">
        <f t="shared" si="24"/>
        <v>002034</v>
      </c>
      <c r="C1596" s="30" t="s">
        <v>3326</v>
      </c>
      <c r="D1596" s="31">
        <v>13.17</v>
      </c>
      <c r="E1596" s="31">
        <v>-1.1299999999999999</v>
      </c>
      <c r="F1596" s="31">
        <v>5628100000</v>
      </c>
    </row>
    <row r="1597" spans="1:6" ht="15" thickBot="1" x14ac:dyDescent="0.2">
      <c r="A1597" s="30" t="s">
        <v>10297</v>
      </c>
      <c r="B1597" s="26" t="str">
        <f t="shared" si="24"/>
        <v>600744</v>
      </c>
      <c r="C1597" s="30" t="s">
        <v>3419</v>
      </c>
      <c r="D1597" s="31">
        <v>2.77</v>
      </c>
      <c r="E1597" s="31">
        <v>1.1000000000000001</v>
      </c>
      <c r="F1597" s="31">
        <v>5626214200</v>
      </c>
    </row>
    <row r="1598" spans="1:6" ht="15" thickBot="1" x14ac:dyDescent="0.2">
      <c r="A1598" s="30" t="s">
        <v>10298</v>
      </c>
      <c r="B1598" s="26" t="str">
        <f t="shared" si="24"/>
        <v>688003</v>
      </c>
      <c r="C1598" s="30" t="s">
        <v>3300</v>
      </c>
      <c r="D1598" s="31">
        <v>29.12</v>
      </c>
      <c r="E1598" s="31">
        <v>7.0000000000000007E-2</v>
      </c>
      <c r="F1598" s="31">
        <v>5626187800</v>
      </c>
    </row>
    <row r="1599" spans="1:6" ht="15" thickBot="1" x14ac:dyDescent="0.2">
      <c r="A1599" s="30" t="s">
        <v>10299</v>
      </c>
      <c r="B1599" s="26" t="str">
        <f t="shared" si="24"/>
        <v>600198</v>
      </c>
      <c r="C1599" s="30" t="s">
        <v>2975</v>
      </c>
      <c r="D1599" s="31">
        <v>6.39</v>
      </c>
      <c r="E1599" s="31">
        <v>9.98</v>
      </c>
      <c r="F1599" s="31">
        <v>5626105800</v>
      </c>
    </row>
    <row r="1600" spans="1:6" ht="15" thickBot="1" x14ac:dyDescent="0.2">
      <c r="A1600" s="30" t="s">
        <v>10300</v>
      </c>
      <c r="B1600" s="26" t="str">
        <f t="shared" si="24"/>
        <v>603663</v>
      </c>
      <c r="C1600" s="30" t="s">
        <v>3180</v>
      </c>
      <c r="D1600" s="31">
        <v>13.29</v>
      </c>
      <c r="E1600" s="31">
        <v>0.15</v>
      </c>
      <c r="F1600" s="31">
        <v>5619274500</v>
      </c>
    </row>
    <row r="1601" spans="1:6" ht="15" thickBot="1" x14ac:dyDescent="0.2">
      <c r="A1601" s="30" t="s">
        <v>10301</v>
      </c>
      <c r="B1601" s="26" t="str">
        <f t="shared" si="24"/>
        <v>002913</v>
      </c>
      <c r="C1601" s="30" t="s">
        <v>2751</v>
      </c>
      <c r="D1601" s="31">
        <v>21.96</v>
      </c>
      <c r="E1601" s="31">
        <v>-2.92</v>
      </c>
      <c r="F1601" s="31">
        <v>5615237300</v>
      </c>
    </row>
    <row r="1602" spans="1:6" ht="15" thickBot="1" x14ac:dyDescent="0.2">
      <c r="A1602" s="30" t="s">
        <v>10302</v>
      </c>
      <c r="B1602" s="26" t="str">
        <f t="shared" si="24"/>
        <v>002238</v>
      </c>
      <c r="C1602" s="30" t="s">
        <v>3352</v>
      </c>
      <c r="D1602" s="31">
        <v>6.97</v>
      </c>
      <c r="E1602" s="31">
        <v>-0.99</v>
      </c>
      <c r="F1602" s="31">
        <v>5593837300</v>
      </c>
    </row>
    <row r="1603" spans="1:6" ht="15" thickBot="1" x14ac:dyDescent="0.2">
      <c r="A1603" s="30" t="s">
        <v>10303</v>
      </c>
      <c r="B1603" s="26" t="str">
        <f t="shared" ref="B1603:B1666" si="25">LEFT(A1603,6)</f>
        <v>002096</v>
      </c>
      <c r="C1603" s="30" t="s">
        <v>1542</v>
      </c>
      <c r="D1603" s="31">
        <v>11.45</v>
      </c>
      <c r="E1603" s="31">
        <v>0.62</v>
      </c>
      <c r="F1603" s="31">
        <v>5592521900</v>
      </c>
    </row>
    <row r="1604" spans="1:6" ht="15" thickBot="1" x14ac:dyDescent="0.2">
      <c r="A1604" s="30" t="s">
        <v>10304</v>
      </c>
      <c r="B1604" s="26" t="str">
        <f t="shared" si="25"/>
        <v>300917</v>
      </c>
      <c r="C1604" s="30" t="s">
        <v>3621</v>
      </c>
      <c r="D1604" s="31">
        <v>33.090000000000003</v>
      </c>
      <c r="E1604" s="31">
        <v>8.89</v>
      </c>
      <c r="F1604" s="31">
        <v>5592210000</v>
      </c>
    </row>
    <row r="1605" spans="1:6" ht="15" thickBot="1" x14ac:dyDescent="0.2">
      <c r="A1605" s="30" t="s">
        <v>10305</v>
      </c>
      <c r="B1605" s="26" t="str">
        <f t="shared" si="25"/>
        <v>605118</v>
      </c>
      <c r="C1605" s="30" t="s">
        <v>3320</v>
      </c>
      <c r="D1605" s="31">
        <v>13.73</v>
      </c>
      <c r="E1605" s="31">
        <v>7.0000000000000007E-2</v>
      </c>
      <c r="F1605" s="31">
        <v>5589702700</v>
      </c>
    </row>
    <row r="1606" spans="1:6" ht="15" thickBot="1" x14ac:dyDescent="0.2">
      <c r="A1606" s="30" t="s">
        <v>10306</v>
      </c>
      <c r="B1606" s="26" t="str">
        <f t="shared" si="25"/>
        <v>002993</v>
      </c>
      <c r="C1606" s="30" t="s">
        <v>2991</v>
      </c>
      <c r="D1606" s="31">
        <v>23.49</v>
      </c>
      <c r="E1606" s="31">
        <v>0.43</v>
      </c>
      <c r="F1606" s="31">
        <v>5588893500</v>
      </c>
    </row>
    <row r="1607" spans="1:6" ht="15" thickBot="1" x14ac:dyDescent="0.2">
      <c r="A1607" s="30" t="s">
        <v>10307</v>
      </c>
      <c r="B1607" s="26" t="str">
        <f t="shared" si="25"/>
        <v>300705</v>
      </c>
      <c r="C1607" s="30" t="s">
        <v>2220</v>
      </c>
      <c r="D1607" s="31">
        <v>18.989999999999998</v>
      </c>
      <c r="E1607" s="31">
        <v>0.37</v>
      </c>
      <c r="F1607" s="31">
        <v>5586955000</v>
      </c>
    </row>
    <row r="1608" spans="1:6" ht="15" thickBot="1" x14ac:dyDescent="0.2">
      <c r="A1608" s="30" t="s">
        <v>10308</v>
      </c>
      <c r="B1608" s="26" t="str">
        <f t="shared" si="25"/>
        <v>600313</v>
      </c>
      <c r="C1608" s="30" t="s">
        <v>3395</v>
      </c>
      <c r="D1608" s="31">
        <v>5.16</v>
      </c>
      <c r="E1608" s="31">
        <v>-1.71</v>
      </c>
      <c r="F1608" s="31">
        <v>5584145100</v>
      </c>
    </row>
    <row r="1609" spans="1:6" ht="15" thickBot="1" x14ac:dyDescent="0.2">
      <c r="A1609" s="30" t="s">
        <v>10309</v>
      </c>
      <c r="B1609" s="26" t="str">
        <f t="shared" si="25"/>
        <v>600751</v>
      </c>
      <c r="C1609" s="30" t="s">
        <v>3314</v>
      </c>
      <c r="D1609" s="31">
        <v>2.17</v>
      </c>
      <c r="E1609" s="31">
        <v>0</v>
      </c>
      <c r="F1609" s="31">
        <v>5583820200</v>
      </c>
    </row>
    <row r="1610" spans="1:6" ht="15" thickBot="1" x14ac:dyDescent="0.2">
      <c r="A1610" s="30" t="s">
        <v>10310</v>
      </c>
      <c r="B1610" s="26" t="str">
        <f t="shared" si="25"/>
        <v>300036</v>
      </c>
      <c r="C1610" s="30" t="s">
        <v>3056</v>
      </c>
      <c r="D1610" s="31">
        <v>12.76</v>
      </c>
      <c r="E1610" s="31">
        <v>-0.7</v>
      </c>
      <c r="F1610" s="31">
        <v>5579016000</v>
      </c>
    </row>
    <row r="1611" spans="1:6" ht="15" thickBot="1" x14ac:dyDescent="0.2">
      <c r="A1611" s="30" t="s">
        <v>10311</v>
      </c>
      <c r="B1611" s="26" t="str">
        <f t="shared" si="25"/>
        <v>688172</v>
      </c>
      <c r="C1611" s="30" t="s">
        <v>10312</v>
      </c>
      <c r="D1611" s="31">
        <v>12.12</v>
      </c>
      <c r="E1611" s="31">
        <v>-0.66</v>
      </c>
      <c r="F1611" s="31">
        <v>5570217200</v>
      </c>
    </row>
    <row r="1612" spans="1:6" ht="15" thickBot="1" x14ac:dyDescent="0.2">
      <c r="A1612" s="30" t="s">
        <v>10313</v>
      </c>
      <c r="B1612" s="26" t="str">
        <f t="shared" si="25"/>
        <v>000078</v>
      </c>
      <c r="C1612" s="30" t="s">
        <v>3399</v>
      </c>
      <c r="D1612" s="31">
        <v>2.12</v>
      </c>
      <c r="E1612" s="31">
        <v>-0.94</v>
      </c>
      <c r="F1612" s="31">
        <v>5568055200</v>
      </c>
    </row>
    <row r="1613" spans="1:6" ht="15" thickBot="1" x14ac:dyDescent="0.2">
      <c r="A1613" s="30" t="s">
        <v>10314</v>
      </c>
      <c r="B1613" s="26" t="str">
        <f t="shared" si="25"/>
        <v>300398</v>
      </c>
      <c r="C1613" s="30" t="s">
        <v>3318</v>
      </c>
      <c r="D1613" s="31">
        <v>10.6</v>
      </c>
      <c r="E1613" s="31">
        <v>1.1499999999999999</v>
      </c>
      <c r="F1613" s="31">
        <v>5567082600</v>
      </c>
    </row>
    <row r="1614" spans="1:6" ht="15" thickBot="1" x14ac:dyDescent="0.2">
      <c r="A1614" s="30" t="s">
        <v>10315</v>
      </c>
      <c r="B1614" s="26" t="str">
        <f t="shared" si="25"/>
        <v>688327</v>
      </c>
      <c r="C1614" s="30" t="s">
        <v>10316</v>
      </c>
      <c r="D1614" s="31">
        <v>7.4</v>
      </c>
      <c r="E1614" s="31">
        <v>-1.86</v>
      </c>
      <c r="F1614" s="31">
        <v>5564865600</v>
      </c>
    </row>
    <row r="1615" spans="1:6" ht="15" thickBot="1" x14ac:dyDescent="0.2">
      <c r="A1615" s="30" t="s">
        <v>10317</v>
      </c>
      <c r="B1615" s="26" t="str">
        <f t="shared" si="25"/>
        <v>872808</v>
      </c>
      <c r="C1615" s="30" t="s">
        <v>10318</v>
      </c>
      <c r="D1615" s="31">
        <v>28.57</v>
      </c>
      <c r="E1615" s="31">
        <v>1.67</v>
      </c>
      <c r="F1615" s="31">
        <v>5560278100</v>
      </c>
    </row>
    <row r="1616" spans="1:6" ht="15" thickBot="1" x14ac:dyDescent="0.2">
      <c r="A1616" s="30" t="s">
        <v>10319</v>
      </c>
      <c r="B1616" s="26" t="str">
        <f t="shared" si="25"/>
        <v>002097</v>
      </c>
      <c r="C1616" s="30" t="s">
        <v>3348</v>
      </c>
      <c r="D1616" s="31">
        <v>5.18</v>
      </c>
      <c r="E1616" s="31">
        <v>-2.08</v>
      </c>
      <c r="F1616" s="31">
        <v>5556377600</v>
      </c>
    </row>
    <row r="1617" spans="1:6" ht="15" thickBot="1" x14ac:dyDescent="0.2">
      <c r="A1617" s="30" t="s">
        <v>10320</v>
      </c>
      <c r="B1617" s="26" t="str">
        <f t="shared" si="25"/>
        <v>002537</v>
      </c>
      <c r="C1617" s="30" t="s">
        <v>3276</v>
      </c>
      <c r="D1617" s="31">
        <v>4.72</v>
      </c>
      <c r="E1617" s="31">
        <v>-4.6500000000000004</v>
      </c>
      <c r="F1617" s="31">
        <v>5541359000</v>
      </c>
    </row>
    <row r="1618" spans="1:6" ht="15" thickBot="1" x14ac:dyDescent="0.2">
      <c r="A1618" s="30" t="s">
        <v>10321</v>
      </c>
      <c r="B1618" s="26" t="str">
        <f t="shared" si="25"/>
        <v>605020</v>
      </c>
      <c r="C1618" s="30" t="s">
        <v>10322</v>
      </c>
      <c r="D1618" s="31">
        <v>14.65</v>
      </c>
      <c r="E1618" s="31">
        <v>0.62</v>
      </c>
      <c r="F1618" s="31">
        <v>5539026200</v>
      </c>
    </row>
    <row r="1619" spans="1:6" ht="15" thickBot="1" x14ac:dyDescent="0.2">
      <c r="A1619" s="30" t="s">
        <v>10323</v>
      </c>
      <c r="B1619" s="26" t="str">
        <f t="shared" si="25"/>
        <v>001309</v>
      </c>
      <c r="C1619" s="30" t="s">
        <v>10324</v>
      </c>
      <c r="D1619" s="31">
        <v>63.49</v>
      </c>
      <c r="E1619" s="31">
        <v>-0.64</v>
      </c>
      <c r="F1619" s="31">
        <v>5536215300</v>
      </c>
    </row>
    <row r="1620" spans="1:6" ht="15" thickBot="1" x14ac:dyDescent="0.2">
      <c r="A1620" s="30" t="s">
        <v>10325</v>
      </c>
      <c r="B1620" s="26" t="str">
        <f t="shared" si="25"/>
        <v>002997</v>
      </c>
      <c r="C1620" s="30" t="s">
        <v>3374</v>
      </c>
      <c r="D1620" s="31">
        <v>26.41</v>
      </c>
      <c r="E1620" s="31">
        <v>0.8</v>
      </c>
      <c r="F1620" s="31">
        <v>5528176200</v>
      </c>
    </row>
    <row r="1621" spans="1:6" ht="15" thickBot="1" x14ac:dyDescent="0.2">
      <c r="A1621" s="30" t="s">
        <v>10326</v>
      </c>
      <c r="B1621" s="26" t="str">
        <f t="shared" si="25"/>
        <v>600073</v>
      </c>
      <c r="C1621" s="30" t="s">
        <v>3378</v>
      </c>
      <c r="D1621" s="31">
        <v>5.89</v>
      </c>
      <c r="E1621" s="31">
        <v>-0.51</v>
      </c>
      <c r="F1621" s="31">
        <v>5523226600</v>
      </c>
    </row>
    <row r="1622" spans="1:6" ht="15" thickBot="1" x14ac:dyDescent="0.2">
      <c r="A1622" s="30" t="s">
        <v>10327</v>
      </c>
      <c r="B1622" s="26" t="str">
        <f t="shared" si="25"/>
        <v>605507</v>
      </c>
      <c r="C1622" s="30" t="s">
        <v>10328</v>
      </c>
      <c r="D1622" s="31">
        <v>18.3</v>
      </c>
      <c r="E1622" s="31">
        <v>-1.45</v>
      </c>
      <c r="F1622" s="31">
        <v>5521516000</v>
      </c>
    </row>
    <row r="1623" spans="1:6" ht="15" thickBot="1" x14ac:dyDescent="0.2">
      <c r="A1623" s="30" t="s">
        <v>10329</v>
      </c>
      <c r="B1623" s="26" t="str">
        <f t="shared" si="25"/>
        <v>688690</v>
      </c>
      <c r="C1623" s="30" t="s">
        <v>3356</v>
      </c>
      <c r="D1623" s="31">
        <v>13.67</v>
      </c>
      <c r="E1623" s="31">
        <v>-0.94</v>
      </c>
      <c r="F1623" s="31">
        <v>5520147800</v>
      </c>
    </row>
    <row r="1624" spans="1:6" ht="15" thickBot="1" x14ac:dyDescent="0.2">
      <c r="A1624" s="30" t="s">
        <v>10330</v>
      </c>
      <c r="B1624" s="26" t="str">
        <f t="shared" si="25"/>
        <v>002960</v>
      </c>
      <c r="C1624" s="30" t="s">
        <v>2903</v>
      </c>
      <c r="D1624" s="31">
        <v>8.9</v>
      </c>
      <c r="E1624" s="31">
        <v>-0.45</v>
      </c>
      <c r="F1624" s="31">
        <v>5517565600</v>
      </c>
    </row>
    <row r="1625" spans="1:6" ht="15" thickBot="1" x14ac:dyDescent="0.2">
      <c r="A1625" s="30" t="s">
        <v>10331</v>
      </c>
      <c r="B1625" s="26" t="str">
        <f t="shared" si="25"/>
        <v>300841</v>
      </c>
      <c r="C1625" s="30" t="s">
        <v>3116</v>
      </c>
      <c r="D1625" s="31">
        <v>45.14</v>
      </c>
      <c r="E1625" s="31">
        <v>0.22</v>
      </c>
      <c r="F1625" s="31">
        <v>5517521300</v>
      </c>
    </row>
    <row r="1626" spans="1:6" ht="15" thickBot="1" x14ac:dyDescent="0.2">
      <c r="A1626" s="30" t="s">
        <v>10332</v>
      </c>
      <c r="B1626" s="26" t="str">
        <f t="shared" si="25"/>
        <v>002959</v>
      </c>
      <c r="C1626" s="30" t="s">
        <v>3360</v>
      </c>
      <c r="D1626" s="31">
        <v>35.79</v>
      </c>
      <c r="E1626" s="31">
        <v>1.91</v>
      </c>
      <c r="F1626" s="31">
        <v>5517380100</v>
      </c>
    </row>
    <row r="1627" spans="1:6" ht="15" thickBot="1" x14ac:dyDescent="0.2">
      <c r="A1627" s="30" t="s">
        <v>10333</v>
      </c>
      <c r="B1627" s="26" t="str">
        <f t="shared" si="25"/>
        <v>600742</v>
      </c>
      <c r="C1627" s="30" t="s">
        <v>3475</v>
      </c>
      <c r="D1627" s="31">
        <v>7.42</v>
      </c>
      <c r="E1627" s="31">
        <v>2.63</v>
      </c>
      <c r="F1627" s="31">
        <v>5513489500</v>
      </c>
    </row>
    <row r="1628" spans="1:6" ht="15" thickBot="1" x14ac:dyDescent="0.2">
      <c r="A1628" s="30" t="s">
        <v>10334</v>
      </c>
      <c r="B1628" s="26" t="str">
        <f t="shared" si="25"/>
        <v>603169</v>
      </c>
      <c r="C1628" s="30" t="s">
        <v>3401</v>
      </c>
      <c r="D1628" s="31">
        <v>4.22</v>
      </c>
      <c r="E1628" s="31">
        <v>0.24</v>
      </c>
      <c r="F1628" s="31">
        <v>5512551400</v>
      </c>
    </row>
    <row r="1629" spans="1:6" ht="15" thickBot="1" x14ac:dyDescent="0.2">
      <c r="A1629" s="30" t="s">
        <v>10335</v>
      </c>
      <c r="B1629" s="26" t="str">
        <f t="shared" si="25"/>
        <v>300723</v>
      </c>
      <c r="C1629" s="30" t="s">
        <v>3118</v>
      </c>
      <c r="D1629" s="31">
        <v>13.03</v>
      </c>
      <c r="E1629" s="31">
        <v>-3.2</v>
      </c>
      <c r="F1629" s="31">
        <v>5509330500</v>
      </c>
    </row>
    <row r="1630" spans="1:6" ht="15" thickBot="1" x14ac:dyDescent="0.2">
      <c r="A1630" s="30" t="s">
        <v>10336</v>
      </c>
      <c r="B1630" s="26" t="str">
        <f t="shared" si="25"/>
        <v>000524</v>
      </c>
      <c r="C1630" s="30" t="s">
        <v>3380</v>
      </c>
      <c r="D1630" s="31">
        <v>8.2200000000000006</v>
      </c>
      <c r="E1630" s="31">
        <v>-0.36</v>
      </c>
      <c r="F1630" s="31">
        <v>5507195700</v>
      </c>
    </row>
    <row r="1631" spans="1:6" ht="15" thickBot="1" x14ac:dyDescent="0.2">
      <c r="A1631" s="30" t="s">
        <v>10337</v>
      </c>
      <c r="B1631" s="26" t="str">
        <f t="shared" si="25"/>
        <v>605198</v>
      </c>
      <c r="C1631" s="30" t="s">
        <v>3142</v>
      </c>
      <c r="D1631" s="31">
        <v>20.350000000000001</v>
      </c>
      <c r="E1631" s="31">
        <v>0.64</v>
      </c>
      <c r="F1631" s="31">
        <v>5505407600</v>
      </c>
    </row>
    <row r="1632" spans="1:6" ht="15" thickBot="1" x14ac:dyDescent="0.2">
      <c r="A1632" s="30" t="s">
        <v>10338</v>
      </c>
      <c r="B1632" s="26" t="str">
        <f t="shared" si="25"/>
        <v>300463</v>
      </c>
      <c r="C1632" s="30" t="s">
        <v>2791</v>
      </c>
      <c r="D1632" s="31">
        <v>11.2</v>
      </c>
      <c r="E1632" s="31">
        <v>-2.44</v>
      </c>
      <c r="F1632" s="31">
        <v>5504854000</v>
      </c>
    </row>
    <row r="1633" spans="1:6" ht="15" thickBot="1" x14ac:dyDescent="0.2">
      <c r="A1633" s="30" t="s">
        <v>10339</v>
      </c>
      <c r="B1633" s="26" t="str">
        <f t="shared" si="25"/>
        <v>002541</v>
      </c>
      <c r="C1633" s="30" t="s">
        <v>2608</v>
      </c>
      <c r="D1633" s="31">
        <v>11.09</v>
      </c>
      <c r="E1633" s="31">
        <v>0.36</v>
      </c>
      <c r="F1633" s="31">
        <v>5502551700</v>
      </c>
    </row>
    <row r="1634" spans="1:6" ht="15" thickBot="1" x14ac:dyDescent="0.2">
      <c r="A1634" s="30" t="s">
        <v>10340</v>
      </c>
      <c r="B1634" s="26" t="str">
        <f t="shared" si="25"/>
        <v>002533</v>
      </c>
      <c r="C1634" s="30" t="s">
        <v>3258</v>
      </c>
      <c r="D1634" s="31">
        <v>8.6199999999999992</v>
      </c>
      <c r="E1634" s="31">
        <v>7.48</v>
      </c>
      <c r="F1634" s="31">
        <v>5494618700</v>
      </c>
    </row>
    <row r="1635" spans="1:6" ht="15" thickBot="1" x14ac:dyDescent="0.2">
      <c r="A1635" s="30" t="s">
        <v>10341</v>
      </c>
      <c r="B1635" s="26" t="str">
        <f t="shared" si="25"/>
        <v>605123</v>
      </c>
      <c r="C1635" s="30" t="s">
        <v>3370</v>
      </c>
      <c r="D1635" s="31">
        <v>45.33</v>
      </c>
      <c r="E1635" s="31">
        <v>0.24</v>
      </c>
      <c r="F1635" s="31">
        <v>5492676500</v>
      </c>
    </row>
    <row r="1636" spans="1:6" ht="15" thickBot="1" x14ac:dyDescent="0.2">
      <c r="A1636" s="30" t="s">
        <v>10342</v>
      </c>
      <c r="B1636" s="26" t="str">
        <f t="shared" si="25"/>
        <v>300913</v>
      </c>
      <c r="C1636" s="30" t="s">
        <v>2839</v>
      </c>
      <c r="D1636" s="31">
        <v>25.84</v>
      </c>
      <c r="E1636" s="31">
        <v>-1.3</v>
      </c>
      <c r="F1636" s="31">
        <v>5484670100</v>
      </c>
    </row>
    <row r="1637" spans="1:6" ht="15" thickBot="1" x14ac:dyDescent="0.2">
      <c r="A1637" s="30" t="s">
        <v>10343</v>
      </c>
      <c r="B1637" s="26" t="str">
        <f t="shared" si="25"/>
        <v>002324</v>
      </c>
      <c r="C1637" s="30" t="s">
        <v>2522</v>
      </c>
      <c r="D1637" s="31">
        <v>7.07</v>
      </c>
      <c r="E1637" s="31">
        <v>-0.7</v>
      </c>
      <c r="F1637" s="31">
        <v>5480871800</v>
      </c>
    </row>
    <row r="1638" spans="1:6" ht="15" thickBot="1" x14ac:dyDescent="0.2">
      <c r="A1638" s="30" t="s">
        <v>10344</v>
      </c>
      <c r="B1638" s="26" t="str">
        <f t="shared" si="25"/>
        <v>603229</v>
      </c>
      <c r="C1638" s="30" t="s">
        <v>3413</v>
      </c>
      <c r="D1638" s="31">
        <v>6.6</v>
      </c>
      <c r="E1638" s="31">
        <v>-1.05</v>
      </c>
      <c r="F1638" s="31">
        <v>5479961200</v>
      </c>
    </row>
    <row r="1639" spans="1:6" ht="15" thickBot="1" x14ac:dyDescent="0.2">
      <c r="A1639" s="30" t="s">
        <v>10345</v>
      </c>
      <c r="B1639" s="26" t="str">
        <f t="shared" si="25"/>
        <v>688298</v>
      </c>
      <c r="C1639" s="30" t="s">
        <v>3286</v>
      </c>
      <c r="D1639" s="31">
        <v>27.18</v>
      </c>
      <c r="E1639" s="31">
        <v>-4.7</v>
      </c>
      <c r="F1639" s="31">
        <v>5479488000</v>
      </c>
    </row>
    <row r="1640" spans="1:6" ht="15" thickBot="1" x14ac:dyDescent="0.2">
      <c r="A1640" s="30" t="s">
        <v>10346</v>
      </c>
      <c r="B1640" s="26" t="str">
        <f t="shared" si="25"/>
        <v>300166</v>
      </c>
      <c r="C1640" s="30" t="s">
        <v>2795</v>
      </c>
      <c r="D1640" s="31">
        <v>6.05</v>
      </c>
      <c r="E1640" s="31">
        <v>-1.95</v>
      </c>
      <c r="F1640" s="31">
        <v>5478761200</v>
      </c>
    </row>
    <row r="1641" spans="1:6" ht="15" thickBot="1" x14ac:dyDescent="0.2">
      <c r="A1641" s="30" t="s">
        <v>10347</v>
      </c>
      <c r="B1641" s="26" t="str">
        <f t="shared" si="25"/>
        <v>300171</v>
      </c>
      <c r="C1641" s="30" t="s">
        <v>2632</v>
      </c>
      <c r="D1641" s="31">
        <v>9.73</v>
      </c>
      <c r="E1641" s="31">
        <v>-1.1200000000000001</v>
      </c>
      <c r="F1641" s="31">
        <v>5474013900</v>
      </c>
    </row>
    <row r="1642" spans="1:6" ht="15" thickBot="1" x14ac:dyDescent="0.2">
      <c r="A1642" s="30" t="s">
        <v>10348</v>
      </c>
      <c r="B1642" s="26" t="str">
        <f t="shared" si="25"/>
        <v>000488</v>
      </c>
      <c r="C1642" s="30" t="s">
        <v>2819</v>
      </c>
      <c r="D1642" s="31">
        <v>3.25</v>
      </c>
      <c r="E1642" s="31">
        <v>-0.61</v>
      </c>
      <c r="F1642" s="31">
        <v>5469213300</v>
      </c>
    </row>
    <row r="1643" spans="1:6" ht="15" thickBot="1" x14ac:dyDescent="0.2">
      <c r="A1643" s="30" t="s">
        <v>10349</v>
      </c>
      <c r="B1643" s="26" t="str">
        <f t="shared" si="25"/>
        <v>002516</v>
      </c>
      <c r="C1643" s="30" t="s">
        <v>3342</v>
      </c>
      <c r="D1643" s="31">
        <v>3.75</v>
      </c>
      <c r="E1643" s="31">
        <v>-2.85</v>
      </c>
      <c r="F1643" s="31">
        <v>5453413800</v>
      </c>
    </row>
    <row r="1644" spans="1:6" ht="15" thickBot="1" x14ac:dyDescent="0.2">
      <c r="A1644" s="30" t="s">
        <v>10350</v>
      </c>
      <c r="B1644" s="26" t="str">
        <f t="shared" si="25"/>
        <v>600618</v>
      </c>
      <c r="C1644" s="30" t="s">
        <v>2870</v>
      </c>
      <c r="D1644" s="31">
        <v>7.27</v>
      </c>
      <c r="E1644" s="31">
        <v>0</v>
      </c>
      <c r="F1644" s="31">
        <v>5451336600</v>
      </c>
    </row>
    <row r="1645" spans="1:6" ht="15" thickBot="1" x14ac:dyDescent="0.2">
      <c r="A1645" s="30" t="s">
        <v>10351</v>
      </c>
      <c r="B1645" s="26" t="str">
        <f t="shared" si="25"/>
        <v>688305</v>
      </c>
      <c r="C1645" s="30" t="s">
        <v>3236</v>
      </c>
      <c r="D1645" s="31">
        <v>58.49</v>
      </c>
      <c r="E1645" s="31">
        <v>3.16</v>
      </c>
      <c r="F1645" s="31">
        <v>5449967000</v>
      </c>
    </row>
    <row r="1646" spans="1:6" ht="15" thickBot="1" x14ac:dyDescent="0.2">
      <c r="A1646" s="30" t="s">
        <v>10352</v>
      </c>
      <c r="B1646" s="26" t="str">
        <f t="shared" si="25"/>
        <v>600389</v>
      </c>
      <c r="C1646" s="30" t="s">
        <v>3405</v>
      </c>
      <c r="D1646" s="31">
        <v>12.65</v>
      </c>
      <c r="E1646" s="31">
        <v>-0.63</v>
      </c>
      <c r="F1646" s="31">
        <v>5447722500</v>
      </c>
    </row>
    <row r="1647" spans="1:6" ht="15" thickBot="1" x14ac:dyDescent="0.2">
      <c r="A1647" s="30" t="s">
        <v>10353</v>
      </c>
      <c r="B1647" s="26" t="str">
        <f t="shared" si="25"/>
        <v>688343</v>
      </c>
      <c r="C1647" s="30" t="s">
        <v>10354</v>
      </c>
      <c r="D1647" s="31">
        <v>21.12</v>
      </c>
      <c r="E1647" s="31">
        <v>-1.36</v>
      </c>
      <c r="F1647" s="31">
        <v>5446011900</v>
      </c>
    </row>
    <row r="1648" spans="1:6" ht="15" thickBot="1" x14ac:dyDescent="0.2">
      <c r="A1648" s="30" t="s">
        <v>10355</v>
      </c>
      <c r="B1648" s="26" t="str">
        <f t="shared" si="25"/>
        <v>003009</v>
      </c>
      <c r="C1648" s="30" t="s">
        <v>3431</v>
      </c>
      <c r="D1648" s="31">
        <v>35.04</v>
      </c>
      <c r="E1648" s="31">
        <v>-1.24</v>
      </c>
      <c r="F1648" s="31">
        <v>5444961700</v>
      </c>
    </row>
    <row r="1649" spans="1:6" ht="15" thickBot="1" x14ac:dyDescent="0.2">
      <c r="A1649" s="30" t="s">
        <v>10356</v>
      </c>
      <c r="B1649" s="26" t="str">
        <f t="shared" si="25"/>
        <v>600551</v>
      </c>
      <c r="C1649" s="30" t="s">
        <v>3449</v>
      </c>
      <c r="D1649" s="31">
        <v>8.01</v>
      </c>
      <c r="E1649" s="31">
        <v>0.13</v>
      </c>
      <c r="F1649" s="31">
        <v>5431222500</v>
      </c>
    </row>
    <row r="1650" spans="1:6" ht="15" thickBot="1" x14ac:dyDescent="0.2">
      <c r="A1650" s="30" t="s">
        <v>10357</v>
      </c>
      <c r="B1650" s="26" t="str">
        <f t="shared" si="25"/>
        <v>000620</v>
      </c>
      <c r="C1650" s="30" t="s">
        <v>2586</v>
      </c>
      <c r="D1650" s="31">
        <v>1.31</v>
      </c>
      <c r="E1650" s="31">
        <v>-2.2400000000000002</v>
      </c>
      <c r="F1650" s="31">
        <v>5430013900</v>
      </c>
    </row>
    <row r="1651" spans="1:6" ht="15" thickBot="1" x14ac:dyDescent="0.2">
      <c r="A1651" s="30" t="s">
        <v>10358</v>
      </c>
      <c r="B1651" s="26" t="str">
        <f t="shared" si="25"/>
        <v>300085</v>
      </c>
      <c r="C1651" s="30" t="s">
        <v>3214</v>
      </c>
      <c r="D1651" s="31">
        <v>8.5500000000000007</v>
      </c>
      <c r="E1651" s="31">
        <v>-1.27</v>
      </c>
      <c r="F1651" s="31">
        <v>5428107400</v>
      </c>
    </row>
    <row r="1652" spans="1:6" ht="15" thickBot="1" x14ac:dyDescent="0.2">
      <c r="A1652" s="30" t="s">
        <v>10359</v>
      </c>
      <c r="B1652" s="26" t="str">
        <f t="shared" si="25"/>
        <v>688091</v>
      </c>
      <c r="C1652" s="30" t="s">
        <v>3407</v>
      </c>
      <c r="D1652" s="31">
        <v>26.37</v>
      </c>
      <c r="E1652" s="31">
        <v>-0.98</v>
      </c>
      <c r="F1652" s="31">
        <v>5425887000</v>
      </c>
    </row>
    <row r="1653" spans="1:6" ht="15" thickBot="1" x14ac:dyDescent="0.2">
      <c r="A1653" s="30" t="s">
        <v>10360</v>
      </c>
      <c r="B1653" s="26" t="str">
        <f t="shared" si="25"/>
        <v>688798</v>
      </c>
      <c r="C1653" s="30" t="s">
        <v>10361</v>
      </c>
      <c r="D1653" s="31">
        <v>40.1</v>
      </c>
      <c r="E1653" s="31">
        <v>0.93</v>
      </c>
      <c r="F1653" s="31">
        <v>5424886100</v>
      </c>
    </row>
    <row r="1654" spans="1:6" ht="15" thickBot="1" x14ac:dyDescent="0.2">
      <c r="A1654" s="30" t="s">
        <v>10362</v>
      </c>
      <c r="B1654" s="26" t="str">
        <f t="shared" si="25"/>
        <v>301510</v>
      </c>
      <c r="C1654" s="30" t="s">
        <v>10363</v>
      </c>
      <c r="D1654" s="31">
        <v>19.34</v>
      </c>
      <c r="E1654" s="31">
        <v>-0.62</v>
      </c>
      <c r="F1654" s="31">
        <v>5422949900</v>
      </c>
    </row>
    <row r="1655" spans="1:6" ht="15" thickBot="1" x14ac:dyDescent="0.2">
      <c r="A1655" s="30" t="s">
        <v>10364</v>
      </c>
      <c r="B1655" s="26" t="str">
        <f t="shared" si="25"/>
        <v>688686</v>
      </c>
      <c r="C1655" s="30" t="s">
        <v>3340</v>
      </c>
      <c r="D1655" s="31">
        <v>44.36</v>
      </c>
      <c r="E1655" s="31">
        <v>-1.1599999999999999</v>
      </c>
      <c r="F1655" s="31">
        <v>5422364800</v>
      </c>
    </row>
    <row r="1656" spans="1:6" ht="15" thickBot="1" x14ac:dyDescent="0.2">
      <c r="A1656" s="30" t="s">
        <v>10365</v>
      </c>
      <c r="B1656" s="26" t="str">
        <f t="shared" si="25"/>
        <v>002681</v>
      </c>
      <c r="C1656" s="30" t="s">
        <v>2835</v>
      </c>
      <c r="D1656" s="31">
        <v>3.66</v>
      </c>
      <c r="E1656" s="31">
        <v>-2.14</v>
      </c>
      <c r="F1656" s="31">
        <v>5418390000</v>
      </c>
    </row>
    <row r="1657" spans="1:6" ht="15" thickBot="1" x14ac:dyDescent="0.2">
      <c r="A1657" s="30" t="s">
        <v>10366</v>
      </c>
      <c r="B1657" s="26" t="str">
        <f t="shared" si="25"/>
        <v>300638</v>
      </c>
      <c r="C1657" s="30" t="s">
        <v>2556</v>
      </c>
      <c r="D1657" s="31">
        <v>10.18</v>
      </c>
      <c r="E1657" s="31">
        <v>-0.68</v>
      </c>
      <c r="F1657" s="31">
        <v>5416535500</v>
      </c>
    </row>
    <row r="1658" spans="1:6" ht="15" thickBot="1" x14ac:dyDescent="0.2">
      <c r="A1658" s="30" t="s">
        <v>10367</v>
      </c>
      <c r="B1658" s="26" t="str">
        <f t="shared" si="25"/>
        <v>603680</v>
      </c>
      <c r="C1658" s="30" t="s">
        <v>3455</v>
      </c>
      <c r="D1658" s="31">
        <v>6.91</v>
      </c>
      <c r="E1658" s="31">
        <v>-0.57999999999999996</v>
      </c>
      <c r="F1658" s="31">
        <v>5415496700</v>
      </c>
    </row>
    <row r="1659" spans="1:6" ht="15" thickBot="1" x14ac:dyDescent="0.2">
      <c r="A1659" s="30" t="s">
        <v>10368</v>
      </c>
      <c r="B1659" s="26" t="str">
        <f t="shared" si="25"/>
        <v>688389</v>
      </c>
      <c r="C1659" s="30" t="s">
        <v>3298</v>
      </c>
      <c r="D1659" s="31">
        <v>12.64</v>
      </c>
      <c r="E1659" s="31">
        <v>-2.77</v>
      </c>
      <c r="F1659" s="31">
        <v>5415344600</v>
      </c>
    </row>
    <row r="1660" spans="1:6" ht="15" thickBot="1" x14ac:dyDescent="0.2">
      <c r="A1660" s="30" t="s">
        <v>10369</v>
      </c>
      <c r="B1660" s="26" t="str">
        <f t="shared" si="25"/>
        <v>600866</v>
      </c>
      <c r="C1660" s="30" t="s">
        <v>2510</v>
      </c>
      <c r="D1660" s="31">
        <v>4.88</v>
      </c>
      <c r="E1660" s="31">
        <v>-0.21</v>
      </c>
      <c r="F1660" s="31">
        <v>5413744900</v>
      </c>
    </row>
    <row r="1661" spans="1:6" ht="15" thickBot="1" x14ac:dyDescent="0.2">
      <c r="A1661" s="30" t="s">
        <v>10370</v>
      </c>
      <c r="B1661" s="26" t="str">
        <f t="shared" si="25"/>
        <v>300098</v>
      </c>
      <c r="C1661" s="30" t="s">
        <v>3070</v>
      </c>
      <c r="D1661" s="31">
        <v>3.51</v>
      </c>
      <c r="E1661" s="31">
        <v>-1.96</v>
      </c>
      <c r="F1661" s="31">
        <v>5411520100</v>
      </c>
    </row>
    <row r="1662" spans="1:6" ht="15" thickBot="1" x14ac:dyDescent="0.2">
      <c r="A1662" s="30" t="s">
        <v>10371</v>
      </c>
      <c r="B1662" s="26" t="str">
        <f t="shared" si="25"/>
        <v>300602</v>
      </c>
      <c r="C1662" s="30" t="s">
        <v>2478</v>
      </c>
      <c r="D1662" s="31">
        <v>13.78</v>
      </c>
      <c r="E1662" s="31">
        <v>-1.08</v>
      </c>
      <c r="F1662" s="31">
        <v>5398659100</v>
      </c>
    </row>
    <row r="1663" spans="1:6" ht="15" thickBot="1" x14ac:dyDescent="0.2">
      <c r="A1663" s="30" t="s">
        <v>10372</v>
      </c>
      <c r="B1663" s="26" t="str">
        <f t="shared" si="25"/>
        <v>300102</v>
      </c>
      <c r="C1663" s="30" t="s">
        <v>3501</v>
      </c>
      <c r="D1663" s="31">
        <v>5.9</v>
      </c>
      <c r="E1663" s="31">
        <v>-0.84</v>
      </c>
      <c r="F1663" s="31">
        <v>5394855900</v>
      </c>
    </row>
    <row r="1664" spans="1:6" ht="15" thickBot="1" x14ac:dyDescent="0.2">
      <c r="A1664" s="30" t="s">
        <v>10373</v>
      </c>
      <c r="B1664" s="26" t="str">
        <f t="shared" si="25"/>
        <v>002819</v>
      </c>
      <c r="C1664" s="30" t="s">
        <v>2787</v>
      </c>
      <c r="D1664" s="31">
        <v>22.97</v>
      </c>
      <c r="E1664" s="31">
        <v>2.3199999999999998</v>
      </c>
      <c r="F1664" s="31">
        <v>5393320000</v>
      </c>
    </row>
    <row r="1665" spans="1:6" ht="15" thickBot="1" x14ac:dyDescent="0.2">
      <c r="A1665" s="30" t="s">
        <v>10374</v>
      </c>
      <c r="B1665" s="26" t="str">
        <f t="shared" si="25"/>
        <v>300671</v>
      </c>
      <c r="C1665" s="30" t="s">
        <v>3376</v>
      </c>
      <c r="D1665" s="31">
        <v>24.84</v>
      </c>
      <c r="E1665" s="31">
        <v>-0.8</v>
      </c>
      <c r="F1665" s="31">
        <v>5389614400</v>
      </c>
    </row>
    <row r="1666" spans="1:6" ht="15" thickBot="1" x14ac:dyDescent="0.2">
      <c r="A1666" s="30" t="s">
        <v>10375</v>
      </c>
      <c r="B1666" s="26" t="str">
        <f t="shared" si="25"/>
        <v>603367</v>
      </c>
      <c r="C1666" s="30" t="s">
        <v>3441</v>
      </c>
      <c r="D1666" s="31">
        <v>11.9</v>
      </c>
      <c r="E1666" s="31">
        <v>-0.08</v>
      </c>
      <c r="F1666" s="31">
        <v>5387774100</v>
      </c>
    </row>
    <row r="1667" spans="1:6" ht="15" thickBot="1" x14ac:dyDescent="0.2">
      <c r="A1667" s="30" t="s">
        <v>10376</v>
      </c>
      <c r="B1667" s="26" t="str">
        <f t="shared" ref="B1667:B1730" si="26">LEFT(A1667,6)</f>
        <v>002258</v>
      </c>
      <c r="C1667" s="30" t="s">
        <v>3427</v>
      </c>
      <c r="D1667" s="31">
        <v>6.74</v>
      </c>
      <c r="E1667" s="31">
        <v>-1.46</v>
      </c>
      <c r="F1667" s="31">
        <v>5386273300</v>
      </c>
    </row>
    <row r="1668" spans="1:6" ht="15" thickBot="1" x14ac:dyDescent="0.2">
      <c r="A1668" s="30" t="s">
        <v>10377</v>
      </c>
      <c r="B1668" s="26" t="str">
        <f t="shared" si="26"/>
        <v>600106</v>
      </c>
      <c r="C1668" s="30" t="s">
        <v>3919</v>
      </c>
      <c r="D1668" s="31">
        <v>4.05</v>
      </c>
      <c r="E1668" s="31">
        <v>5.2</v>
      </c>
      <c r="F1668" s="31">
        <v>5382551500</v>
      </c>
    </row>
    <row r="1669" spans="1:6" ht="15" thickBot="1" x14ac:dyDescent="0.2">
      <c r="A1669" s="30" t="s">
        <v>10378</v>
      </c>
      <c r="B1669" s="26" t="str">
        <f t="shared" si="26"/>
        <v>300284</v>
      </c>
      <c r="C1669" s="30" t="s">
        <v>2560</v>
      </c>
      <c r="D1669" s="31">
        <v>5.96</v>
      </c>
      <c r="E1669" s="31">
        <v>0.51</v>
      </c>
      <c r="F1669" s="31">
        <v>5382034300</v>
      </c>
    </row>
    <row r="1670" spans="1:6" ht="15" thickBot="1" x14ac:dyDescent="0.2">
      <c r="A1670" s="30" t="s">
        <v>10379</v>
      </c>
      <c r="B1670" s="26" t="str">
        <f t="shared" si="26"/>
        <v>600370</v>
      </c>
      <c r="C1670" s="30" t="s">
        <v>3732</v>
      </c>
      <c r="D1670" s="31">
        <v>1.38</v>
      </c>
      <c r="E1670" s="31">
        <v>1.47</v>
      </c>
      <c r="F1670" s="31">
        <v>5376968400</v>
      </c>
    </row>
    <row r="1671" spans="1:6" ht="15" thickBot="1" x14ac:dyDescent="0.2">
      <c r="A1671" s="30" t="s">
        <v>10380</v>
      </c>
      <c r="B1671" s="26" t="str">
        <f t="shared" si="26"/>
        <v>002935</v>
      </c>
      <c r="C1671" s="30" t="s">
        <v>3724</v>
      </c>
      <c r="D1671" s="31">
        <v>12.95</v>
      </c>
      <c r="E1671" s="31">
        <v>1.73</v>
      </c>
      <c r="F1671" s="31">
        <v>5375427000</v>
      </c>
    </row>
    <row r="1672" spans="1:6" ht="15" thickBot="1" x14ac:dyDescent="0.2">
      <c r="A1672" s="30" t="s">
        <v>10381</v>
      </c>
      <c r="B1672" s="26" t="str">
        <f t="shared" si="26"/>
        <v>603348</v>
      </c>
      <c r="C1672" s="30" t="s">
        <v>3006</v>
      </c>
      <c r="D1672" s="31">
        <v>20.350000000000001</v>
      </c>
      <c r="E1672" s="31">
        <v>0.64</v>
      </c>
      <c r="F1672" s="31">
        <v>5373831600</v>
      </c>
    </row>
    <row r="1673" spans="1:6" ht="15" thickBot="1" x14ac:dyDescent="0.2">
      <c r="A1673" s="30" t="s">
        <v>10382</v>
      </c>
      <c r="B1673" s="26" t="str">
        <f t="shared" si="26"/>
        <v>603301</v>
      </c>
      <c r="C1673" s="30" t="s">
        <v>3473</v>
      </c>
      <c r="D1673" s="31">
        <v>20.12</v>
      </c>
      <c r="E1673" s="31">
        <v>-1.57</v>
      </c>
      <c r="F1673" s="31">
        <v>5360998200</v>
      </c>
    </row>
    <row r="1674" spans="1:6" ht="15" thickBot="1" x14ac:dyDescent="0.2">
      <c r="A1674" s="30" t="s">
        <v>10383</v>
      </c>
      <c r="B1674" s="26" t="str">
        <f t="shared" si="26"/>
        <v>000025</v>
      </c>
      <c r="C1674" s="30" t="s">
        <v>3425</v>
      </c>
      <c r="D1674" s="31">
        <v>13.64</v>
      </c>
      <c r="E1674" s="31">
        <v>-1.1599999999999999</v>
      </c>
      <c r="F1674" s="31">
        <v>5357496300</v>
      </c>
    </row>
    <row r="1675" spans="1:6" ht="15" thickBot="1" x14ac:dyDescent="0.2">
      <c r="A1675" s="30" t="s">
        <v>10384</v>
      </c>
      <c r="B1675" s="26" t="str">
        <f t="shared" si="26"/>
        <v>002880</v>
      </c>
      <c r="C1675" s="30" t="s">
        <v>3330</v>
      </c>
      <c r="D1675" s="31">
        <v>23.68</v>
      </c>
      <c r="E1675" s="31">
        <v>-1.25</v>
      </c>
      <c r="F1675" s="31">
        <v>5352208100</v>
      </c>
    </row>
    <row r="1676" spans="1:6" ht="15" thickBot="1" x14ac:dyDescent="0.2">
      <c r="A1676" s="30" t="s">
        <v>10385</v>
      </c>
      <c r="B1676" s="26" t="str">
        <f t="shared" si="26"/>
        <v>002390</v>
      </c>
      <c r="C1676" s="30" t="s">
        <v>3308</v>
      </c>
      <c r="D1676" s="31">
        <v>2.89</v>
      </c>
      <c r="E1676" s="31">
        <v>-2.37</v>
      </c>
      <c r="F1676" s="31">
        <v>5351264600</v>
      </c>
    </row>
    <row r="1677" spans="1:6" ht="15" thickBot="1" x14ac:dyDescent="0.2">
      <c r="A1677" s="30" t="s">
        <v>10386</v>
      </c>
      <c r="B1677" s="26" t="str">
        <f t="shared" si="26"/>
        <v>688559</v>
      </c>
      <c r="C1677" s="30" t="s">
        <v>2911</v>
      </c>
      <c r="D1677" s="31">
        <v>26.23</v>
      </c>
      <c r="E1677" s="31">
        <v>-2.4900000000000002</v>
      </c>
      <c r="F1677" s="31">
        <v>5349923300</v>
      </c>
    </row>
    <row r="1678" spans="1:6" ht="15" thickBot="1" x14ac:dyDescent="0.2">
      <c r="A1678" s="30" t="s">
        <v>10387</v>
      </c>
      <c r="B1678" s="26" t="str">
        <f t="shared" si="26"/>
        <v>000631</v>
      </c>
      <c r="C1678" s="30" t="s">
        <v>3579</v>
      </c>
      <c r="D1678" s="31">
        <v>2.23</v>
      </c>
      <c r="E1678" s="31">
        <v>0.91</v>
      </c>
      <c r="F1678" s="31">
        <v>5341472400</v>
      </c>
    </row>
    <row r="1679" spans="1:6" ht="15" thickBot="1" x14ac:dyDescent="0.2">
      <c r="A1679" s="30" t="s">
        <v>10388</v>
      </c>
      <c r="B1679" s="26" t="str">
        <f t="shared" si="26"/>
        <v>688498</v>
      </c>
      <c r="C1679" s="30" t="s">
        <v>10389</v>
      </c>
      <c r="D1679" s="31">
        <v>90.04</v>
      </c>
      <c r="E1679" s="31">
        <v>4.2300000000000004</v>
      </c>
      <c r="F1679" s="31">
        <v>5340702800</v>
      </c>
    </row>
    <row r="1680" spans="1:6" ht="15" thickBot="1" x14ac:dyDescent="0.2">
      <c r="A1680" s="30" t="s">
        <v>10390</v>
      </c>
      <c r="B1680" s="26" t="str">
        <f t="shared" si="26"/>
        <v>002690</v>
      </c>
      <c r="C1680" s="30" t="s">
        <v>1947</v>
      </c>
      <c r="D1680" s="31">
        <v>12.35</v>
      </c>
      <c r="E1680" s="31">
        <v>0</v>
      </c>
      <c r="F1680" s="31">
        <v>5340456300</v>
      </c>
    </row>
    <row r="1681" spans="1:6" ht="15" thickBot="1" x14ac:dyDescent="0.2">
      <c r="A1681" s="30" t="s">
        <v>10391</v>
      </c>
      <c r="B1681" s="26" t="str">
        <f t="shared" si="26"/>
        <v>600186</v>
      </c>
      <c r="C1681" s="30" t="s">
        <v>3384</v>
      </c>
      <c r="D1681" s="31">
        <v>2.99</v>
      </c>
      <c r="E1681" s="31">
        <v>-0.99</v>
      </c>
      <c r="F1681" s="31">
        <v>5339993900</v>
      </c>
    </row>
    <row r="1682" spans="1:6" ht="15" thickBot="1" x14ac:dyDescent="0.2">
      <c r="A1682" s="30" t="s">
        <v>10392</v>
      </c>
      <c r="B1682" s="26" t="str">
        <f t="shared" si="26"/>
        <v>000968</v>
      </c>
      <c r="C1682" s="30" t="s">
        <v>3603</v>
      </c>
      <c r="D1682" s="31">
        <v>5.51</v>
      </c>
      <c r="E1682" s="31">
        <v>0.55000000000000004</v>
      </c>
      <c r="F1682" s="31">
        <v>5330939700</v>
      </c>
    </row>
    <row r="1683" spans="1:6" ht="15" thickBot="1" x14ac:dyDescent="0.2">
      <c r="A1683" s="30" t="s">
        <v>10393</v>
      </c>
      <c r="B1683" s="26" t="str">
        <f t="shared" si="26"/>
        <v>600726</v>
      </c>
      <c r="C1683" s="30" t="s">
        <v>1493</v>
      </c>
      <c r="D1683" s="31">
        <v>1.94</v>
      </c>
      <c r="E1683" s="31">
        <v>-0.51</v>
      </c>
      <c r="F1683" s="31">
        <v>5329849000</v>
      </c>
    </row>
    <row r="1684" spans="1:6" ht="15" thickBot="1" x14ac:dyDescent="0.2">
      <c r="A1684" s="30" t="s">
        <v>10394</v>
      </c>
      <c r="B1684" s="26" t="str">
        <f t="shared" si="26"/>
        <v>002706</v>
      </c>
      <c r="C1684" s="30" t="s">
        <v>2983</v>
      </c>
      <c r="D1684" s="31">
        <v>5.82</v>
      </c>
      <c r="E1684" s="31">
        <v>-0.17</v>
      </c>
      <c r="F1684" s="31">
        <v>5323699500</v>
      </c>
    </row>
    <row r="1685" spans="1:6" ht="15" thickBot="1" x14ac:dyDescent="0.2">
      <c r="A1685" s="30" t="s">
        <v>10395</v>
      </c>
      <c r="B1685" s="26" t="str">
        <f t="shared" si="26"/>
        <v>002322</v>
      </c>
      <c r="C1685" s="30" t="s">
        <v>3423</v>
      </c>
      <c r="D1685" s="31">
        <v>14.58</v>
      </c>
      <c r="E1685" s="31">
        <v>1.32</v>
      </c>
      <c r="F1685" s="31">
        <v>5321986900</v>
      </c>
    </row>
    <row r="1686" spans="1:6" ht="15" thickBot="1" x14ac:dyDescent="0.2">
      <c r="A1686" s="30" t="s">
        <v>10396</v>
      </c>
      <c r="B1686" s="26" t="str">
        <f t="shared" si="26"/>
        <v>002038</v>
      </c>
      <c r="C1686" s="30" t="s">
        <v>3022</v>
      </c>
      <c r="D1686" s="31">
        <v>6.25</v>
      </c>
      <c r="E1686" s="31">
        <v>-1.1100000000000001</v>
      </c>
      <c r="F1686" s="31">
        <v>5321972800</v>
      </c>
    </row>
    <row r="1687" spans="1:6" ht="15" thickBot="1" x14ac:dyDescent="0.2">
      <c r="A1687" s="30" t="s">
        <v>10397</v>
      </c>
      <c r="B1687" s="26" t="str">
        <f t="shared" si="26"/>
        <v>000008</v>
      </c>
      <c r="C1687" s="30" t="s">
        <v>3497</v>
      </c>
      <c r="D1687" s="31">
        <v>1.98</v>
      </c>
      <c r="E1687" s="31">
        <v>-2.46</v>
      </c>
      <c r="F1687" s="31">
        <v>5318328200</v>
      </c>
    </row>
    <row r="1688" spans="1:6" ht="15" thickBot="1" x14ac:dyDescent="0.2">
      <c r="A1688" s="30" t="s">
        <v>10398</v>
      </c>
      <c r="B1688" s="26" t="str">
        <f t="shared" si="26"/>
        <v>600897</v>
      </c>
      <c r="C1688" s="30" t="s">
        <v>3571</v>
      </c>
      <c r="D1688" s="31">
        <v>12.74</v>
      </c>
      <c r="E1688" s="31">
        <v>0.47</v>
      </c>
      <c r="F1688" s="31">
        <v>5311739200</v>
      </c>
    </row>
    <row r="1689" spans="1:6" ht="15" thickBot="1" x14ac:dyDescent="0.2">
      <c r="A1689" s="30" t="s">
        <v>10399</v>
      </c>
      <c r="B1689" s="26" t="str">
        <f t="shared" si="26"/>
        <v>301267</v>
      </c>
      <c r="C1689" s="30" t="s">
        <v>10400</v>
      </c>
      <c r="D1689" s="31">
        <v>16.14</v>
      </c>
      <c r="E1689" s="31">
        <v>-1.04</v>
      </c>
      <c r="F1689" s="31">
        <v>5307298000</v>
      </c>
    </row>
    <row r="1690" spans="1:6" ht="15" thickBot="1" x14ac:dyDescent="0.2">
      <c r="A1690" s="30" t="s">
        <v>10401</v>
      </c>
      <c r="B1690" s="26" t="str">
        <f t="shared" si="26"/>
        <v>300337</v>
      </c>
      <c r="C1690" s="30" t="s">
        <v>3062</v>
      </c>
      <c r="D1690" s="31">
        <v>7.46</v>
      </c>
      <c r="E1690" s="31">
        <v>0.81</v>
      </c>
      <c r="F1690" s="31">
        <v>5306924100</v>
      </c>
    </row>
    <row r="1691" spans="1:6" ht="15" thickBot="1" x14ac:dyDescent="0.2">
      <c r="A1691" s="30" t="s">
        <v>10402</v>
      </c>
      <c r="B1691" s="26" t="str">
        <f t="shared" si="26"/>
        <v>300087</v>
      </c>
      <c r="C1691" s="30" t="s">
        <v>3411</v>
      </c>
      <c r="D1691" s="31">
        <v>5.92</v>
      </c>
      <c r="E1691" s="31">
        <v>-1.17</v>
      </c>
      <c r="F1691" s="31">
        <v>5303758000</v>
      </c>
    </row>
    <row r="1692" spans="1:6" ht="15" thickBot="1" x14ac:dyDescent="0.2">
      <c r="A1692" s="30" t="s">
        <v>10403</v>
      </c>
      <c r="B1692" s="26" t="str">
        <f t="shared" si="26"/>
        <v>002292</v>
      </c>
      <c r="C1692" s="30" t="s">
        <v>2552</v>
      </c>
      <c r="D1692" s="31">
        <v>5.21</v>
      </c>
      <c r="E1692" s="31">
        <v>-1.88</v>
      </c>
      <c r="F1692" s="31">
        <v>5303072700</v>
      </c>
    </row>
    <row r="1693" spans="1:6" ht="15" thickBot="1" x14ac:dyDescent="0.2">
      <c r="A1693" s="30" t="s">
        <v>10404</v>
      </c>
      <c r="B1693" s="26" t="str">
        <f t="shared" si="26"/>
        <v>600429</v>
      </c>
      <c r="C1693" s="30" t="s">
        <v>3499</v>
      </c>
      <c r="D1693" s="31">
        <v>3.54</v>
      </c>
      <c r="E1693" s="31">
        <v>-1.94</v>
      </c>
      <c r="F1693" s="31">
        <v>5301353300</v>
      </c>
    </row>
    <row r="1694" spans="1:6" ht="15" thickBot="1" x14ac:dyDescent="0.2">
      <c r="A1694" s="30" t="s">
        <v>10405</v>
      </c>
      <c r="B1694" s="26" t="str">
        <f t="shared" si="26"/>
        <v>000501</v>
      </c>
      <c r="C1694" s="30" t="s">
        <v>3557</v>
      </c>
      <c r="D1694" s="31">
        <v>6.9</v>
      </c>
      <c r="E1694" s="31">
        <v>-0.72</v>
      </c>
      <c r="F1694" s="31">
        <v>5301227800</v>
      </c>
    </row>
    <row r="1695" spans="1:6" ht="15" thickBot="1" x14ac:dyDescent="0.2">
      <c r="A1695" s="30" t="s">
        <v>10406</v>
      </c>
      <c r="B1695" s="26" t="str">
        <f t="shared" si="26"/>
        <v>300113</v>
      </c>
      <c r="C1695" s="30" t="s">
        <v>2757</v>
      </c>
      <c r="D1695" s="31">
        <v>10.02</v>
      </c>
      <c r="E1695" s="31">
        <v>-1.96</v>
      </c>
      <c r="F1695" s="31">
        <v>5299789800</v>
      </c>
    </row>
    <row r="1696" spans="1:6" ht="15" thickBot="1" x14ac:dyDescent="0.2">
      <c r="A1696" s="30" t="s">
        <v>10407</v>
      </c>
      <c r="B1696" s="26" t="str">
        <f t="shared" si="26"/>
        <v>000819</v>
      </c>
      <c r="C1696" s="30" t="s">
        <v>3218</v>
      </c>
      <c r="D1696" s="31">
        <v>15.18</v>
      </c>
      <c r="E1696" s="31">
        <v>-0.13</v>
      </c>
      <c r="F1696" s="31">
        <v>5294825300</v>
      </c>
    </row>
    <row r="1697" spans="1:6" ht="15" thickBot="1" x14ac:dyDescent="0.2">
      <c r="A1697" s="30" t="s">
        <v>10408</v>
      </c>
      <c r="B1697" s="26" t="str">
        <f t="shared" si="26"/>
        <v>300722</v>
      </c>
      <c r="C1697" s="30" t="s">
        <v>3547</v>
      </c>
      <c r="D1697" s="31">
        <v>19.13</v>
      </c>
      <c r="E1697" s="31">
        <v>2.41</v>
      </c>
      <c r="F1697" s="31">
        <v>5294351500</v>
      </c>
    </row>
    <row r="1698" spans="1:6" ht="15" thickBot="1" x14ac:dyDescent="0.2">
      <c r="A1698" s="30" t="s">
        <v>10409</v>
      </c>
      <c r="B1698" s="26" t="str">
        <f t="shared" si="26"/>
        <v>600054</v>
      </c>
      <c r="C1698" s="30" t="s">
        <v>3051</v>
      </c>
      <c r="D1698" s="31">
        <v>10.31</v>
      </c>
      <c r="E1698" s="31">
        <v>-0.19</v>
      </c>
      <c r="F1698" s="31">
        <v>5292123000</v>
      </c>
    </row>
    <row r="1699" spans="1:6" ht="15" thickBot="1" x14ac:dyDescent="0.2">
      <c r="A1699" s="30" t="s">
        <v>10410</v>
      </c>
      <c r="B1699" s="26" t="str">
        <f t="shared" si="26"/>
        <v>603026</v>
      </c>
      <c r="C1699" s="30" t="s">
        <v>3368</v>
      </c>
      <c r="D1699" s="31">
        <v>26.11</v>
      </c>
      <c r="E1699" s="31">
        <v>-2.2799999999999998</v>
      </c>
      <c r="F1699" s="31">
        <v>5291974800</v>
      </c>
    </row>
    <row r="1700" spans="1:6" ht="15" thickBot="1" x14ac:dyDescent="0.2">
      <c r="A1700" s="30" t="s">
        <v>10411</v>
      </c>
      <c r="B1700" s="26" t="str">
        <f t="shared" si="26"/>
        <v>600986</v>
      </c>
      <c r="C1700" s="30" t="s">
        <v>3224</v>
      </c>
      <c r="D1700" s="31">
        <v>4</v>
      </c>
      <c r="E1700" s="31">
        <v>-0.74</v>
      </c>
      <c r="F1700" s="31">
        <v>5289702400</v>
      </c>
    </row>
    <row r="1701" spans="1:6" ht="15" thickBot="1" x14ac:dyDescent="0.2">
      <c r="A1701" s="30" t="s">
        <v>10412</v>
      </c>
      <c r="B1701" s="26" t="str">
        <f t="shared" si="26"/>
        <v>002349</v>
      </c>
      <c r="C1701" s="30" t="s">
        <v>3447</v>
      </c>
      <c r="D1701" s="31">
        <v>6.52</v>
      </c>
      <c r="E1701" s="31">
        <v>-1.81</v>
      </c>
      <c r="F1701" s="31">
        <v>5289555000</v>
      </c>
    </row>
    <row r="1702" spans="1:6" ht="15" thickBot="1" x14ac:dyDescent="0.2">
      <c r="A1702" s="30" t="s">
        <v>10413</v>
      </c>
      <c r="B1702" s="26" t="str">
        <f t="shared" si="26"/>
        <v>603368</v>
      </c>
      <c r="C1702" s="30" t="s">
        <v>3262</v>
      </c>
      <c r="D1702" s="31">
        <v>14.69</v>
      </c>
      <c r="E1702" s="31">
        <v>-0.81</v>
      </c>
      <c r="F1702" s="31">
        <v>5285648100</v>
      </c>
    </row>
    <row r="1703" spans="1:6" ht="15" thickBot="1" x14ac:dyDescent="0.2">
      <c r="A1703" s="30" t="s">
        <v>10414</v>
      </c>
      <c r="B1703" s="26" t="str">
        <f t="shared" si="26"/>
        <v>601330</v>
      </c>
      <c r="C1703" s="30" t="s">
        <v>3072</v>
      </c>
      <c r="D1703" s="31">
        <v>5.33</v>
      </c>
      <c r="E1703" s="31">
        <v>-0.75</v>
      </c>
      <c r="F1703" s="31">
        <v>5271860800</v>
      </c>
    </row>
    <row r="1704" spans="1:6" ht="15" thickBot="1" x14ac:dyDescent="0.2">
      <c r="A1704" s="30" t="s">
        <v>10415</v>
      </c>
      <c r="B1704" s="26" t="str">
        <f t="shared" si="26"/>
        <v>300077</v>
      </c>
      <c r="C1704" s="30" t="s">
        <v>3328</v>
      </c>
      <c r="D1704" s="31">
        <v>9.31</v>
      </c>
      <c r="E1704" s="31">
        <v>-2.62</v>
      </c>
      <c r="F1704" s="31">
        <v>5269412500</v>
      </c>
    </row>
    <row r="1705" spans="1:6" ht="15" thickBot="1" x14ac:dyDescent="0.2">
      <c r="A1705" s="30" t="s">
        <v>10416</v>
      </c>
      <c r="B1705" s="26" t="str">
        <f t="shared" si="26"/>
        <v>605376</v>
      </c>
      <c r="C1705" s="30" t="s">
        <v>3388</v>
      </c>
      <c r="D1705" s="31">
        <v>20.13</v>
      </c>
      <c r="E1705" s="31">
        <v>-2.4700000000000002</v>
      </c>
      <c r="F1705" s="31">
        <v>5266008000</v>
      </c>
    </row>
    <row r="1706" spans="1:6" ht="15" thickBot="1" x14ac:dyDescent="0.2">
      <c r="A1706" s="30" t="s">
        <v>10417</v>
      </c>
      <c r="B1706" s="26" t="str">
        <f t="shared" si="26"/>
        <v>000541</v>
      </c>
      <c r="C1706" s="30" t="s">
        <v>3158</v>
      </c>
      <c r="D1706" s="31">
        <v>4.4000000000000004</v>
      </c>
      <c r="E1706" s="31">
        <v>0</v>
      </c>
      <c r="F1706" s="31">
        <v>5265342400</v>
      </c>
    </row>
    <row r="1707" spans="1:6" ht="15" thickBot="1" x14ac:dyDescent="0.2">
      <c r="A1707" s="30" t="s">
        <v>10418</v>
      </c>
      <c r="B1707" s="26" t="str">
        <f t="shared" si="26"/>
        <v>002125</v>
      </c>
      <c r="C1707" s="30" t="s">
        <v>3479</v>
      </c>
      <c r="D1707" s="31">
        <v>8.35</v>
      </c>
      <c r="E1707" s="31">
        <v>-0.12</v>
      </c>
      <c r="F1707" s="31">
        <v>5256172300</v>
      </c>
    </row>
    <row r="1708" spans="1:6" ht="15" thickBot="1" x14ac:dyDescent="0.2">
      <c r="A1708" s="30" t="s">
        <v>10419</v>
      </c>
      <c r="B1708" s="26" t="str">
        <f t="shared" si="26"/>
        <v>002897</v>
      </c>
      <c r="C1708" s="30" t="s">
        <v>3016</v>
      </c>
      <c r="D1708" s="31">
        <v>32.19</v>
      </c>
      <c r="E1708" s="31">
        <v>-1.29</v>
      </c>
      <c r="F1708" s="31">
        <v>5254548700</v>
      </c>
    </row>
    <row r="1709" spans="1:6" ht="15" thickBot="1" x14ac:dyDescent="0.2">
      <c r="A1709" s="30" t="s">
        <v>10420</v>
      </c>
      <c r="B1709" s="26" t="str">
        <f t="shared" si="26"/>
        <v>000957</v>
      </c>
      <c r="C1709" s="30" t="s">
        <v>3523</v>
      </c>
      <c r="D1709" s="31">
        <v>8.86</v>
      </c>
      <c r="E1709" s="31">
        <v>0.56999999999999995</v>
      </c>
      <c r="F1709" s="31">
        <v>5253128900</v>
      </c>
    </row>
    <row r="1710" spans="1:6" ht="15" thickBot="1" x14ac:dyDescent="0.2">
      <c r="A1710" s="30" t="s">
        <v>10421</v>
      </c>
      <c r="B1710" s="26" t="str">
        <f t="shared" si="26"/>
        <v>002379</v>
      </c>
      <c r="C1710" s="30" t="s">
        <v>3469</v>
      </c>
      <c r="D1710" s="31">
        <v>4.62</v>
      </c>
      <c r="E1710" s="31">
        <v>-1.49</v>
      </c>
      <c r="F1710" s="31">
        <v>5250046700</v>
      </c>
    </row>
    <row r="1711" spans="1:6" ht="15" thickBot="1" x14ac:dyDescent="0.2">
      <c r="A1711" s="30" t="s">
        <v>10422</v>
      </c>
      <c r="B1711" s="26" t="str">
        <f t="shared" si="26"/>
        <v>601226</v>
      </c>
      <c r="C1711" s="30" t="s">
        <v>3539</v>
      </c>
      <c r="D1711" s="31">
        <v>4.53</v>
      </c>
      <c r="E1711" s="31">
        <v>-1.74</v>
      </c>
      <c r="F1711" s="31">
        <v>5249490800</v>
      </c>
    </row>
    <row r="1712" spans="1:6" ht="15" thickBot="1" x14ac:dyDescent="0.2">
      <c r="A1712" s="30" t="s">
        <v>10423</v>
      </c>
      <c r="B1712" s="26" t="str">
        <f t="shared" si="26"/>
        <v>000735</v>
      </c>
      <c r="C1712" s="30" t="s">
        <v>3521</v>
      </c>
      <c r="D1712" s="31">
        <v>4.5599999999999996</v>
      </c>
      <c r="E1712" s="31">
        <v>-2.56</v>
      </c>
      <c r="F1712" s="31">
        <v>5248092700</v>
      </c>
    </row>
    <row r="1713" spans="1:6" ht="15" thickBot="1" x14ac:dyDescent="0.2">
      <c r="A1713" s="30" t="s">
        <v>10424</v>
      </c>
      <c r="B1713" s="26" t="str">
        <f t="shared" si="26"/>
        <v>600368</v>
      </c>
      <c r="C1713" s="30" t="s">
        <v>3599</v>
      </c>
      <c r="D1713" s="31">
        <v>3.26</v>
      </c>
      <c r="E1713" s="31">
        <v>1.24</v>
      </c>
      <c r="F1713" s="31">
        <v>5247471600</v>
      </c>
    </row>
    <row r="1714" spans="1:6" ht="15" thickBot="1" x14ac:dyDescent="0.2">
      <c r="A1714" s="30" t="s">
        <v>10425</v>
      </c>
      <c r="B1714" s="26" t="str">
        <f t="shared" si="26"/>
        <v>000922</v>
      </c>
      <c r="C1714" s="30" t="s">
        <v>3531</v>
      </c>
      <c r="D1714" s="31">
        <v>8.91</v>
      </c>
      <c r="E1714" s="31">
        <v>1.25</v>
      </c>
      <c r="F1714" s="31">
        <v>5231455300</v>
      </c>
    </row>
    <row r="1715" spans="1:6" ht="15" thickBot="1" x14ac:dyDescent="0.2">
      <c r="A1715" s="30" t="s">
        <v>10426</v>
      </c>
      <c r="B1715" s="26" t="str">
        <f t="shared" si="26"/>
        <v>002106</v>
      </c>
      <c r="C1715" s="30" t="s">
        <v>3495</v>
      </c>
      <c r="D1715" s="31">
        <v>7.43</v>
      </c>
      <c r="E1715" s="31">
        <v>-0.4</v>
      </c>
      <c r="F1715" s="31">
        <v>5231097600</v>
      </c>
    </row>
    <row r="1716" spans="1:6" ht="15" thickBot="1" x14ac:dyDescent="0.2">
      <c r="A1716" s="30" t="s">
        <v>10427</v>
      </c>
      <c r="B1716" s="26" t="str">
        <f t="shared" si="26"/>
        <v>603877</v>
      </c>
      <c r="C1716" s="30" t="s">
        <v>3527</v>
      </c>
      <c r="D1716" s="31">
        <v>11.13</v>
      </c>
      <c r="E1716" s="31">
        <v>-0.09</v>
      </c>
      <c r="F1716" s="31">
        <v>5223562800</v>
      </c>
    </row>
    <row r="1717" spans="1:6" ht="15" thickBot="1" x14ac:dyDescent="0.2">
      <c r="A1717" s="30" t="s">
        <v>10428</v>
      </c>
      <c r="B1717" s="26" t="str">
        <f t="shared" si="26"/>
        <v>300693</v>
      </c>
      <c r="C1717" s="30" t="s">
        <v>2951</v>
      </c>
      <c r="D1717" s="31">
        <v>20.6</v>
      </c>
      <c r="E1717" s="31">
        <v>-0.91</v>
      </c>
      <c r="F1717" s="31">
        <v>5221373400</v>
      </c>
    </row>
    <row r="1718" spans="1:6" ht="15" thickBot="1" x14ac:dyDescent="0.2">
      <c r="A1718" s="30" t="s">
        <v>10429</v>
      </c>
      <c r="B1718" s="26" t="str">
        <f t="shared" si="26"/>
        <v>000813</v>
      </c>
      <c r="C1718" s="30" t="s">
        <v>3555</v>
      </c>
      <c r="D1718" s="31">
        <v>2.41</v>
      </c>
      <c r="E1718" s="31">
        <v>-1.63</v>
      </c>
      <c r="F1718" s="31">
        <v>5216730600</v>
      </c>
    </row>
    <row r="1719" spans="1:6" ht="15" thickBot="1" x14ac:dyDescent="0.2">
      <c r="A1719" s="30" t="s">
        <v>10430</v>
      </c>
      <c r="B1719" s="26" t="str">
        <f t="shared" si="26"/>
        <v>300260</v>
      </c>
      <c r="C1719" s="30" t="s">
        <v>2882</v>
      </c>
      <c r="D1719" s="31">
        <v>18.13</v>
      </c>
      <c r="E1719" s="31">
        <v>12.4</v>
      </c>
      <c r="F1719" s="31">
        <v>5214857800</v>
      </c>
    </row>
    <row r="1720" spans="1:6" ht="15" thickBot="1" x14ac:dyDescent="0.2">
      <c r="A1720" s="30" t="s">
        <v>10431</v>
      </c>
      <c r="B1720" s="26" t="str">
        <f t="shared" si="26"/>
        <v>688700</v>
      </c>
      <c r="C1720" s="30" t="s">
        <v>3437</v>
      </c>
      <c r="D1720" s="31">
        <v>17.47</v>
      </c>
      <c r="E1720" s="31">
        <v>-1.24</v>
      </c>
      <c r="F1720" s="31">
        <v>5213071800</v>
      </c>
    </row>
    <row r="1721" spans="1:6" ht="15" thickBot="1" x14ac:dyDescent="0.2">
      <c r="A1721" s="30" t="s">
        <v>10432</v>
      </c>
      <c r="B1721" s="26" t="str">
        <f t="shared" si="26"/>
        <v>688526</v>
      </c>
      <c r="C1721" s="30" t="s">
        <v>3507</v>
      </c>
      <c r="D1721" s="31">
        <v>11.18</v>
      </c>
      <c r="E1721" s="31">
        <v>-1.1499999999999999</v>
      </c>
      <c r="F1721" s="31">
        <v>5211311700</v>
      </c>
    </row>
    <row r="1722" spans="1:6" ht="15" thickBot="1" x14ac:dyDescent="0.2">
      <c r="A1722" s="30" t="s">
        <v>10433</v>
      </c>
      <c r="B1722" s="26" t="str">
        <f t="shared" si="26"/>
        <v>605016</v>
      </c>
      <c r="C1722" s="30" t="s">
        <v>10434</v>
      </c>
      <c r="D1722" s="31">
        <v>16.11</v>
      </c>
      <c r="E1722" s="31">
        <v>-4.28</v>
      </c>
      <c r="F1722" s="31">
        <v>5204921900</v>
      </c>
    </row>
    <row r="1723" spans="1:6" ht="15" thickBot="1" x14ac:dyDescent="0.2">
      <c r="A1723" s="30" t="s">
        <v>10435</v>
      </c>
      <c r="B1723" s="26" t="str">
        <f t="shared" si="26"/>
        <v>600088</v>
      </c>
      <c r="C1723" s="30" t="s">
        <v>3529</v>
      </c>
      <c r="D1723" s="31">
        <v>13.08</v>
      </c>
      <c r="E1723" s="31">
        <v>-1.21</v>
      </c>
      <c r="F1723" s="31">
        <v>5201999700</v>
      </c>
    </row>
    <row r="1724" spans="1:6" ht="15" thickBot="1" x14ac:dyDescent="0.2">
      <c r="A1724" s="30" t="s">
        <v>10436</v>
      </c>
      <c r="B1724" s="26" t="str">
        <f t="shared" si="26"/>
        <v>002293</v>
      </c>
      <c r="C1724" s="30" t="s">
        <v>3443</v>
      </c>
      <c r="D1724" s="31">
        <v>6.29</v>
      </c>
      <c r="E1724" s="31">
        <v>-1.57</v>
      </c>
      <c r="F1724" s="31">
        <v>5200341300</v>
      </c>
    </row>
    <row r="1725" spans="1:6" ht="15" thickBot="1" x14ac:dyDescent="0.2">
      <c r="A1725" s="30" t="s">
        <v>10437</v>
      </c>
      <c r="B1725" s="26" t="str">
        <f t="shared" si="26"/>
        <v>002102</v>
      </c>
      <c r="C1725" s="30" t="s">
        <v>3170</v>
      </c>
      <c r="D1725" s="31">
        <v>2.23</v>
      </c>
      <c r="E1725" s="31">
        <v>-2.62</v>
      </c>
      <c r="F1725" s="31">
        <v>5198363600</v>
      </c>
    </row>
    <row r="1726" spans="1:6" ht="15" thickBot="1" x14ac:dyDescent="0.2">
      <c r="A1726" s="30" t="s">
        <v>10438</v>
      </c>
      <c r="B1726" s="26" t="str">
        <f t="shared" si="26"/>
        <v>300570</v>
      </c>
      <c r="C1726" s="30" t="s">
        <v>3096</v>
      </c>
      <c r="D1726" s="31">
        <v>26.99</v>
      </c>
      <c r="E1726" s="31">
        <v>-0.95</v>
      </c>
      <c r="F1726" s="31">
        <v>5190040600</v>
      </c>
    </row>
    <row r="1727" spans="1:6" ht="15" thickBot="1" x14ac:dyDescent="0.2">
      <c r="A1727" s="30" t="s">
        <v>10439</v>
      </c>
      <c r="B1727" s="26" t="str">
        <f t="shared" si="26"/>
        <v>300079</v>
      </c>
      <c r="C1727" s="30" t="s">
        <v>3264</v>
      </c>
      <c r="D1727" s="31">
        <v>4.05</v>
      </c>
      <c r="E1727" s="31">
        <v>-1.22</v>
      </c>
      <c r="F1727" s="31">
        <v>5189992600</v>
      </c>
    </row>
    <row r="1728" spans="1:6" ht="15" thickBot="1" x14ac:dyDescent="0.2">
      <c r="A1728" s="30" t="s">
        <v>10440</v>
      </c>
      <c r="B1728" s="26" t="str">
        <f t="shared" si="26"/>
        <v>603915</v>
      </c>
      <c r="C1728" s="30" t="s">
        <v>3589</v>
      </c>
      <c r="D1728" s="31">
        <v>7.9</v>
      </c>
      <c r="E1728" s="31">
        <v>1.41</v>
      </c>
      <c r="F1728" s="31">
        <v>5187396600</v>
      </c>
    </row>
    <row r="1729" spans="1:6" ht="15" thickBot="1" x14ac:dyDescent="0.2">
      <c r="A1729" s="30" t="s">
        <v>10441</v>
      </c>
      <c r="B1729" s="26" t="str">
        <f t="shared" si="26"/>
        <v>002440</v>
      </c>
      <c r="C1729" s="30" t="s">
        <v>3076</v>
      </c>
      <c r="D1729" s="31">
        <v>5.48</v>
      </c>
      <c r="E1729" s="31">
        <v>-1.62</v>
      </c>
      <c r="F1729" s="31">
        <v>5186049700</v>
      </c>
    </row>
    <row r="1730" spans="1:6" ht="15" thickBot="1" x14ac:dyDescent="0.2">
      <c r="A1730" s="30" t="s">
        <v>10442</v>
      </c>
      <c r="B1730" s="26" t="str">
        <f t="shared" si="26"/>
        <v>000900</v>
      </c>
      <c r="C1730" s="30" t="s">
        <v>3635</v>
      </c>
      <c r="D1730" s="31">
        <v>3.41</v>
      </c>
      <c r="E1730" s="31">
        <v>0.28999999999999998</v>
      </c>
      <c r="F1730" s="31">
        <v>5175564400</v>
      </c>
    </row>
    <row r="1731" spans="1:6" ht="15" thickBot="1" x14ac:dyDescent="0.2">
      <c r="A1731" s="30" t="s">
        <v>10443</v>
      </c>
      <c r="B1731" s="26" t="str">
        <f t="shared" ref="B1731:B1794" si="27">LEFT(A1731,6)</f>
        <v>600983</v>
      </c>
      <c r="C1731" s="30" t="s">
        <v>3569</v>
      </c>
      <c r="D1731" s="31">
        <v>6.75</v>
      </c>
      <c r="E1731" s="31">
        <v>0.15</v>
      </c>
      <c r="F1731" s="31">
        <v>5173463300</v>
      </c>
    </row>
    <row r="1732" spans="1:6" ht="15" thickBot="1" x14ac:dyDescent="0.2">
      <c r="A1732" s="30" t="s">
        <v>10444</v>
      </c>
      <c r="B1732" s="26" t="str">
        <f t="shared" si="27"/>
        <v>603067</v>
      </c>
      <c r="C1732" s="30" t="s">
        <v>3609</v>
      </c>
      <c r="D1732" s="31">
        <v>10.16</v>
      </c>
      <c r="E1732" s="31">
        <v>0.79</v>
      </c>
      <c r="F1732" s="31">
        <v>5171604200</v>
      </c>
    </row>
    <row r="1733" spans="1:6" ht="15" thickBot="1" x14ac:dyDescent="0.2">
      <c r="A1733" s="30" t="s">
        <v>10445</v>
      </c>
      <c r="B1733" s="26" t="str">
        <f t="shared" si="27"/>
        <v>600084</v>
      </c>
      <c r="C1733" s="30" t="s">
        <v>3565</v>
      </c>
      <c r="D1733" s="31">
        <v>4.5999999999999996</v>
      </c>
      <c r="E1733" s="31">
        <v>-2.95</v>
      </c>
      <c r="F1733" s="31">
        <v>5169143400</v>
      </c>
    </row>
    <row r="1734" spans="1:6" ht="15" thickBot="1" x14ac:dyDescent="0.2">
      <c r="A1734" s="30" t="s">
        <v>10446</v>
      </c>
      <c r="B1734" s="26" t="str">
        <f t="shared" si="27"/>
        <v>301091</v>
      </c>
      <c r="C1734" s="30" t="s">
        <v>10447</v>
      </c>
      <c r="D1734" s="31">
        <v>26.75</v>
      </c>
      <c r="E1734" s="31">
        <v>0.87</v>
      </c>
      <c r="F1734" s="31">
        <v>5153655000</v>
      </c>
    </row>
    <row r="1735" spans="1:6" ht="15" thickBot="1" x14ac:dyDescent="0.2">
      <c r="A1735" s="30" t="s">
        <v>10448</v>
      </c>
      <c r="B1735" s="26" t="str">
        <f t="shared" si="27"/>
        <v>002749</v>
      </c>
      <c r="C1735" s="30" t="s">
        <v>3270</v>
      </c>
      <c r="D1735" s="31">
        <v>12.19</v>
      </c>
      <c r="E1735" s="31">
        <v>0</v>
      </c>
      <c r="F1735" s="31">
        <v>5152438700</v>
      </c>
    </row>
    <row r="1736" spans="1:6" ht="15" thickBot="1" x14ac:dyDescent="0.2">
      <c r="A1736" s="30" t="s">
        <v>10449</v>
      </c>
      <c r="B1736" s="26" t="str">
        <f t="shared" si="27"/>
        <v>300768</v>
      </c>
      <c r="C1736" s="30" t="s">
        <v>2624</v>
      </c>
      <c r="D1736" s="31">
        <v>12.24</v>
      </c>
      <c r="E1736" s="31">
        <v>-1.37</v>
      </c>
      <c r="F1736" s="31">
        <v>5148972800</v>
      </c>
    </row>
    <row r="1737" spans="1:6" ht="15" thickBot="1" x14ac:dyDescent="0.2">
      <c r="A1737" s="30" t="s">
        <v>10450</v>
      </c>
      <c r="B1737" s="26" t="str">
        <f t="shared" si="27"/>
        <v>603008</v>
      </c>
      <c r="C1737" s="30" t="s">
        <v>3577</v>
      </c>
      <c r="D1737" s="31">
        <v>13.58</v>
      </c>
      <c r="E1737" s="31">
        <v>1.5</v>
      </c>
      <c r="F1737" s="31">
        <v>5146709700</v>
      </c>
    </row>
    <row r="1738" spans="1:6" ht="15" thickBot="1" x14ac:dyDescent="0.2">
      <c r="A1738" s="30" t="s">
        <v>10451</v>
      </c>
      <c r="B1738" s="26" t="str">
        <f t="shared" si="27"/>
        <v>600478</v>
      </c>
      <c r="C1738" s="30" t="s">
        <v>3485</v>
      </c>
      <c r="D1738" s="31">
        <v>3.09</v>
      </c>
      <c r="E1738" s="31">
        <v>-1.59</v>
      </c>
      <c r="F1738" s="31">
        <v>5146521400</v>
      </c>
    </row>
    <row r="1739" spans="1:6" ht="15" thickBot="1" x14ac:dyDescent="0.2">
      <c r="A1739" s="30" t="s">
        <v>10452</v>
      </c>
      <c r="B1739" s="26" t="str">
        <f t="shared" si="27"/>
        <v>300131</v>
      </c>
      <c r="C1739" s="30" t="s">
        <v>3338</v>
      </c>
      <c r="D1739" s="31">
        <v>4.92</v>
      </c>
      <c r="E1739" s="31">
        <v>1.44</v>
      </c>
      <c r="F1739" s="31">
        <v>5140638000</v>
      </c>
    </row>
    <row r="1740" spans="1:6" ht="15" thickBot="1" x14ac:dyDescent="0.2">
      <c r="A1740" s="30" t="s">
        <v>10453</v>
      </c>
      <c r="B1740" s="26" t="str">
        <f t="shared" si="27"/>
        <v>002031</v>
      </c>
      <c r="C1740" s="30" t="s">
        <v>3706</v>
      </c>
      <c r="D1740" s="31">
        <v>2.59</v>
      </c>
      <c r="E1740" s="31">
        <v>10.210000000000001</v>
      </c>
      <c r="F1740" s="31">
        <v>5134022400</v>
      </c>
    </row>
    <row r="1741" spans="1:6" ht="15" thickBot="1" x14ac:dyDescent="0.2">
      <c r="A1741" s="30" t="s">
        <v>10454</v>
      </c>
      <c r="B1741" s="26" t="str">
        <f t="shared" si="27"/>
        <v>600605</v>
      </c>
      <c r="C1741" s="30" t="s">
        <v>3633</v>
      </c>
      <c r="D1741" s="31">
        <v>24.79</v>
      </c>
      <c r="E1741" s="31">
        <v>0.24</v>
      </c>
      <c r="F1741" s="31">
        <v>5113741400</v>
      </c>
    </row>
    <row r="1742" spans="1:6" ht="15" thickBot="1" x14ac:dyDescent="0.2">
      <c r="A1742" s="30" t="s">
        <v>10455</v>
      </c>
      <c r="B1742" s="26" t="str">
        <f t="shared" si="27"/>
        <v>603112</v>
      </c>
      <c r="C1742" s="30" t="s">
        <v>3712</v>
      </c>
      <c r="D1742" s="31">
        <v>11.72</v>
      </c>
      <c r="E1742" s="31">
        <v>-0.68</v>
      </c>
      <c r="F1742" s="31">
        <v>5113352600</v>
      </c>
    </row>
    <row r="1743" spans="1:6" ht="15" thickBot="1" x14ac:dyDescent="0.2">
      <c r="A1743" s="30" t="s">
        <v>10456</v>
      </c>
      <c r="B1743" s="26" t="str">
        <f t="shared" si="27"/>
        <v>603118</v>
      </c>
      <c r="C1743" s="30" t="s">
        <v>3415</v>
      </c>
      <c r="D1743" s="31">
        <v>6.49</v>
      </c>
      <c r="E1743" s="31">
        <v>-2.41</v>
      </c>
      <c r="F1743" s="31">
        <v>5109423900</v>
      </c>
    </row>
    <row r="1744" spans="1:6" ht="15" thickBot="1" x14ac:dyDescent="0.2">
      <c r="A1744" s="30" t="s">
        <v>10457</v>
      </c>
      <c r="B1744" s="26" t="str">
        <f t="shared" si="27"/>
        <v>600961</v>
      </c>
      <c r="C1744" s="30" t="s">
        <v>2747</v>
      </c>
      <c r="D1744" s="31">
        <v>6.79</v>
      </c>
      <c r="E1744" s="31">
        <v>0</v>
      </c>
      <c r="F1744" s="31">
        <v>5104806200</v>
      </c>
    </row>
    <row r="1745" spans="1:6" ht="15" thickBot="1" x14ac:dyDescent="0.2">
      <c r="A1745" s="30" t="s">
        <v>10458</v>
      </c>
      <c r="B1745" s="26" t="str">
        <f t="shared" si="27"/>
        <v>605377</v>
      </c>
      <c r="C1745" s="30" t="s">
        <v>3585</v>
      </c>
      <c r="D1745" s="31">
        <v>10.98</v>
      </c>
      <c r="E1745" s="31">
        <v>-0.81</v>
      </c>
      <c r="F1745" s="31">
        <v>5102460100</v>
      </c>
    </row>
    <row r="1746" spans="1:6" ht="15" thickBot="1" x14ac:dyDescent="0.2">
      <c r="A1746" s="30" t="s">
        <v>10459</v>
      </c>
      <c r="B1746" s="26" t="str">
        <f t="shared" si="27"/>
        <v>002929</v>
      </c>
      <c r="C1746" s="30" t="s">
        <v>2861</v>
      </c>
      <c r="D1746" s="31">
        <v>23.92</v>
      </c>
      <c r="E1746" s="31">
        <v>-0.57999999999999996</v>
      </c>
      <c r="F1746" s="31">
        <v>5102025500</v>
      </c>
    </row>
    <row r="1747" spans="1:6" ht="15" thickBot="1" x14ac:dyDescent="0.2">
      <c r="A1747" s="30" t="s">
        <v>10460</v>
      </c>
      <c r="B1747" s="26" t="str">
        <f t="shared" si="27"/>
        <v>601908</v>
      </c>
      <c r="C1747" s="30" t="s">
        <v>3563</v>
      </c>
      <c r="D1747" s="31">
        <v>2.11</v>
      </c>
      <c r="E1747" s="31">
        <v>-2.3199999999999998</v>
      </c>
      <c r="F1747" s="31">
        <v>5094812000</v>
      </c>
    </row>
    <row r="1748" spans="1:6" ht="15" thickBot="1" x14ac:dyDescent="0.2">
      <c r="A1748" s="30" t="s">
        <v>10461</v>
      </c>
      <c r="B1748" s="26" t="str">
        <f t="shared" si="27"/>
        <v>688131</v>
      </c>
      <c r="C1748" s="30" t="s">
        <v>3471</v>
      </c>
      <c r="D1748" s="31">
        <v>24.75</v>
      </c>
      <c r="E1748" s="31">
        <v>-1.39</v>
      </c>
      <c r="F1748" s="31">
        <v>5092642600</v>
      </c>
    </row>
    <row r="1749" spans="1:6" ht="15" thickBot="1" x14ac:dyDescent="0.2">
      <c r="A1749" s="30" t="s">
        <v>10462</v>
      </c>
      <c r="B1749" s="26" t="str">
        <f t="shared" si="27"/>
        <v>605009</v>
      </c>
      <c r="C1749" s="30" t="s">
        <v>3661</v>
      </c>
      <c r="D1749" s="31">
        <v>32.92</v>
      </c>
      <c r="E1749" s="31">
        <v>0.15</v>
      </c>
      <c r="F1749" s="31">
        <v>5091405500</v>
      </c>
    </row>
    <row r="1750" spans="1:6" ht="15" thickBot="1" x14ac:dyDescent="0.2">
      <c r="A1750" s="30" t="s">
        <v>10463</v>
      </c>
      <c r="B1750" s="26" t="str">
        <f t="shared" si="27"/>
        <v>300516</v>
      </c>
      <c r="C1750" s="30" t="s">
        <v>3797</v>
      </c>
      <c r="D1750" s="31">
        <v>28.27</v>
      </c>
      <c r="E1750" s="31">
        <v>2.39</v>
      </c>
      <c r="F1750" s="31">
        <v>5088600000</v>
      </c>
    </row>
    <row r="1751" spans="1:6" ht="15" thickBot="1" x14ac:dyDescent="0.2">
      <c r="A1751" s="30" t="s">
        <v>10464</v>
      </c>
      <c r="B1751" s="26" t="str">
        <f t="shared" si="27"/>
        <v>603855</v>
      </c>
      <c r="C1751" s="30" t="s">
        <v>3525</v>
      </c>
      <c r="D1751" s="31">
        <v>15.36</v>
      </c>
      <c r="E1751" s="31">
        <v>-0.26</v>
      </c>
      <c r="F1751" s="31">
        <v>5082685400</v>
      </c>
    </row>
    <row r="1752" spans="1:6" ht="15" thickBot="1" x14ac:dyDescent="0.2">
      <c r="A1752" s="30" t="s">
        <v>10465</v>
      </c>
      <c r="B1752" s="26" t="str">
        <f t="shared" si="27"/>
        <v>603383</v>
      </c>
      <c r="C1752" s="30" t="s">
        <v>3573</v>
      </c>
      <c r="D1752" s="31">
        <v>24.9</v>
      </c>
      <c r="E1752" s="31">
        <v>0.53</v>
      </c>
      <c r="F1752" s="31">
        <v>5069865600</v>
      </c>
    </row>
    <row r="1753" spans="1:6" ht="15" thickBot="1" x14ac:dyDescent="0.2">
      <c r="A1753" s="30" t="s">
        <v>10466</v>
      </c>
      <c r="B1753" s="26" t="str">
        <f t="shared" si="27"/>
        <v>600477</v>
      </c>
      <c r="C1753" s="30" t="s">
        <v>3655</v>
      </c>
      <c r="D1753" s="31">
        <v>2.14</v>
      </c>
      <c r="E1753" s="31">
        <v>-0.93</v>
      </c>
      <c r="F1753" s="31">
        <v>5069587600</v>
      </c>
    </row>
    <row r="1754" spans="1:6" ht="15" thickBot="1" x14ac:dyDescent="0.2">
      <c r="A1754" s="30" t="s">
        <v>10467</v>
      </c>
      <c r="B1754" s="26" t="str">
        <f t="shared" si="27"/>
        <v>600604</v>
      </c>
      <c r="C1754" s="30" t="s">
        <v>3561</v>
      </c>
      <c r="D1754" s="31">
        <v>3.6</v>
      </c>
      <c r="E1754" s="31">
        <v>2.56</v>
      </c>
      <c r="F1754" s="31">
        <v>5066837300</v>
      </c>
    </row>
    <row r="1755" spans="1:6" ht="15" thickBot="1" x14ac:dyDescent="0.2">
      <c r="A1755" s="30" t="s">
        <v>10468</v>
      </c>
      <c r="B1755" s="26" t="str">
        <f t="shared" si="27"/>
        <v>002127</v>
      </c>
      <c r="C1755" s="30" t="s">
        <v>3058</v>
      </c>
      <c r="D1755" s="31">
        <v>2.54</v>
      </c>
      <c r="E1755" s="31">
        <v>-1.55</v>
      </c>
      <c r="F1755" s="31">
        <v>5066548700</v>
      </c>
    </row>
    <row r="1756" spans="1:6" ht="15" thickBot="1" x14ac:dyDescent="0.2">
      <c r="A1756" s="30" t="s">
        <v>10469</v>
      </c>
      <c r="B1756" s="26" t="str">
        <f t="shared" si="27"/>
        <v>002611</v>
      </c>
      <c r="C1756" s="30" t="s">
        <v>3100</v>
      </c>
      <c r="D1756" s="31">
        <v>5.09</v>
      </c>
      <c r="E1756" s="31">
        <v>-0.59</v>
      </c>
      <c r="F1756" s="31">
        <v>5064915500</v>
      </c>
    </row>
    <row r="1757" spans="1:6" ht="15" thickBot="1" x14ac:dyDescent="0.2">
      <c r="A1757" s="30" t="s">
        <v>10470</v>
      </c>
      <c r="B1757" s="26" t="str">
        <f t="shared" si="27"/>
        <v>688563</v>
      </c>
      <c r="C1757" s="30" t="s">
        <v>10471</v>
      </c>
      <c r="D1757" s="31">
        <v>43.92</v>
      </c>
      <c r="E1757" s="31">
        <v>-3.94</v>
      </c>
      <c r="F1757" s="31">
        <v>5059100600</v>
      </c>
    </row>
    <row r="1758" spans="1:6" ht="15" thickBot="1" x14ac:dyDescent="0.2">
      <c r="A1758" s="30" t="s">
        <v>10472</v>
      </c>
      <c r="B1758" s="26" t="str">
        <f t="shared" si="27"/>
        <v>605168</v>
      </c>
      <c r="C1758" s="30" t="s">
        <v>3493</v>
      </c>
      <c r="D1758" s="31">
        <v>23.8</v>
      </c>
      <c r="E1758" s="31">
        <v>-3.21</v>
      </c>
      <c r="F1758" s="31">
        <v>5058093500</v>
      </c>
    </row>
    <row r="1759" spans="1:6" ht="15" thickBot="1" x14ac:dyDescent="0.2">
      <c r="A1759" s="30" t="s">
        <v>10473</v>
      </c>
      <c r="B1759" s="26" t="str">
        <f t="shared" si="27"/>
        <v>300151</v>
      </c>
      <c r="C1759" s="30" t="s">
        <v>2644</v>
      </c>
      <c r="D1759" s="31">
        <v>13.71</v>
      </c>
      <c r="E1759" s="31">
        <v>-2.9</v>
      </c>
      <c r="F1759" s="31">
        <v>5054834700</v>
      </c>
    </row>
    <row r="1760" spans="1:6" ht="15" thickBot="1" x14ac:dyDescent="0.2">
      <c r="A1760" s="30" t="s">
        <v>10474</v>
      </c>
      <c r="B1760" s="26" t="str">
        <f t="shared" si="27"/>
        <v>603063</v>
      </c>
      <c r="C1760" s="30" t="s">
        <v>3583</v>
      </c>
      <c r="D1760" s="31">
        <v>11.4</v>
      </c>
      <c r="E1760" s="31">
        <v>-1.04</v>
      </c>
      <c r="F1760" s="31">
        <v>5052924600</v>
      </c>
    </row>
    <row r="1761" spans="1:6" ht="15" thickBot="1" x14ac:dyDescent="0.2">
      <c r="A1761" s="30" t="s">
        <v>10475</v>
      </c>
      <c r="B1761" s="26" t="str">
        <f t="shared" si="27"/>
        <v>600225</v>
      </c>
      <c r="C1761" s="30" t="s">
        <v>3704</v>
      </c>
      <c r="D1761" s="31">
        <v>1.48</v>
      </c>
      <c r="E1761" s="31">
        <v>-1.99</v>
      </c>
      <c r="F1761" s="31">
        <v>5045061600</v>
      </c>
    </row>
    <row r="1762" spans="1:6" ht="15" thickBot="1" x14ac:dyDescent="0.2">
      <c r="A1762" s="30" t="s">
        <v>10476</v>
      </c>
      <c r="B1762" s="26" t="str">
        <f t="shared" si="27"/>
        <v>600724</v>
      </c>
      <c r="C1762" s="30" t="s">
        <v>3799</v>
      </c>
      <c r="D1762" s="31">
        <v>3.49</v>
      </c>
      <c r="E1762" s="31">
        <v>1.75</v>
      </c>
      <c r="F1762" s="31">
        <v>5042849900</v>
      </c>
    </row>
    <row r="1763" spans="1:6" ht="15" thickBot="1" x14ac:dyDescent="0.2">
      <c r="A1763" s="30" t="s">
        <v>10477</v>
      </c>
      <c r="B1763" s="26" t="str">
        <f t="shared" si="27"/>
        <v>002884</v>
      </c>
      <c r="C1763" s="30" t="s">
        <v>3012</v>
      </c>
      <c r="D1763" s="31">
        <v>18.45</v>
      </c>
      <c r="E1763" s="31">
        <v>3.48</v>
      </c>
      <c r="F1763" s="31">
        <v>5037405600</v>
      </c>
    </row>
    <row r="1764" spans="1:6" ht="15" thickBot="1" x14ac:dyDescent="0.2">
      <c r="A1764" s="30" t="s">
        <v>10478</v>
      </c>
      <c r="B1764" s="26" t="str">
        <f t="shared" si="27"/>
        <v>002961</v>
      </c>
      <c r="C1764" s="30" t="s">
        <v>10479</v>
      </c>
      <c r="D1764" s="31">
        <v>11.31</v>
      </c>
      <c r="E1764" s="31">
        <v>4.24</v>
      </c>
      <c r="F1764" s="31">
        <v>5033287300</v>
      </c>
    </row>
    <row r="1765" spans="1:6" ht="15" thickBot="1" x14ac:dyDescent="0.2">
      <c r="A1765" s="30" t="s">
        <v>10480</v>
      </c>
      <c r="B1765" s="26" t="str">
        <f t="shared" si="27"/>
        <v>601886</v>
      </c>
      <c r="C1765" s="30" t="s">
        <v>3643</v>
      </c>
      <c r="D1765" s="31">
        <v>4.4400000000000004</v>
      </c>
      <c r="E1765" s="31">
        <v>-1.55</v>
      </c>
      <c r="F1765" s="31">
        <v>5030529100</v>
      </c>
    </row>
    <row r="1766" spans="1:6" ht="15" thickBot="1" x14ac:dyDescent="0.2">
      <c r="A1766" s="30" t="s">
        <v>10481</v>
      </c>
      <c r="B1766" s="26" t="str">
        <f t="shared" si="27"/>
        <v>601279</v>
      </c>
      <c r="C1766" s="30" t="s">
        <v>10482</v>
      </c>
      <c r="D1766" s="31">
        <v>3.17</v>
      </c>
      <c r="E1766" s="31">
        <v>-0.32</v>
      </c>
      <c r="F1766" s="31">
        <v>5026941600</v>
      </c>
    </row>
    <row r="1767" spans="1:6" ht="15" thickBot="1" x14ac:dyDescent="0.2">
      <c r="A1767" s="30" t="s">
        <v>10483</v>
      </c>
      <c r="B1767" s="26" t="str">
        <f t="shared" si="27"/>
        <v>002777</v>
      </c>
      <c r="C1767" s="30" t="s">
        <v>3591</v>
      </c>
      <c r="D1767" s="31">
        <v>12.42</v>
      </c>
      <c r="E1767" s="31">
        <v>-1.74</v>
      </c>
      <c r="F1767" s="31">
        <v>5024032700</v>
      </c>
    </row>
    <row r="1768" spans="1:6" ht="15" thickBot="1" x14ac:dyDescent="0.2">
      <c r="A1768" s="30" t="s">
        <v>10484</v>
      </c>
      <c r="B1768" s="26" t="str">
        <f t="shared" si="27"/>
        <v>603863</v>
      </c>
      <c r="C1768" s="30" t="s">
        <v>3629</v>
      </c>
      <c r="D1768" s="31">
        <v>24.5</v>
      </c>
      <c r="E1768" s="31">
        <v>3.42</v>
      </c>
      <c r="F1768" s="31">
        <v>5013925000</v>
      </c>
    </row>
    <row r="1769" spans="1:6" ht="15" thickBot="1" x14ac:dyDescent="0.2">
      <c r="A1769" s="30" t="s">
        <v>10485</v>
      </c>
      <c r="B1769" s="26" t="str">
        <f t="shared" si="27"/>
        <v>300072</v>
      </c>
      <c r="C1769" s="30" t="s">
        <v>4180</v>
      </c>
      <c r="D1769" s="31">
        <v>2.15</v>
      </c>
      <c r="E1769" s="31">
        <v>-4.0199999999999996</v>
      </c>
      <c r="F1769" s="31">
        <v>5012441800</v>
      </c>
    </row>
    <row r="1770" spans="1:6" ht="15" thickBot="1" x14ac:dyDescent="0.2">
      <c r="A1770" s="30" t="s">
        <v>10486</v>
      </c>
      <c r="B1770" s="26" t="str">
        <f t="shared" si="27"/>
        <v>300579</v>
      </c>
      <c r="C1770" s="30" t="s">
        <v>3605</v>
      </c>
      <c r="D1770" s="31">
        <v>19.05</v>
      </c>
      <c r="E1770" s="31">
        <v>0.37</v>
      </c>
      <c r="F1770" s="31">
        <v>4996407200</v>
      </c>
    </row>
    <row r="1771" spans="1:6" ht="15" thickBot="1" x14ac:dyDescent="0.2">
      <c r="A1771" s="30" t="s">
        <v>10487</v>
      </c>
      <c r="B1771" s="26" t="str">
        <f t="shared" si="27"/>
        <v>000700</v>
      </c>
      <c r="C1771" s="30" t="s">
        <v>3631</v>
      </c>
      <c r="D1771" s="31">
        <v>5.44</v>
      </c>
      <c r="E1771" s="31">
        <v>0</v>
      </c>
      <c r="F1771" s="31">
        <v>4994003700</v>
      </c>
    </row>
    <row r="1772" spans="1:6" ht="15" thickBot="1" x14ac:dyDescent="0.2">
      <c r="A1772" s="30" t="s">
        <v>10488</v>
      </c>
      <c r="B1772" s="26" t="str">
        <f t="shared" si="27"/>
        <v>002489</v>
      </c>
      <c r="C1772" s="30" t="s">
        <v>3306</v>
      </c>
      <c r="D1772" s="31">
        <v>2.61</v>
      </c>
      <c r="E1772" s="31">
        <v>-2.25</v>
      </c>
      <c r="F1772" s="31">
        <v>4993005500</v>
      </c>
    </row>
    <row r="1773" spans="1:6" ht="15" thickBot="1" x14ac:dyDescent="0.2">
      <c r="A1773" s="30" t="s">
        <v>10489</v>
      </c>
      <c r="B1773" s="26" t="str">
        <f t="shared" si="27"/>
        <v>002016</v>
      </c>
      <c r="C1773" s="30" t="s">
        <v>3718</v>
      </c>
      <c r="D1773" s="30" t="s">
        <v>8665</v>
      </c>
      <c r="E1773" s="30" t="s">
        <v>8665</v>
      </c>
      <c r="F1773" s="31">
        <v>4992120000</v>
      </c>
    </row>
    <row r="1774" spans="1:6" ht="15" thickBot="1" x14ac:dyDescent="0.2">
      <c r="A1774" s="30" t="s">
        <v>10490</v>
      </c>
      <c r="B1774" s="26" t="str">
        <f t="shared" si="27"/>
        <v>002590</v>
      </c>
      <c r="C1774" s="30" t="s">
        <v>3465</v>
      </c>
      <c r="D1774" s="31">
        <v>10.95</v>
      </c>
      <c r="E1774" s="31">
        <v>-0.09</v>
      </c>
      <c r="F1774" s="31">
        <v>4988312300</v>
      </c>
    </row>
    <row r="1775" spans="1:6" ht="15" thickBot="1" x14ac:dyDescent="0.2">
      <c r="A1775" s="30" t="s">
        <v>10491</v>
      </c>
      <c r="B1775" s="26" t="str">
        <f t="shared" si="27"/>
        <v>002014</v>
      </c>
      <c r="C1775" s="30" t="s">
        <v>3667</v>
      </c>
      <c r="D1775" s="31">
        <v>8.25</v>
      </c>
      <c r="E1775" s="31">
        <v>-0.72</v>
      </c>
      <c r="F1775" s="31">
        <v>4985774600</v>
      </c>
    </row>
    <row r="1776" spans="1:6" ht="15" thickBot="1" x14ac:dyDescent="0.2">
      <c r="A1776" s="30" t="s">
        <v>10492</v>
      </c>
      <c r="B1776" s="26" t="str">
        <f t="shared" si="27"/>
        <v>002707</v>
      </c>
      <c r="C1776" s="30" t="s">
        <v>3244</v>
      </c>
      <c r="D1776" s="31">
        <v>6.04</v>
      </c>
      <c r="E1776" s="31">
        <v>1</v>
      </c>
      <c r="F1776" s="31">
        <v>4984251600</v>
      </c>
    </row>
    <row r="1777" spans="1:6" ht="15" thickBot="1" x14ac:dyDescent="0.2">
      <c r="A1777" s="30" t="s">
        <v>10493</v>
      </c>
      <c r="B1777" s="26" t="str">
        <f t="shared" si="27"/>
        <v>000777</v>
      </c>
      <c r="C1777" s="30" t="s">
        <v>3748</v>
      </c>
      <c r="D1777" s="31">
        <v>12.99</v>
      </c>
      <c r="E1777" s="31">
        <v>1.56</v>
      </c>
      <c r="F1777" s="31">
        <v>4980506600</v>
      </c>
    </row>
    <row r="1778" spans="1:6" ht="15" thickBot="1" x14ac:dyDescent="0.2">
      <c r="A1778" s="30" t="s">
        <v>10494</v>
      </c>
      <c r="B1778" s="26" t="str">
        <f t="shared" si="27"/>
        <v>300031</v>
      </c>
      <c r="C1778" s="30" t="s">
        <v>3154</v>
      </c>
      <c r="D1778" s="31">
        <v>14.27</v>
      </c>
      <c r="E1778" s="31">
        <v>-1.1100000000000001</v>
      </c>
      <c r="F1778" s="31">
        <v>4977537200</v>
      </c>
    </row>
    <row r="1779" spans="1:6" ht="15" thickBot="1" x14ac:dyDescent="0.2">
      <c r="A1779" s="30" t="s">
        <v>10495</v>
      </c>
      <c r="B1779" s="26" t="str">
        <f t="shared" si="27"/>
        <v>600811</v>
      </c>
      <c r="C1779" s="30" t="s">
        <v>3657</v>
      </c>
      <c r="D1779" s="31">
        <v>1.36</v>
      </c>
      <c r="E1779" s="31">
        <v>5.43</v>
      </c>
      <c r="F1779" s="31">
        <v>4975893100</v>
      </c>
    </row>
    <row r="1780" spans="1:6" ht="15" thickBot="1" x14ac:dyDescent="0.2">
      <c r="A1780" s="30" t="s">
        <v>10496</v>
      </c>
      <c r="B1780" s="26" t="str">
        <f t="shared" si="27"/>
        <v>300926</v>
      </c>
      <c r="C1780" s="30" t="s">
        <v>2690</v>
      </c>
      <c r="D1780" s="31">
        <v>18.559999999999999</v>
      </c>
      <c r="E1780" s="31">
        <v>2.54</v>
      </c>
      <c r="F1780" s="31">
        <v>4973619700</v>
      </c>
    </row>
    <row r="1781" spans="1:6" ht="15" thickBot="1" x14ac:dyDescent="0.2">
      <c r="A1781" s="30" t="s">
        <v>10497</v>
      </c>
      <c r="B1781" s="26" t="str">
        <f t="shared" si="27"/>
        <v>600609</v>
      </c>
      <c r="C1781" s="30" t="s">
        <v>3765</v>
      </c>
      <c r="D1781" s="31">
        <v>3.79</v>
      </c>
      <c r="E1781" s="31">
        <v>0.53</v>
      </c>
      <c r="F1781" s="31">
        <v>4969450100</v>
      </c>
    </row>
    <row r="1782" spans="1:6" ht="15" thickBot="1" x14ac:dyDescent="0.2">
      <c r="A1782" s="30" t="s">
        <v>10498</v>
      </c>
      <c r="B1782" s="26" t="str">
        <f t="shared" si="27"/>
        <v>688556</v>
      </c>
      <c r="C1782" s="30" t="s">
        <v>3457</v>
      </c>
      <c r="D1782" s="31">
        <v>9.58</v>
      </c>
      <c r="E1782" s="31">
        <v>-1.1399999999999999</v>
      </c>
      <c r="F1782" s="31">
        <v>4958643000</v>
      </c>
    </row>
    <row r="1783" spans="1:6" ht="15" thickBot="1" x14ac:dyDescent="0.2">
      <c r="A1783" s="30" t="s">
        <v>10499</v>
      </c>
      <c r="B1783" s="26" t="str">
        <f t="shared" si="27"/>
        <v>603612</v>
      </c>
      <c r="C1783" s="30" t="s">
        <v>3417</v>
      </c>
      <c r="D1783" s="31">
        <v>9.9499999999999993</v>
      </c>
      <c r="E1783" s="31">
        <v>-1.39</v>
      </c>
      <c r="F1783" s="31">
        <v>4956139400</v>
      </c>
    </row>
    <row r="1784" spans="1:6" ht="15" thickBot="1" x14ac:dyDescent="0.2">
      <c r="A1784" s="30" t="s">
        <v>10500</v>
      </c>
      <c r="B1784" s="26" t="str">
        <f t="shared" si="27"/>
        <v>688326</v>
      </c>
      <c r="C1784" s="30" t="s">
        <v>10501</v>
      </c>
      <c r="D1784" s="31">
        <v>62.35</v>
      </c>
      <c r="E1784" s="31">
        <v>0.27</v>
      </c>
      <c r="F1784" s="31">
        <v>4955409100</v>
      </c>
    </row>
    <row r="1785" spans="1:6" ht="15" thickBot="1" x14ac:dyDescent="0.2">
      <c r="A1785" s="30" t="s">
        <v>10502</v>
      </c>
      <c r="B1785" s="26" t="str">
        <f t="shared" si="27"/>
        <v>688425</v>
      </c>
      <c r="C1785" s="30" t="s">
        <v>10503</v>
      </c>
      <c r="D1785" s="31">
        <v>3.35</v>
      </c>
      <c r="E1785" s="31">
        <v>-0.3</v>
      </c>
      <c r="F1785" s="31">
        <v>4951156000</v>
      </c>
    </row>
    <row r="1786" spans="1:6" ht="15" thickBot="1" x14ac:dyDescent="0.2">
      <c r="A1786" s="30" t="s">
        <v>10504</v>
      </c>
      <c r="B1786" s="26" t="str">
        <f t="shared" si="27"/>
        <v>600966</v>
      </c>
      <c r="C1786" s="30" t="s">
        <v>3653</v>
      </c>
      <c r="D1786" s="31">
        <v>3.7</v>
      </c>
      <c r="E1786" s="31">
        <v>0.27</v>
      </c>
      <c r="F1786" s="31">
        <v>4946323900</v>
      </c>
    </row>
    <row r="1787" spans="1:6" ht="15" thickBot="1" x14ac:dyDescent="0.2">
      <c r="A1787" s="30" t="s">
        <v>10505</v>
      </c>
      <c r="B1787" s="26" t="str">
        <f t="shared" si="27"/>
        <v>000572</v>
      </c>
      <c r="C1787" s="30" t="s">
        <v>3736</v>
      </c>
      <c r="D1787" s="31">
        <v>3.01</v>
      </c>
      <c r="E1787" s="31">
        <v>0</v>
      </c>
      <c r="F1787" s="31">
        <v>4942887200</v>
      </c>
    </row>
    <row r="1788" spans="1:6" ht="15" thickBot="1" x14ac:dyDescent="0.2">
      <c r="A1788" s="30" t="s">
        <v>10506</v>
      </c>
      <c r="B1788" s="26" t="str">
        <f t="shared" si="27"/>
        <v>603636</v>
      </c>
      <c r="C1788" s="30" t="s">
        <v>4006</v>
      </c>
      <c r="D1788" s="31">
        <v>8.51</v>
      </c>
      <c r="E1788" s="31">
        <v>2.41</v>
      </c>
      <c r="F1788" s="31">
        <v>4938868100</v>
      </c>
    </row>
    <row r="1789" spans="1:6" ht="15" thickBot="1" x14ac:dyDescent="0.2">
      <c r="A1789" s="30" t="s">
        <v>10507</v>
      </c>
      <c r="B1789" s="26" t="str">
        <f t="shared" si="27"/>
        <v>000815</v>
      </c>
      <c r="C1789" s="30" t="s">
        <v>3785</v>
      </c>
      <c r="D1789" s="31">
        <v>7.1</v>
      </c>
      <c r="E1789" s="31">
        <v>-2.2000000000000002</v>
      </c>
      <c r="F1789" s="31">
        <v>4936367500</v>
      </c>
    </row>
    <row r="1790" spans="1:6" ht="15" thickBot="1" x14ac:dyDescent="0.2">
      <c r="A1790" s="30" t="s">
        <v>10508</v>
      </c>
      <c r="B1790" s="26" t="str">
        <f t="shared" si="27"/>
        <v>603439</v>
      </c>
      <c r="C1790" s="30" t="s">
        <v>3581</v>
      </c>
      <c r="D1790" s="31">
        <v>12.06</v>
      </c>
      <c r="E1790" s="31">
        <v>-2.19</v>
      </c>
      <c r="F1790" s="31">
        <v>4933386800</v>
      </c>
    </row>
    <row r="1791" spans="1:6" ht="15" thickBot="1" x14ac:dyDescent="0.2">
      <c r="A1791" s="30" t="s">
        <v>10509</v>
      </c>
      <c r="B1791" s="26" t="str">
        <f t="shared" si="27"/>
        <v>300451</v>
      </c>
      <c r="C1791" s="30" t="s">
        <v>3607</v>
      </c>
      <c r="D1791" s="31">
        <v>3.23</v>
      </c>
      <c r="E1791" s="31">
        <v>-3.29</v>
      </c>
      <c r="F1791" s="31">
        <v>4931220900</v>
      </c>
    </row>
    <row r="1792" spans="1:6" ht="15" thickBot="1" x14ac:dyDescent="0.2">
      <c r="A1792" s="30" t="s">
        <v>10510</v>
      </c>
      <c r="B1792" s="26" t="str">
        <f t="shared" si="27"/>
        <v>002017</v>
      </c>
      <c r="C1792" s="30" t="s">
        <v>3972</v>
      </c>
      <c r="D1792" s="31">
        <v>8.5</v>
      </c>
      <c r="E1792" s="31">
        <v>0.35</v>
      </c>
      <c r="F1792" s="31">
        <v>4930730000</v>
      </c>
    </row>
    <row r="1793" spans="1:6" ht="15" thickBot="1" x14ac:dyDescent="0.2">
      <c r="A1793" s="30" t="s">
        <v>10511</v>
      </c>
      <c r="B1793" s="26" t="str">
        <f t="shared" si="27"/>
        <v>002088</v>
      </c>
      <c r="C1793" s="30" t="s">
        <v>3691</v>
      </c>
      <c r="D1793" s="31">
        <v>9.77</v>
      </c>
      <c r="E1793" s="31">
        <v>0.72</v>
      </c>
      <c r="F1793" s="31">
        <v>4926826800</v>
      </c>
    </row>
    <row r="1794" spans="1:6" ht="15" thickBot="1" x14ac:dyDescent="0.2">
      <c r="A1794" s="30" t="s">
        <v>10512</v>
      </c>
      <c r="B1794" s="26" t="str">
        <f t="shared" si="27"/>
        <v>300342</v>
      </c>
      <c r="C1794" s="30" t="s">
        <v>3575</v>
      </c>
      <c r="D1794" s="31">
        <v>11.79</v>
      </c>
      <c r="E1794" s="31">
        <v>-1.01</v>
      </c>
      <c r="F1794" s="31">
        <v>4925254600</v>
      </c>
    </row>
    <row r="1795" spans="1:6" ht="15" thickBot="1" x14ac:dyDescent="0.2">
      <c r="A1795" s="30" t="s">
        <v>10513</v>
      </c>
      <c r="B1795" s="26" t="str">
        <f t="shared" ref="B1795:B1858" si="28">LEFT(A1795,6)</f>
        <v>300379</v>
      </c>
      <c r="C1795" s="30" t="s">
        <v>3505</v>
      </c>
      <c r="D1795" s="31">
        <v>9.35</v>
      </c>
      <c r="E1795" s="31">
        <v>-3.21</v>
      </c>
      <c r="F1795" s="31">
        <v>4924061200</v>
      </c>
    </row>
    <row r="1796" spans="1:6" ht="15" thickBot="1" x14ac:dyDescent="0.2">
      <c r="A1796" s="30" t="s">
        <v>10514</v>
      </c>
      <c r="B1796" s="26" t="str">
        <f t="shared" si="28"/>
        <v>300863</v>
      </c>
      <c r="C1796" s="30" t="s">
        <v>3722</v>
      </c>
      <c r="D1796" s="31">
        <v>39.86</v>
      </c>
      <c r="E1796" s="31">
        <v>0.63</v>
      </c>
      <c r="F1796" s="31">
        <v>4923661500</v>
      </c>
    </row>
    <row r="1797" spans="1:6" ht="15" thickBot="1" x14ac:dyDescent="0.2">
      <c r="A1797" s="30" t="s">
        <v>10515</v>
      </c>
      <c r="B1797" s="26" t="str">
        <f t="shared" si="28"/>
        <v>300100</v>
      </c>
      <c r="C1797" s="30" t="s">
        <v>3720</v>
      </c>
      <c r="D1797" s="31">
        <v>12.71</v>
      </c>
      <c r="E1797" s="31">
        <v>5.04</v>
      </c>
      <c r="F1797" s="31">
        <v>4919569300</v>
      </c>
    </row>
    <row r="1798" spans="1:6" ht="15" thickBot="1" x14ac:dyDescent="0.2">
      <c r="A1798" s="30" t="s">
        <v>10516</v>
      </c>
      <c r="B1798" s="26" t="str">
        <f t="shared" si="28"/>
        <v>002042</v>
      </c>
      <c r="C1798" s="30" t="s">
        <v>3738</v>
      </c>
      <c r="D1798" s="31">
        <v>2.89</v>
      </c>
      <c r="E1798" s="31">
        <v>-0.69</v>
      </c>
      <c r="F1798" s="31">
        <v>4914969100</v>
      </c>
    </row>
    <row r="1799" spans="1:6" ht="15" thickBot="1" x14ac:dyDescent="0.2">
      <c r="A1799" s="30" t="s">
        <v>10517</v>
      </c>
      <c r="B1799" s="26" t="str">
        <f t="shared" si="28"/>
        <v>603516</v>
      </c>
      <c r="C1799" s="30" t="s">
        <v>3567</v>
      </c>
      <c r="D1799" s="31">
        <v>24.35</v>
      </c>
      <c r="E1799" s="31">
        <v>-6.45</v>
      </c>
      <c r="F1799" s="31">
        <v>4914847300</v>
      </c>
    </row>
    <row r="1800" spans="1:6" ht="15" thickBot="1" x14ac:dyDescent="0.2">
      <c r="A1800" s="30" t="s">
        <v>10518</v>
      </c>
      <c r="B1800" s="26" t="str">
        <f t="shared" si="28"/>
        <v>600310</v>
      </c>
      <c r="C1800" s="30" t="s">
        <v>3805</v>
      </c>
      <c r="D1800" s="31">
        <v>3.35</v>
      </c>
      <c r="E1800" s="31">
        <v>1.21</v>
      </c>
      <c r="F1800" s="31">
        <v>4910130900</v>
      </c>
    </row>
    <row r="1801" spans="1:6" ht="15" thickBot="1" x14ac:dyDescent="0.2">
      <c r="A1801" s="30" t="s">
        <v>10519</v>
      </c>
      <c r="B1801" s="26" t="str">
        <f t="shared" si="28"/>
        <v>600278</v>
      </c>
      <c r="C1801" s="30" t="s">
        <v>3754</v>
      </c>
      <c r="D1801" s="31">
        <v>5.63</v>
      </c>
      <c r="E1801" s="31">
        <v>-0.53</v>
      </c>
      <c r="F1801" s="31">
        <v>4906115600</v>
      </c>
    </row>
    <row r="1802" spans="1:6" ht="15" thickBot="1" x14ac:dyDescent="0.2">
      <c r="A1802" s="30" t="s">
        <v>10520</v>
      </c>
      <c r="B1802" s="26" t="str">
        <f t="shared" si="28"/>
        <v>600343</v>
      </c>
      <c r="C1802" s="30" t="s">
        <v>3855</v>
      </c>
      <c r="D1802" s="31">
        <v>7.68</v>
      </c>
      <c r="E1802" s="31">
        <v>-0.39</v>
      </c>
      <c r="F1802" s="31">
        <v>4901424800</v>
      </c>
    </row>
    <row r="1803" spans="1:6" ht="15" thickBot="1" x14ac:dyDescent="0.2">
      <c r="A1803" s="30" t="s">
        <v>10521</v>
      </c>
      <c r="B1803" s="26" t="str">
        <f t="shared" si="28"/>
        <v>600817</v>
      </c>
      <c r="C1803" s="30" t="s">
        <v>3669</v>
      </c>
      <c r="D1803" s="31">
        <v>9.19</v>
      </c>
      <c r="E1803" s="31">
        <v>-0.54</v>
      </c>
      <c r="F1803" s="31">
        <v>4895865400</v>
      </c>
    </row>
    <row r="1804" spans="1:6" ht="15" thickBot="1" x14ac:dyDescent="0.2">
      <c r="A1804" s="30" t="s">
        <v>10522</v>
      </c>
      <c r="B1804" s="26" t="str">
        <f t="shared" si="28"/>
        <v>688268</v>
      </c>
      <c r="C1804" s="30" t="s">
        <v>3673</v>
      </c>
      <c r="D1804" s="31">
        <v>40.57</v>
      </c>
      <c r="E1804" s="31">
        <v>0.12</v>
      </c>
      <c r="F1804" s="31">
        <v>4877448000</v>
      </c>
    </row>
    <row r="1805" spans="1:6" ht="15" thickBot="1" x14ac:dyDescent="0.2">
      <c r="A1805" s="30" t="s">
        <v>10523</v>
      </c>
      <c r="B1805" s="26" t="str">
        <f t="shared" si="28"/>
        <v>000852</v>
      </c>
      <c r="C1805" s="30" t="s">
        <v>3821</v>
      </c>
      <c r="D1805" s="31">
        <v>5.18</v>
      </c>
      <c r="E1805" s="31">
        <v>-0.57999999999999996</v>
      </c>
      <c r="F1805" s="31">
        <v>4874387100</v>
      </c>
    </row>
    <row r="1806" spans="1:6" ht="15" thickBot="1" x14ac:dyDescent="0.2">
      <c r="A1806" s="30" t="s">
        <v>10524</v>
      </c>
      <c r="B1806" s="26" t="str">
        <f t="shared" si="28"/>
        <v>002121</v>
      </c>
      <c r="C1806" s="30" t="s">
        <v>3234</v>
      </c>
      <c r="D1806" s="31">
        <v>3.48</v>
      </c>
      <c r="E1806" s="31">
        <v>-1.7</v>
      </c>
      <c r="F1806" s="31">
        <v>4871730000</v>
      </c>
    </row>
    <row r="1807" spans="1:6" ht="15" thickBot="1" x14ac:dyDescent="0.2">
      <c r="A1807" s="30" t="s">
        <v>10525</v>
      </c>
      <c r="B1807" s="26" t="str">
        <f t="shared" si="28"/>
        <v>002123</v>
      </c>
      <c r="C1807" s="30" t="s">
        <v>3783</v>
      </c>
      <c r="D1807" s="31">
        <v>7.09</v>
      </c>
      <c r="E1807" s="31">
        <v>4.42</v>
      </c>
      <c r="F1807" s="31">
        <v>4869981500</v>
      </c>
    </row>
    <row r="1808" spans="1:6" ht="15" thickBot="1" x14ac:dyDescent="0.2">
      <c r="A1808" s="30" t="s">
        <v>10526</v>
      </c>
      <c r="B1808" s="26" t="str">
        <f t="shared" si="28"/>
        <v>605305</v>
      </c>
      <c r="C1808" s="30" t="s">
        <v>3843</v>
      </c>
      <c r="D1808" s="31">
        <v>22.89</v>
      </c>
      <c r="E1808" s="31">
        <v>2.33</v>
      </c>
      <c r="F1808" s="31">
        <v>4864582800</v>
      </c>
    </row>
    <row r="1809" spans="1:6" ht="15" thickBot="1" x14ac:dyDescent="0.2">
      <c r="A1809" s="30" t="s">
        <v>10527</v>
      </c>
      <c r="B1809" s="26" t="str">
        <f t="shared" si="28"/>
        <v>600251</v>
      </c>
      <c r="C1809" s="30" t="s">
        <v>3758</v>
      </c>
      <c r="D1809" s="31">
        <v>6.26</v>
      </c>
      <c r="E1809" s="31">
        <v>-0.95</v>
      </c>
      <c r="F1809" s="31">
        <v>4863979800</v>
      </c>
    </row>
    <row r="1810" spans="1:6" ht="15" thickBot="1" x14ac:dyDescent="0.2">
      <c r="A1810" s="30" t="s">
        <v>10528</v>
      </c>
      <c r="B1810" s="26" t="str">
        <f t="shared" si="28"/>
        <v>002163</v>
      </c>
      <c r="C1810" s="30" t="s">
        <v>3879</v>
      </c>
      <c r="D1810" s="31">
        <v>6.05</v>
      </c>
      <c r="E1810" s="31">
        <v>-1.47</v>
      </c>
      <c r="F1810" s="31">
        <v>4861470700</v>
      </c>
    </row>
    <row r="1811" spans="1:6" ht="15" thickBot="1" x14ac:dyDescent="0.2">
      <c r="A1811" s="30" t="s">
        <v>10529</v>
      </c>
      <c r="B1811" s="26" t="str">
        <f t="shared" si="28"/>
        <v>300261</v>
      </c>
      <c r="C1811" s="30" t="s">
        <v>3645</v>
      </c>
      <c r="D1811" s="31">
        <v>5.19</v>
      </c>
      <c r="E1811" s="31">
        <v>-1.33</v>
      </c>
      <c r="F1811" s="31">
        <v>4858190200</v>
      </c>
    </row>
    <row r="1812" spans="1:6" ht="15" thickBot="1" x14ac:dyDescent="0.2">
      <c r="A1812" s="30" t="s">
        <v>10530</v>
      </c>
      <c r="B1812" s="26" t="str">
        <f t="shared" si="28"/>
        <v>600391</v>
      </c>
      <c r="C1812" s="30" t="s">
        <v>3847</v>
      </c>
      <c r="D1812" s="31">
        <v>14.71</v>
      </c>
      <c r="E1812" s="31">
        <v>1.24</v>
      </c>
      <c r="F1812" s="31">
        <v>4856203000</v>
      </c>
    </row>
    <row r="1813" spans="1:6" ht="15" thickBot="1" x14ac:dyDescent="0.2">
      <c r="A1813" s="30" t="s">
        <v>10531</v>
      </c>
      <c r="B1813" s="26" t="str">
        <f t="shared" si="28"/>
        <v>002782</v>
      </c>
      <c r="C1813" s="30" t="s">
        <v>3663</v>
      </c>
      <c r="D1813" s="31">
        <v>9.91</v>
      </c>
      <c r="E1813" s="31">
        <v>-1.1000000000000001</v>
      </c>
      <c r="F1813" s="31">
        <v>4855939400</v>
      </c>
    </row>
    <row r="1814" spans="1:6" ht="15" thickBot="1" x14ac:dyDescent="0.2">
      <c r="A1814" s="30" t="s">
        <v>10532</v>
      </c>
      <c r="B1814" s="26" t="str">
        <f t="shared" si="28"/>
        <v>600775</v>
      </c>
      <c r="C1814" s="30" t="s">
        <v>3489</v>
      </c>
      <c r="D1814" s="31">
        <v>7.22</v>
      </c>
      <c r="E1814" s="31">
        <v>-1.23</v>
      </c>
      <c r="F1814" s="31">
        <v>4850674200</v>
      </c>
    </row>
    <row r="1815" spans="1:6" ht="15" thickBot="1" x14ac:dyDescent="0.2">
      <c r="A1815" s="30" t="s">
        <v>10533</v>
      </c>
      <c r="B1815" s="26" t="str">
        <f t="shared" si="28"/>
        <v>000962</v>
      </c>
      <c r="C1815" s="30" t="s">
        <v>3700</v>
      </c>
      <c r="D1815" s="31">
        <v>9.7799999999999994</v>
      </c>
      <c r="E1815" s="31">
        <v>0.1</v>
      </c>
      <c r="F1815" s="31">
        <v>4847477500</v>
      </c>
    </row>
    <row r="1816" spans="1:6" ht="15" thickBot="1" x14ac:dyDescent="0.2">
      <c r="A1816" s="30" t="s">
        <v>10534</v>
      </c>
      <c r="B1816" s="26" t="str">
        <f t="shared" si="28"/>
        <v>301293</v>
      </c>
      <c r="C1816" s="30" t="s">
        <v>10535</v>
      </c>
      <c r="D1816" s="31">
        <v>30.1</v>
      </c>
      <c r="E1816" s="31">
        <v>-2.21</v>
      </c>
      <c r="F1816" s="31">
        <v>4844465300</v>
      </c>
    </row>
    <row r="1817" spans="1:6" ht="15" thickBot="1" x14ac:dyDescent="0.2">
      <c r="A1817" s="30" t="s">
        <v>10536</v>
      </c>
      <c r="B1817" s="26" t="str">
        <f t="shared" si="28"/>
        <v>002635</v>
      </c>
      <c r="C1817" s="30" t="s">
        <v>2441</v>
      </c>
      <c r="D1817" s="31">
        <v>12.25</v>
      </c>
      <c r="E1817" s="31">
        <v>-1.45</v>
      </c>
      <c r="F1817" s="31">
        <v>4843613800</v>
      </c>
    </row>
    <row r="1818" spans="1:6" ht="15" thickBot="1" x14ac:dyDescent="0.2">
      <c r="A1818" s="30" t="s">
        <v>10537</v>
      </c>
      <c r="B1818" s="26" t="str">
        <f t="shared" si="28"/>
        <v>300406</v>
      </c>
      <c r="C1818" s="30" t="s">
        <v>2803</v>
      </c>
      <c r="D1818" s="31">
        <v>11.44</v>
      </c>
      <c r="E1818" s="31">
        <v>-2.14</v>
      </c>
      <c r="F1818" s="31">
        <v>4842153800</v>
      </c>
    </row>
    <row r="1819" spans="1:6" ht="15" thickBot="1" x14ac:dyDescent="0.2">
      <c r="A1819" s="30" t="s">
        <v>10538</v>
      </c>
      <c r="B1819" s="26" t="str">
        <f t="shared" si="28"/>
        <v>300341</v>
      </c>
      <c r="C1819" s="30" t="s">
        <v>4090</v>
      </c>
      <c r="D1819" s="31">
        <v>9.39</v>
      </c>
      <c r="E1819" s="31">
        <v>-0.32</v>
      </c>
      <c r="F1819" s="31">
        <v>4838926700</v>
      </c>
    </row>
    <row r="1820" spans="1:6" ht="15" thickBot="1" x14ac:dyDescent="0.2">
      <c r="A1820" s="30" t="s">
        <v>10539</v>
      </c>
      <c r="B1820" s="26" t="str">
        <f t="shared" si="28"/>
        <v>002150</v>
      </c>
      <c r="C1820" s="30" t="s">
        <v>3883</v>
      </c>
      <c r="D1820" s="31">
        <v>13.62</v>
      </c>
      <c r="E1820" s="31">
        <v>4.53</v>
      </c>
      <c r="F1820" s="31">
        <v>4838022900</v>
      </c>
    </row>
    <row r="1821" spans="1:6" ht="15" thickBot="1" x14ac:dyDescent="0.2">
      <c r="A1821" s="30" t="s">
        <v>10540</v>
      </c>
      <c r="B1821" s="26" t="str">
        <f t="shared" si="28"/>
        <v>002035</v>
      </c>
      <c r="C1821" s="30" t="s">
        <v>3611</v>
      </c>
      <c r="D1821" s="31">
        <v>6.19</v>
      </c>
      <c r="E1821" s="31">
        <v>2.48</v>
      </c>
      <c r="F1821" s="31">
        <v>4831437600</v>
      </c>
    </row>
    <row r="1822" spans="1:6" ht="15" thickBot="1" x14ac:dyDescent="0.2">
      <c r="A1822" s="30" t="s">
        <v>10541</v>
      </c>
      <c r="B1822" s="26" t="str">
        <f t="shared" si="28"/>
        <v>603738</v>
      </c>
      <c r="C1822" s="30" t="s">
        <v>3815</v>
      </c>
      <c r="D1822" s="31">
        <v>12.4</v>
      </c>
      <c r="E1822" s="31">
        <v>1.1399999999999999</v>
      </c>
      <c r="F1822" s="31">
        <v>4827602400</v>
      </c>
    </row>
    <row r="1823" spans="1:6" ht="15" thickBot="1" x14ac:dyDescent="0.2">
      <c r="A1823" s="30" t="s">
        <v>10542</v>
      </c>
      <c r="B1823" s="26" t="str">
        <f t="shared" si="28"/>
        <v>300596</v>
      </c>
      <c r="C1823" s="30" t="s">
        <v>3487</v>
      </c>
      <c r="D1823" s="31">
        <v>22.51</v>
      </c>
      <c r="E1823" s="31">
        <v>-0.84</v>
      </c>
      <c r="F1823" s="31">
        <v>4826798800</v>
      </c>
    </row>
    <row r="1824" spans="1:6" ht="15" thickBot="1" x14ac:dyDescent="0.2">
      <c r="A1824" s="30" t="s">
        <v>10543</v>
      </c>
      <c r="B1824" s="26" t="str">
        <f t="shared" si="28"/>
        <v>300027</v>
      </c>
      <c r="C1824" s="30" t="s">
        <v>3397</v>
      </c>
      <c r="D1824" s="31">
        <v>1.94</v>
      </c>
      <c r="E1824" s="31">
        <v>-1.52</v>
      </c>
      <c r="F1824" s="31">
        <v>4820664900</v>
      </c>
    </row>
    <row r="1825" spans="1:6" ht="15" thickBot="1" x14ac:dyDescent="0.2">
      <c r="A1825" s="30" t="s">
        <v>10544</v>
      </c>
      <c r="B1825" s="26" t="str">
        <f t="shared" si="28"/>
        <v>002006</v>
      </c>
      <c r="C1825" s="30" t="s">
        <v>3730</v>
      </c>
      <c r="D1825" s="31">
        <v>10.59</v>
      </c>
      <c r="E1825" s="31">
        <v>-0.75</v>
      </c>
      <c r="F1825" s="31">
        <v>4820144400</v>
      </c>
    </row>
    <row r="1826" spans="1:6" ht="15" thickBot="1" x14ac:dyDescent="0.2">
      <c r="A1826" s="30" t="s">
        <v>10545</v>
      </c>
      <c r="B1826" s="26" t="str">
        <f t="shared" si="28"/>
        <v>600105</v>
      </c>
      <c r="C1826" s="30" t="s">
        <v>3771</v>
      </c>
      <c r="D1826" s="31">
        <v>3.46</v>
      </c>
      <c r="E1826" s="31">
        <v>-1.1399999999999999</v>
      </c>
      <c r="F1826" s="31">
        <v>4819258800</v>
      </c>
    </row>
    <row r="1827" spans="1:6" ht="15" thickBot="1" x14ac:dyDescent="0.2">
      <c r="A1827" s="30" t="s">
        <v>10546</v>
      </c>
      <c r="B1827" s="26" t="str">
        <f t="shared" si="28"/>
        <v>603223</v>
      </c>
      <c r="C1827" s="30" t="s">
        <v>3139</v>
      </c>
      <c r="D1827" s="31">
        <v>8.7100000000000009</v>
      </c>
      <c r="E1827" s="31">
        <v>0</v>
      </c>
      <c r="F1827" s="31">
        <v>4818288400</v>
      </c>
    </row>
    <row r="1828" spans="1:6" ht="15" thickBot="1" x14ac:dyDescent="0.2">
      <c r="A1828" s="30" t="s">
        <v>10547</v>
      </c>
      <c r="B1828" s="26" t="str">
        <f t="shared" si="28"/>
        <v>603587</v>
      </c>
      <c r="C1828" s="30" t="s">
        <v>3763</v>
      </c>
      <c r="D1828" s="31">
        <v>10.220000000000001</v>
      </c>
      <c r="E1828" s="31">
        <v>-0.57999999999999996</v>
      </c>
      <c r="F1828" s="31">
        <v>4818017600</v>
      </c>
    </row>
    <row r="1829" spans="1:6" ht="15" thickBot="1" x14ac:dyDescent="0.2">
      <c r="A1829" s="30" t="s">
        <v>10548</v>
      </c>
      <c r="B1829" s="26" t="str">
        <f t="shared" si="28"/>
        <v>300048</v>
      </c>
      <c r="C1829" s="30" t="s">
        <v>3839</v>
      </c>
      <c r="D1829" s="31">
        <v>4.32</v>
      </c>
      <c r="E1829" s="31">
        <v>-0.92</v>
      </c>
      <c r="F1829" s="31">
        <v>4817291900</v>
      </c>
    </row>
    <row r="1830" spans="1:6" ht="15" thickBot="1" x14ac:dyDescent="0.2">
      <c r="A1830" s="30" t="s">
        <v>10549</v>
      </c>
      <c r="B1830" s="26" t="str">
        <f t="shared" si="28"/>
        <v>600861</v>
      </c>
      <c r="C1830" s="30" t="s">
        <v>2564</v>
      </c>
      <c r="D1830" s="31">
        <v>13.14</v>
      </c>
      <c r="E1830" s="31">
        <v>-2.23</v>
      </c>
      <c r="F1830" s="31">
        <v>4816793500</v>
      </c>
    </row>
    <row r="1831" spans="1:6" ht="15" thickBot="1" x14ac:dyDescent="0.2">
      <c r="A1831" s="30" t="s">
        <v>10550</v>
      </c>
      <c r="B1831" s="26" t="str">
        <f t="shared" si="28"/>
        <v>601968</v>
      </c>
      <c r="C1831" s="30" t="s">
        <v>3857</v>
      </c>
      <c r="D1831" s="31">
        <v>4.25</v>
      </c>
      <c r="E1831" s="31">
        <v>-2.75</v>
      </c>
      <c r="F1831" s="31">
        <v>4815416500</v>
      </c>
    </row>
    <row r="1832" spans="1:6" ht="15" thickBot="1" x14ac:dyDescent="0.2">
      <c r="A1832" s="30" t="s">
        <v>10551</v>
      </c>
      <c r="B1832" s="26" t="str">
        <f t="shared" si="28"/>
        <v>002351</v>
      </c>
      <c r="C1832" s="30" t="s">
        <v>2387</v>
      </c>
      <c r="D1832" s="31">
        <v>9.24</v>
      </c>
      <c r="E1832" s="31">
        <v>-1.91</v>
      </c>
      <c r="F1832" s="31">
        <v>4814299200</v>
      </c>
    </row>
    <row r="1833" spans="1:6" ht="15" thickBot="1" x14ac:dyDescent="0.2">
      <c r="A1833" s="30" t="s">
        <v>10552</v>
      </c>
      <c r="B1833" s="26" t="str">
        <f t="shared" si="28"/>
        <v>002214</v>
      </c>
      <c r="C1833" s="30" t="s">
        <v>3176</v>
      </c>
      <c r="D1833" s="31">
        <v>10.050000000000001</v>
      </c>
      <c r="E1833" s="31">
        <v>-0.1</v>
      </c>
      <c r="F1833" s="31">
        <v>4814140000</v>
      </c>
    </row>
    <row r="1834" spans="1:6" ht="15" thickBot="1" x14ac:dyDescent="0.2">
      <c r="A1834" s="30" t="s">
        <v>10553</v>
      </c>
      <c r="B1834" s="26" t="str">
        <f t="shared" si="28"/>
        <v>002937</v>
      </c>
      <c r="C1834" s="30" t="s">
        <v>3702</v>
      </c>
      <c r="D1834" s="31">
        <v>16.21</v>
      </c>
      <c r="E1834" s="31">
        <v>-0.25</v>
      </c>
      <c r="F1834" s="31">
        <v>4810817900</v>
      </c>
    </row>
    <row r="1835" spans="1:6" ht="15" thickBot="1" x14ac:dyDescent="0.2">
      <c r="A1835" s="30" t="s">
        <v>10554</v>
      </c>
      <c r="B1835" s="26" t="str">
        <f t="shared" si="28"/>
        <v>002190</v>
      </c>
      <c r="C1835" s="30" t="s">
        <v>3795</v>
      </c>
      <c r="D1835" s="31">
        <v>13.4</v>
      </c>
      <c r="E1835" s="31">
        <v>-1.4</v>
      </c>
      <c r="F1835" s="31">
        <v>4806973200</v>
      </c>
    </row>
    <row r="1836" spans="1:6" ht="15" thickBot="1" x14ac:dyDescent="0.2">
      <c r="A1836" s="30" t="s">
        <v>10555</v>
      </c>
      <c r="B1836" s="26" t="str">
        <f t="shared" si="28"/>
        <v>688439</v>
      </c>
      <c r="C1836" s="30" t="s">
        <v>10556</v>
      </c>
      <c r="D1836" s="31">
        <v>42.18</v>
      </c>
      <c r="E1836" s="31">
        <v>-0.19</v>
      </c>
      <c r="F1836" s="31">
        <v>4805046100</v>
      </c>
    </row>
    <row r="1837" spans="1:6" ht="15" thickBot="1" x14ac:dyDescent="0.2">
      <c r="A1837" s="30" t="s">
        <v>10557</v>
      </c>
      <c r="B1837" s="26" t="str">
        <f t="shared" si="28"/>
        <v>600284</v>
      </c>
      <c r="C1837" s="30" t="s">
        <v>3837</v>
      </c>
      <c r="D1837" s="31">
        <v>4.95</v>
      </c>
      <c r="E1837" s="31">
        <v>-0.6</v>
      </c>
      <c r="F1837" s="31">
        <v>4802767200</v>
      </c>
    </row>
    <row r="1838" spans="1:6" ht="15" thickBot="1" x14ac:dyDescent="0.2">
      <c r="A1838" s="30" t="s">
        <v>10558</v>
      </c>
      <c r="B1838" s="26" t="str">
        <f t="shared" si="28"/>
        <v>002046</v>
      </c>
      <c r="C1838" s="30" t="s">
        <v>3823</v>
      </c>
      <c r="D1838" s="31">
        <v>9.1300000000000008</v>
      </c>
      <c r="E1838" s="31">
        <v>1</v>
      </c>
      <c r="F1838" s="31">
        <v>4800973200</v>
      </c>
    </row>
    <row r="1839" spans="1:6" ht="15" thickBot="1" x14ac:dyDescent="0.2">
      <c r="A1839" s="30" t="s">
        <v>10559</v>
      </c>
      <c r="B1839" s="26" t="str">
        <f t="shared" si="28"/>
        <v>002060</v>
      </c>
      <c r="C1839" s="30" t="s">
        <v>1866</v>
      </c>
      <c r="D1839" s="31">
        <v>3.07</v>
      </c>
      <c r="E1839" s="31">
        <v>-0.65</v>
      </c>
      <c r="F1839" s="31">
        <v>4797804200</v>
      </c>
    </row>
    <row r="1840" spans="1:6" ht="15" thickBot="1" x14ac:dyDescent="0.2">
      <c r="A1840" s="30" t="s">
        <v>10560</v>
      </c>
      <c r="B1840" s="26" t="str">
        <f t="shared" si="28"/>
        <v>002108</v>
      </c>
      <c r="C1840" s="30" t="s">
        <v>3756</v>
      </c>
      <c r="D1840" s="31">
        <v>2.91</v>
      </c>
      <c r="E1840" s="31">
        <v>-1.02</v>
      </c>
      <c r="F1840" s="31">
        <v>4796738400</v>
      </c>
    </row>
    <row r="1841" spans="1:6" ht="15" thickBot="1" x14ac:dyDescent="0.2">
      <c r="A1841" s="30" t="s">
        <v>10561</v>
      </c>
      <c r="B1841" s="26" t="str">
        <f t="shared" si="28"/>
        <v>002401</v>
      </c>
      <c r="C1841" s="30" t="s">
        <v>3897</v>
      </c>
      <c r="D1841" s="31">
        <v>12.95</v>
      </c>
      <c r="E1841" s="31">
        <v>1.25</v>
      </c>
      <c r="F1841" s="31">
        <v>4794195400</v>
      </c>
    </row>
    <row r="1842" spans="1:6" ht="15" thickBot="1" x14ac:dyDescent="0.2">
      <c r="A1842" s="30" t="s">
        <v>10562</v>
      </c>
      <c r="B1842" s="26" t="str">
        <f t="shared" si="28"/>
        <v>600797</v>
      </c>
      <c r="C1842" s="30" t="s">
        <v>3835</v>
      </c>
      <c r="D1842" s="31">
        <v>4.66</v>
      </c>
      <c r="E1842" s="31">
        <v>-1.69</v>
      </c>
      <c r="F1842" s="31">
        <v>4788276300</v>
      </c>
    </row>
    <row r="1843" spans="1:6" ht="15" thickBot="1" x14ac:dyDescent="0.2">
      <c r="A1843" s="30" t="s">
        <v>10563</v>
      </c>
      <c r="B1843" s="26" t="str">
        <f t="shared" si="28"/>
        <v>603181</v>
      </c>
      <c r="C1843" s="30" t="s">
        <v>3769</v>
      </c>
      <c r="D1843" s="31">
        <v>8.1300000000000008</v>
      </c>
      <c r="E1843" s="31">
        <v>-0.97</v>
      </c>
      <c r="F1843" s="31">
        <v>4786131000</v>
      </c>
    </row>
    <row r="1844" spans="1:6" ht="15" thickBot="1" x14ac:dyDescent="0.2">
      <c r="A1844" s="30" t="s">
        <v>10564</v>
      </c>
      <c r="B1844" s="26" t="str">
        <f t="shared" si="28"/>
        <v>300244</v>
      </c>
      <c r="C1844" s="30" t="s">
        <v>3150</v>
      </c>
      <c r="D1844" s="31">
        <v>9.52</v>
      </c>
      <c r="E1844" s="31">
        <v>-2.16</v>
      </c>
      <c r="F1844" s="31">
        <v>4774127300</v>
      </c>
    </row>
    <row r="1845" spans="1:6" ht="15" thickBot="1" x14ac:dyDescent="0.2">
      <c r="A1845" s="30" t="s">
        <v>10565</v>
      </c>
      <c r="B1845" s="26" t="str">
        <f t="shared" si="28"/>
        <v>601199</v>
      </c>
      <c r="C1845" s="30" t="s">
        <v>3861</v>
      </c>
      <c r="D1845" s="31">
        <v>5.0999999999999996</v>
      </c>
      <c r="E1845" s="31">
        <v>-0.59</v>
      </c>
      <c r="F1845" s="31">
        <v>4769572500</v>
      </c>
    </row>
    <row r="1846" spans="1:6" ht="15" thickBot="1" x14ac:dyDescent="0.2">
      <c r="A1846" s="30" t="s">
        <v>10566</v>
      </c>
      <c r="B1846" s="26" t="str">
        <f t="shared" si="28"/>
        <v>600400</v>
      </c>
      <c r="C1846" s="30" t="s">
        <v>3853</v>
      </c>
      <c r="D1846" s="31">
        <v>2.08</v>
      </c>
      <c r="E1846" s="31">
        <v>0</v>
      </c>
      <c r="F1846" s="31">
        <v>4766053500</v>
      </c>
    </row>
    <row r="1847" spans="1:6" ht="15" thickBot="1" x14ac:dyDescent="0.2">
      <c r="A1847" s="30" t="s">
        <v>10567</v>
      </c>
      <c r="B1847" s="26" t="str">
        <f t="shared" si="28"/>
        <v>002212</v>
      </c>
      <c r="C1847" s="30" t="s">
        <v>3773</v>
      </c>
      <c r="D1847" s="31">
        <v>4.08</v>
      </c>
      <c r="E1847" s="31">
        <v>-1.69</v>
      </c>
      <c r="F1847" s="31">
        <v>4762897900</v>
      </c>
    </row>
    <row r="1848" spans="1:6" ht="15" thickBot="1" x14ac:dyDescent="0.2">
      <c r="A1848" s="30" t="s">
        <v>10568</v>
      </c>
      <c r="B1848" s="26" t="str">
        <f t="shared" si="28"/>
        <v>000517</v>
      </c>
      <c r="C1848" s="30" t="s">
        <v>3256</v>
      </c>
      <c r="D1848" s="31">
        <v>1.91</v>
      </c>
      <c r="E1848" s="31">
        <v>1.06</v>
      </c>
      <c r="F1848" s="31">
        <v>4759694100</v>
      </c>
    </row>
    <row r="1849" spans="1:6" ht="15" thickBot="1" x14ac:dyDescent="0.2">
      <c r="A1849" s="30" t="s">
        <v>10569</v>
      </c>
      <c r="B1849" s="26" t="str">
        <f t="shared" si="28"/>
        <v>003013</v>
      </c>
      <c r="C1849" s="30" t="s">
        <v>3752</v>
      </c>
      <c r="D1849" s="31">
        <v>11.89</v>
      </c>
      <c r="E1849" s="31">
        <v>0.25</v>
      </c>
      <c r="F1849" s="31">
        <v>4755195000</v>
      </c>
    </row>
    <row r="1850" spans="1:6" ht="15" thickBot="1" x14ac:dyDescent="0.2">
      <c r="A1850" s="30" t="s">
        <v>10570</v>
      </c>
      <c r="B1850" s="26" t="str">
        <f t="shared" si="28"/>
        <v>300203</v>
      </c>
      <c r="C1850" s="30" t="s">
        <v>3746</v>
      </c>
      <c r="D1850" s="31">
        <v>10.6</v>
      </c>
      <c r="E1850" s="31">
        <v>-2.21</v>
      </c>
      <c r="F1850" s="31">
        <v>4752706400</v>
      </c>
    </row>
    <row r="1851" spans="1:6" ht="15" thickBot="1" x14ac:dyDescent="0.2">
      <c r="A1851" s="30" t="s">
        <v>10571</v>
      </c>
      <c r="B1851" s="26" t="str">
        <f t="shared" si="28"/>
        <v>300791</v>
      </c>
      <c r="C1851" s="30" t="s">
        <v>3310</v>
      </c>
      <c r="D1851" s="31">
        <v>24.43</v>
      </c>
      <c r="E1851" s="31">
        <v>-2.2799999999999998</v>
      </c>
      <c r="F1851" s="31">
        <v>4751336300</v>
      </c>
    </row>
    <row r="1852" spans="1:6" ht="15" thickBot="1" x14ac:dyDescent="0.2">
      <c r="A1852" s="30" t="s">
        <v>10572</v>
      </c>
      <c r="B1852" s="26" t="str">
        <f t="shared" si="28"/>
        <v>600496</v>
      </c>
      <c r="C1852" s="30" t="s">
        <v>3885</v>
      </c>
      <c r="D1852" s="31">
        <v>2.36</v>
      </c>
      <c r="E1852" s="31">
        <v>-0.42</v>
      </c>
      <c r="F1852" s="31">
        <v>4750407200</v>
      </c>
    </row>
    <row r="1853" spans="1:6" ht="15" thickBot="1" x14ac:dyDescent="0.2">
      <c r="A1853" s="30" t="s">
        <v>10573</v>
      </c>
      <c r="B1853" s="26" t="str">
        <f t="shared" si="28"/>
        <v>603303</v>
      </c>
      <c r="C1853" s="30" t="s">
        <v>3801</v>
      </c>
      <c r="D1853" s="31">
        <v>9.9600000000000009</v>
      </c>
      <c r="E1853" s="31">
        <v>-0.2</v>
      </c>
      <c r="F1853" s="31">
        <v>4750368000</v>
      </c>
    </row>
    <row r="1854" spans="1:6" ht="15" thickBot="1" x14ac:dyDescent="0.2">
      <c r="A1854" s="30" t="s">
        <v>10574</v>
      </c>
      <c r="B1854" s="26" t="str">
        <f t="shared" si="28"/>
        <v>300416</v>
      </c>
      <c r="C1854" s="30" t="s">
        <v>3685</v>
      </c>
      <c r="D1854" s="31">
        <v>9.4</v>
      </c>
      <c r="E1854" s="31">
        <v>-1.78</v>
      </c>
      <c r="F1854" s="31">
        <v>4748348400</v>
      </c>
    </row>
    <row r="1855" spans="1:6" ht="15" thickBot="1" x14ac:dyDescent="0.2">
      <c r="A1855" s="30" t="s">
        <v>10575</v>
      </c>
      <c r="B1855" s="26" t="str">
        <f t="shared" si="28"/>
        <v>600654</v>
      </c>
      <c r="C1855" s="30" t="s">
        <v>3199</v>
      </c>
      <c r="D1855" s="31">
        <v>2.08</v>
      </c>
      <c r="E1855" s="31">
        <v>-2.35</v>
      </c>
      <c r="F1855" s="31">
        <v>4746606100</v>
      </c>
    </row>
    <row r="1856" spans="1:6" ht="15" thickBot="1" x14ac:dyDescent="0.2">
      <c r="A1856" s="30" t="s">
        <v>10576</v>
      </c>
      <c r="B1856" s="26" t="str">
        <f t="shared" si="28"/>
        <v>002284</v>
      </c>
      <c r="C1856" s="30" t="s">
        <v>3677</v>
      </c>
      <c r="D1856" s="31">
        <v>6.48</v>
      </c>
      <c r="E1856" s="31">
        <v>-2.85</v>
      </c>
      <c r="F1856" s="31">
        <v>4738267800</v>
      </c>
    </row>
    <row r="1857" spans="1:6" ht="15" thickBot="1" x14ac:dyDescent="0.2">
      <c r="A1857" s="30" t="s">
        <v>10577</v>
      </c>
      <c r="B1857" s="26" t="str">
        <f t="shared" si="28"/>
        <v>688185</v>
      </c>
      <c r="C1857" s="30" t="s">
        <v>2899</v>
      </c>
      <c r="D1857" s="31">
        <v>41.26</v>
      </c>
      <c r="E1857" s="31">
        <v>1.03</v>
      </c>
      <c r="F1857" s="31">
        <v>4735781500</v>
      </c>
    </row>
    <row r="1858" spans="1:6" ht="15" thickBot="1" x14ac:dyDescent="0.2">
      <c r="A1858" s="30" t="s">
        <v>10578</v>
      </c>
      <c r="B1858" s="26" t="str">
        <f t="shared" si="28"/>
        <v>603069</v>
      </c>
      <c r="C1858" s="30" t="s">
        <v>3913</v>
      </c>
      <c r="D1858" s="31">
        <v>14.97</v>
      </c>
      <c r="E1858" s="31">
        <v>-4.59</v>
      </c>
      <c r="F1858" s="31">
        <v>4730520000</v>
      </c>
    </row>
    <row r="1859" spans="1:6" ht="15" thickBot="1" x14ac:dyDescent="0.2">
      <c r="A1859" s="30" t="s">
        <v>10579</v>
      </c>
      <c r="B1859" s="26" t="str">
        <f t="shared" ref="B1859:B1922" si="29">LEFT(A1859,6)</f>
        <v>002519</v>
      </c>
      <c r="C1859" s="30" t="s">
        <v>3779</v>
      </c>
      <c r="D1859" s="31">
        <v>4.2300000000000004</v>
      </c>
      <c r="E1859" s="31">
        <v>-1.63</v>
      </c>
      <c r="F1859" s="31">
        <v>4728655800</v>
      </c>
    </row>
    <row r="1860" spans="1:6" ht="15" thickBot="1" x14ac:dyDescent="0.2">
      <c r="A1860" s="30" t="s">
        <v>10580</v>
      </c>
      <c r="B1860" s="26" t="str">
        <f t="shared" si="29"/>
        <v>600187</v>
      </c>
      <c r="C1860" s="30" t="s">
        <v>4058</v>
      </c>
      <c r="D1860" s="31">
        <v>2.93</v>
      </c>
      <c r="E1860" s="31">
        <v>-9.85</v>
      </c>
      <c r="F1860" s="31">
        <v>4728378600</v>
      </c>
    </row>
    <row r="1861" spans="1:6" ht="15" thickBot="1" x14ac:dyDescent="0.2">
      <c r="A1861" s="30" t="s">
        <v>10581</v>
      </c>
      <c r="B1861" s="26" t="str">
        <f t="shared" si="29"/>
        <v>002191</v>
      </c>
      <c r="C1861" s="30" t="s">
        <v>3827</v>
      </c>
      <c r="D1861" s="31">
        <v>3.28</v>
      </c>
      <c r="E1861" s="31">
        <v>-2.09</v>
      </c>
      <c r="F1861" s="31">
        <v>4725904500</v>
      </c>
    </row>
    <row r="1862" spans="1:6" ht="15" thickBot="1" x14ac:dyDescent="0.2">
      <c r="A1862" s="30" t="s">
        <v>10582</v>
      </c>
      <c r="B1862" s="26" t="str">
        <f t="shared" si="29"/>
        <v>002146</v>
      </c>
      <c r="C1862" s="30" t="s">
        <v>3716</v>
      </c>
      <c r="D1862" s="31">
        <v>1.21</v>
      </c>
      <c r="E1862" s="31">
        <v>4.3099999999999996</v>
      </c>
      <c r="F1862" s="31">
        <v>4719328300</v>
      </c>
    </row>
    <row r="1863" spans="1:6" ht="15" thickBot="1" x14ac:dyDescent="0.2">
      <c r="A1863" s="30" t="s">
        <v>10583</v>
      </c>
      <c r="B1863" s="26" t="str">
        <f t="shared" si="29"/>
        <v>600071</v>
      </c>
      <c r="C1863" s="30" t="s">
        <v>3951</v>
      </c>
      <c r="D1863" s="31">
        <v>16.760000000000002</v>
      </c>
      <c r="E1863" s="31">
        <v>-1.7</v>
      </c>
      <c r="F1863" s="31">
        <v>4719178400</v>
      </c>
    </row>
    <row r="1864" spans="1:6" ht="15" thickBot="1" x14ac:dyDescent="0.2">
      <c r="A1864" s="30" t="s">
        <v>10584</v>
      </c>
      <c r="B1864" s="26" t="str">
        <f t="shared" si="29"/>
        <v>300304</v>
      </c>
      <c r="C1864" s="30" t="s">
        <v>3726</v>
      </c>
      <c r="D1864" s="31">
        <v>5.52</v>
      </c>
      <c r="E1864" s="31">
        <v>-0.54</v>
      </c>
      <c r="F1864" s="31">
        <v>4718252200</v>
      </c>
    </row>
    <row r="1865" spans="1:6" ht="15" thickBot="1" x14ac:dyDescent="0.2">
      <c r="A1865" s="30" t="s">
        <v>10585</v>
      </c>
      <c r="B1865" s="26" t="str">
        <f t="shared" si="29"/>
        <v>002815</v>
      </c>
      <c r="C1865" s="30" t="s">
        <v>2506</v>
      </c>
      <c r="D1865" s="31">
        <v>7.36</v>
      </c>
      <c r="E1865" s="31">
        <v>-2.2599999999999998</v>
      </c>
      <c r="F1865" s="31">
        <v>4716602600</v>
      </c>
    </row>
    <row r="1866" spans="1:6" ht="15" thickBot="1" x14ac:dyDescent="0.2">
      <c r="A1866" s="30" t="s">
        <v>10586</v>
      </c>
      <c r="B1866" s="26" t="str">
        <f t="shared" si="29"/>
        <v>600449</v>
      </c>
      <c r="C1866" s="30" t="s">
        <v>4130</v>
      </c>
      <c r="D1866" s="31">
        <v>9.86</v>
      </c>
      <c r="E1866" s="31">
        <v>-2.57</v>
      </c>
      <c r="F1866" s="31">
        <v>4714865100</v>
      </c>
    </row>
    <row r="1867" spans="1:6" ht="15" thickBot="1" x14ac:dyDescent="0.2">
      <c r="A1867" s="30" t="s">
        <v>10587</v>
      </c>
      <c r="B1867" s="26" t="str">
        <f t="shared" si="29"/>
        <v>603989</v>
      </c>
      <c r="C1867" s="30" t="s">
        <v>3831</v>
      </c>
      <c r="D1867" s="31">
        <v>11.75</v>
      </c>
      <c r="E1867" s="31">
        <v>-1.18</v>
      </c>
      <c r="F1867" s="31">
        <v>4713284600</v>
      </c>
    </row>
    <row r="1868" spans="1:6" ht="15" thickBot="1" x14ac:dyDescent="0.2">
      <c r="A1868" s="30" t="s">
        <v>10588</v>
      </c>
      <c r="B1868" s="26" t="str">
        <f t="shared" si="29"/>
        <v>300348</v>
      </c>
      <c r="C1868" s="30" t="s">
        <v>3184</v>
      </c>
      <c r="D1868" s="31">
        <v>7.53</v>
      </c>
      <c r="E1868" s="31">
        <v>-0.4</v>
      </c>
      <c r="F1868" s="31">
        <v>4711584000</v>
      </c>
    </row>
    <row r="1869" spans="1:6" ht="15" thickBot="1" x14ac:dyDescent="0.2">
      <c r="A1869" s="30" t="s">
        <v>10589</v>
      </c>
      <c r="B1869" s="26" t="str">
        <f t="shared" si="29"/>
        <v>688698</v>
      </c>
      <c r="C1869" s="30" t="s">
        <v>3639</v>
      </c>
      <c r="D1869" s="31">
        <v>22.24</v>
      </c>
      <c r="E1869" s="31">
        <v>-4.55</v>
      </c>
      <c r="F1869" s="31">
        <v>4700986100</v>
      </c>
    </row>
    <row r="1870" spans="1:6" ht="15" thickBot="1" x14ac:dyDescent="0.2">
      <c r="A1870" s="30" t="s">
        <v>10590</v>
      </c>
      <c r="B1870" s="26" t="str">
        <f t="shared" si="29"/>
        <v>000600</v>
      </c>
      <c r="C1870" s="30" t="s">
        <v>2648</v>
      </c>
      <c r="D1870" s="31">
        <v>4.3099999999999996</v>
      </c>
      <c r="E1870" s="31">
        <v>1.89</v>
      </c>
      <c r="F1870" s="31">
        <v>4698119300</v>
      </c>
    </row>
    <row r="1871" spans="1:6" ht="15" thickBot="1" x14ac:dyDescent="0.2">
      <c r="A1871" s="30" t="s">
        <v>10591</v>
      </c>
      <c r="B1871" s="26" t="str">
        <f t="shared" si="29"/>
        <v>600110</v>
      </c>
      <c r="C1871" s="30" t="s">
        <v>3895</v>
      </c>
      <c r="D1871" s="31">
        <v>2.69</v>
      </c>
      <c r="E1871" s="31">
        <v>-1.1000000000000001</v>
      </c>
      <c r="F1871" s="31">
        <v>4698011100</v>
      </c>
    </row>
    <row r="1872" spans="1:6" ht="15" thickBot="1" x14ac:dyDescent="0.2">
      <c r="A1872" s="30" t="s">
        <v>10592</v>
      </c>
      <c r="B1872" s="26" t="str">
        <f t="shared" si="29"/>
        <v>002536</v>
      </c>
      <c r="C1872" s="30" t="s">
        <v>3681</v>
      </c>
      <c r="D1872" s="31">
        <v>8.75</v>
      </c>
      <c r="E1872" s="31">
        <v>1.98</v>
      </c>
      <c r="F1872" s="31">
        <v>4694646200</v>
      </c>
    </row>
    <row r="1873" spans="1:6" ht="15" thickBot="1" x14ac:dyDescent="0.2">
      <c r="A1873" s="30" t="s">
        <v>10593</v>
      </c>
      <c r="B1873" s="26" t="str">
        <f t="shared" si="29"/>
        <v>603035</v>
      </c>
      <c r="C1873" s="30" t="s">
        <v>3833</v>
      </c>
      <c r="D1873" s="31">
        <v>12.34</v>
      </c>
      <c r="E1873" s="31">
        <v>-0.72</v>
      </c>
      <c r="F1873" s="31">
        <v>4689581700</v>
      </c>
    </row>
    <row r="1874" spans="1:6" ht="15" thickBot="1" x14ac:dyDescent="0.2">
      <c r="A1874" s="30" t="s">
        <v>10594</v>
      </c>
      <c r="B1874" s="26" t="str">
        <f t="shared" si="29"/>
        <v>002419</v>
      </c>
      <c r="C1874" s="30" t="s">
        <v>3939</v>
      </c>
      <c r="D1874" s="31">
        <v>4.01</v>
      </c>
      <c r="E1874" s="31">
        <v>0</v>
      </c>
      <c r="F1874" s="31">
        <v>4686426300</v>
      </c>
    </row>
    <row r="1875" spans="1:6" ht="15" thickBot="1" x14ac:dyDescent="0.2">
      <c r="A1875" s="30" t="s">
        <v>10595</v>
      </c>
      <c r="B1875" s="26" t="str">
        <f t="shared" si="29"/>
        <v>832982</v>
      </c>
      <c r="C1875" s="30" t="s">
        <v>10596</v>
      </c>
      <c r="D1875" s="31">
        <v>152.22999999999999</v>
      </c>
      <c r="E1875" s="31">
        <v>0.22</v>
      </c>
      <c r="F1875" s="31">
        <v>4681971600</v>
      </c>
    </row>
    <row r="1876" spans="1:6" ht="15" thickBot="1" x14ac:dyDescent="0.2">
      <c r="A1876" s="30" t="s">
        <v>10597</v>
      </c>
      <c r="B1876" s="26" t="str">
        <f t="shared" si="29"/>
        <v>600619</v>
      </c>
      <c r="C1876" s="30" t="s">
        <v>3889</v>
      </c>
      <c r="D1876" s="31">
        <v>5.93</v>
      </c>
      <c r="E1876" s="31">
        <v>10.02</v>
      </c>
      <c r="F1876" s="31">
        <v>4679806600</v>
      </c>
    </row>
    <row r="1877" spans="1:6" ht="15" thickBot="1" x14ac:dyDescent="0.2">
      <c r="A1877" s="30" t="s">
        <v>10598</v>
      </c>
      <c r="B1877" s="26" t="str">
        <f t="shared" si="29"/>
        <v>002947</v>
      </c>
      <c r="C1877" s="30" t="s">
        <v>2634</v>
      </c>
      <c r="D1877" s="31">
        <v>28.95</v>
      </c>
      <c r="E1877" s="31">
        <v>-3.56</v>
      </c>
      <c r="F1877" s="31">
        <v>4676656500</v>
      </c>
    </row>
    <row r="1878" spans="1:6" ht="15" thickBot="1" x14ac:dyDescent="0.2">
      <c r="A1878" s="30" t="s">
        <v>10599</v>
      </c>
      <c r="B1878" s="26" t="str">
        <f t="shared" si="29"/>
        <v>600790</v>
      </c>
      <c r="C1878" s="30" t="s">
        <v>3905</v>
      </c>
      <c r="D1878" s="31">
        <v>3.19</v>
      </c>
      <c r="E1878" s="31">
        <v>-0.93</v>
      </c>
      <c r="F1878" s="31">
        <v>4675873100</v>
      </c>
    </row>
    <row r="1879" spans="1:6" ht="15" thickBot="1" x14ac:dyDescent="0.2">
      <c r="A1879" s="30" t="s">
        <v>10600</v>
      </c>
      <c r="B1879" s="26" t="str">
        <f t="shared" si="29"/>
        <v>002315</v>
      </c>
      <c r="C1879" s="30" t="s">
        <v>2684</v>
      </c>
      <c r="D1879" s="31">
        <v>23.17</v>
      </c>
      <c r="E1879" s="31">
        <v>-0.64</v>
      </c>
      <c r="F1879" s="31">
        <v>4674591500</v>
      </c>
    </row>
    <row r="1880" spans="1:6" ht="15" thickBot="1" x14ac:dyDescent="0.2">
      <c r="A1880" s="30" t="s">
        <v>10601</v>
      </c>
      <c r="B1880" s="26" t="str">
        <f t="shared" si="29"/>
        <v>300226</v>
      </c>
      <c r="C1880" s="30" t="s">
        <v>3671</v>
      </c>
      <c r="D1880" s="31">
        <v>15.1</v>
      </c>
      <c r="E1880" s="31">
        <v>-1.05</v>
      </c>
      <c r="F1880" s="31">
        <v>4673952800</v>
      </c>
    </row>
    <row r="1881" spans="1:6" ht="15" thickBot="1" x14ac:dyDescent="0.2">
      <c r="A1881" s="30" t="s">
        <v>10602</v>
      </c>
      <c r="B1881" s="26" t="str">
        <f t="shared" si="29"/>
        <v>603002</v>
      </c>
      <c r="C1881" s="30" t="s">
        <v>3744</v>
      </c>
      <c r="D1881" s="31">
        <v>4.24</v>
      </c>
      <c r="E1881" s="31">
        <v>-0.7</v>
      </c>
      <c r="F1881" s="31">
        <v>4673173700</v>
      </c>
    </row>
    <row r="1882" spans="1:6" ht="15" thickBot="1" x14ac:dyDescent="0.2">
      <c r="A1882" s="30" t="s">
        <v>10603</v>
      </c>
      <c r="B1882" s="26" t="str">
        <f t="shared" si="29"/>
        <v>603408</v>
      </c>
      <c r="C1882" s="30" t="s">
        <v>3845</v>
      </c>
      <c r="D1882" s="31">
        <v>10.44</v>
      </c>
      <c r="E1882" s="31">
        <v>-0.67</v>
      </c>
      <c r="F1882" s="31">
        <v>4672662100</v>
      </c>
    </row>
    <row r="1883" spans="1:6" ht="15" thickBot="1" x14ac:dyDescent="0.2">
      <c r="A1883" s="30" t="s">
        <v>10604</v>
      </c>
      <c r="B1883" s="26" t="str">
        <f t="shared" si="29"/>
        <v>002421</v>
      </c>
      <c r="C1883" s="30" t="s">
        <v>3775</v>
      </c>
      <c r="D1883" s="31">
        <v>2.33</v>
      </c>
      <c r="E1883" s="31">
        <v>-1.69</v>
      </c>
      <c r="F1883" s="31">
        <v>4667648200</v>
      </c>
    </row>
    <row r="1884" spans="1:6" ht="15" thickBot="1" x14ac:dyDescent="0.2">
      <c r="A1884" s="30" t="s">
        <v>10605</v>
      </c>
      <c r="B1884" s="26" t="str">
        <f t="shared" si="29"/>
        <v>002636</v>
      </c>
      <c r="C1884" s="30" t="s">
        <v>3791</v>
      </c>
      <c r="D1884" s="31">
        <v>6.43</v>
      </c>
      <c r="E1884" s="31">
        <v>-2.13</v>
      </c>
      <c r="F1884" s="31">
        <v>4657444600</v>
      </c>
    </row>
    <row r="1885" spans="1:6" ht="15" thickBot="1" x14ac:dyDescent="0.2">
      <c r="A1885" s="30" t="s">
        <v>10606</v>
      </c>
      <c r="B1885" s="26" t="str">
        <f t="shared" si="29"/>
        <v>002840</v>
      </c>
      <c r="C1885" s="30" t="s">
        <v>3036</v>
      </c>
      <c r="D1885" s="31">
        <v>9.9</v>
      </c>
      <c r="E1885" s="31">
        <v>-1.79</v>
      </c>
      <c r="F1885" s="31">
        <v>4652370300</v>
      </c>
    </row>
    <row r="1886" spans="1:6" ht="15" thickBot="1" x14ac:dyDescent="0.2">
      <c r="A1886" s="30" t="s">
        <v>10607</v>
      </c>
      <c r="B1886" s="26" t="str">
        <f t="shared" si="29"/>
        <v>600490</v>
      </c>
      <c r="C1886" s="30" t="s">
        <v>3980</v>
      </c>
      <c r="D1886" s="31">
        <v>2.33</v>
      </c>
      <c r="E1886" s="31">
        <v>-0.85</v>
      </c>
      <c r="F1886" s="31">
        <v>4642807800</v>
      </c>
    </row>
    <row r="1887" spans="1:6" ht="15" thickBot="1" x14ac:dyDescent="0.2">
      <c r="A1887" s="30" t="s">
        <v>10608</v>
      </c>
      <c r="B1887" s="26" t="str">
        <f t="shared" si="29"/>
        <v>600736</v>
      </c>
      <c r="C1887" s="30" t="s">
        <v>4022</v>
      </c>
      <c r="D1887" s="31">
        <v>4.03</v>
      </c>
      <c r="E1887" s="31">
        <v>0.75</v>
      </c>
      <c r="F1887" s="31">
        <v>4639710400</v>
      </c>
    </row>
    <row r="1888" spans="1:6" ht="15" thickBot="1" x14ac:dyDescent="0.2">
      <c r="A1888" s="30" t="s">
        <v>10609</v>
      </c>
      <c r="B1888" s="26" t="str">
        <f t="shared" si="29"/>
        <v>300755</v>
      </c>
      <c r="C1888" s="30" t="s">
        <v>3714</v>
      </c>
      <c r="D1888" s="31">
        <v>11.14</v>
      </c>
      <c r="E1888" s="31">
        <v>-1.42</v>
      </c>
      <c r="F1888" s="31">
        <v>4639332500</v>
      </c>
    </row>
    <row r="1889" spans="1:6" ht="15" thickBot="1" x14ac:dyDescent="0.2">
      <c r="A1889" s="30" t="s">
        <v>10610</v>
      </c>
      <c r="B1889" s="26" t="str">
        <f t="shared" si="29"/>
        <v>002957</v>
      </c>
      <c r="C1889" s="30" t="s">
        <v>3777</v>
      </c>
      <c r="D1889" s="31">
        <v>11.31</v>
      </c>
      <c r="E1889" s="31">
        <v>0.53</v>
      </c>
      <c r="F1889" s="31">
        <v>4637386900</v>
      </c>
    </row>
    <row r="1890" spans="1:6" ht="15" thickBot="1" x14ac:dyDescent="0.2">
      <c r="A1890" s="30" t="s">
        <v>10611</v>
      </c>
      <c r="B1890" s="26" t="str">
        <f t="shared" si="29"/>
        <v>600189</v>
      </c>
      <c r="C1890" s="30" t="s">
        <v>3875</v>
      </c>
      <c r="D1890" s="31">
        <v>6.48</v>
      </c>
      <c r="E1890" s="31">
        <v>-2.2599999999999998</v>
      </c>
      <c r="F1890" s="31">
        <v>4634481800</v>
      </c>
    </row>
    <row r="1891" spans="1:6" ht="15" thickBot="1" x14ac:dyDescent="0.2">
      <c r="A1891" s="30" t="s">
        <v>10612</v>
      </c>
      <c r="B1891" s="26" t="str">
        <f t="shared" si="29"/>
        <v>688505</v>
      </c>
      <c r="C1891" s="30" t="s">
        <v>3587</v>
      </c>
      <c r="D1891" s="31">
        <v>6.52</v>
      </c>
      <c r="E1891" s="31">
        <v>-1.51</v>
      </c>
      <c r="F1891" s="31">
        <v>4632930100</v>
      </c>
    </row>
    <row r="1892" spans="1:6" ht="15" thickBot="1" x14ac:dyDescent="0.2">
      <c r="A1892" s="30" t="s">
        <v>10613</v>
      </c>
      <c r="B1892" s="26" t="str">
        <f t="shared" si="29"/>
        <v>600748</v>
      </c>
      <c r="C1892" s="30" t="s">
        <v>4096</v>
      </c>
      <c r="D1892" s="31">
        <v>2.5099999999999998</v>
      </c>
      <c r="E1892" s="31">
        <v>2.4500000000000002</v>
      </c>
      <c r="F1892" s="31">
        <v>4629852900</v>
      </c>
    </row>
    <row r="1893" spans="1:6" ht="15" thickBot="1" x14ac:dyDescent="0.2">
      <c r="A1893" s="30" t="s">
        <v>10614</v>
      </c>
      <c r="B1893" s="26" t="str">
        <f t="shared" si="29"/>
        <v>002246</v>
      </c>
      <c r="C1893" s="30" t="s">
        <v>4060</v>
      </c>
      <c r="D1893" s="31">
        <v>8.43</v>
      </c>
      <c r="E1893" s="31">
        <v>0.6</v>
      </c>
      <c r="F1893" s="31">
        <v>4628363300</v>
      </c>
    </row>
    <row r="1894" spans="1:6" ht="15" thickBot="1" x14ac:dyDescent="0.2">
      <c r="A1894" s="30" t="s">
        <v>10615</v>
      </c>
      <c r="B1894" s="26" t="str">
        <f t="shared" si="29"/>
        <v>600694</v>
      </c>
      <c r="C1894" s="30" t="s">
        <v>3849</v>
      </c>
      <c r="D1894" s="31">
        <v>14.76</v>
      </c>
      <c r="E1894" s="31">
        <v>0.48</v>
      </c>
      <c r="F1894" s="31">
        <v>4620655900</v>
      </c>
    </row>
    <row r="1895" spans="1:6" ht="15" thickBot="1" x14ac:dyDescent="0.2">
      <c r="A1895" s="30" t="s">
        <v>10616</v>
      </c>
      <c r="B1895" s="26" t="str">
        <f t="shared" si="29"/>
        <v>603708</v>
      </c>
      <c r="C1895" s="30" t="s">
        <v>3761</v>
      </c>
      <c r="D1895" s="31">
        <v>7.7</v>
      </c>
      <c r="E1895" s="31">
        <v>0.92</v>
      </c>
      <c r="F1895" s="31">
        <v>4615400400</v>
      </c>
    </row>
    <row r="1896" spans="1:6" ht="15" thickBot="1" x14ac:dyDescent="0.2">
      <c r="A1896" s="30" t="s">
        <v>10617</v>
      </c>
      <c r="B1896" s="26" t="str">
        <f t="shared" si="29"/>
        <v>603848</v>
      </c>
      <c r="C1896" s="30" t="s">
        <v>3915</v>
      </c>
      <c r="D1896" s="31">
        <v>11.5</v>
      </c>
      <c r="E1896" s="31">
        <v>0.26</v>
      </c>
      <c r="F1896" s="31">
        <v>4611500000</v>
      </c>
    </row>
    <row r="1897" spans="1:6" ht="15" thickBot="1" x14ac:dyDescent="0.2">
      <c r="A1897" s="30" t="s">
        <v>10618</v>
      </c>
      <c r="B1897" s="26" t="str">
        <f t="shared" si="29"/>
        <v>300726</v>
      </c>
      <c r="C1897" s="30" t="s">
        <v>2288</v>
      </c>
      <c r="D1897" s="31">
        <v>21.58</v>
      </c>
      <c r="E1897" s="31">
        <v>0.37</v>
      </c>
      <c r="F1897" s="31">
        <v>4608887500</v>
      </c>
    </row>
    <row r="1898" spans="1:6" ht="15" thickBot="1" x14ac:dyDescent="0.2">
      <c r="A1898" s="30" t="s">
        <v>10619</v>
      </c>
      <c r="B1898" s="26" t="str">
        <f t="shared" si="29"/>
        <v>300143</v>
      </c>
      <c r="C1898" s="30" t="s">
        <v>3698</v>
      </c>
      <c r="D1898" s="31">
        <v>7.17</v>
      </c>
      <c r="E1898" s="31">
        <v>-3.24</v>
      </c>
      <c r="F1898" s="31">
        <v>4604337500</v>
      </c>
    </row>
    <row r="1899" spans="1:6" ht="15" thickBot="1" x14ac:dyDescent="0.2">
      <c r="A1899" s="30" t="s">
        <v>10620</v>
      </c>
      <c r="B1899" s="26" t="str">
        <f t="shared" si="29"/>
        <v>002649</v>
      </c>
      <c r="C1899" s="30" t="s">
        <v>3899</v>
      </c>
      <c r="D1899" s="31">
        <v>8.3800000000000008</v>
      </c>
      <c r="E1899" s="31">
        <v>-4.5599999999999996</v>
      </c>
      <c r="F1899" s="31">
        <v>4597639800</v>
      </c>
    </row>
    <row r="1900" spans="1:6" ht="15" thickBot="1" x14ac:dyDescent="0.2">
      <c r="A1900" s="30" t="s">
        <v>10621</v>
      </c>
      <c r="B1900" s="26" t="str">
        <f t="shared" si="29"/>
        <v>002583</v>
      </c>
      <c r="C1900" s="30" t="s">
        <v>2933</v>
      </c>
      <c r="D1900" s="31">
        <v>3.58</v>
      </c>
      <c r="E1900" s="31">
        <v>-1.65</v>
      </c>
      <c r="F1900" s="31">
        <v>4590691500</v>
      </c>
    </row>
    <row r="1901" spans="1:6" ht="15" thickBot="1" x14ac:dyDescent="0.2">
      <c r="A1901" s="30" t="s">
        <v>10622</v>
      </c>
      <c r="B1901" s="26" t="str">
        <f t="shared" si="29"/>
        <v>605369</v>
      </c>
      <c r="C1901" s="30" t="s">
        <v>3865</v>
      </c>
      <c r="D1901" s="31">
        <v>29.11</v>
      </c>
      <c r="E1901" s="31">
        <v>-2.74</v>
      </c>
      <c r="F1901" s="31">
        <v>4587107700</v>
      </c>
    </row>
    <row r="1902" spans="1:6" ht="15" thickBot="1" x14ac:dyDescent="0.2">
      <c r="A1902" s="30" t="s">
        <v>10623</v>
      </c>
      <c r="B1902" s="26" t="str">
        <f t="shared" si="29"/>
        <v>300972</v>
      </c>
      <c r="C1902" s="30" t="s">
        <v>3358</v>
      </c>
      <c r="D1902" s="31">
        <v>29.54</v>
      </c>
      <c r="E1902" s="31">
        <v>-3.21</v>
      </c>
      <c r="F1902" s="31">
        <v>4587069200</v>
      </c>
    </row>
    <row r="1903" spans="1:6" ht="15" thickBot="1" x14ac:dyDescent="0.2">
      <c r="A1903" s="30" t="s">
        <v>10624</v>
      </c>
      <c r="B1903" s="26" t="str">
        <f t="shared" si="29"/>
        <v>300035</v>
      </c>
      <c r="C1903" s="30" t="s">
        <v>3391</v>
      </c>
      <c r="D1903" s="31">
        <v>7.86</v>
      </c>
      <c r="E1903" s="31">
        <v>-0.76</v>
      </c>
      <c r="F1903" s="31">
        <v>4585141800</v>
      </c>
    </row>
    <row r="1904" spans="1:6" ht="15" thickBot="1" x14ac:dyDescent="0.2">
      <c r="A1904" s="30" t="s">
        <v>10625</v>
      </c>
      <c r="B1904" s="26" t="str">
        <f t="shared" si="29"/>
        <v>002515</v>
      </c>
      <c r="C1904" s="30" t="s">
        <v>3789</v>
      </c>
      <c r="D1904" s="31">
        <v>4.0599999999999996</v>
      </c>
      <c r="E1904" s="31">
        <v>1</v>
      </c>
      <c r="F1904" s="31">
        <v>4582060400</v>
      </c>
    </row>
    <row r="1905" spans="1:6" ht="15" thickBot="1" x14ac:dyDescent="0.2">
      <c r="A1905" s="30" t="s">
        <v>10626</v>
      </c>
      <c r="B1905" s="26" t="str">
        <f t="shared" si="29"/>
        <v>300109</v>
      </c>
      <c r="C1905" s="30" t="s">
        <v>3649</v>
      </c>
      <c r="D1905" s="31">
        <v>10.210000000000001</v>
      </c>
      <c r="E1905" s="31">
        <v>-2.02</v>
      </c>
      <c r="F1905" s="31">
        <v>4577536300</v>
      </c>
    </row>
    <row r="1906" spans="1:6" ht="15" thickBot="1" x14ac:dyDescent="0.2">
      <c r="A1906" s="30" t="s">
        <v>10627</v>
      </c>
      <c r="B1906" s="26" t="str">
        <f t="shared" si="29"/>
        <v>000881</v>
      </c>
      <c r="C1906" s="30" t="s">
        <v>3439</v>
      </c>
      <c r="D1906" s="31">
        <v>5.78</v>
      </c>
      <c r="E1906" s="31">
        <v>-1.2</v>
      </c>
      <c r="F1906" s="31">
        <v>4568188500</v>
      </c>
    </row>
    <row r="1907" spans="1:6" ht="15" thickBot="1" x14ac:dyDescent="0.2">
      <c r="A1907" s="30" t="s">
        <v>10628</v>
      </c>
      <c r="B1907" s="26" t="str">
        <f t="shared" si="29"/>
        <v>688503</v>
      </c>
      <c r="C1907" s="30" t="s">
        <v>10629</v>
      </c>
      <c r="D1907" s="31">
        <v>25.53</v>
      </c>
      <c r="E1907" s="31">
        <v>-3.11</v>
      </c>
      <c r="F1907" s="31">
        <v>4565399600</v>
      </c>
    </row>
    <row r="1908" spans="1:6" ht="15" thickBot="1" x14ac:dyDescent="0.2">
      <c r="A1908" s="30" t="s">
        <v>10630</v>
      </c>
      <c r="B1908" s="26" t="str">
        <f t="shared" si="29"/>
        <v>300468</v>
      </c>
      <c r="C1908" s="30" t="s">
        <v>3903</v>
      </c>
      <c r="D1908" s="31">
        <v>8.6300000000000008</v>
      </c>
      <c r="E1908" s="31">
        <v>-1.93</v>
      </c>
      <c r="F1908" s="31">
        <v>4563986400</v>
      </c>
    </row>
    <row r="1909" spans="1:6" ht="15" thickBot="1" x14ac:dyDescent="0.2">
      <c r="A1909" s="30" t="s">
        <v>10631</v>
      </c>
      <c r="B1909" s="26" t="str">
        <f t="shared" si="29"/>
        <v>688362</v>
      </c>
      <c r="C1909" s="30" t="s">
        <v>10632</v>
      </c>
      <c r="D1909" s="31">
        <v>16.5</v>
      </c>
      <c r="E1909" s="31">
        <v>-1.26</v>
      </c>
      <c r="F1909" s="31">
        <v>4556927100</v>
      </c>
    </row>
    <row r="1910" spans="1:6" ht="15" thickBot="1" x14ac:dyDescent="0.2">
      <c r="A1910" s="30" t="s">
        <v>10633</v>
      </c>
      <c r="B1910" s="26" t="str">
        <f t="shared" si="29"/>
        <v>000652</v>
      </c>
      <c r="C1910" s="30" t="s">
        <v>4078</v>
      </c>
      <c r="D1910" s="31">
        <v>3.09</v>
      </c>
      <c r="E1910" s="31">
        <v>0.65</v>
      </c>
      <c r="F1910" s="31">
        <v>4556063200</v>
      </c>
    </row>
    <row r="1911" spans="1:6" ht="15" thickBot="1" x14ac:dyDescent="0.2">
      <c r="A1911" s="30" t="s">
        <v>10634</v>
      </c>
      <c r="B1911" s="26" t="str">
        <f t="shared" si="29"/>
        <v>300382</v>
      </c>
      <c r="C1911" s="30" t="s">
        <v>4332</v>
      </c>
      <c r="D1911" s="31">
        <v>7.25</v>
      </c>
      <c r="E1911" s="31">
        <v>4.62</v>
      </c>
      <c r="F1911" s="31">
        <v>4555402500</v>
      </c>
    </row>
    <row r="1912" spans="1:6" ht="15" thickBot="1" x14ac:dyDescent="0.2">
      <c r="A1912" s="30" t="s">
        <v>10635</v>
      </c>
      <c r="B1912" s="26" t="str">
        <f t="shared" si="29"/>
        <v>000936</v>
      </c>
      <c r="C1912" s="30" t="s">
        <v>3923</v>
      </c>
      <c r="D1912" s="31">
        <v>5.14</v>
      </c>
      <c r="E1912" s="31">
        <v>-1.53</v>
      </c>
      <c r="F1912" s="31">
        <v>4553460900</v>
      </c>
    </row>
    <row r="1913" spans="1:6" ht="15" thickBot="1" x14ac:dyDescent="0.2">
      <c r="A1913" s="30" t="s">
        <v>10636</v>
      </c>
      <c r="B1913" s="26" t="str">
        <f t="shared" si="29"/>
        <v>301511</v>
      </c>
      <c r="C1913" s="30" t="s">
        <v>10637</v>
      </c>
      <c r="D1913" s="31">
        <v>12.18</v>
      </c>
      <c r="E1913" s="31">
        <v>-5.07</v>
      </c>
      <c r="F1913" s="31">
        <v>4551325100</v>
      </c>
    </row>
    <row r="1914" spans="1:6" ht="15" thickBot="1" x14ac:dyDescent="0.2">
      <c r="A1914" s="30" t="s">
        <v>10638</v>
      </c>
      <c r="B1914" s="26" t="str">
        <f t="shared" si="29"/>
        <v>600308</v>
      </c>
      <c r="C1914" s="30" t="s">
        <v>3978</v>
      </c>
      <c r="D1914" s="31">
        <v>3</v>
      </c>
      <c r="E1914" s="31">
        <v>-0.33</v>
      </c>
      <c r="F1914" s="31">
        <v>4550610500</v>
      </c>
    </row>
    <row r="1915" spans="1:6" ht="15" thickBot="1" x14ac:dyDescent="0.2">
      <c r="A1915" s="30" t="s">
        <v>10639</v>
      </c>
      <c r="B1915" s="26" t="str">
        <f t="shared" si="29"/>
        <v>002727</v>
      </c>
      <c r="C1915" s="30" t="s">
        <v>2905</v>
      </c>
      <c r="D1915" s="31">
        <v>11.16</v>
      </c>
      <c r="E1915" s="31">
        <v>0.63</v>
      </c>
      <c r="F1915" s="31">
        <v>4550085300</v>
      </c>
    </row>
    <row r="1916" spans="1:6" ht="15" thickBot="1" x14ac:dyDescent="0.2">
      <c r="A1916" s="30" t="s">
        <v>10640</v>
      </c>
      <c r="B1916" s="26" t="str">
        <f t="shared" si="29"/>
        <v>300861</v>
      </c>
      <c r="C1916" s="30" t="s">
        <v>2461</v>
      </c>
      <c r="D1916" s="31">
        <v>16.72</v>
      </c>
      <c r="E1916" s="31">
        <v>-2.68</v>
      </c>
      <c r="F1916" s="31">
        <v>4549252200</v>
      </c>
    </row>
    <row r="1917" spans="1:6" ht="15" thickBot="1" x14ac:dyDescent="0.2">
      <c r="A1917" s="30" t="s">
        <v>10641</v>
      </c>
      <c r="B1917" s="26" t="str">
        <f t="shared" si="29"/>
        <v>300039</v>
      </c>
      <c r="C1917" s="30" t="s">
        <v>3517</v>
      </c>
      <c r="D1917" s="31">
        <v>4.96</v>
      </c>
      <c r="E1917" s="31">
        <v>-2.17</v>
      </c>
      <c r="F1917" s="31">
        <v>4547954100</v>
      </c>
    </row>
    <row r="1918" spans="1:6" ht="15" thickBot="1" x14ac:dyDescent="0.2">
      <c r="A1918" s="30" t="s">
        <v>10642</v>
      </c>
      <c r="B1918" s="26" t="str">
        <f t="shared" si="29"/>
        <v>688399</v>
      </c>
      <c r="C1918" s="30" t="s">
        <v>4026</v>
      </c>
      <c r="D1918" s="31">
        <v>77.58</v>
      </c>
      <c r="E1918" s="31">
        <v>0.28000000000000003</v>
      </c>
      <c r="F1918" s="31">
        <v>4547739600</v>
      </c>
    </row>
    <row r="1919" spans="1:6" ht="15" thickBot="1" x14ac:dyDescent="0.2">
      <c r="A1919" s="30" t="s">
        <v>10643</v>
      </c>
      <c r="B1919" s="26" t="str">
        <f t="shared" si="29"/>
        <v>603031</v>
      </c>
      <c r="C1919" s="30" t="s">
        <v>3909</v>
      </c>
      <c r="D1919" s="31">
        <v>21.54</v>
      </c>
      <c r="E1919" s="31">
        <v>-2.27</v>
      </c>
      <c r="F1919" s="31">
        <v>4547524800</v>
      </c>
    </row>
    <row r="1920" spans="1:6" ht="15" thickBot="1" x14ac:dyDescent="0.2">
      <c r="A1920" s="30" t="s">
        <v>10644</v>
      </c>
      <c r="B1920" s="26" t="str">
        <f t="shared" si="29"/>
        <v>000036</v>
      </c>
      <c r="C1920" s="30" t="s">
        <v>4272</v>
      </c>
      <c r="D1920" s="31">
        <v>3.07</v>
      </c>
      <c r="E1920" s="31">
        <v>0.66</v>
      </c>
      <c r="F1920" s="31">
        <v>4545669100</v>
      </c>
    </row>
    <row r="1921" spans="1:6" ht="15" thickBot="1" x14ac:dyDescent="0.2">
      <c r="A1921" s="30" t="s">
        <v>10645</v>
      </c>
      <c r="B1921" s="26" t="str">
        <f t="shared" si="29"/>
        <v>600336</v>
      </c>
      <c r="C1921" s="30" t="s">
        <v>4741</v>
      </c>
      <c r="D1921" s="31">
        <v>5.69</v>
      </c>
      <c r="E1921" s="31">
        <v>6.55</v>
      </c>
      <c r="F1921" s="31">
        <v>4540704000</v>
      </c>
    </row>
    <row r="1922" spans="1:6" ht="15" thickBot="1" x14ac:dyDescent="0.2">
      <c r="A1922" s="30" t="s">
        <v>10646</v>
      </c>
      <c r="B1922" s="26" t="str">
        <f t="shared" si="29"/>
        <v>603626</v>
      </c>
      <c r="C1922" s="30" t="s">
        <v>3519</v>
      </c>
      <c r="D1922" s="31">
        <v>8.18</v>
      </c>
      <c r="E1922" s="31">
        <v>-0.37</v>
      </c>
      <c r="F1922" s="31">
        <v>4538915900</v>
      </c>
    </row>
    <row r="1923" spans="1:6" ht="15" thickBot="1" x14ac:dyDescent="0.2">
      <c r="A1923" s="30" t="s">
        <v>10647</v>
      </c>
      <c r="B1923" s="26" t="str">
        <f t="shared" ref="B1923:B1986" si="30">LEFT(A1923,6)</f>
        <v>601388</v>
      </c>
      <c r="C1923" s="30" t="s">
        <v>4044</v>
      </c>
      <c r="D1923" s="31">
        <v>2.06</v>
      </c>
      <c r="E1923" s="31">
        <v>0.49</v>
      </c>
      <c r="F1923" s="31">
        <v>4534518600</v>
      </c>
    </row>
    <row r="1924" spans="1:6" ht="15" thickBot="1" x14ac:dyDescent="0.2">
      <c r="A1924" s="30" t="s">
        <v>10648</v>
      </c>
      <c r="B1924" s="26" t="str">
        <f t="shared" si="30"/>
        <v>002678</v>
      </c>
      <c r="C1924" s="30" t="s">
        <v>3877</v>
      </c>
      <c r="D1924" s="31">
        <v>3.33</v>
      </c>
      <c r="E1924" s="31">
        <v>-4.04</v>
      </c>
      <c r="F1924" s="31">
        <v>4520722900</v>
      </c>
    </row>
    <row r="1925" spans="1:6" ht="15" thickBot="1" x14ac:dyDescent="0.2">
      <c r="A1925" s="30" t="s">
        <v>10649</v>
      </c>
      <c r="B1925" s="26" t="str">
        <f t="shared" si="30"/>
        <v>300140</v>
      </c>
      <c r="C1925" s="30" t="s">
        <v>1618</v>
      </c>
      <c r="D1925" s="31">
        <v>4.43</v>
      </c>
      <c r="E1925" s="31">
        <v>-1.1200000000000001</v>
      </c>
      <c r="F1925" s="31">
        <v>4518856400</v>
      </c>
    </row>
    <row r="1926" spans="1:6" ht="15" thickBot="1" x14ac:dyDescent="0.2">
      <c r="A1926" s="30" t="s">
        <v>10650</v>
      </c>
      <c r="B1926" s="26" t="str">
        <f t="shared" si="30"/>
        <v>002573</v>
      </c>
      <c r="C1926" s="30" t="s">
        <v>3969</v>
      </c>
      <c r="D1926" s="31">
        <v>3.22</v>
      </c>
      <c r="E1926" s="31">
        <v>-0.62</v>
      </c>
      <c r="F1926" s="31">
        <v>4515561100</v>
      </c>
    </row>
    <row r="1927" spans="1:6" ht="15" thickBot="1" x14ac:dyDescent="0.2">
      <c r="A1927" s="30" t="s">
        <v>10651</v>
      </c>
      <c r="B1927" s="26" t="str">
        <f t="shared" si="30"/>
        <v>688192</v>
      </c>
      <c r="C1927" s="30" t="s">
        <v>10652</v>
      </c>
      <c r="D1927" s="31">
        <v>36.659999999999997</v>
      </c>
      <c r="E1927" s="31">
        <v>1.5</v>
      </c>
      <c r="F1927" s="31">
        <v>4512295500</v>
      </c>
    </row>
    <row r="1928" spans="1:6" ht="15" thickBot="1" x14ac:dyDescent="0.2">
      <c r="A1928" s="30" t="s">
        <v>10653</v>
      </c>
      <c r="B1928" s="26" t="str">
        <f t="shared" si="30"/>
        <v>603667</v>
      </c>
      <c r="C1928" s="30" t="s">
        <v>3859</v>
      </c>
      <c r="D1928" s="31">
        <v>12.32</v>
      </c>
      <c r="E1928" s="31">
        <v>-1.44</v>
      </c>
      <c r="F1928" s="31">
        <v>4511618100</v>
      </c>
    </row>
    <row r="1929" spans="1:6" ht="15" thickBot="1" x14ac:dyDescent="0.2">
      <c r="A1929" s="30" t="s">
        <v>10654</v>
      </c>
      <c r="B1929" s="26" t="str">
        <f t="shared" si="30"/>
        <v>300047</v>
      </c>
      <c r="C1929" s="30" t="s">
        <v>3675</v>
      </c>
      <c r="D1929" s="31">
        <v>8.1999999999999993</v>
      </c>
      <c r="E1929" s="31">
        <v>-2.27</v>
      </c>
      <c r="F1929" s="31">
        <v>4507695900</v>
      </c>
    </row>
    <row r="1930" spans="1:6" ht="15" thickBot="1" x14ac:dyDescent="0.2">
      <c r="A1930" s="30" t="s">
        <v>10655</v>
      </c>
      <c r="B1930" s="26" t="str">
        <f t="shared" si="30"/>
        <v>688087</v>
      </c>
      <c r="C1930" s="30" t="s">
        <v>3933</v>
      </c>
      <c r="D1930" s="31">
        <v>24.2</v>
      </c>
      <c r="E1930" s="31">
        <v>-1.27</v>
      </c>
      <c r="F1930" s="31">
        <v>4507140900</v>
      </c>
    </row>
    <row r="1931" spans="1:6" ht="15" thickBot="1" x14ac:dyDescent="0.2">
      <c r="A1931" s="30" t="s">
        <v>10656</v>
      </c>
      <c r="B1931" s="26" t="str">
        <f t="shared" si="30"/>
        <v>300663</v>
      </c>
      <c r="C1931" s="30" t="s">
        <v>3787</v>
      </c>
      <c r="D1931" s="31">
        <v>10.86</v>
      </c>
      <c r="E1931" s="31">
        <v>2.0699999999999998</v>
      </c>
      <c r="F1931" s="31">
        <v>4505388700</v>
      </c>
    </row>
    <row r="1932" spans="1:6" ht="15" thickBot="1" x14ac:dyDescent="0.2">
      <c r="A1932" s="30" t="s">
        <v>10657</v>
      </c>
      <c r="B1932" s="26" t="str">
        <f t="shared" si="30"/>
        <v>600955</v>
      </c>
      <c r="C1932" s="30" t="s">
        <v>10658</v>
      </c>
      <c r="D1932" s="31">
        <v>12.34</v>
      </c>
      <c r="E1932" s="31">
        <v>0</v>
      </c>
      <c r="F1932" s="31">
        <v>4502866000</v>
      </c>
    </row>
    <row r="1933" spans="1:6" ht="15" thickBot="1" x14ac:dyDescent="0.2">
      <c r="A1933" s="30" t="s">
        <v>10659</v>
      </c>
      <c r="B1933" s="26" t="str">
        <f t="shared" si="30"/>
        <v>603060</v>
      </c>
      <c r="C1933" s="30" t="s">
        <v>3941</v>
      </c>
      <c r="D1933" s="31">
        <v>5.6</v>
      </c>
      <c r="E1933" s="31">
        <v>-1.58</v>
      </c>
      <c r="F1933" s="31">
        <v>4501999900</v>
      </c>
    </row>
    <row r="1934" spans="1:6" ht="15" thickBot="1" x14ac:dyDescent="0.2">
      <c r="A1934" s="30" t="s">
        <v>10660</v>
      </c>
      <c r="B1934" s="26" t="str">
        <f t="shared" si="30"/>
        <v>600433</v>
      </c>
      <c r="C1934" s="30" t="s">
        <v>4080</v>
      </c>
      <c r="D1934" s="31">
        <v>2.57</v>
      </c>
      <c r="E1934" s="31">
        <v>0.39</v>
      </c>
      <c r="F1934" s="31">
        <v>4498217600</v>
      </c>
    </row>
    <row r="1935" spans="1:6" ht="15" thickBot="1" x14ac:dyDescent="0.2">
      <c r="A1935" s="30" t="s">
        <v>10661</v>
      </c>
      <c r="B1935" s="26" t="str">
        <f t="shared" si="30"/>
        <v>002550</v>
      </c>
      <c r="C1935" s="30" t="s">
        <v>3026</v>
      </c>
      <c r="D1935" s="31">
        <v>4.9400000000000004</v>
      </c>
      <c r="E1935" s="31">
        <v>-1.4</v>
      </c>
      <c r="F1935" s="31">
        <v>4496530000</v>
      </c>
    </row>
    <row r="1936" spans="1:6" ht="15" thickBot="1" x14ac:dyDescent="0.2">
      <c r="A1936" s="30" t="s">
        <v>10662</v>
      </c>
      <c r="B1936" s="26" t="str">
        <f t="shared" si="30"/>
        <v>688668</v>
      </c>
      <c r="C1936" s="30" t="s">
        <v>3871</v>
      </c>
      <c r="D1936" s="31">
        <v>32.409999999999997</v>
      </c>
      <c r="E1936" s="31">
        <v>-0.89</v>
      </c>
      <c r="F1936" s="31">
        <v>4496227800</v>
      </c>
    </row>
    <row r="1937" spans="1:6" ht="15" thickBot="1" x14ac:dyDescent="0.2">
      <c r="A1937" s="30" t="s">
        <v>10663</v>
      </c>
      <c r="B1937" s="26" t="str">
        <f t="shared" si="30"/>
        <v>300293</v>
      </c>
      <c r="C1937" s="30" t="s">
        <v>3559</v>
      </c>
      <c r="D1937" s="31">
        <v>16.02</v>
      </c>
      <c r="E1937" s="31">
        <v>10.71</v>
      </c>
      <c r="F1937" s="31">
        <v>4490981400</v>
      </c>
    </row>
    <row r="1938" spans="1:6" ht="15" thickBot="1" x14ac:dyDescent="0.2">
      <c r="A1938" s="30" t="s">
        <v>10664</v>
      </c>
      <c r="B1938" s="26" t="str">
        <f t="shared" si="30"/>
        <v>300847</v>
      </c>
      <c r="C1938" s="30" t="s">
        <v>4184</v>
      </c>
      <c r="D1938" s="31">
        <v>15.17</v>
      </c>
      <c r="E1938" s="31">
        <v>-1.56</v>
      </c>
      <c r="F1938" s="31">
        <v>4490471700</v>
      </c>
    </row>
    <row r="1939" spans="1:6" ht="15" thickBot="1" x14ac:dyDescent="0.2">
      <c r="A1939" s="30" t="s">
        <v>10665</v>
      </c>
      <c r="B1939" s="26" t="str">
        <f t="shared" si="30"/>
        <v>300183</v>
      </c>
      <c r="C1939" s="30" t="s">
        <v>3354</v>
      </c>
      <c r="D1939" s="31">
        <v>12.49</v>
      </c>
      <c r="E1939" s="31">
        <v>1.38</v>
      </c>
      <c r="F1939" s="31">
        <v>4484238600</v>
      </c>
    </row>
    <row r="1940" spans="1:6" ht="15" thickBot="1" x14ac:dyDescent="0.2">
      <c r="A1940" s="30" t="s">
        <v>10666</v>
      </c>
      <c r="B1940" s="26" t="str">
        <f t="shared" si="30"/>
        <v>002697</v>
      </c>
      <c r="C1940" s="30" t="s">
        <v>3336</v>
      </c>
      <c r="D1940" s="31">
        <v>4.16</v>
      </c>
      <c r="E1940" s="31">
        <v>0</v>
      </c>
      <c r="F1940" s="31">
        <v>4482734500</v>
      </c>
    </row>
    <row r="1941" spans="1:6" ht="15" thickBot="1" x14ac:dyDescent="0.2">
      <c r="A1941" s="30" t="s">
        <v>10667</v>
      </c>
      <c r="B1941" s="26" t="str">
        <f t="shared" si="30"/>
        <v>600108</v>
      </c>
      <c r="C1941" s="30" t="s">
        <v>4000</v>
      </c>
      <c r="D1941" s="31">
        <v>2.2999999999999998</v>
      </c>
      <c r="E1941" s="31">
        <v>-2.54</v>
      </c>
      <c r="F1941" s="31">
        <v>4477904800</v>
      </c>
    </row>
    <row r="1942" spans="1:6" ht="15" thickBot="1" x14ac:dyDescent="0.2">
      <c r="A1942" s="30" t="s">
        <v>10668</v>
      </c>
      <c r="B1942" s="26" t="str">
        <f t="shared" si="30"/>
        <v>688095</v>
      </c>
      <c r="C1942" s="30" t="s">
        <v>3963</v>
      </c>
      <c r="D1942" s="31">
        <v>48.94</v>
      </c>
      <c r="E1942" s="31">
        <v>-1.59</v>
      </c>
      <c r="F1942" s="31">
        <v>4477497300</v>
      </c>
    </row>
    <row r="1943" spans="1:6" ht="15" thickBot="1" x14ac:dyDescent="0.2">
      <c r="A1943" s="30" t="s">
        <v>10669</v>
      </c>
      <c r="B1943" s="26" t="str">
        <f t="shared" si="30"/>
        <v>002438</v>
      </c>
      <c r="C1943" s="30" t="s">
        <v>3683</v>
      </c>
      <c r="D1943" s="31">
        <v>9.5399999999999991</v>
      </c>
      <c r="E1943" s="31">
        <v>0</v>
      </c>
      <c r="F1943" s="31">
        <v>4473121600</v>
      </c>
    </row>
    <row r="1944" spans="1:6" ht="15" thickBot="1" x14ac:dyDescent="0.2">
      <c r="A1944" s="30" t="s">
        <v>10670</v>
      </c>
      <c r="B1944" s="26" t="str">
        <f t="shared" si="30"/>
        <v>603889</v>
      </c>
      <c r="C1944" s="30" t="s">
        <v>3959</v>
      </c>
      <c r="D1944" s="31">
        <v>6.24</v>
      </c>
      <c r="E1944" s="31">
        <v>-0.48</v>
      </c>
      <c r="F1944" s="31">
        <v>4470616400</v>
      </c>
    </row>
    <row r="1945" spans="1:6" ht="15" thickBot="1" x14ac:dyDescent="0.2">
      <c r="A1945" s="30" t="s">
        <v>10671</v>
      </c>
      <c r="B1945" s="26" t="str">
        <f t="shared" si="30"/>
        <v>001896</v>
      </c>
      <c r="C1945" s="30" t="s">
        <v>3651</v>
      </c>
      <c r="D1945" s="31">
        <v>3.38</v>
      </c>
      <c r="E1945" s="31">
        <v>0</v>
      </c>
      <c r="F1945" s="31">
        <v>4464240900</v>
      </c>
    </row>
    <row r="1946" spans="1:6" ht="15" thickBot="1" x14ac:dyDescent="0.2">
      <c r="A1946" s="30" t="s">
        <v>10672</v>
      </c>
      <c r="B1946" s="26" t="str">
        <f t="shared" si="30"/>
        <v>002033</v>
      </c>
      <c r="C1946" s="30" t="s">
        <v>4056</v>
      </c>
      <c r="D1946" s="31">
        <v>8.1199999999999992</v>
      </c>
      <c r="E1946" s="31">
        <v>1.25</v>
      </c>
      <c r="F1946" s="31">
        <v>4461779100</v>
      </c>
    </row>
    <row r="1947" spans="1:6" ht="15" thickBot="1" x14ac:dyDescent="0.2">
      <c r="A1947" s="30" t="s">
        <v>10673</v>
      </c>
      <c r="B1947" s="26" t="str">
        <f t="shared" si="30"/>
        <v>300783</v>
      </c>
      <c r="C1947" s="30" t="s">
        <v>2965</v>
      </c>
      <c r="D1947" s="31">
        <v>15.95</v>
      </c>
      <c r="E1947" s="31">
        <v>0.56999999999999995</v>
      </c>
      <c r="F1947" s="31">
        <v>4459556200</v>
      </c>
    </row>
    <row r="1948" spans="1:6" ht="15" thickBot="1" x14ac:dyDescent="0.2">
      <c r="A1948" s="30" t="s">
        <v>10674</v>
      </c>
      <c r="B1948" s="26" t="str">
        <f t="shared" si="30"/>
        <v>002664</v>
      </c>
      <c r="C1948" s="30" t="s">
        <v>3927</v>
      </c>
      <c r="D1948" s="31">
        <v>11.11</v>
      </c>
      <c r="E1948" s="31">
        <v>-0.72</v>
      </c>
      <c r="F1948" s="31">
        <v>4459439400</v>
      </c>
    </row>
    <row r="1949" spans="1:6" ht="15" thickBot="1" x14ac:dyDescent="0.2">
      <c r="A1949" s="30" t="s">
        <v>10675</v>
      </c>
      <c r="B1949" s="26" t="str">
        <f t="shared" si="30"/>
        <v>600973</v>
      </c>
      <c r="C1949" s="30" t="s">
        <v>4152</v>
      </c>
      <c r="D1949" s="31">
        <v>3.24</v>
      </c>
      <c r="E1949" s="31">
        <v>0</v>
      </c>
      <c r="F1949" s="31">
        <v>4443226600</v>
      </c>
    </row>
    <row r="1950" spans="1:6" ht="15" thickBot="1" x14ac:dyDescent="0.2">
      <c r="A1950" s="30" t="s">
        <v>10676</v>
      </c>
      <c r="B1950" s="26" t="str">
        <f t="shared" si="30"/>
        <v>000949</v>
      </c>
      <c r="C1950" s="30" t="s">
        <v>3545</v>
      </c>
      <c r="D1950" s="31">
        <v>3.03</v>
      </c>
      <c r="E1950" s="31">
        <v>-1.94</v>
      </c>
      <c r="F1950" s="31">
        <v>4442802700</v>
      </c>
    </row>
    <row r="1951" spans="1:6" ht="15" thickBot="1" x14ac:dyDescent="0.2">
      <c r="A1951" s="30" t="s">
        <v>10677</v>
      </c>
      <c r="B1951" s="26" t="str">
        <f t="shared" si="30"/>
        <v>603078</v>
      </c>
      <c r="C1951" s="30" t="s">
        <v>3949</v>
      </c>
      <c r="D1951" s="31">
        <v>11.52</v>
      </c>
      <c r="E1951" s="31">
        <v>0.88</v>
      </c>
      <c r="F1951" s="31">
        <v>4442541100</v>
      </c>
    </row>
    <row r="1952" spans="1:6" ht="15" thickBot="1" x14ac:dyDescent="0.2">
      <c r="A1952" s="30" t="s">
        <v>10678</v>
      </c>
      <c r="B1952" s="26" t="str">
        <f t="shared" si="30"/>
        <v>300788</v>
      </c>
      <c r="C1952" s="30" t="s">
        <v>4012</v>
      </c>
      <c r="D1952" s="31">
        <v>23.32</v>
      </c>
      <c r="E1952" s="31">
        <v>-0.51</v>
      </c>
      <c r="F1952" s="31">
        <v>4434333300</v>
      </c>
    </row>
    <row r="1953" spans="1:6" ht="15" thickBot="1" x14ac:dyDescent="0.2">
      <c r="A1953" s="30" t="s">
        <v>10679</v>
      </c>
      <c r="B1953" s="26" t="str">
        <f t="shared" si="30"/>
        <v>688138</v>
      </c>
      <c r="C1953" s="30" t="s">
        <v>4018</v>
      </c>
      <c r="D1953" s="31">
        <v>16.62</v>
      </c>
      <c r="E1953" s="31">
        <v>1.28</v>
      </c>
      <c r="F1953" s="31">
        <v>4434216000</v>
      </c>
    </row>
    <row r="1954" spans="1:6" ht="15" thickBot="1" x14ac:dyDescent="0.2">
      <c r="A1954" s="30" t="s">
        <v>10680</v>
      </c>
      <c r="B1954" s="26" t="str">
        <f t="shared" si="30"/>
        <v>002446</v>
      </c>
      <c r="C1954" s="30" t="s">
        <v>3781</v>
      </c>
      <c r="D1954" s="31">
        <v>5.23</v>
      </c>
      <c r="E1954" s="31">
        <v>-2.2400000000000002</v>
      </c>
      <c r="F1954" s="31">
        <v>4433383600</v>
      </c>
    </row>
    <row r="1955" spans="1:6" ht="15" thickBot="1" x14ac:dyDescent="0.2">
      <c r="A1955" s="30" t="s">
        <v>10681</v>
      </c>
      <c r="B1955" s="26" t="str">
        <f t="shared" si="30"/>
        <v>300232</v>
      </c>
      <c r="C1955" s="30" t="s">
        <v>3403</v>
      </c>
      <c r="D1955" s="31">
        <v>5</v>
      </c>
      <c r="E1955" s="31">
        <v>-1.38</v>
      </c>
      <c r="F1955" s="31">
        <v>4423170500</v>
      </c>
    </row>
    <row r="1956" spans="1:6" ht="15" thickBot="1" x14ac:dyDescent="0.2">
      <c r="A1956" s="30" t="s">
        <v>10682</v>
      </c>
      <c r="B1956" s="26" t="str">
        <f t="shared" si="30"/>
        <v>300369</v>
      </c>
      <c r="C1956" s="30" t="s">
        <v>4174</v>
      </c>
      <c r="D1956" s="31">
        <v>5.54</v>
      </c>
      <c r="E1956" s="31">
        <v>2.0299999999999998</v>
      </c>
      <c r="F1956" s="31">
        <v>4422189000</v>
      </c>
    </row>
    <row r="1957" spans="1:6" ht="15" thickBot="1" x14ac:dyDescent="0.2">
      <c r="A1957" s="30" t="s">
        <v>10683</v>
      </c>
      <c r="B1957" s="26" t="str">
        <f t="shared" si="30"/>
        <v>300409</v>
      </c>
      <c r="C1957" s="30" t="s">
        <v>3445</v>
      </c>
      <c r="D1957" s="31">
        <v>9.07</v>
      </c>
      <c r="E1957" s="31">
        <v>-1.84</v>
      </c>
      <c r="F1957" s="31">
        <v>4417256700</v>
      </c>
    </row>
    <row r="1958" spans="1:6" ht="15" thickBot="1" x14ac:dyDescent="0.2">
      <c r="A1958" s="30" t="s">
        <v>10684</v>
      </c>
      <c r="B1958" s="26" t="str">
        <f t="shared" si="30"/>
        <v>600975</v>
      </c>
      <c r="C1958" s="30" t="s">
        <v>2963</v>
      </c>
      <c r="D1958" s="31">
        <v>5.0999999999999996</v>
      </c>
      <c r="E1958" s="31">
        <v>-1.73</v>
      </c>
      <c r="F1958" s="31">
        <v>4409412700</v>
      </c>
    </row>
    <row r="1959" spans="1:6" ht="15" thickBot="1" x14ac:dyDescent="0.2">
      <c r="A1959" s="30" t="s">
        <v>10685</v>
      </c>
      <c r="B1959" s="26" t="str">
        <f t="shared" si="30"/>
        <v>600081</v>
      </c>
      <c r="C1959" s="30" t="s">
        <v>4042</v>
      </c>
      <c r="D1959" s="31">
        <v>7.97</v>
      </c>
      <c r="E1959" s="31">
        <v>-0.38</v>
      </c>
      <c r="F1959" s="31">
        <v>4407618600</v>
      </c>
    </row>
    <row r="1960" spans="1:6" ht="15" thickBot="1" x14ac:dyDescent="0.2">
      <c r="A1960" s="30" t="s">
        <v>10686</v>
      </c>
      <c r="B1960" s="26" t="str">
        <f t="shared" si="30"/>
        <v>300493</v>
      </c>
      <c r="C1960" s="30" t="s">
        <v>4242</v>
      </c>
      <c r="D1960" s="31">
        <v>8.76</v>
      </c>
      <c r="E1960" s="31">
        <v>5.93</v>
      </c>
      <c r="F1960" s="31">
        <v>4388699100</v>
      </c>
    </row>
    <row r="1961" spans="1:6" ht="15" thickBot="1" x14ac:dyDescent="0.2">
      <c r="A1961" s="30" t="s">
        <v>10687</v>
      </c>
      <c r="B1961" s="26" t="str">
        <f t="shared" si="30"/>
        <v>300217</v>
      </c>
      <c r="C1961" s="30" t="s">
        <v>3491</v>
      </c>
      <c r="D1961" s="31">
        <v>3.57</v>
      </c>
      <c r="E1961" s="31">
        <v>-0.56000000000000005</v>
      </c>
      <c r="F1961" s="31">
        <v>4380216900</v>
      </c>
    </row>
    <row r="1962" spans="1:6" ht="15" thickBot="1" x14ac:dyDescent="0.2">
      <c r="A1962" s="30" t="s">
        <v>10688</v>
      </c>
      <c r="B1962" s="26" t="str">
        <f t="shared" si="30"/>
        <v>002057</v>
      </c>
      <c r="C1962" s="30" t="s">
        <v>4050</v>
      </c>
      <c r="D1962" s="31">
        <v>5.83</v>
      </c>
      <c r="E1962" s="31">
        <v>-1.19</v>
      </c>
      <c r="F1962" s="31">
        <v>4373929100</v>
      </c>
    </row>
    <row r="1963" spans="1:6" ht="15" thickBot="1" x14ac:dyDescent="0.2">
      <c r="A1963" s="30" t="s">
        <v>10689</v>
      </c>
      <c r="B1963" s="26" t="str">
        <f t="shared" si="30"/>
        <v>603960</v>
      </c>
      <c r="C1963" s="30" t="s">
        <v>4028</v>
      </c>
      <c r="D1963" s="31">
        <v>16.68</v>
      </c>
      <c r="E1963" s="31">
        <v>0.48</v>
      </c>
      <c r="F1963" s="31">
        <v>4373185800</v>
      </c>
    </row>
    <row r="1964" spans="1:6" ht="15" thickBot="1" x14ac:dyDescent="0.2">
      <c r="A1964" s="30" t="s">
        <v>10690</v>
      </c>
      <c r="B1964" s="26" t="str">
        <f t="shared" si="30"/>
        <v>002481</v>
      </c>
      <c r="C1964" s="30" t="s">
        <v>3811</v>
      </c>
      <c r="D1964" s="31">
        <v>3.91</v>
      </c>
      <c r="E1964" s="31">
        <v>0</v>
      </c>
      <c r="F1964" s="31">
        <v>4371976700</v>
      </c>
    </row>
    <row r="1965" spans="1:6" ht="15" thickBot="1" x14ac:dyDescent="0.2">
      <c r="A1965" s="30" t="s">
        <v>10691</v>
      </c>
      <c r="B1965" s="26" t="str">
        <f t="shared" si="30"/>
        <v>300888</v>
      </c>
      <c r="C1965" s="30" t="s">
        <v>1484</v>
      </c>
      <c r="D1965" s="31">
        <v>24.06</v>
      </c>
      <c r="E1965" s="31">
        <v>-1.64</v>
      </c>
      <c r="F1965" s="31">
        <v>4366605600</v>
      </c>
    </row>
    <row r="1966" spans="1:6" ht="15" thickBot="1" x14ac:dyDescent="0.2">
      <c r="A1966" s="30" t="s">
        <v>10692</v>
      </c>
      <c r="B1966" s="26" t="str">
        <f t="shared" si="30"/>
        <v>300174</v>
      </c>
      <c r="C1966" s="30" t="s">
        <v>3947</v>
      </c>
      <c r="D1966" s="31">
        <v>11.97</v>
      </c>
      <c r="E1966" s="31">
        <v>-1.48</v>
      </c>
      <c r="F1966" s="31">
        <v>4363824600</v>
      </c>
    </row>
    <row r="1967" spans="1:6" ht="15" thickBot="1" x14ac:dyDescent="0.2">
      <c r="A1967" s="30" t="s">
        <v>10693</v>
      </c>
      <c r="B1967" s="26" t="str">
        <f t="shared" si="30"/>
        <v>603203</v>
      </c>
      <c r="C1967" s="30" t="s">
        <v>4064</v>
      </c>
      <c r="D1967" s="31">
        <v>17.510000000000002</v>
      </c>
      <c r="E1967" s="31">
        <v>-0.4</v>
      </c>
      <c r="F1967" s="31">
        <v>4362674600</v>
      </c>
    </row>
    <row r="1968" spans="1:6" ht="15" thickBot="1" x14ac:dyDescent="0.2">
      <c r="A1968" s="30" t="s">
        <v>10694</v>
      </c>
      <c r="B1968" s="26" t="str">
        <f t="shared" si="30"/>
        <v>000534</v>
      </c>
      <c r="C1968" s="30" t="s">
        <v>4054</v>
      </c>
      <c r="D1968" s="31">
        <v>8.73</v>
      </c>
      <c r="E1968" s="31">
        <v>0.46</v>
      </c>
      <c r="F1968" s="31">
        <v>4362279900</v>
      </c>
    </row>
    <row r="1969" spans="1:6" ht="15" thickBot="1" x14ac:dyDescent="0.2">
      <c r="A1969" s="30" t="s">
        <v>10695</v>
      </c>
      <c r="B1969" s="26" t="str">
        <f t="shared" si="30"/>
        <v>688085</v>
      </c>
      <c r="C1969" s="30" t="s">
        <v>3986</v>
      </c>
      <c r="D1969" s="31">
        <v>17.53</v>
      </c>
      <c r="E1969" s="31">
        <v>-2.61</v>
      </c>
      <c r="F1969" s="31">
        <v>4355390500</v>
      </c>
    </row>
    <row r="1970" spans="1:6" ht="15" thickBot="1" x14ac:dyDescent="0.2">
      <c r="A1970" s="30" t="s">
        <v>10696</v>
      </c>
      <c r="B1970" s="26" t="str">
        <f t="shared" si="30"/>
        <v>603929</v>
      </c>
      <c r="C1970" s="30" t="s">
        <v>4112</v>
      </c>
      <c r="D1970" s="31">
        <v>20.399999999999999</v>
      </c>
      <c r="E1970" s="31">
        <v>0.99</v>
      </c>
      <c r="F1970" s="31">
        <v>4352544000</v>
      </c>
    </row>
    <row r="1971" spans="1:6" ht="15" thickBot="1" x14ac:dyDescent="0.2">
      <c r="A1971" s="30" t="s">
        <v>10697</v>
      </c>
      <c r="B1971" s="26" t="str">
        <f t="shared" si="30"/>
        <v>002059</v>
      </c>
      <c r="C1971" s="30" t="s">
        <v>3750</v>
      </c>
      <c r="D1971" s="31">
        <v>4.6100000000000003</v>
      </c>
      <c r="E1971" s="31">
        <v>-3.96</v>
      </c>
      <c r="F1971" s="31">
        <v>4351199400</v>
      </c>
    </row>
    <row r="1972" spans="1:6" ht="15" thickBot="1" x14ac:dyDescent="0.2">
      <c r="A1972" s="30" t="s">
        <v>10698</v>
      </c>
      <c r="B1972" s="26" t="str">
        <f t="shared" si="30"/>
        <v>603123</v>
      </c>
      <c r="C1972" s="30" t="s">
        <v>3597</v>
      </c>
      <c r="D1972" s="31">
        <v>6.67</v>
      </c>
      <c r="E1972" s="31">
        <v>3.73</v>
      </c>
      <c r="F1972" s="31">
        <v>4350680600</v>
      </c>
    </row>
    <row r="1973" spans="1:6" ht="15" thickBot="1" x14ac:dyDescent="0.2">
      <c r="A1973" s="30" t="s">
        <v>10699</v>
      </c>
      <c r="B1973" s="26" t="str">
        <f t="shared" si="30"/>
        <v>688062</v>
      </c>
      <c r="C1973" s="30" t="s">
        <v>10700</v>
      </c>
      <c r="D1973" s="31">
        <v>21.3</v>
      </c>
      <c r="E1973" s="31">
        <v>0.52</v>
      </c>
      <c r="F1973" s="31">
        <v>4348821000</v>
      </c>
    </row>
    <row r="1974" spans="1:6" ht="15" thickBot="1" x14ac:dyDescent="0.2">
      <c r="A1974" s="30" t="s">
        <v>10701</v>
      </c>
      <c r="B1974" s="26" t="str">
        <f t="shared" si="30"/>
        <v>601518</v>
      </c>
      <c r="C1974" s="30" t="s">
        <v>4128</v>
      </c>
      <c r="D1974" s="31">
        <v>2.2999999999999998</v>
      </c>
      <c r="E1974" s="31">
        <v>-0.43</v>
      </c>
      <c r="F1974" s="31">
        <v>4348272300</v>
      </c>
    </row>
    <row r="1975" spans="1:6" ht="15" thickBot="1" x14ac:dyDescent="0.2">
      <c r="A1975" s="30" t="s">
        <v>10702</v>
      </c>
      <c r="B1975" s="26" t="str">
        <f t="shared" si="30"/>
        <v>603998</v>
      </c>
      <c r="C1975" s="30" t="s">
        <v>3891</v>
      </c>
      <c r="D1975" s="31">
        <v>9.8800000000000008</v>
      </c>
      <c r="E1975" s="31">
        <v>-0.5</v>
      </c>
      <c r="F1975" s="31">
        <v>4334450500</v>
      </c>
    </row>
    <row r="1976" spans="1:6" ht="15" thickBot="1" x14ac:dyDescent="0.2">
      <c r="A1976" s="30" t="s">
        <v>10703</v>
      </c>
      <c r="B1976" s="26" t="str">
        <f t="shared" si="30"/>
        <v>300129</v>
      </c>
      <c r="C1976" s="30" t="s">
        <v>3212</v>
      </c>
      <c r="D1976" s="31">
        <v>6.52</v>
      </c>
      <c r="E1976" s="31">
        <v>-0.46</v>
      </c>
      <c r="F1976" s="31">
        <v>4332652600</v>
      </c>
    </row>
    <row r="1977" spans="1:6" ht="15" thickBot="1" x14ac:dyDescent="0.2">
      <c r="A1977" s="30" t="s">
        <v>10704</v>
      </c>
      <c r="B1977" s="26" t="str">
        <f t="shared" si="30"/>
        <v>300709</v>
      </c>
      <c r="C1977" s="30" t="s">
        <v>3322</v>
      </c>
      <c r="D1977" s="31">
        <v>29.05</v>
      </c>
      <c r="E1977" s="31">
        <v>-1.49</v>
      </c>
      <c r="F1977" s="31">
        <v>4324933400</v>
      </c>
    </row>
    <row r="1978" spans="1:6" ht="15" thickBot="1" x14ac:dyDescent="0.2">
      <c r="A1978" s="30" t="s">
        <v>10705</v>
      </c>
      <c r="B1978" s="26" t="str">
        <f t="shared" si="30"/>
        <v>301058</v>
      </c>
      <c r="C1978" s="30" t="s">
        <v>4432</v>
      </c>
      <c r="D1978" s="31">
        <v>8.44</v>
      </c>
      <c r="E1978" s="31">
        <v>3.56</v>
      </c>
      <c r="F1978" s="31">
        <v>4323594600</v>
      </c>
    </row>
    <row r="1979" spans="1:6" ht="15" thickBot="1" x14ac:dyDescent="0.2">
      <c r="A1979" s="30" t="s">
        <v>10706</v>
      </c>
      <c r="B1979" s="26" t="str">
        <f t="shared" si="30"/>
        <v>600410</v>
      </c>
      <c r="C1979" s="30" t="s">
        <v>4114</v>
      </c>
      <c r="D1979" s="31">
        <v>3.94</v>
      </c>
      <c r="E1979" s="31">
        <v>-1.5</v>
      </c>
      <c r="F1979" s="31">
        <v>4320189100</v>
      </c>
    </row>
    <row r="1980" spans="1:6" ht="15" thickBot="1" x14ac:dyDescent="0.2">
      <c r="A1980" s="30" t="s">
        <v>10707</v>
      </c>
      <c r="B1980" s="26" t="str">
        <f t="shared" si="30"/>
        <v>300005</v>
      </c>
      <c r="C1980" s="30" t="s">
        <v>3935</v>
      </c>
      <c r="D1980" s="31">
        <v>4.8899999999999997</v>
      </c>
      <c r="E1980" s="31">
        <v>-1.81</v>
      </c>
      <c r="F1980" s="31">
        <v>4319443900</v>
      </c>
    </row>
    <row r="1981" spans="1:6" ht="15" thickBot="1" x14ac:dyDescent="0.2">
      <c r="A1981" s="30" t="s">
        <v>10708</v>
      </c>
      <c r="B1981" s="26" t="str">
        <f t="shared" si="30"/>
        <v>300378</v>
      </c>
      <c r="C1981" s="30" t="s">
        <v>4086</v>
      </c>
      <c r="D1981" s="31">
        <v>16.13</v>
      </c>
      <c r="E1981" s="31">
        <v>-1.23</v>
      </c>
      <c r="F1981" s="31">
        <v>4318419300</v>
      </c>
    </row>
    <row r="1982" spans="1:6" ht="15" thickBot="1" x14ac:dyDescent="0.2">
      <c r="A1982" s="30" t="s">
        <v>10709</v>
      </c>
      <c r="B1982" s="26" t="str">
        <f t="shared" si="30"/>
        <v>605007</v>
      </c>
      <c r="C1982" s="30" t="s">
        <v>3965</v>
      </c>
      <c r="D1982" s="31">
        <v>10.75</v>
      </c>
      <c r="E1982" s="31">
        <v>-1.38</v>
      </c>
      <c r="F1982" s="31">
        <v>4316658400</v>
      </c>
    </row>
    <row r="1983" spans="1:6" ht="15" thickBot="1" x14ac:dyDescent="0.2">
      <c r="A1983" s="30" t="s">
        <v>10710</v>
      </c>
      <c r="B1983" s="26" t="str">
        <f t="shared" si="30"/>
        <v>600681</v>
      </c>
      <c r="C1983" s="30" t="s">
        <v>4200</v>
      </c>
      <c r="D1983" s="31">
        <v>3.22</v>
      </c>
      <c r="E1983" s="31">
        <v>0</v>
      </c>
      <c r="F1983" s="31">
        <v>4314184200</v>
      </c>
    </row>
    <row r="1984" spans="1:6" ht="15" thickBot="1" x14ac:dyDescent="0.2">
      <c r="A1984" s="30" t="s">
        <v>10711</v>
      </c>
      <c r="B1984" s="26" t="str">
        <f t="shared" si="30"/>
        <v>000717</v>
      </c>
      <c r="C1984" s="30" t="s">
        <v>4510</v>
      </c>
      <c r="D1984" s="31">
        <v>1.78</v>
      </c>
      <c r="E1984" s="31">
        <v>-4.8099999999999996</v>
      </c>
      <c r="F1984" s="31">
        <v>4313872400</v>
      </c>
    </row>
    <row r="1985" spans="1:6" ht="15" thickBot="1" x14ac:dyDescent="0.2">
      <c r="A1985" s="30" t="s">
        <v>10712</v>
      </c>
      <c r="B1985" s="26" t="str">
        <f t="shared" si="30"/>
        <v>600713</v>
      </c>
      <c r="C1985" s="30" t="s">
        <v>3453</v>
      </c>
      <c r="D1985" s="31">
        <v>4.12</v>
      </c>
      <c r="E1985" s="31">
        <v>-0.72</v>
      </c>
      <c r="F1985" s="31">
        <v>4313060900</v>
      </c>
    </row>
    <row r="1986" spans="1:6" ht="15" thickBot="1" x14ac:dyDescent="0.2">
      <c r="A1986" s="30" t="s">
        <v>10713</v>
      </c>
      <c r="B1986" s="26" t="str">
        <f t="shared" si="30"/>
        <v>688432</v>
      </c>
      <c r="C1986" s="30" t="s">
        <v>10714</v>
      </c>
      <c r="D1986" s="31">
        <v>8.6</v>
      </c>
      <c r="E1986" s="31">
        <v>-1.71</v>
      </c>
      <c r="F1986" s="31">
        <v>4312996000</v>
      </c>
    </row>
    <row r="1987" spans="1:6" ht="15" thickBot="1" x14ac:dyDescent="0.2">
      <c r="A1987" s="30" t="s">
        <v>10715</v>
      </c>
      <c r="B1987" s="26" t="str">
        <f t="shared" ref="B1987:B2050" si="31">LEFT(A1987,6)</f>
        <v>300123</v>
      </c>
      <c r="C1987" s="30" t="s">
        <v>4020</v>
      </c>
      <c r="D1987" s="31">
        <v>4.3099999999999996</v>
      </c>
      <c r="E1987" s="31">
        <v>-1.1499999999999999</v>
      </c>
      <c r="F1987" s="31">
        <v>4311180200</v>
      </c>
    </row>
    <row r="1988" spans="1:6" ht="15" thickBot="1" x14ac:dyDescent="0.2">
      <c r="A1988" s="30" t="s">
        <v>10716</v>
      </c>
      <c r="B1988" s="26" t="str">
        <f t="shared" si="31"/>
        <v>600846</v>
      </c>
      <c r="C1988" s="30" t="s">
        <v>4218</v>
      </c>
      <c r="D1988" s="31">
        <v>6.9</v>
      </c>
      <c r="E1988" s="31">
        <v>-0.28999999999999998</v>
      </c>
      <c r="F1988" s="31">
        <v>4310854500</v>
      </c>
    </row>
    <row r="1989" spans="1:6" ht="15" thickBot="1" x14ac:dyDescent="0.2">
      <c r="A1989" s="30" t="s">
        <v>10717</v>
      </c>
      <c r="B1989" s="26" t="str">
        <f t="shared" si="31"/>
        <v>688349</v>
      </c>
      <c r="C1989" s="30" t="s">
        <v>10718</v>
      </c>
      <c r="D1989" s="31">
        <v>22.89</v>
      </c>
      <c r="E1989" s="31">
        <v>-2.97</v>
      </c>
      <c r="F1989" s="31">
        <v>4309860000</v>
      </c>
    </row>
    <row r="1990" spans="1:6" ht="15" thickBot="1" x14ac:dyDescent="0.2">
      <c r="A1990" s="30" t="s">
        <v>10719</v>
      </c>
      <c r="B1990" s="26" t="str">
        <f t="shared" si="31"/>
        <v>002111</v>
      </c>
      <c r="C1990" s="30" t="s">
        <v>3869</v>
      </c>
      <c r="D1990" s="31">
        <v>9.0399999999999991</v>
      </c>
      <c r="E1990" s="31">
        <v>1.92</v>
      </c>
      <c r="F1990" s="31">
        <v>4307482600</v>
      </c>
    </row>
    <row r="1991" spans="1:6" ht="15" thickBot="1" x14ac:dyDescent="0.2">
      <c r="A1991" s="30" t="s">
        <v>10720</v>
      </c>
      <c r="B1991" s="26" t="str">
        <f t="shared" si="31"/>
        <v>002470</v>
      </c>
      <c r="C1991" s="30" t="s">
        <v>4170</v>
      </c>
      <c r="D1991" s="31">
        <v>1.31</v>
      </c>
      <c r="E1991" s="31">
        <v>-0.76</v>
      </c>
      <c r="F1991" s="31">
        <v>4304331700</v>
      </c>
    </row>
    <row r="1992" spans="1:6" ht="15" thickBot="1" x14ac:dyDescent="0.2">
      <c r="A1992" s="30" t="s">
        <v>10721</v>
      </c>
      <c r="B1992" s="26" t="str">
        <f t="shared" si="31"/>
        <v>300343</v>
      </c>
      <c r="C1992" s="30" t="s">
        <v>3316</v>
      </c>
      <c r="D1992" s="31">
        <v>4.03</v>
      </c>
      <c r="E1992" s="31">
        <v>-19.559999999999999</v>
      </c>
      <c r="F1992" s="31">
        <v>4296864100</v>
      </c>
    </row>
    <row r="1993" spans="1:6" ht="15" thickBot="1" x14ac:dyDescent="0.2">
      <c r="A1993" s="30" t="s">
        <v>10722</v>
      </c>
      <c r="B1993" s="26" t="str">
        <f t="shared" si="31"/>
        <v>000523</v>
      </c>
      <c r="C1993" s="30" t="s">
        <v>4106</v>
      </c>
      <c r="D1993" s="31">
        <v>2.39</v>
      </c>
      <c r="E1993" s="31">
        <v>-2.0499999999999998</v>
      </c>
      <c r="F1993" s="31">
        <v>4289615100</v>
      </c>
    </row>
    <row r="1994" spans="1:6" ht="15" thickBot="1" x14ac:dyDescent="0.2">
      <c r="A1994" s="30" t="s">
        <v>10723</v>
      </c>
      <c r="B1994" s="26" t="str">
        <f t="shared" si="31"/>
        <v>688368</v>
      </c>
      <c r="C1994" s="30" t="s">
        <v>4162</v>
      </c>
      <c r="D1994" s="31">
        <v>48.81</v>
      </c>
      <c r="E1994" s="31">
        <v>0.08</v>
      </c>
      <c r="F1994" s="31">
        <v>4286810000</v>
      </c>
    </row>
    <row r="1995" spans="1:6" ht="15" thickBot="1" x14ac:dyDescent="0.2">
      <c r="A1995" s="30" t="s">
        <v>10724</v>
      </c>
      <c r="B1995" s="26" t="str">
        <f t="shared" si="31"/>
        <v>002467</v>
      </c>
      <c r="C1995" s="30" t="s">
        <v>4014</v>
      </c>
      <c r="D1995" s="31">
        <v>3.14</v>
      </c>
      <c r="E1995" s="31">
        <v>-2.4900000000000002</v>
      </c>
      <c r="F1995" s="31">
        <v>4281002800</v>
      </c>
    </row>
    <row r="1996" spans="1:6" ht="15" thickBot="1" x14ac:dyDescent="0.2">
      <c r="A1996" s="30" t="s">
        <v>10725</v>
      </c>
      <c r="B1996" s="26" t="str">
        <f t="shared" si="31"/>
        <v>301381</v>
      </c>
      <c r="C1996" s="30" t="s">
        <v>10726</v>
      </c>
      <c r="D1996" s="31">
        <v>22.23</v>
      </c>
      <c r="E1996" s="31">
        <v>-0.54</v>
      </c>
      <c r="F1996" s="31">
        <v>4274806800</v>
      </c>
    </row>
    <row r="1997" spans="1:6" ht="15" thickBot="1" x14ac:dyDescent="0.2">
      <c r="A1997" s="30" t="s">
        <v>10727</v>
      </c>
      <c r="B1997" s="26" t="str">
        <f t="shared" si="31"/>
        <v>601366</v>
      </c>
      <c r="C1997" s="30" t="s">
        <v>4251</v>
      </c>
      <c r="D1997" s="31">
        <v>5.07</v>
      </c>
      <c r="E1997" s="31">
        <v>0.8</v>
      </c>
      <c r="F1997" s="31">
        <v>4271098100</v>
      </c>
    </row>
    <row r="1998" spans="1:6" ht="15" thickBot="1" x14ac:dyDescent="0.2">
      <c r="A1998" s="30" t="s">
        <v>10728</v>
      </c>
      <c r="B1998" s="26" t="str">
        <f t="shared" si="31"/>
        <v>603178</v>
      </c>
      <c r="C1998" s="30" t="s">
        <v>4072</v>
      </c>
      <c r="D1998" s="31">
        <v>18.059999999999999</v>
      </c>
      <c r="E1998" s="31">
        <v>-1.37</v>
      </c>
      <c r="F1998" s="31">
        <v>4269598600</v>
      </c>
    </row>
    <row r="1999" spans="1:6" ht="15" thickBot="1" x14ac:dyDescent="0.2">
      <c r="A1999" s="30" t="s">
        <v>10729</v>
      </c>
      <c r="B1999" s="26" t="str">
        <f t="shared" si="31"/>
        <v>002530</v>
      </c>
      <c r="C1999" s="30" t="s">
        <v>3825</v>
      </c>
      <c r="D1999" s="31">
        <v>6.14</v>
      </c>
      <c r="E1999" s="31">
        <v>0</v>
      </c>
      <c r="F1999" s="31">
        <v>4268057300</v>
      </c>
    </row>
    <row r="2000" spans="1:6" ht="15" thickBot="1" x14ac:dyDescent="0.2">
      <c r="A2000" s="30" t="s">
        <v>10730</v>
      </c>
      <c r="B2000" s="26" t="str">
        <f t="shared" si="31"/>
        <v>000096</v>
      </c>
      <c r="C2000" s="30" t="s">
        <v>4008</v>
      </c>
      <c r="D2000" s="31">
        <v>8.35</v>
      </c>
      <c r="E2000" s="31">
        <v>-2.91</v>
      </c>
      <c r="F2000" s="31">
        <v>4265580800</v>
      </c>
    </row>
    <row r="2001" spans="1:6" ht="15" thickBot="1" x14ac:dyDescent="0.2">
      <c r="A2001" s="30" t="s">
        <v>10731</v>
      </c>
      <c r="B2001" s="26" t="str">
        <f t="shared" si="31"/>
        <v>603661</v>
      </c>
      <c r="C2001" s="30" t="s">
        <v>4186</v>
      </c>
      <c r="D2001" s="31">
        <v>30.61</v>
      </c>
      <c r="E2001" s="31">
        <v>-0.71</v>
      </c>
      <c r="F2001" s="31">
        <v>4256841800</v>
      </c>
    </row>
    <row r="2002" spans="1:6" ht="15" thickBot="1" x14ac:dyDescent="0.2">
      <c r="A2002" s="30" t="s">
        <v>10732</v>
      </c>
      <c r="B2002" s="26" t="str">
        <f t="shared" si="31"/>
        <v>300352</v>
      </c>
      <c r="C2002" s="30" t="s">
        <v>3694</v>
      </c>
      <c r="D2002" s="31">
        <v>3.48</v>
      </c>
      <c r="E2002" s="31">
        <v>1.46</v>
      </c>
      <c r="F2002" s="31">
        <v>4252363000</v>
      </c>
    </row>
    <row r="2003" spans="1:6" ht="15" thickBot="1" x14ac:dyDescent="0.2">
      <c r="A2003" s="30" t="s">
        <v>10733</v>
      </c>
      <c r="B2003" s="26" t="str">
        <f t="shared" si="31"/>
        <v>600162</v>
      </c>
      <c r="C2003" s="30" t="s">
        <v>4270</v>
      </c>
      <c r="D2003" s="31">
        <v>1.3</v>
      </c>
      <c r="E2003" s="31">
        <v>0.78</v>
      </c>
      <c r="F2003" s="31">
        <v>4248969600</v>
      </c>
    </row>
    <row r="2004" spans="1:6" ht="15" thickBot="1" x14ac:dyDescent="0.2">
      <c r="A2004" s="30" t="s">
        <v>10734</v>
      </c>
      <c r="B2004" s="26" t="str">
        <f t="shared" si="31"/>
        <v>600229</v>
      </c>
      <c r="C2004" s="30" t="s">
        <v>4168</v>
      </c>
      <c r="D2004" s="31">
        <v>6.33</v>
      </c>
      <c r="E2004" s="31">
        <v>-0.32</v>
      </c>
      <c r="F2004" s="31">
        <v>4248746600</v>
      </c>
    </row>
    <row r="2005" spans="1:6" ht="15" thickBot="1" x14ac:dyDescent="0.2">
      <c r="A2005" s="30" t="s">
        <v>10735</v>
      </c>
      <c r="B2005" s="26" t="str">
        <f t="shared" si="31"/>
        <v>002382</v>
      </c>
      <c r="C2005" s="30" t="s">
        <v>4038</v>
      </c>
      <c r="D2005" s="31">
        <v>4.25</v>
      </c>
      <c r="E2005" s="31">
        <v>-4.28</v>
      </c>
      <c r="F2005" s="31">
        <v>4248683000</v>
      </c>
    </row>
    <row r="2006" spans="1:6" ht="15" thickBot="1" x14ac:dyDescent="0.2">
      <c r="A2006" s="30" t="s">
        <v>10736</v>
      </c>
      <c r="B2006" s="26" t="str">
        <f t="shared" si="31"/>
        <v>300815</v>
      </c>
      <c r="C2006" s="30" t="s">
        <v>4082</v>
      </c>
      <c r="D2006" s="31">
        <v>10.89</v>
      </c>
      <c r="E2006" s="31">
        <v>-0.82</v>
      </c>
      <c r="F2006" s="31">
        <v>4242462000</v>
      </c>
    </row>
    <row r="2007" spans="1:6" ht="15" thickBot="1" x14ac:dyDescent="0.2">
      <c r="A2007" s="30" t="s">
        <v>10737</v>
      </c>
      <c r="B2007" s="26" t="str">
        <f t="shared" si="31"/>
        <v>002641</v>
      </c>
      <c r="C2007" s="30" t="s">
        <v>3881</v>
      </c>
      <c r="D2007" s="31">
        <v>3.74</v>
      </c>
      <c r="E2007" s="31">
        <v>-1.84</v>
      </c>
      <c r="F2007" s="31">
        <v>4241140000</v>
      </c>
    </row>
    <row r="2008" spans="1:6" ht="15" thickBot="1" x14ac:dyDescent="0.2">
      <c r="A2008" s="30" t="s">
        <v>10738</v>
      </c>
      <c r="B2008" s="26" t="str">
        <f t="shared" si="31"/>
        <v>688601</v>
      </c>
      <c r="C2008" s="30" t="s">
        <v>4336</v>
      </c>
      <c r="D2008" s="31">
        <v>31.71</v>
      </c>
      <c r="E2008" s="31">
        <v>1.1499999999999999</v>
      </c>
      <c r="F2008" s="31">
        <v>4239395500</v>
      </c>
    </row>
    <row r="2009" spans="1:6" ht="15" thickBot="1" x14ac:dyDescent="0.2">
      <c r="A2009" s="30" t="s">
        <v>10739</v>
      </c>
      <c r="B2009" s="26" t="str">
        <f t="shared" si="31"/>
        <v>601515</v>
      </c>
      <c r="C2009" s="30" t="s">
        <v>3961</v>
      </c>
      <c r="D2009" s="31">
        <v>2.2999999999999998</v>
      </c>
      <c r="E2009" s="31">
        <v>-2.13</v>
      </c>
      <c r="F2009" s="31">
        <v>4238822300</v>
      </c>
    </row>
    <row r="2010" spans="1:6" ht="15" thickBot="1" x14ac:dyDescent="0.2">
      <c r="A2010" s="30" t="s">
        <v>10740</v>
      </c>
      <c r="B2010" s="26" t="str">
        <f t="shared" si="31"/>
        <v>000404</v>
      </c>
      <c r="C2010" s="30" t="s">
        <v>4294</v>
      </c>
      <c r="D2010" s="31">
        <v>6.11</v>
      </c>
      <c r="E2010" s="31">
        <v>4.8</v>
      </c>
      <c r="F2010" s="31">
        <v>4234163800</v>
      </c>
    </row>
    <row r="2011" spans="1:6" ht="15" thickBot="1" x14ac:dyDescent="0.2">
      <c r="A2011" s="30" t="s">
        <v>10741</v>
      </c>
      <c r="B2011" s="26" t="str">
        <f t="shared" si="31"/>
        <v>601579</v>
      </c>
      <c r="C2011" s="30" t="s">
        <v>4118</v>
      </c>
      <c r="D2011" s="31">
        <v>8.83</v>
      </c>
      <c r="E2011" s="31">
        <v>-0.79</v>
      </c>
      <c r="F2011" s="31">
        <v>4233661900</v>
      </c>
    </row>
    <row r="2012" spans="1:6" ht="15" thickBot="1" x14ac:dyDescent="0.2">
      <c r="A2012" s="30" t="s">
        <v>10742</v>
      </c>
      <c r="B2012" s="26" t="str">
        <f t="shared" si="31"/>
        <v>600425</v>
      </c>
      <c r="C2012" s="30" t="s">
        <v>3807</v>
      </c>
      <c r="D2012" s="31">
        <v>3.07</v>
      </c>
      <c r="E2012" s="31">
        <v>0.33</v>
      </c>
      <c r="F2012" s="31">
        <v>4232885600</v>
      </c>
    </row>
    <row r="2013" spans="1:6" ht="15" thickBot="1" x14ac:dyDescent="0.2">
      <c r="A2013" s="30" t="s">
        <v>10743</v>
      </c>
      <c r="B2013" s="26" t="str">
        <f t="shared" si="31"/>
        <v>003040</v>
      </c>
      <c r="C2013" s="30" t="s">
        <v>10744</v>
      </c>
      <c r="D2013" s="31">
        <v>9.26</v>
      </c>
      <c r="E2013" s="31">
        <v>-2.0099999999999998</v>
      </c>
      <c r="F2013" s="31">
        <v>4230433400</v>
      </c>
    </row>
    <row r="2014" spans="1:6" ht="15" thickBot="1" x14ac:dyDescent="0.2">
      <c r="A2014" s="30" t="s">
        <v>10745</v>
      </c>
      <c r="B2014" s="26" t="str">
        <f t="shared" si="31"/>
        <v>002855</v>
      </c>
      <c r="C2014" s="30" t="s">
        <v>4110</v>
      </c>
      <c r="D2014" s="31">
        <v>17.16</v>
      </c>
      <c r="E2014" s="31">
        <v>1.1200000000000001</v>
      </c>
      <c r="F2014" s="31">
        <v>4225259300</v>
      </c>
    </row>
    <row r="2015" spans="1:6" ht="15" thickBot="1" x14ac:dyDescent="0.2">
      <c r="A2015" s="30" t="s">
        <v>10746</v>
      </c>
      <c r="B2015" s="26" t="str">
        <f t="shared" si="31"/>
        <v>603711</v>
      </c>
      <c r="C2015" s="30" t="s">
        <v>4092</v>
      </c>
      <c r="D2015" s="31">
        <v>10.26</v>
      </c>
      <c r="E2015" s="31">
        <v>-0.77</v>
      </c>
      <c r="F2015" s="31">
        <v>4214251900</v>
      </c>
    </row>
    <row r="2016" spans="1:6" ht="15" thickBot="1" x14ac:dyDescent="0.2">
      <c r="A2016" s="30" t="s">
        <v>10747</v>
      </c>
      <c r="B2016" s="26" t="str">
        <f t="shared" si="31"/>
        <v>300725</v>
      </c>
      <c r="C2016" s="30" t="s">
        <v>3595</v>
      </c>
      <c r="D2016" s="31">
        <v>24.95</v>
      </c>
      <c r="E2016" s="31">
        <v>-0.6</v>
      </c>
      <c r="F2016" s="31">
        <v>4201888600</v>
      </c>
    </row>
    <row r="2017" spans="1:6" ht="15" thickBot="1" x14ac:dyDescent="0.2">
      <c r="A2017" s="30" t="s">
        <v>10748</v>
      </c>
      <c r="B2017" s="26" t="str">
        <f t="shared" si="31"/>
        <v>002413</v>
      </c>
      <c r="C2017" s="30" t="s">
        <v>4016</v>
      </c>
      <c r="D2017" s="31">
        <v>3.36</v>
      </c>
      <c r="E2017" s="31">
        <v>-0.89</v>
      </c>
      <c r="F2017" s="31">
        <v>4201774300</v>
      </c>
    </row>
    <row r="2018" spans="1:6" ht="15" thickBot="1" x14ac:dyDescent="0.2">
      <c r="A2018" s="30" t="s">
        <v>10749</v>
      </c>
      <c r="B2018" s="26" t="str">
        <f t="shared" si="31"/>
        <v>301487</v>
      </c>
      <c r="C2018" s="30" t="s">
        <v>10750</v>
      </c>
      <c r="D2018" s="31">
        <v>15.39</v>
      </c>
      <c r="E2018" s="31">
        <v>-3.75</v>
      </c>
      <c r="F2018" s="31">
        <v>4198299700</v>
      </c>
    </row>
    <row r="2019" spans="1:6" ht="15" thickBot="1" x14ac:dyDescent="0.2">
      <c r="A2019" s="30" t="s">
        <v>10751</v>
      </c>
      <c r="B2019" s="26" t="str">
        <f t="shared" si="31"/>
        <v>603111</v>
      </c>
      <c r="C2019" s="30" t="s">
        <v>3943</v>
      </c>
      <c r="D2019" s="31">
        <v>5.01</v>
      </c>
      <c r="E2019" s="31">
        <v>-0.79</v>
      </c>
      <c r="F2019" s="31">
        <v>4194229600</v>
      </c>
    </row>
    <row r="2020" spans="1:6" ht="15" thickBot="1" x14ac:dyDescent="0.2">
      <c r="A2020" s="30" t="s">
        <v>10752</v>
      </c>
      <c r="B2020" s="26" t="str">
        <f t="shared" si="31"/>
        <v>688625</v>
      </c>
      <c r="C2020" s="30" t="s">
        <v>4104</v>
      </c>
      <c r="D2020" s="31">
        <v>30.99</v>
      </c>
      <c r="E2020" s="31">
        <v>-2.4900000000000002</v>
      </c>
      <c r="F2020" s="31">
        <v>4193805400</v>
      </c>
    </row>
    <row r="2021" spans="1:6" ht="15" thickBot="1" x14ac:dyDescent="0.2">
      <c r="A2021" s="30" t="s">
        <v>10753</v>
      </c>
      <c r="B2021" s="26" t="str">
        <f t="shared" si="31"/>
        <v>600353</v>
      </c>
      <c r="C2021" s="30" t="s">
        <v>4249</v>
      </c>
      <c r="D2021" s="31">
        <v>5.0599999999999996</v>
      </c>
      <c r="E2021" s="31">
        <v>2.2200000000000002</v>
      </c>
      <c r="F2021" s="31">
        <v>4193784500</v>
      </c>
    </row>
    <row r="2022" spans="1:6" ht="15" thickBot="1" x14ac:dyDescent="0.2">
      <c r="A2022" s="30" t="s">
        <v>10754</v>
      </c>
      <c r="B2022" s="26" t="str">
        <f t="shared" si="31"/>
        <v>600231</v>
      </c>
      <c r="C2022" s="30" t="s">
        <v>4464</v>
      </c>
      <c r="D2022" s="31">
        <v>1.47</v>
      </c>
      <c r="E2022" s="31">
        <v>0</v>
      </c>
      <c r="F2022" s="31">
        <v>4192681000</v>
      </c>
    </row>
    <row r="2023" spans="1:6" ht="15" thickBot="1" x14ac:dyDescent="0.2">
      <c r="A2023" s="30" t="s">
        <v>10755</v>
      </c>
      <c r="B2023" s="26" t="str">
        <f t="shared" si="31"/>
        <v>000886</v>
      </c>
      <c r="C2023" s="30" t="s">
        <v>4362</v>
      </c>
      <c r="D2023" s="31">
        <v>4.28</v>
      </c>
      <c r="E2023" s="31">
        <v>-2.73</v>
      </c>
      <c r="F2023" s="31">
        <v>4185141900</v>
      </c>
    </row>
    <row r="2024" spans="1:6" ht="15" thickBot="1" x14ac:dyDescent="0.2">
      <c r="A2024" s="30" t="s">
        <v>10756</v>
      </c>
      <c r="B2024" s="26" t="str">
        <f t="shared" si="31"/>
        <v>600990</v>
      </c>
      <c r="C2024" s="30" t="s">
        <v>4350</v>
      </c>
      <c r="D2024" s="31">
        <v>15.55</v>
      </c>
      <c r="E2024" s="31">
        <v>0.39</v>
      </c>
      <c r="F2024" s="31">
        <v>4183147400</v>
      </c>
    </row>
    <row r="2025" spans="1:6" ht="15" thickBot="1" x14ac:dyDescent="0.2">
      <c r="A2025" s="30" t="s">
        <v>10757</v>
      </c>
      <c r="B2025" s="26" t="str">
        <f t="shared" si="31"/>
        <v>000822</v>
      </c>
      <c r="C2025" s="30" t="s">
        <v>4232</v>
      </c>
      <c r="D2025" s="31">
        <v>4.67</v>
      </c>
      <c r="E2025" s="31">
        <v>-0.85</v>
      </c>
      <c r="F2025" s="31">
        <v>4180079300</v>
      </c>
    </row>
    <row r="2026" spans="1:6" ht="15" thickBot="1" x14ac:dyDescent="0.2">
      <c r="A2026" s="30" t="s">
        <v>10758</v>
      </c>
      <c r="B2026" s="26" t="str">
        <f t="shared" si="31"/>
        <v>688739</v>
      </c>
      <c r="C2026" s="30" t="s">
        <v>2236</v>
      </c>
      <c r="D2026" s="31">
        <v>22.14</v>
      </c>
      <c r="E2026" s="31">
        <v>-1.51</v>
      </c>
      <c r="F2026" s="31">
        <v>4179727300</v>
      </c>
    </row>
    <row r="2027" spans="1:6" ht="15" thickBot="1" x14ac:dyDescent="0.2">
      <c r="A2027" s="30" t="s">
        <v>10759</v>
      </c>
      <c r="B2027" s="26" t="str">
        <f t="shared" si="31"/>
        <v>600178</v>
      </c>
      <c r="C2027" s="30" t="s">
        <v>4700</v>
      </c>
      <c r="D2027" s="31">
        <v>8.9600000000000009</v>
      </c>
      <c r="E2027" s="31">
        <v>2.75</v>
      </c>
      <c r="F2027" s="31">
        <v>4179626400</v>
      </c>
    </row>
    <row r="2028" spans="1:6" ht="15" thickBot="1" x14ac:dyDescent="0.2">
      <c r="A2028" s="30" t="s">
        <v>10760</v>
      </c>
      <c r="B2028" s="26" t="str">
        <f t="shared" si="31"/>
        <v>688697</v>
      </c>
      <c r="C2028" s="30" t="s">
        <v>10761</v>
      </c>
      <c r="D2028" s="31">
        <v>12.79</v>
      </c>
      <c r="E2028" s="31">
        <v>1.43</v>
      </c>
      <c r="F2028" s="31">
        <v>4178067100</v>
      </c>
    </row>
    <row r="2029" spans="1:6" ht="15" thickBot="1" x14ac:dyDescent="0.2">
      <c r="A2029" s="30" t="s">
        <v>10762</v>
      </c>
      <c r="B2029" s="26" t="str">
        <f t="shared" si="31"/>
        <v>600279</v>
      </c>
      <c r="C2029" s="30" t="s">
        <v>4352</v>
      </c>
      <c r="D2029" s="31">
        <v>3.52</v>
      </c>
      <c r="E2029" s="31">
        <v>0.28999999999999998</v>
      </c>
      <c r="F2029" s="31">
        <v>4177769300</v>
      </c>
    </row>
    <row r="2030" spans="1:6" ht="15" thickBot="1" x14ac:dyDescent="0.2">
      <c r="A2030" s="30" t="s">
        <v>10763</v>
      </c>
      <c r="B2030" s="26" t="str">
        <f t="shared" si="31"/>
        <v>002194</v>
      </c>
      <c r="C2030" s="30" t="s">
        <v>3344</v>
      </c>
      <c r="D2030" s="31">
        <v>8.19</v>
      </c>
      <c r="E2030" s="31">
        <v>-1.0900000000000001</v>
      </c>
      <c r="F2030" s="31">
        <v>4170623600</v>
      </c>
    </row>
    <row r="2031" spans="1:6" ht="15" thickBot="1" x14ac:dyDescent="0.2">
      <c r="A2031" s="30" t="s">
        <v>10764</v>
      </c>
      <c r="B2031" s="26" t="str">
        <f t="shared" si="31"/>
        <v>300859</v>
      </c>
      <c r="C2031" s="30" t="s">
        <v>4278</v>
      </c>
      <c r="D2031" s="31">
        <v>26.9</v>
      </c>
      <c r="E2031" s="31">
        <v>-1.47</v>
      </c>
      <c r="F2031" s="31">
        <v>4169500000</v>
      </c>
    </row>
    <row r="2032" spans="1:6" ht="15" thickBot="1" x14ac:dyDescent="0.2">
      <c r="A2032" s="30" t="s">
        <v>10765</v>
      </c>
      <c r="B2032" s="26" t="str">
        <f t="shared" si="31"/>
        <v>300145</v>
      </c>
      <c r="C2032" s="30" t="s">
        <v>4240</v>
      </c>
      <c r="D2032" s="31">
        <v>2.2000000000000002</v>
      </c>
      <c r="E2032" s="31">
        <v>-1.35</v>
      </c>
      <c r="F2032" s="31">
        <v>4165913800</v>
      </c>
    </row>
    <row r="2033" spans="1:6" ht="15" thickBot="1" x14ac:dyDescent="0.2">
      <c r="A2033" s="30" t="s">
        <v>10766</v>
      </c>
      <c r="B2033" s="26" t="str">
        <f t="shared" si="31"/>
        <v>002752</v>
      </c>
      <c r="C2033" s="30" t="s">
        <v>4224</v>
      </c>
      <c r="D2033" s="31">
        <v>4.26</v>
      </c>
      <c r="E2033" s="31">
        <v>-0.93</v>
      </c>
      <c r="F2033" s="31">
        <v>4161033700</v>
      </c>
    </row>
    <row r="2034" spans="1:6" ht="15" thickBot="1" x14ac:dyDescent="0.2">
      <c r="A2034" s="30" t="s">
        <v>10767</v>
      </c>
      <c r="B2034" s="26" t="str">
        <f t="shared" si="31"/>
        <v>603018</v>
      </c>
      <c r="C2034" s="30" t="s">
        <v>4230</v>
      </c>
      <c r="D2034" s="31">
        <v>6.14</v>
      </c>
      <c r="E2034" s="31">
        <v>-0.16</v>
      </c>
      <c r="F2034" s="31">
        <v>4151933400</v>
      </c>
    </row>
    <row r="2035" spans="1:6" ht="15" thickBot="1" x14ac:dyDescent="0.2">
      <c r="A2035" s="30" t="s">
        <v>10768</v>
      </c>
      <c r="B2035" s="26" t="str">
        <f t="shared" si="31"/>
        <v>600826</v>
      </c>
      <c r="C2035" s="30" t="s">
        <v>4302</v>
      </c>
      <c r="D2035" s="31">
        <v>5.64</v>
      </c>
      <c r="E2035" s="31">
        <v>3.11</v>
      </c>
      <c r="F2035" s="31">
        <v>4148409200</v>
      </c>
    </row>
    <row r="2036" spans="1:6" ht="15" thickBot="1" x14ac:dyDescent="0.2">
      <c r="A2036" s="30" t="s">
        <v>10769</v>
      </c>
      <c r="B2036" s="26" t="str">
        <f t="shared" si="31"/>
        <v>603936</v>
      </c>
      <c r="C2036" s="30" t="s">
        <v>4204</v>
      </c>
      <c r="D2036" s="31">
        <v>6.58</v>
      </c>
      <c r="E2036" s="31">
        <v>-0.9</v>
      </c>
      <c r="F2036" s="31">
        <v>4148018900</v>
      </c>
    </row>
    <row r="2037" spans="1:6" ht="15" thickBot="1" x14ac:dyDescent="0.2">
      <c r="A2037" s="30" t="s">
        <v>10770</v>
      </c>
      <c r="B2037" s="26" t="str">
        <f t="shared" si="31"/>
        <v>300263</v>
      </c>
      <c r="C2037" s="30" t="s">
        <v>3710</v>
      </c>
      <c r="D2037" s="31">
        <v>5.37</v>
      </c>
      <c r="E2037" s="31">
        <v>-1.47</v>
      </c>
      <c r="F2037" s="31">
        <v>4147717300</v>
      </c>
    </row>
    <row r="2038" spans="1:6" ht="15" thickBot="1" x14ac:dyDescent="0.2">
      <c r="A2038" s="30" t="s">
        <v>10771</v>
      </c>
      <c r="B2038" s="26" t="str">
        <f t="shared" si="31"/>
        <v>001330</v>
      </c>
      <c r="C2038" s="30" t="s">
        <v>10772</v>
      </c>
      <c r="D2038" s="31">
        <v>3.93</v>
      </c>
      <c r="E2038" s="31">
        <v>-0.51</v>
      </c>
      <c r="F2038" s="31">
        <v>4146849900</v>
      </c>
    </row>
    <row r="2039" spans="1:6" ht="15" thickBot="1" x14ac:dyDescent="0.2">
      <c r="A2039" s="30" t="s">
        <v>10773</v>
      </c>
      <c r="B2039" s="26" t="str">
        <f t="shared" si="31"/>
        <v>601700</v>
      </c>
      <c r="C2039" s="30" t="s">
        <v>4276</v>
      </c>
      <c r="D2039" s="31">
        <v>3.63</v>
      </c>
      <c r="E2039" s="31">
        <v>-0.55000000000000004</v>
      </c>
      <c r="F2039" s="31">
        <v>4146355500</v>
      </c>
    </row>
    <row r="2040" spans="1:6" ht="15" thickBot="1" x14ac:dyDescent="0.2">
      <c r="A2040" s="30" t="s">
        <v>10774</v>
      </c>
      <c r="B2040" s="26" t="str">
        <f t="shared" si="31"/>
        <v>603357</v>
      </c>
      <c r="C2040" s="30" t="s">
        <v>4192</v>
      </c>
      <c r="D2040" s="31">
        <v>7.53</v>
      </c>
      <c r="E2040" s="31">
        <v>-0.27</v>
      </c>
      <c r="F2040" s="31">
        <v>4145937200</v>
      </c>
    </row>
    <row r="2041" spans="1:6" ht="15" thickBot="1" x14ac:dyDescent="0.2">
      <c r="A2041" s="30" t="s">
        <v>10775</v>
      </c>
      <c r="B2041" s="26" t="str">
        <f t="shared" si="31"/>
        <v>603212</v>
      </c>
      <c r="C2041" s="30" t="s">
        <v>3976</v>
      </c>
      <c r="D2041" s="31">
        <v>9.4700000000000006</v>
      </c>
      <c r="E2041" s="31">
        <v>-4.7300000000000004</v>
      </c>
      <c r="F2041" s="31">
        <v>4143036300</v>
      </c>
    </row>
    <row r="2042" spans="1:6" ht="15" thickBot="1" x14ac:dyDescent="0.2">
      <c r="A2042" s="30" t="s">
        <v>10776</v>
      </c>
      <c r="B2042" s="26" t="str">
        <f t="shared" si="31"/>
        <v>300353</v>
      </c>
      <c r="C2042" s="30" t="s">
        <v>3841</v>
      </c>
      <c r="D2042" s="31">
        <v>7.93</v>
      </c>
      <c r="E2042" s="31">
        <v>0.76</v>
      </c>
      <c r="F2042" s="31">
        <v>4141066200</v>
      </c>
    </row>
    <row r="2043" spans="1:6" ht="15" thickBot="1" x14ac:dyDescent="0.2">
      <c r="A2043" s="30" t="s">
        <v>10777</v>
      </c>
      <c r="B2043" s="26" t="str">
        <f t="shared" si="31"/>
        <v>605300</v>
      </c>
      <c r="C2043" s="30" t="s">
        <v>4154</v>
      </c>
      <c r="D2043" s="31">
        <v>10.35</v>
      </c>
      <c r="E2043" s="31">
        <v>0.28999999999999998</v>
      </c>
      <c r="F2043" s="31">
        <v>4140103500</v>
      </c>
    </row>
    <row r="2044" spans="1:6" ht="15" thickBot="1" x14ac:dyDescent="0.2">
      <c r="A2044" s="30" t="s">
        <v>10778</v>
      </c>
      <c r="B2044" s="26" t="str">
        <f t="shared" si="31"/>
        <v>000531</v>
      </c>
      <c r="C2044" s="30" t="s">
        <v>4004</v>
      </c>
      <c r="D2044" s="31">
        <v>4.55</v>
      </c>
      <c r="E2044" s="31">
        <v>1.1100000000000001</v>
      </c>
      <c r="F2044" s="31">
        <v>4139340900</v>
      </c>
    </row>
    <row r="2045" spans="1:6" ht="15" thickBot="1" x14ac:dyDescent="0.2">
      <c r="A2045" s="30" t="s">
        <v>10779</v>
      </c>
      <c r="B2045" s="26" t="str">
        <f t="shared" si="31"/>
        <v>603528</v>
      </c>
      <c r="C2045" s="30" t="s">
        <v>4228</v>
      </c>
      <c r="D2045" s="31">
        <v>5.86</v>
      </c>
      <c r="E2045" s="31">
        <v>0</v>
      </c>
      <c r="F2045" s="31">
        <v>4136750600</v>
      </c>
    </row>
    <row r="2046" spans="1:6" ht="15" thickBot="1" x14ac:dyDescent="0.2">
      <c r="A2046" s="30" t="s">
        <v>10780</v>
      </c>
      <c r="B2046" s="26" t="str">
        <f t="shared" si="31"/>
        <v>600855</v>
      </c>
      <c r="C2046" s="30" t="s">
        <v>4340</v>
      </c>
      <c r="D2046" s="31">
        <v>8.84</v>
      </c>
      <c r="E2046" s="31">
        <v>-0.9</v>
      </c>
      <c r="F2046" s="31">
        <v>4133935200</v>
      </c>
    </row>
    <row r="2047" spans="1:6" ht="15" thickBot="1" x14ac:dyDescent="0.2">
      <c r="A2047" s="30" t="s">
        <v>10781</v>
      </c>
      <c r="B2047" s="26" t="str">
        <f t="shared" si="31"/>
        <v>301048</v>
      </c>
      <c r="C2047" s="30" t="s">
        <v>10782</v>
      </c>
      <c r="D2047" s="31">
        <v>7.73</v>
      </c>
      <c r="E2047" s="31">
        <v>-0.13</v>
      </c>
      <c r="F2047" s="31">
        <v>4122667200</v>
      </c>
    </row>
    <row r="2048" spans="1:6" ht="15" thickBot="1" x14ac:dyDescent="0.2">
      <c r="A2048" s="30" t="s">
        <v>10783</v>
      </c>
      <c r="B2048" s="26" t="str">
        <f t="shared" si="31"/>
        <v>600828</v>
      </c>
      <c r="C2048" s="30" t="s">
        <v>4148</v>
      </c>
      <c r="D2048" s="31">
        <v>2.38</v>
      </c>
      <c r="E2048" s="31">
        <v>-2.46</v>
      </c>
      <c r="F2048" s="31">
        <v>4120637200</v>
      </c>
    </row>
    <row r="2049" spans="1:6" ht="15" thickBot="1" x14ac:dyDescent="0.2">
      <c r="A2049" s="30" t="s">
        <v>10784</v>
      </c>
      <c r="B2049" s="26" t="str">
        <f t="shared" si="31"/>
        <v>000016</v>
      </c>
      <c r="C2049" s="30" t="s">
        <v>4156</v>
      </c>
      <c r="D2049" s="31">
        <v>2.58</v>
      </c>
      <c r="E2049" s="31">
        <v>4.88</v>
      </c>
      <c r="F2049" s="31">
        <v>4119212000</v>
      </c>
    </row>
    <row r="2050" spans="1:6" ht="15" thickBot="1" x14ac:dyDescent="0.2">
      <c r="A2050" s="30" t="s">
        <v>10785</v>
      </c>
      <c r="B2050" s="26" t="str">
        <f t="shared" si="31"/>
        <v>002556</v>
      </c>
      <c r="C2050" s="30" t="s">
        <v>4259</v>
      </c>
      <c r="D2050" s="31">
        <v>4.42</v>
      </c>
      <c r="E2050" s="31">
        <v>-0.23</v>
      </c>
      <c r="F2050" s="31">
        <v>4118787700</v>
      </c>
    </row>
    <row r="2051" spans="1:6" ht="15" thickBot="1" x14ac:dyDescent="0.2">
      <c r="A2051" s="30" t="s">
        <v>10786</v>
      </c>
      <c r="B2051" s="26" t="str">
        <f t="shared" ref="B2051:B2114" si="32">LEFT(A2051,6)</f>
        <v>002250</v>
      </c>
      <c r="C2051" s="30" t="s">
        <v>4198</v>
      </c>
      <c r="D2051" s="31">
        <v>4.4800000000000004</v>
      </c>
      <c r="E2051" s="31">
        <v>-1.97</v>
      </c>
      <c r="F2051" s="31">
        <v>4114643900</v>
      </c>
    </row>
    <row r="2052" spans="1:6" ht="15" thickBot="1" x14ac:dyDescent="0.2">
      <c r="A2052" s="30" t="s">
        <v>10787</v>
      </c>
      <c r="B2052" s="26" t="str">
        <f t="shared" si="32"/>
        <v>600814</v>
      </c>
      <c r="C2052" s="30" t="s">
        <v>4274</v>
      </c>
      <c r="D2052" s="31">
        <v>5.68</v>
      </c>
      <c r="E2052" s="31">
        <v>-0.35</v>
      </c>
      <c r="F2052" s="31">
        <v>4109246400</v>
      </c>
    </row>
    <row r="2053" spans="1:6" ht="15" thickBot="1" x14ac:dyDescent="0.2">
      <c r="A2053" s="30" t="s">
        <v>10788</v>
      </c>
      <c r="B2053" s="26" t="str">
        <f t="shared" si="32"/>
        <v>605199</v>
      </c>
      <c r="C2053" s="30" t="s">
        <v>4288</v>
      </c>
      <c r="D2053" s="31">
        <v>10.27</v>
      </c>
      <c r="E2053" s="31">
        <v>-1.25</v>
      </c>
      <c r="F2053" s="31">
        <v>4109116900</v>
      </c>
    </row>
    <row r="2054" spans="1:6" ht="15" thickBot="1" x14ac:dyDescent="0.2">
      <c r="A2054" s="30" t="s">
        <v>10789</v>
      </c>
      <c r="B2054" s="26" t="str">
        <f t="shared" si="32"/>
        <v>002229</v>
      </c>
      <c r="C2054" s="30" t="s">
        <v>4120</v>
      </c>
      <c r="D2054" s="31">
        <v>8.33</v>
      </c>
      <c r="E2054" s="31">
        <v>-2.12</v>
      </c>
      <c r="F2054" s="31">
        <v>4108058600</v>
      </c>
    </row>
    <row r="2055" spans="1:6" ht="15" thickBot="1" x14ac:dyDescent="0.2">
      <c r="A2055" s="30" t="s">
        <v>10790</v>
      </c>
      <c r="B2055" s="26" t="str">
        <f t="shared" si="32"/>
        <v>000011</v>
      </c>
      <c r="C2055" s="30" t="s">
        <v>4316</v>
      </c>
      <c r="D2055" s="31">
        <v>7.8</v>
      </c>
      <c r="E2055" s="31">
        <v>-0.13</v>
      </c>
      <c r="F2055" s="31">
        <v>4106509200</v>
      </c>
    </row>
    <row r="2056" spans="1:6" ht="15" thickBot="1" x14ac:dyDescent="0.2">
      <c r="A2056" s="30" t="s">
        <v>10791</v>
      </c>
      <c r="B2056" s="26" t="str">
        <f t="shared" si="32"/>
        <v>002786</v>
      </c>
      <c r="C2056" s="30" t="s">
        <v>4568</v>
      </c>
      <c r="D2056" s="31">
        <v>8.31</v>
      </c>
      <c r="E2056" s="31">
        <v>-0.12</v>
      </c>
      <c r="F2056" s="31">
        <v>4106070700</v>
      </c>
    </row>
    <row r="2057" spans="1:6" ht="15" thickBot="1" x14ac:dyDescent="0.2">
      <c r="A2057" s="30" t="s">
        <v>10792</v>
      </c>
      <c r="B2057" s="26" t="str">
        <f t="shared" si="32"/>
        <v>300729</v>
      </c>
      <c r="C2057" s="30" t="s">
        <v>4194</v>
      </c>
      <c r="D2057" s="31">
        <v>13.88</v>
      </c>
      <c r="E2057" s="31">
        <v>3.51</v>
      </c>
      <c r="F2057" s="31">
        <v>4105395000</v>
      </c>
    </row>
    <row r="2058" spans="1:6" ht="15" thickBot="1" x14ac:dyDescent="0.2">
      <c r="A2058" s="30" t="s">
        <v>10793</v>
      </c>
      <c r="B2058" s="26" t="str">
        <f t="shared" si="32"/>
        <v>002741</v>
      </c>
      <c r="C2058" s="30" t="s">
        <v>3996</v>
      </c>
      <c r="D2058" s="31">
        <v>11.35</v>
      </c>
      <c r="E2058" s="31">
        <v>-1.1299999999999999</v>
      </c>
      <c r="F2058" s="31">
        <v>4103379400</v>
      </c>
    </row>
    <row r="2059" spans="1:6" ht="15" thickBot="1" x14ac:dyDescent="0.2">
      <c r="A2059" s="30" t="s">
        <v>10794</v>
      </c>
      <c r="B2059" s="26" t="str">
        <f t="shared" si="32"/>
        <v>300532</v>
      </c>
      <c r="C2059" s="30" t="s">
        <v>4052</v>
      </c>
      <c r="D2059" s="31">
        <v>13.89</v>
      </c>
      <c r="E2059" s="31">
        <v>-0.79</v>
      </c>
      <c r="F2059" s="31">
        <v>4102926800</v>
      </c>
    </row>
    <row r="2060" spans="1:6" ht="15" thickBot="1" x14ac:dyDescent="0.2">
      <c r="A2060" s="30" t="s">
        <v>10795</v>
      </c>
      <c r="B2060" s="26" t="str">
        <f t="shared" si="32"/>
        <v>002386</v>
      </c>
      <c r="C2060" s="30" t="s">
        <v>3867</v>
      </c>
      <c r="D2060" s="31">
        <v>3.54</v>
      </c>
      <c r="E2060" s="31">
        <v>-3.28</v>
      </c>
      <c r="F2060" s="31">
        <v>4099870100</v>
      </c>
    </row>
    <row r="2061" spans="1:6" ht="15" thickBot="1" x14ac:dyDescent="0.2">
      <c r="A2061" s="30" t="s">
        <v>10796</v>
      </c>
      <c r="B2061" s="26" t="str">
        <f t="shared" si="32"/>
        <v>002375</v>
      </c>
      <c r="C2061" s="30" t="s">
        <v>4255</v>
      </c>
      <c r="D2061" s="31">
        <v>3.09</v>
      </c>
      <c r="E2061" s="31">
        <v>-1.28</v>
      </c>
      <c r="F2061" s="31">
        <v>4099792500</v>
      </c>
    </row>
    <row r="2062" spans="1:6" ht="15" thickBot="1" x14ac:dyDescent="0.2">
      <c r="A2062" s="30" t="s">
        <v>10797</v>
      </c>
      <c r="B2062" s="26" t="str">
        <f t="shared" si="32"/>
        <v>002540</v>
      </c>
      <c r="C2062" s="30" t="s">
        <v>3254</v>
      </c>
      <c r="D2062" s="31">
        <v>4.75</v>
      </c>
      <c r="E2062" s="31">
        <v>0</v>
      </c>
      <c r="F2062" s="31">
        <v>4099273100</v>
      </c>
    </row>
    <row r="2063" spans="1:6" ht="15" thickBot="1" x14ac:dyDescent="0.2">
      <c r="A2063" s="30" t="s">
        <v>10798</v>
      </c>
      <c r="B2063" s="26" t="str">
        <f t="shared" si="32"/>
        <v>002170</v>
      </c>
      <c r="C2063" s="30" t="s">
        <v>3551</v>
      </c>
      <c r="D2063" s="31">
        <v>5.77</v>
      </c>
      <c r="E2063" s="31">
        <v>-1.03</v>
      </c>
      <c r="F2063" s="31">
        <v>4099164800</v>
      </c>
    </row>
    <row r="2064" spans="1:6" ht="15" thickBot="1" x14ac:dyDescent="0.2">
      <c r="A2064" s="30" t="s">
        <v>10799</v>
      </c>
      <c r="B2064" s="26" t="str">
        <f t="shared" si="32"/>
        <v>600708</v>
      </c>
      <c r="C2064" s="30" t="s">
        <v>4494</v>
      </c>
      <c r="D2064" s="31">
        <v>1.84</v>
      </c>
      <c r="E2064" s="31">
        <v>1.66</v>
      </c>
      <c r="F2064" s="31">
        <v>4094511100</v>
      </c>
    </row>
    <row r="2065" spans="1:6" ht="15" thickBot="1" x14ac:dyDescent="0.2">
      <c r="A2065" s="30" t="s">
        <v>10800</v>
      </c>
      <c r="B2065" s="26" t="str">
        <f t="shared" si="32"/>
        <v>600468</v>
      </c>
      <c r="C2065" s="30" t="s">
        <v>4338</v>
      </c>
      <c r="D2065" s="31">
        <v>3.76</v>
      </c>
      <c r="E2065" s="31">
        <v>-0.53</v>
      </c>
      <c r="F2065" s="31">
        <v>4089884800</v>
      </c>
    </row>
    <row r="2066" spans="1:6" ht="15" thickBot="1" x14ac:dyDescent="0.2">
      <c r="A2066" s="30" t="s">
        <v>10801</v>
      </c>
      <c r="B2066" s="26" t="str">
        <f t="shared" si="32"/>
        <v>600939</v>
      </c>
      <c r="C2066" s="30" t="s">
        <v>4376</v>
      </c>
      <c r="D2066" s="31">
        <v>2.15</v>
      </c>
      <c r="E2066" s="31">
        <v>-0.46</v>
      </c>
      <c r="F2066" s="31">
        <v>4088854700</v>
      </c>
    </row>
    <row r="2067" spans="1:6" ht="15" thickBot="1" x14ac:dyDescent="0.2">
      <c r="A2067" s="30" t="s">
        <v>10802</v>
      </c>
      <c r="B2067" s="26" t="str">
        <f t="shared" si="32"/>
        <v>300825</v>
      </c>
      <c r="C2067" s="30" t="s">
        <v>4134</v>
      </c>
      <c r="D2067" s="31">
        <v>8.39</v>
      </c>
      <c r="E2067" s="31">
        <v>-1.29</v>
      </c>
      <c r="F2067" s="31">
        <v>4084950400</v>
      </c>
    </row>
    <row r="2068" spans="1:6" ht="15" thickBot="1" x14ac:dyDescent="0.2">
      <c r="A2068" s="30" t="s">
        <v>10803</v>
      </c>
      <c r="B2068" s="26" t="str">
        <f t="shared" si="32"/>
        <v>601008</v>
      </c>
      <c r="C2068" s="30" t="s">
        <v>4394</v>
      </c>
      <c r="D2068" s="31">
        <v>3.29</v>
      </c>
      <c r="E2068" s="31">
        <v>0.31</v>
      </c>
      <c r="F2068" s="31">
        <v>4081699000</v>
      </c>
    </row>
    <row r="2069" spans="1:6" ht="15" thickBot="1" x14ac:dyDescent="0.2">
      <c r="A2069" s="30" t="s">
        <v>10804</v>
      </c>
      <c r="B2069" s="26" t="str">
        <f t="shared" si="32"/>
        <v>600184</v>
      </c>
      <c r="C2069" s="30" t="s">
        <v>4368</v>
      </c>
      <c r="D2069" s="31">
        <v>8.02</v>
      </c>
      <c r="E2069" s="31">
        <v>0</v>
      </c>
      <c r="F2069" s="31">
        <v>4080261800</v>
      </c>
    </row>
    <row r="2070" spans="1:6" ht="15" thickBot="1" x14ac:dyDescent="0.2">
      <c r="A2070" s="30" t="s">
        <v>10805</v>
      </c>
      <c r="B2070" s="26" t="str">
        <f t="shared" si="32"/>
        <v>300128</v>
      </c>
      <c r="C2070" s="30" t="s">
        <v>4236</v>
      </c>
      <c r="D2070" s="31">
        <v>3.14</v>
      </c>
      <c r="E2070" s="31">
        <v>-2.79</v>
      </c>
      <c r="F2070" s="31">
        <v>4079222400</v>
      </c>
    </row>
    <row r="2071" spans="1:6" ht="15" thickBot="1" x14ac:dyDescent="0.2">
      <c r="A2071" s="30" t="s">
        <v>10806</v>
      </c>
      <c r="B2071" s="26" t="str">
        <f t="shared" si="32"/>
        <v>300147</v>
      </c>
      <c r="C2071" s="30" t="s">
        <v>4123</v>
      </c>
      <c r="D2071" s="31">
        <v>6.2</v>
      </c>
      <c r="E2071" s="31">
        <v>-3.43</v>
      </c>
      <c r="F2071" s="31">
        <v>4076246100</v>
      </c>
    </row>
    <row r="2072" spans="1:6" ht="15" thickBot="1" x14ac:dyDescent="0.2">
      <c r="A2072" s="30" t="s">
        <v>10807</v>
      </c>
      <c r="B2072" s="26" t="str">
        <f t="shared" si="32"/>
        <v>688157</v>
      </c>
      <c r="C2072" s="30" t="s">
        <v>4125</v>
      </c>
      <c r="D2072" s="31">
        <v>36.47</v>
      </c>
      <c r="E2072" s="31">
        <v>-5.49</v>
      </c>
      <c r="F2072" s="31">
        <v>4075029600</v>
      </c>
    </row>
    <row r="2073" spans="1:6" ht="15" thickBot="1" x14ac:dyDescent="0.2">
      <c r="A2073" s="30" t="s">
        <v>10808</v>
      </c>
      <c r="B2073" s="26" t="str">
        <f t="shared" si="32"/>
        <v>300065</v>
      </c>
      <c r="C2073" s="30" t="s">
        <v>4034</v>
      </c>
      <c r="D2073" s="31">
        <v>6.19</v>
      </c>
      <c r="E2073" s="31">
        <v>-1.1200000000000001</v>
      </c>
      <c r="F2073" s="31">
        <v>4074721500</v>
      </c>
    </row>
    <row r="2074" spans="1:6" ht="15" thickBot="1" x14ac:dyDescent="0.2">
      <c r="A2074" s="30" t="s">
        <v>10809</v>
      </c>
      <c r="B2074" s="26" t="str">
        <f t="shared" si="32"/>
        <v>002785</v>
      </c>
      <c r="C2074" s="30" t="s">
        <v>3483</v>
      </c>
      <c r="D2074" s="31">
        <v>24.26</v>
      </c>
      <c r="E2074" s="31">
        <v>0.33</v>
      </c>
      <c r="F2074" s="31">
        <v>4071793000</v>
      </c>
    </row>
    <row r="2075" spans="1:6" ht="15" thickBot="1" x14ac:dyDescent="0.2">
      <c r="A2075" s="30" t="s">
        <v>10810</v>
      </c>
      <c r="B2075" s="26" t="str">
        <f t="shared" si="32"/>
        <v>688383</v>
      </c>
      <c r="C2075" s="30" t="s">
        <v>4142</v>
      </c>
      <c r="D2075" s="31">
        <v>39.83</v>
      </c>
      <c r="E2075" s="31">
        <v>-1.68</v>
      </c>
      <c r="F2075" s="31">
        <v>4067981300</v>
      </c>
    </row>
    <row r="2076" spans="1:6" ht="15" thickBot="1" x14ac:dyDescent="0.2">
      <c r="A2076" s="30" t="s">
        <v>10811</v>
      </c>
      <c r="B2076" s="26" t="str">
        <f t="shared" si="32"/>
        <v>301291</v>
      </c>
      <c r="C2076" s="30" t="s">
        <v>10812</v>
      </c>
      <c r="D2076" s="31">
        <v>31.75</v>
      </c>
      <c r="E2076" s="31">
        <v>2.42</v>
      </c>
      <c r="F2076" s="31">
        <v>4066273500</v>
      </c>
    </row>
    <row r="2077" spans="1:6" ht="15" thickBot="1" x14ac:dyDescent="0.2">
      <c r="A2077" s="30" t="s">
        <v>10813</v>
      </c>
      <c r="B2077" s="26" t="str">
        <f t="shared" si="32"/>
        <v>002009</v>
      </c>
      <c r="C2077" s="30" t="s">
        <v>4247</v>
      </c>
      <c r="D2077" s="31">
        <v>10.15</v>
      </c>
      <c r="E2077" s="31">
        <v>-0.3</v>
      </c>
      <c r="F2077" s="31">
        <v>4065323700</v>
      </c>
    </row>
    <row r="2078" spans="1:6" ht="15" thickBot="1" x14ac:dyDescent="0.2">
      <c r="A2078" s="30" t="s">
        <v>10814</v>
      </c>
      <c r="B2078" s="26" t="str">
        <f t="shared" si="32"/>
        <v>605108</v>
      </c>
      <c r="C2078" s="30" t="s">
        <v>4244</v>
      </c>
      <c r="D2078" s="31">
        <v>15.63</v>
      </c>
      <c r="E2078" s="31">
        <v>-1.33</v>
      </c>
      <c r="F2078" s="31">
        <v>4063800000</v>
      </c>
    </row>
    <row r="2079" spans="1:6" ht="15" thickBot="1" x14ac:dyDescent="0.2">
      <c r="A2079" s="30" t="s">
        <v>10815</v>
      </c>
      <c r="B2079" s="26" t="str">
        <f t="shared" si="32"/>
        <v>600691</v>
      </c>
      <c r="C2079" s="30" t="s">
        <v>4891</v>
      </c>
      <c r="D2079" s="31">
        <v>1.71</v>
      </c>
      <c r="E2079" s="31">
        <v>2.4</v>
      </c>
      <c r="F2079" s="31">
        <v>4062252000</v>
      </c>
    </row>
    <row r="2080" spans="1:6" ht="15" thickBot="1" x14ac:dyDescent="0.2">
      <c r="A2080" s="30" t="s">
        <v>10816</v>
      </c>
      <c r="B2080" s="26" t="str">
        <f t="shared" si="32"/>
        <v>603131</v>
      </c>
      <c r="C2080" s="30" t="s">
        <v>4290</v>
      </c>
      <c r="D2080" s="31">
        <v>12.77</v>
      </c>
      <c r="E2080" s="31">
        <v>0.95</v>
      </c>
      <c r="F2080" s="31">
        <v>4060744000</v>
      </c>
    </row>
    <row r="2081" spans="1:6" ht="15" thickBot="1" x14ac:dyDescent="0.2">
      <c r="A2081" s="30" t="s">
        <v>10817</v>
      </c>
      <c r="B2081" s="26" t="str">
        <f t="shared" si="32"/>
        <v>002930</v>
      </c>
      <c r="C2081" s="30" t="s">
        <v>4138</v>
      </c>
      <c r="D2081" s="31">
        <v>9.3699999999999992</v>
      </c>
      <c r="E2081" s="31">
        <v>-0.53</v>
      </c>
      <c r="F2081" s="31">
        <v>4057108200</v>
      </c>
    </row>
    <row r="2082" spans="1:6" ht="15" thickBot="1" x14ac:dyDescent="0.2">
      <c r="A2082" s="30" t="s">
        <v>10818</v>
      </c>
      <c r="B2082" s="26" t="str">
        <f t="shared" si="32"/>
        <v>603511</v>
      </c>
      <c r="C2082" s="30" t="s">
        <v>10819</v>
      </c>
      <c r="D2082" s="31">
        <v>10.09</v>
      </c>
      <c r="E2082" s="31">
        <v>0.1</v>
      </c>
      <c r="F2082" s="31">
        <v>4055043000</v>
      </c>
    </row>
    <row r="2083" spans="1:6" ht="15" thickBot="1" x14ac:dyDescent="0.2">
      <c r="A2083" s="30" t="s">
        <v>10820</v>
      </c>
      <c r="B2083" s="26" t="str">
        <f t="shared" si="32"/>
        <v>688548</v>
      </c>
      <c r="C2083" s="30" t="s">
        <v>10821</v>
      </c>
      <c r="D2083" s="31">
        <v>7.11</v>
      </c>
      <c r="E2083" s="31">
        <v>0</v>
      </c>
      <c r="F2083" s="31">
        <v>4054808800</v>
      </c>
    </row>
    <row r="2084" spans="1:6" ht="15" thickBot="1" x14ac:dyDescent="0.2">
      <c r="A2084" s="30" t="s">
        <v>10822</v>
      </c>
      <c r="B2084" s="26" t="str">
        <f t="shared" si="32"/>
        <v>002291</v>
      </c>
      <c r="C2084" s="30" t="s">
        <v>4480</v>
      </c>
      <c r="D2084" s="31">
        <v>4.62</v>
      </c>
      <c r="E2084" s="31">
        <v>10</v>
      </c>
      <c r="F2084" s="31">
        <v>4054780900</v>
      </c>
    </row>
    <row r="2085" spans="1:6" ht="15" thickBot="1" x14ac:dyDescent="0.2">
      <c r="A2085" s="30" t="s">
        <v>10823</v>
      </c>
      <c r="B2085" s="26" t="str">
        <f t="shared" si="32"/>
        <v>000797</v>
      </c>
      <c r="C2085" s="30" t="s">
        <v>4586</v>
      </c>
      <c r="D2085" s="31">
        <v>2.58</v>
      </c>
      <c r="E2085" s="31">
        <v>2.38</v>
      </c>
      <c r="F2085" s="31">
        <v>4052081000</v>
      </c>
    </row>
    <row r="2086" spans="1:6" ht="15" thickBot="1" x14ac:dyDescent="0.2">
      <c r="A2086" s="30" t="s">
        <v>10824</v>
      </c>
      <c r="B2086" s="26" t="str">
        <f t="shared" si="32"/>
        <v>002979</v>
      </c>
      <c r="C2086" s="30" t="s">
        <v>3160</v>
      </c>
      <c r="D2086" s="31">
        <v>18.690000000000001</v>
      </c>
      <c r="E2086" s="31">
        <v>-0.48</v>
      </c>
      <c r="F2086" s="31">
        <v>4050312500</v>
      </c>
    </row>
    <row r="2087" spans="1:6" ht="15" thickBot="1" x14ac:dyDescent="0.2">
      <c r="A2087" s="30" t="s">
        <v>10825</v>
      </c>
      <c r="B2087" s="26" t="str">
        <f t="shared" si="32"/>
        <v>600658</v>
      </c>
      <c r="C2087" s="30" t="s">
        <v>5188</v>
      </c>
      <c r="D2087" s="31">
        <v>3.62</v>
      </c>
      <c r="E2087" s="31">
        <v>10.029999999999999</v>
      </c>
      <c r="F2087" s="31">
        <v>4049277900</v>
      </c>
    </row>
    <row r="2088" spans="1:6" ht="15" thickBot="1" x14ac:dyDescent="0.2">
      <c r="A2088" s="30" t="s">
        <v>10826</v>
      </c>
      <c r="B2088" s="26" t="str">
        <f t="shared" si="32"/>
        <v>600340</v>
      </c>
      <c r="C2088" s="30" t="s">
        <v>4422</v>
      </c>
      <c r="D2088" s="31">
        <v>1.04</v>
      </c>
      <c r="E2088" s="31">
        <v>0.97</v>
      </c>
      <c r="F2088" s="31">
        <v>4049089300</v>
      </c>
    </row>
    <row r="2089" spans="1:6" ht="15" thickBot="1" x14ac:dyDescent="0.2">
      <c r="A2089" s="30" t="s">
        <v>10827</v>
      </c>
      <c r="B2089" s="26" t="str">
        <f t="shared" si="32"/>
        <v>603010</v>
      </c>
      <c r="C2089" s="30" t="s">
        <v>3679</v>
      </c>
      <c r="D2089" s="31">
        <v>8.34</v>
      </c>
      <c r="E2089" s="31">
        <v>-1.3</v>
      </c>
      <c r="F2089" s="31">
        <v>4047173900</v>
      </c>
    </row>
    <row r="2090" spans="1:6" ht="15" thickBot="1" x14ac:dyDescent="0.2">
      <c r="A2090" s="30" t="s">
        <v>10828</v>
      </c>
      <c r="B2090" s="26" t="str">
        <f t="shared" si="32"/>
        <v>002354</v>
      </c>
      <c r="C2090" s="30" t="s">
        <v>4208</v>
      </c>
      <c r="D2090" s="31">
        <v>2.5</v>
      </c>
      <c r="E2090" s="31">
        <v>-1.58</v>
      </c>
      <c r="F2090" s="31">
        <v>4045927500</v>
      </c>
    </row>
    <row r="2091" spans="1:6" ht="15" thickBot="1" x14ac:dyDescent="0.2">
      <c r="A2091" s="30" t="s">
        <v>10829</v>
      </c>
      <c r="B2091" s="26" t="str">
        <f t="shared" si="32"/>
        <v>002210</v>
      </c>
      <c r="C2091" s="30" t="s">
        <v>4468</v>
      </c>
      <c r="D2091" s="31">
        <v>1.52</v>
      </c>
      <c r="E2091" s="31">
        <v>2.0099999999999998</v>
      </c>
      <c r="F2091" s="31">
        <v>4045059200</v>
      </c>
    </row>
    <row r="2092" spans="1:6" ht="15" thickBot="1" x14ac:dyDescent="0.2">
      <c r="A2092" s="30" t="s">
        <v>10830</v>
      </c>
      <c r="B2092" s="26" t="str">
        <f t="shared" si="32"/>
        <v>300687</v>
      </c>
      <c r="C2092" s="30" t="s">
        <v>3593</v>
      </c>
      <c r="D2092" s="31">
        <v>12.43</v>
      </c>
      <c r="E2092" s="31">
        <v>-1.1100000000000001</v>
      </c>
      <c r="F2092" s="31">
        <v>4044502500</v>
      </c>
    </row>
    <row r="2093" spans="1:6" ht="15" thickBot="1" x14ac:dyDescent="0.2">
      <c r="A2093" s="30" t="s">
        <v>10831</v>
      </c>
      <c r="B2093" s="26" t="str">
        <f t="shared" si="32"/>
        <v>600488</v>
      </c>
      <c r="C2093" s="30" t="s">
        <v>4308</v>
      </c>
      <c r="D2093" s="31">
        <v>3.7</v>
      </c>
      <c r="E2093" s="31">
        <v>-1.33</v>
      </c>
      <c r="F2093" s="31">
        <v>4039980700</v>
      </c>
    </row>
    <row r="2094" spans="1:6" ht="15" thickBot="1" x14ac:dyDescent="0.2">
      <c r="A2094" s="30" t="s">
        <v>10832</v>
      </c>
      <c r="B2094" s="26" t="str">
        <f t="shared" si="32"/>
        <v>600981</v>
      </c>
      <c r="C2094" s="30" t="s">
        <v>4440</v>
      </c>
      <c r="D2094" s="31">
        <v>1.8</v>
      </c>
      <c r="E2094" s="31">
        <v>-3.74</v>
      </c>
      <c r="F2094" s="31">
        <v>4036379700</v>
      </c>
    </row>
    <row r="2095" spans="1:6" ht="15" thickBot="1" x14ac:dyDescent="0.2">
      <c r="A2095" s="30" t="s">
        <v>10833</v>
      </c>
      <c r="B2095" s="26" t="str">
        <f t="shared" si="32"/>
        <v>002208</v>
      </c>
      <c r="C2095" s="30" t="s">
        <v>4416</v>
      </c>
      <c r="D2095" s="30" t="s">
        <v>8665</v>
      </c>
      <c r="E2095" s="30" t="s">
        <v>8665</v>
      </c>
      <c r="F2095" s="31">
        <v>4035934400</v>
      </c>
    </row>
    <row r="2096" spans="1:6" ht="15" thickBot="1" x14ac:dyDescent="0.2">
      <c r="A2096" s="30" t="s">
        <v>10834</v>
      </c>
      <c r="B2096" s="26" t="str">
        <f t="shared" si="32"/>
        <v>300307</v>
      </c>
      <c r="C2096" s="30" t="s">
        <v>4318</v>
      </c>
      <c r="D2096" s="31">
        <v>5.19</v>
      </c>
      <c r="E2096" s="31">
        <v>-0.77</v>
      </c>
      <c r="F2096" s="31">
        <v>4034585200</v>
      </c>
    </row>
    <row r="2097" spans="1:6" ht="15" thickBot="1" x14ac:dyDescent="0.2">
      <c r="A2097" s="30" t="s">
        <v>10835</v>
      </c>
      <c r="B2097" s="26" t="str">
        <f t="shared" si="32"/>
        <v>002285</v>
      </c>
      <c r="C2097" s="30" t="s">
        <v>4642</v>
      </c>
      <c r="D2097" s="31">
        <v>2.04</v>
      </c>
      <c r="E2097" s="31">
        <v>6.25</v>
      </c>
      <c r="F2097" s="31">
        <v>4029720800</v>
      </c>
    </row>
    <row r="2098" spans="1:6" ht="15" thickBot="1" x14ac:dyDescent="0.2">
      <c r="A2098" s="30" t="s">
        <v>10836</v>
      </c>
      <c r="B2098" s="26" t="str">
        <f t="shared" si="32"/>
        <v>603809</v>
      </c>
      <c r="C2098" s="30" t="s">
        <v>4330</v>
      </c>
      <c r="D2098" s="31">
        <v>6.92</v>
      </c>
      <c r="E2098" s="31">
        <v>0.44</v>
      </c>
      <c r="F2098" s="31">
        <v>4025195900</v>
      </c>
    </row>
    <row r="2099" spans="1:6" ht="15" thickBot="1" x14ac:dyDescent="0.2">
      <c r="A2099" s="30" t="s">
        <v>10837</v>
      </c>
      <c r="B2099" s="26" t="str">
        <f t="shared" si="32"/>
        <v>600629</v>
      </c>
      <c r="C2099" s="30" t="s">
        <v>4346</v>
      </c>
      <c r="D2099" s="31">
        <v>4.25</v>
      </c>
      <c r="E2099" s="31">
        <v>0.47</v>
      </c>
      <c r="F2099" s="31">
        <v>4014800600</v>
      </c>
    </row>
    <row r="2100" spans="1:6" ht="15" thickBot="1" x14ac:dyDescent="0.2">
      <c r="A2100" s="30" t="s">
        <v>10838</v>
      </c>
      <c r="B2100" s="26" t="str">
        <f t="shared" si="32"/>
        <v>688660</v>
      </c>
      <c r="C2100" s="30" t="s">
        <v>4406</v>
      </c>
      <c r="D2100" s="31">
        <v>3.01</v>
      </c>
      <c r="E2100" s="31">
        <v>-0.66</v>
      </c>
      <c r="F2100" s="31">
        <v>4013333500</v>
      </c>
    </row>
    <row r="2101" spans="1:6" ht="15" thickBot="1" x14ac:dyDescent="0.2">
      <c r="A2101" s="30" t="s">
        <v>10839</v>
      </c>
      <c r="B2101" s="26" t="str">
        <f t="shared" si="32"/>
        <v>000905</v>
      </c>
      <c r="C2101" s="30" t="s">
        <v>4456</v>
      </c>
      <c r="D2101" s="31">
        <v>5.4</v>
      </c>
      <c r="E2101" s="31">
        <v>0</v>
      </c>
      <c r="F2101" s="31">
        <v>4005763700</v>
      </c>
    </row>
    <row r="2102" spans="1:6" ht="15" thickBot="1" x14ac:dyDescent="0.2">
      <c r="A2102" s="30" t="s">
        <v>10840</v>
      </c>
      <c r="B2102" s="26" t="str">
        <f t="shared" si="32"/>
        <v>600101</v>
      </c>
      <c r="C2102" s="30" t="s">
        <v>4634</v>
      </c>
      <c r="D2102" s="31">
        <v>7.31</v>
      </c>
      <c r="E2102" s="31">
        <v>5.79</v>
      </c>
      <c r="F2102" s="31">
        <v>4004874700</v>
      </c>
    </row>
    <row r="2103" spans="1:6" ht="15" thickBot="1" x14ac:dyDescent="0.2">
      <c r="A2103" s="30" t="s">
        <v>10841</v>
      </c>
      <c r="B2103" s="26" t="str">
        <f t="shared" si="32"/>
        <v>600469</v>
      </c>
      <c r="C2103" s="30" t="s">
        <v>4482</v>
      </c>
      <c r="D2103" s="31">
        <v>5.48</v>
      </c>
      <c r="E2103" s="31">
        <v>0.74</v>
      </c>
      <c r="F2103" s="31">
        <v>3997390800</v>
      </c>
    </row>
    <row r="2104" spans="1:6" ht="15" thickBot="1" x14ac:dyDescent="0.2">
      <c r="A2104" s="30" t="s">
        <v>10842</v>
      </c>
      <c r="B2104" s="26" t="str">
        <f t="shared" si="32"/>
        <v>300233</v>
      </c>
      <c r="C2104" s="30" t="s">
        <v>4202</v>
      </c>
      <c r="D2104" s="31">
        <v>10.79</v>
      </c>
      <c r="E2104" s="31">
        <v>-1.82</v>
      </c>
      <c r="F2104" s="31">
        <v>3991038700</v>
      </c>
    </row>
    <row r="2105" spans="1:6" ht="15" thickBot="1" x14ac:dyDescent="0.2">
      <c r="A2105" s="30" t="s">
        <v>10843</v>
      </c>
      <c r="B2105" s="26" t="str">
        <f t="shared" si="32"/>
        <v>300814</v>
      </c>
      <c r="C2105" s="30" t="s">
        <v>10844</v>
      </c>
      <c r="D2105" s="31">
        <v>22.69</v>
      </c>
      <c r="E2105" s="31">
        <v>-1.48</v>
      </c>
      <c r="F2105" s="31">
        <v>3988849600</v>
      </c>
    </row>
    <row r="2106" spans="1:6" ht="15" thickBot="1" x14ac:dyDescent="0.2">
      <c r="A2106" s="30" t="s">
        <v>10845</v>
      </c>
      <c r="B2106" s="26" t="str">
        <f t="shared" si="32"/>
        <v>600207</v>
      </c>
      <c r="C2106" s="30" t="s">
        <v>4508</v>
      </c>
      <c r="D2106" s="31">
        <v>3.66</v>
      </c>
      <c r="E2106" s="31">
        <v>-4.1900000000000004</v>
      </c>
      <c r="F2106" s="31">
        <v>3986883900</v>
      </c>
    </row>
    <row r="2107" spans="1:6" ht="15" thickBot="1" x14ac:dyDescent="0.2">
      <c r="A2107" s="30" t="s">
        <v>10846</v>
      </c>
      <c r="B2107" s="26" t="str">
        <f t="shared" si="32"/>
        <v>300593</v>
      </c>
      <c r="C2107" s="30" t="s">
        <v>3708</v>
      </c>
      <c r="D2107" s="31">
        <v>8.85</v>
      </c>
      <c r="E2107" s="31">
        <v>-0.9</v>
      </c>
      <c r="F2107" s="31">
        <v>3984832000</v>
      </c>
    </row>
    <row r="2108" spans="1:6" ht="15" thickBot="1" x14ac:dyDescent="0.2">
      <c r="A2108" s="30" t="s">
        <v>10847</v>
      </c>
      <c r="B2108" s="26" t="str">
        <f t="shared" si="32"/>
        <v>002189</v>
      </c>
      <c r="C2108" s="30" t="s">
        <v>4234</v>
      </c>
      <c r="D2108" s="31">
        <v>15.25</v>
      </c>
      <c r="E2108" s="31">
        <v>-0.78</v>
      </c>
      <c r="F2108" s="31">
        <v>3982663600</v>
      </c>
    </row>
    <row r="2109" spans="1:6" ht="15" thickBot="1" x14ac:dyDescent="0.2">
      <c r="A2109" s="30" t="s">
        <v>10848</v>
      </c>
      <c r="B2109" s="26" t="str">
        <f t="shared" si="32"/>
        <v>300842</v>
      </c>
      <c r="C2109" s="30" t="s">
        <v>3851</v>
      </c>
      <c r="D2109" s="31">
        <v>31.83</v>
      </c>
      <c r="E2109" s="31">
        <v>-3.4</v>
      </c>
      <c r="F2109" s="31">
        <v>3982016500</v>
      </c>
    </row>
    <row r="2110" spans="1:6" ht="15" thickBot="1" x14ac:dyDescent="0.2">
      <c r="A2110" s="30" t="s">
        <v>10849</v>
      </c>
      <c r="B2110" s="26" t="str">
        <f t="shared" si="32"/>
        <v>300925</v>
      </c>
      <c r="C2110" s="30" t="s">
        <v>3734</v>
      </c>
      <c r="D2110" s="31">
        <v>12.5</v>
      </c>
      <c r="E2110" s="31">
        <v>5.93</v>
      </c>
      <c r="F2110" s="31">
        <v>3981786000</v>
      </c>
    </row>
    <row r="2111" spans="1:6" ht="15" thickBot="1" x14ac:dyDescent="0.2">
      <c r="A2111" s="30" t="s">
        <v>10850</v>
      </c>
      <c r="B2111" s="26" t="str">
        <f t="shared" si="32"/>
        <v>603489</v>
      </c>
      <c r="C2111" s="30" t="s">
        <v>4257</v>
      </c>
      <c r="D2111" s="31">
        <v>16.93</v>
      </c>
      <c r="E2111" s="31">
        <v>-1.57</v>
      </c>
      <c r="F2111" s="31">
        <v>3978770100</v>
      </c>
    </row>
    <row r="2112" spans="1:6" ht="15" thickBot="1" x14ac:dyDescent="0.2">
      <c r="A2112" s="30" t="s">
        <v>10851</v>
      </c>
      <c r="B2112" s="26" t="str">
        <f t="shared" si="32"/>
        <v>600571</v>
      </c>
      <c r="C2112" s="30" t="s">
        <v>4262</v>
      </c>
      <c r="D2112" s="31">
        <v>8.69</v>
      </c>
      <c r="E2112" s="31">
        <v>-1.36</v>
      </c>
      <c r="F2112" s="31">
        <v>3977862300</v>
      </c>
    </row>
    <row r="2113" spans="1:6" ht="15" thickBot="1" x14ac:dyDescent="0.2">
      <c r="A2113" s="30" t="s">
        <v>10852</v>
      </c>
      <c r="B2113" s="26" t="str">
        <f t="shared" si="32"/>
        <v>300322</v>
      </c>
      <c r="C2113" s="30" t="s">
        <v>4068</v>
      </c>
      <c r="D2113" s="31">
        <v>8.92</v>
      </c>
      <c r="E2113" s="31">
        <v>-2.83</v>
      </c>
      <c r="F2113" s="31">
        <v>3970729400</v>
      </c>
    </row>
    <row r="2114" spans="1:6" ht="15" thickBot="1" x14ac:dyDescent="0.2">
      <c r="A2114" s="30" t="s">
        <v>10853</v>
      </c>
      <c r="B2114" s="26" t="str">
        <f t="shared" si="32"/>
        <v>603098</v>
      </c>
      <c r="C2114" s="30" t="s">
        <v>4366</v>
      </c>
      <c r="D2114" s="31">
        <v>7.36</v>
      </c>
      <c r="E2114" s="31">
        <v>-2.13</v>
      </c>
      <c r="F2114" s="31">
        <v>3965567800</v>
      </c>
    </row>
    <row r="2115" spans="1:6" ht="15" thickBot="1" x14ac:dyDescent="0.2">
      <c r="A2115" s="30" t="s">
        <v>10854</v>
      </c>
      <c r="B2115" s="26" t="str">
        <f t="shared" ref="B2115:B2178" si="33">LEFT(A2115,6)</f>
        <v>601116</v>
      </c>
      <c r="C2115" s="30" t="s">
        <v>4398</v>
      </c>
      <c r="D2115" s="31">
        <v>7.24</v>
      </c>
      <c r="E2115" s="31">
        <v>-0.96</v>
      </c>
      <c r="F2115" s="31">
        <v>3965191600</v>
      </c>
    </row>
    <row r="2116" spans="1:6" ht="15" thickBot="1" x14ac:dyDescent="0.2">
      <c r="A2116" s="30" t="s">
        <v>10855</v>
      </c>
      <c r="B2116" s="26" t="str">
        <f t="shared" si="33"/>
        <v>002437</v>
      </c>
      <c r="C2116" s="30" t="s">
        <v>4292</v>
      </c>
      <c r="D2116" s="31">
        <v>1.81</v>
      </c>
      <c r="E2116" s="31">
        <v>-2.69</v>
      </c>
      <c r="F2116" s="31">
        <v>3965041400</v>
      </c>
    </row>
    <row r="2117" spans="1:6" ht="15" thickBot="1" x14ac:dyDescent="0.2">
      <c r="A2117" s="30" t="s">
        <v>10856</v>
      </c>
      <c r="B2117" s="26" t="str">
        <f t="shared" si="33"/>
        <v>300870</v>
      </c>
      <c r="C2117" s="30" t="s">
        <v>4492</v>
      </c>
      <c r="D2117" s="31">
        <v>39.090000000000003</v>
      </c>
      <c r="E2117" s="31">
        <v>1.4</v>
      </c>
      <c r="F2117" s="31">
        <v>3955908000</v>
      </c>
    </row>
    <row r="2118" spans="1:6" ht="15" thickBot="1" x14ac:dyDescent="0.2">
      <c r="A2118" s="30" t="s">
        <v>10857</v>
      </c>
      <c r="B2118" s="26" t="str">
        <f t="shared" si="33"/>
        <v>002283</v>
      </c>
      <c r="C2118" s="30" t="s">
        <v>3982</v>
      </c>
      <c r="D2118" s="31">
        <v>3.95</v>
      </c>
      <c r="E2118" s="31">
        <v>-0.5</v>
      </c>
      <c r="F2118" s="31">
        <v>3955796200</v>
      </c>
    </row>
    <row r="2119" spans="1:6" ht="15" thickBot="1" x14ac:dyDescent="0.2">
      <c r="A2119" s="30" t="s">
        <v>10858</v>
      </c>
      <c r="B2119" s="26" t="str">
        <f t="shared" si="33"/>
        <v>688518</v>
      </c>
      <c r="C2119" s="30" t="s">
        <v>4322</v>
      </c>
      <c r="D2119" s="31">
        <v>11.59</v>
      </c>
      <c r="E2119" s="31">
        <v>-0.52</v>
      </c>
      <c r="F2119" s="31">
        <v>3955086300</v>
      </c>
    </row>
    <row r="2120" spans="1:6" ht="15" thickBot="1" x14ac:dyDescent="0.2">
      <c r="A2120" s="30" t="s">
        <v>10859</v>
      </c>
      <c r="B2120" s="26" t="str">
        <f t="shared" si="33"/>
        <v>603416</v>
      </c>
      <c r="C2120" s="30" t="s">
        <v>4378</v>
      </c>
      <c r="D2120" s="31">
        <v>28.13</v>
      </c>
      <c r="E2120" s="31">
        <v>0.18</v>
      </c>
      <c r="F2120" s="31">
        <v>3953952800</v>
      </c>
    </row>
    <row r="2121" spans="1:6" ht="15" thickBot="1" x14ac:dyDescent="0.2">
      <c r="A2121" s="30" t="s">
        <v>10860</v>
      </c>
      <c r="B2121" s="26" t="str">
        <f t="shared" si="33"/>
        <v>688776</v>
      </c>
      <c r="C2121" s="30" t="s">
        <v>10861</v>
      </c>
      <c r="D2121" s="31">
        <v>36.479999999999997</v>
      </c>
      <c r="E2121" s="31">
        <v>-2.04</v>
      </c>
      <c r="F2121" s="31">
        <v>3953827100</v>
      </c>
    </row>
    <row r="2122" spans="1:6" ht="15" thickBot="1" x14ac:dyDescent="0.2">
      <c r="A2122" s="30" t="s">
        <v>10862</v>
      </c>
      <c r="B2122" s="26" t="str">
        <f t="shared" si="33"/>
        <v>600127</v>
      </c>
      <c r="C2122" s="30" t="s">
        <v>4548</v>
      </c>
      <c r="D2122" s="31">
        <v>6.16</v>
      </c>
      <c r="E2122" s="31">
        <v>-1.91</v>
      </c>
      <c r="F2122" s="31">
        <v>3953384600</v>
      </c>
    </row>
    <row r="2123" spans="1:6" ht="15" thickBot="1" x14ac:dyDescent="0.2">
      <c r="A2123" s="30" t="s">
        <v>10863</v>
      </c>
      <c r="B2123" s="26" t="str">
        <f t="shared" si="33"/>
        <v>000718</v>
      </c>
      <c r="C2123" s="30" t="s">
        <v>3641</v>
      </c>
      <c r="D2123" s="31">
        <v>1.73</v>
      </c>
      <c r="E2123" s="31">
        <v>1.17</v>
      </c>
      <c r="F2123" s="31">
        <v>3950343600</v>
      </c>
    </row>
    <row r="2124" spans="1:6" ht="15" thickBot="1" x14ac:dyDescent="0.2">
      <c r="A2124" s="30" t="s">
        <v>10864</v>
      </c>
      <c r="B2124" s="26" t="str">
        <f t="shared" si="33"/>
        <v>300278</v>
      </c>
      <c r="C2124" s="30" t="s">
        <v>4266</v>
      </c>
      <c r="D2124" s="31">
        <v>2.89</v>
      </c>
      <c r="E2124" s="31">
        <v>-2.0299999999999998</v>
      </c>
      <c r="F2124" s="31">
        <v>3949538700</v>
      </c>
    </row>
    <row r="2125" spans="1:6" ht="15" thickBot="1" x14ac:dyDescent="0.2">
      <c r="A2125" s="30" t="s">
        <v>10865</v>
      </c>
      <c r="B2125" s="26" t="str">
        <f t="shared" si="33"/>
        <v>688110</v>
      </c>
      <c r="C2125" s="30" t="s">
        <v>10866</v>
      </c>
      <c r="D2125" s="31">
        <v>14.28</v>
      </c>
      <c r="E2125" s="31">
        <v>-3.12</v>
      </c>
      <c r="F2125" s="31">
        <v>3948944500</v>
      </c>
    </row>
    <row r="2126" spans="1:6" ht="15" thickBot="1" x14ac:dyDescent="0.2">
      <c r="A2126" s="30" t="s">
        <v>10867</v>
      </c>
      <c r="B2126" s="26" t="str">
        <f t="shared" si="33"/>
        <v>603801</v>
      </c>
      <c r="C2126" s="30" t="s">
        <v>4354</v>
      </c>
      <c r="D2126" s="31">
        <v>9.09</v>
      </c>
      <c r="E2126" s="31">
        <v>-0.11</v>
      </c>
      <c r="F2126" s="31">
        <v>3948241000</v>
      </c>
    </row>
    <row r="2127" spans="1:6" ht="15" thickBot="1" x14ac:dyDescent="0.2">
      <c r="A2127" s="30" t="s">
        <v>10868</v>
      </c>
      <c r="B2127" s="26" t="str">
        <f t="shared" si="33"/>
        <v>002279</v>
      </c>
      <c r="C2127" s="30" t="s">
        <v>4514</v>
      </c>
      <c r="D2127" s="31">
        <v>4.9400000000000004</v>
      </c>
      <c r="E2127" s="31">
        <v>-1.4</v>
      </c>
      <c r="F2127" s="31">
        <v>3940492800</v>
      </c>
    </row>
    <row r="2128" spans="1:6" ht="15" thickBot="1" x14ac:dyDescent="0.2">
      <c r="A2128" s="30" t="s">
        <v>10869</v>
      </c>
      <c r="B2128" s="26" t="str">
        <f t="shared" si="33"/>
        <v>002449</v>
      </c>
      <c r="C2128" s="30" t="s">
        <v>4310</v>
      </c>
      <c r="D2128" s="31">
        <v>6.39</v>
      </c>
      <c r="E2128" s="31">
        <v>-1.99</v>
      </c>
      <c r="F2128" s="31">
        <v>3939396000</v>
      </c>
    </row>
    <row r="2129" spans="1:6" ht="15" thickBot="1" x14ac:dyDescent="0.2">
      <c r="A2129" s="30" t="s">
        <v>10870</v>
      </c>
      <c r="B2129" s="26" t="str">
        <f t="shared" si="33"/>
        <v>600825</v>
      </c>
      <c r="C2129" s="30" t="s">
        <v>4450</v>
      </c>
      <c r="D2129" s="31">
        <v>3.77</v>
      </c>
      <c r="E2129" s="31">
        <v>-1.05</v>
      </c>
      <c r="F2129" s="31">
        <v>3939227200</v>
      </c>
    </row>
    <row r="2130" spans="1:6" ht="15" thickBot="1" x14ac:dyDescent="0.2">
      <c r="A2130" s="30" t="s">
        <v>10871</v>
      </c>
      <c r="B2130" s="26" t="str">
        <f t="shared" si="33"/>
        <v>688331</v>
      </c>
      <c r="C2130" s="30" t="s">
        <v>10872</v>
      </c>
      <c r="D2130" s="31">
        <v>24.27</v>
      </c>
      <c r="E2130" s="31">
        <v>-4.82</v>
      </c>
      <c r="F2130" s="31">
        <v>3930471000</v>
      </c>
    </row>
    <row r="2131" spans="1:6" ht="15" thickBot="1" x14ac:dyDescent="0.2">
      <c r="A2131" s="30" t="s">
        <v>10873</v>
      </c>
      <c r="B2131" s="26" t="str">
        <f t="shared" si="33"/>
        <v>688685</v>
      </c>
      <c r="C2131" s="30" t="s">
        <v>4504</v>
      </c>
      <c r="D2131" s="31">
        <v>27.02</v>
      </c>
      <c r="E2131" s="31">
        <v>1.01</v>
      </c>
      <c r="F2131" s="31">
        <v>3929428500</v>
      </c>
    </row>
    <row r="2132" spans="1:6" ht="15" thickBot="1" x14ac:dyDescent="0.2">
      <c r="A2132" s="30" t="s">
        <v>10874</v>
      </c>
      <c r="B2132" s="26" t="str">
        <f t="shared" si="33"/>
        <v>603718</v>
      </c>
      <c r="C2132" s="30" t="s">
        <v>4314</v>
      </c>
      <c r="D2132" s="31">
        <v>6.1</v>
      </c>
      <c r="E2132" s="31">
        <v>-2.56</v>
      </c>
      <c r="F2132" s="31">
        <v>3928400000</v>
      </c>
    </row>
    <row r="2133" spans="1:6" ht="15" thickBot="1" x14ac:dyDescent="0.2">
      <c r="A2133" s="30" t="s">
        <v>10875</v>
      </c>
      <c r="B2133" s="26" t="str">
        <f t="shared" si="33"/>
        <v>600495</v>
      </c>
      <c r="C2133" s="30" t="s">
        <v>4598</v>
      </c>
      <c r="D2133" s="31">
        <v>3.25</v>
      </c>
      <c r="E2133" s="31">
        <v>-1.52</v>
      </c>
      <c r="F2133" s="31">
        <v>3926620400</v>
      </c>
    </row>
    <row r="2134" spans="1:6" ht="15" thickBot="1" x14ac:dyDescent="0.2">
      <c r="A2134" s="30" t="s">
        <v>10876</v>
      </c>
      <c r="B2134" s="26" t="str">
        <f t="shared" si="33"/>
        <v>002218</v>
      </c>
      <c r="C2134" s="30" t="s">
        <v>4428</v>
      </c>
      <c r="D2134" s="31">
        <v>2.82</v>
      </c>
      <c r="E2134" s="31">
        <v>-1.05</v>
      </c>
      <c r="F2134" s="31">
        <v>3926563100</v>
      </c>
    </row>
    <row r="2135" spans="1:6" ht="15" thickBot="1" x14ac:dyDescent="0.2">
      <c r="A2135" s="30" t="s">
        <v>10877</v>
      </c>
      <c r="B2135" s="26" t="str">
        <f t="shared" si="33"/>
        <v>002632</v>
      </c>
      <c r="C2135" s="30" t="s">
        <v>4132</v>
      </c>
      <c r="D2135" s="31">
        <v>6.76</v>
      </c>
      <c r="E2135" s="31">
        <v>0.6</v>
      </c>
      <c r="F2135" s="31">
        <v>3926208100</v>
      </c>
    </row>
    <row r="2136" spans="1:6" ht="15" thickBot="1" x14ac:dyDescent="0.2">
      <c r="A2136" s="30" t="s">
        <v>10878</v>
      </c>
      <c r="B2136" s="26" t="str">
        <f t="shared" si="33"/>
        <v>002538</v>
      </c>
      <c r="C2136" s="30" t="s">
        <v>4444</v>
      </c>
      <c r="D2136" s="31">
        <v>4.59</v>
      </c>
      <c r="E2136" s="31">
        <v>-1.92</v>
      </c>
      <c r="F2136" s="31">
        <v>3917821000</v>
      </c>
    </row>
    <row r="2137" spans="1:6" ht="15" thickBot="1" x14ac:dyDescent="0.2">
      <c r="A2137" s="30" t="s">
        <v>10879</v>
      </c>
      <c r="B2137" s="26" t="str">
        <f t="shared" si="33"/>
        <v>000507</v>
      </c>
      <c r="C2137" s="30" t="s">
        <v>4446</v>
      </c>
      <c r="D2137" s="31">
        <v>4.34</v>
      </c>
      <c r="E2137" s="31">
        <v>-1.1399999999999999</v>
      </c>
      <c r="F2137" s="31">
        <v>3916145800</v>
      </c>
    </row>
    <row r="2138" spans="1:6" ht="15" thickBot="1" x14ac:dyDescent="0.2">
      <c r="A2138" s="30" t="s">
        <v>10880</v>
      </c>
      <c r="B2138" s="26" t="str">
        <f t="shared" si="33"/>
        <v>688519</v>
      </c>
      <c r="C2138" s="30" t="s">
        <v>4088</v>
      </c>
      <c r="D2138" s="31">
        <v>16.68</v>
      </c>
      <c r="E2138" s="31">
        <v>-5.71</v>
      </c>
      <c r="F2138" s="31">
        <v>3915656700</v>
      </c>
    </row>
    <row r="2139" spans="1:6" ht="15" thickBot="1" x14ac:dyDescent="0.2">
      <c r="A2139" s="30" t="s">
        <v>10881</v>
      </c>
      <c r="B2139" s="26" t="str">
        <f t="shared" si="33"/>
        <v>603466</v>
      </c>
      <c r="C2139" s="30" t="s">
        <v>4136</v>
      </c>
      <c r="D2139" s="31">
        <v>6.58</v>
      </c>
      <c r="E2139" s="31">
        <v>-3.09</v>
      </c>
      <c r="F2139" s="31">
        <v>3913639200</v>
      </c>
    </row>
    <row r="2140" spans="1:6" ht="15" thickBot="1" x14ac:dyDescent="0.2">
      <c r="A2140" s="30" t="s">
        <v>10882</v>
      </c>
      <c r="B2140" s="26" t="str">
        <f t="shared" si="33"/>
        <v>600650</v>
      </c>
      <c r="C2140" s="30" t="s">
        <v>4116</v>
      </c>
      <c r="D2140" s="31">
        <v>10.02</v>
      </c>
      <c r="E2140" s="31">
        <v>0</v>
      </c>
      <c r="F2140" s="31">
        <v>3913412000</v>
      </c>
    </row>
    <row r="2141" spans="1:6" ht="15" thickBot="1" x14ac:dyDescent="0.2">
      <c r="A2141" s="30" t="s">
        <v>10883</v>
      </c>
      <c r="B2141" s="26" t="str">
        <f t="shared" si="33"/>
        <v>002334</v>
      </c>
      <c r="C2141" s="30" t="s">
        <v>4040</v>
      </c>
      <c r="D2141" s="31">
        <v>5.45</v>
      </c>
      <c r="E2141" s="31">
        <v>0.37</v>
      </c>
      <c r="F2141" s="31">
        <v>3913374900</v>
      </c>
    </row>
    <row r="2142" spans="1:6" ht="15" thickBot="1" x14ac:dyDescent="0.2">
      <c r="A2142" s="30" t="s">
        <v>10884</v>
      </c>
      <c r="B2142" s="26" t="str">
        <f t="shared" si="33"/>
        <v>600479</v>
      </c>
      <c r="C2142" s="30" t="s">
        <v>4566</v>
      </c>
      <c r="D2142" s="31">
        <v>9.35</v>
      </c>
      <c r="E2142" s="31">
        <v>-0.11</v>
      </c>
      <c r="F2142" s="31">
        <v>3913041500</v>
      </c>
    </row>
    <row r="2143" spans="1:6" ht="15" thickBot="1" x14ac:dyDescent="0.2">
      <c r="A2143" s="30" t="s">
        <v>10885</v>
      </c>
      <c r="B2143" s="26" t="str">
        <f t="shared" si="33"/>
        <v>000823</v>
      </c>
      <c r="C2143" s="30" t="s">
        <v>4400</v>
      </c>
      <c r="D2143" s="31">
        <v>7.28</v>
      </c>
      <c r="E2143" s="31">
        <v>-1.36</v>
      </c>
      <c r="F2143" s="31">
        <v>3908955700</v>
      </c>
    </row>
    <row r="2144" spans="1:6" ht="15" thickBot="1" x14ac:dyDescent="0.2">
      <c r="A2144" s="30" t="s">
        <v>10886</v>
      </c>
      <c r="B2144" s="26" t="str">
        <f t="shared" si="33"/>
        <v>002445</v>
      </c>
      <c r="C2144" s="30" t="s">
        <v>4538</v>
      </c>
      <c r="D2144" s="31">
        <v>1.64</v>
      </c>
      <c r="E2144" s="31">
        <v>0</v>
      </c>
      <c r="F2144" s="31">
        <v>3905564500</v>
      </c>
    </row>
    <row r="2145" spans="1:6" ht="15" thickBot="1" x14ac:dyDescent="0.2">
      <c r="A2145" s="30" t="s">
        <v>10887</v>
      </c>
      <c r="B2145" s="26" t="str">
        <f t="shared" si="33"/>
        <v>603507</v>
      </c>
      <c r="C2145" s="30" t="s">
        <v>4466</v>
      </c>
      <c r="D2145" s="31">
        <v>21.19</v>
      </c>
      <c r="E2145" s="31">
        <v>-0.09</v>
      </c>
      <c r="F2145" s="31">
        <v>3905344700</v>
      </c>
    </row>
    <row r="2146" spans="1:6" ht="15" thickBot="1" x14ac:dyDescent="0.2">
      <c r="A2146" s="30" t="s">
        <v>10888</v>
      </c>
      <c r="B2146" s="26" t="str">
        <f t="shared" si="33"/>
        <v>300820</v>
      </c>
      <c r="C2146" s="30" t="s">
        <v>2568</v>
      </c>
      <c r="D2146" s="31">
        <v>35.44</v>
      </c>
      <c r="E2146" s="31">
        <v>0</v>
      </c>
      <c r="F2146" s="31">
        <v>3902684400</v>
      </c>
    </row>
    <row r="2147" spans="1:6" ht="15" thickBot="1" x14ac:dyDescent="0.2">
      <c r="A2147" s="30" t="s">
        <v>10889</v>
      </c>
      <c r="B2147" s="26" t="str">
        <f t="shared" si="33"/>
        <v>600523</v>
      </c>
      <c r="C2147" s="30" t="s">
        <v>4528</v>
      </c>
      <c r="D2147" s="31">
        <v>9.65</v>
      </c>
      <c r="E2147" s="31">
        <v>-0.92</v>
      </c>
      <c r="F2147" s="31">
        <v>3899030600</v>
      </c>
    </row>
    <row r="2148" spans="1:6" ht="15" thickBot="1" x14ac:dyDescent="0.2">
      <c r="A2148" s="30" t="s">
        <v>10890</v>
      </c>
      <c r="B2148" s="26" t="str">
        <f t="shared" si="33"/>
        <v>603985</v>
      </c>
      <c r="C2148" s="30" t="s">
        <v>4320</v>
      </c>
      <c r="D2148" s="31">
        <v>8.84</v>
      </c>
      <c r="E2148" s="31">
        <v>-1.78</v>
      </c>
      <c r="F2148" s="31">
        <v>3897184700</v>
      </c>
    </row>
    <row r="2149" spans="1:6" ht="15" thickBot="1" x14ac:dyDescent="0.2">
      <c r="A2149" s="30" t="s">
        <v>10891</v>
      </c>
      <c r="B2149" s="26" t="str">
        <f t="shared" si="33"/>
        <v>600301</v>
      </c>
      <c r="C2149" s="30" t="s">
        <v>2280</v>
      </c>
      <c r="D2149" s="31">
        <v>14.15</v>
      </c>
      <c r="E2149" s="31">
        <v>-0.35</v>
      </c>
      <c r="F2149" s="31">
        <v>3895999900</v>
      </c>
    </row>
    <row r="2150" spans="1:6" ht="15" thickBot="1" x14ac:dyDescent="0.2">
      <c r="A2150" s="30" t="s">
        <v>10892</v>
      </c>
      <c r="B2150" s="26" t="str">
        <f t="shared" si="33"/>
        <v>603611</v>
      </c>
      <c r="C2150" s="30" t="s">
        <v>4472</v>
      </c>
      <c r="D2150" s="31">
        <v>15.12</v>
      </c>
      <c r="E2150" s="31">
        <v>0.67</v>
      </c>
      <c r="F2150" s="31">
        <v>3894924000</v>
      </c>
    </row>
    <row r="2151" spans="1:6" ht="15" thickBot="1" x14ac:dyDescent="0.2">
      <c r="A2151" s="30" t="s">
        <v>10893</v>
      </c>
      <c r="B2151" s="26" t="str">
        <f t="shared" si="33"/>
        <v>600830</v>
      </c>
      <c r="C2151" s="30" t="s">
        <v>4978</v>
      </c>
      <c r="D2151" s="31">
        <v>8.57</v>
      </c>
      <c r="E2151" s="31">
        <v>5.93</v>
      </c>
      <c r="F2151" s="31">
        <v>3893545900</v>
      </c>
    </row>
    <row r="2152" spans="1:6" ht="15" thickBot="1" x14ac:dyDescent="0.2">
      <c r="A2152" s="30" t="s">
        <v>10894</v>
      </c>
      <c r="B2152" s="26" t="str">
        <f t="shared" si="33"/>
        <v>301171</v>
      </c>
      <c r="C2152" s="30" t="s">
        <v>10895</v>
      </c>
      <c r="D2152" s="31">
        <v>12.6</v>
      </c>
      <c r="E2152" s="31">
        <v>-1.72</v>
      </c>
      <c r="F2152" s="31">
        <v>3890565300</v>
      </c>
    </row>
    <row r="2153" spans="1:6" ht="15" thickBot="1" x14ac:dyDescent="0.2">
      <c r="A2153" s="30" t="s">
        <v>10896</v>
      </c>
      <c r="B2153" s="26" t="str">
        <f t="shared" si="33"/>
        <v>688239</v>
      </c>
      <c r="C2153" s="30" t="s">
        <v>10897</v>
      </c>
      <c r="D2153" s="31">
        <v>27.33</v>
      </c>
      <c r="E2153" s="31">
        <v>7.0000000000000007E-2</v>
      </c>
      <c r="F2153" s="31">
        <v>3890462100</v>
      </c>
    </row>
    <row r="2154" spans="1:6" ht="15" thickBot="1" x14ac:dyDescent="0.2">
      <c r="A2154" s="30" t="s">
        <v>10898</v>
      </c>
      <c r="B2154" s="26" t="str">
        <f t="shared" si="33"/>
        <v>300797</v>
      </c>
      <c r="C2154" s="30" t="s">
        <v>4835</v>
      </c>
      <c r="D2154" s="31">
        <v>10.35</v>
      </c>
      <c r="E2154" s="31">
        <v>4.4400000000000004</v>
      </c>
      <c r="F2154" s="31">
        <v>3887374600</v>
      </c>
    </row>
    <row r="2155" spans="1:6" ht="15" thickBot="1" x14ac:dyDescent="0.2">
      <c r="A2155" s="30" t="s">
        <v>10899</v>
      </c>
      <c r="B2155" s="26" t="str">
        <f t="shared" si="33"/>
        <v>002344</v>
      </c>
      <c r="C2155" s="30" t="s">
        <v>4574</v>
      </c>
      <c r="D2155" s="31">
        <v>3.03</v>
      </c>
      <c r="E2155" s="31">
        <v>-0.98</v>
      </c>
      <c r="F2155" s="31">
        <v>3882793800</v>
      </c>
    </row>
    <row r="2156" spans="1:6" ht="15" thickBot="1" x14ac:dyDescent="0.2">
      <c r="A2156" s="30" t="s">
        <v>10900</v>
      </c>
      <c r="B2156" s="26" t="str">
        <f t="shared" si="33"/>
        <v>603235</v>
      </c>
      <c r="C2156" s="30" t="s">
        <v>10901</v>
      </c>
      <c r="D2156" s="31">
        <v>26.38</v>
      </c>
      <c r="E2156" s="31">
        <v>0.53</v>
      </c>
      <c r="F2156" s="31">
        <v>3879580000</v>
      </c>
    </row>
    <row r="2157" spans="1:6" ht="15" thickBot="1" x14ac:dyDescent="0.2">
      <c r="A2157" s="30" t="s">
        <v>10902</v>
      </c>
      <c r="B2157" s="26" t="str">
        <f t="shared" si="33"/>
        <v>000903</v>
      </c>
      <c r="C2157" s="30" t="s">
        <v>4913</v>
      </c>
      <c r="D2157" s="31">
        <v>2.02</v>
      </c>
      <c r="E2157" s="31">
        <v>9.7799999999999994</v>
      </c>
      <c r="F2157" s="31">
        <v>3878928500</v>
      </c>
    </row>
    <row r="2158" spans="1:6" ht="15" thickBot="1" x14ac:dyDescent="0.2">
      <c r="A2158" s="30" t="s">
        <v>10903</v>
      </c>
      <c r="B2158" s="26" t="str">
        <f t="shared" si="33"/>
        <v>002122</v>
      </c>
      <c r="C2158" s="30" t="s">
        <v>4418</v>
      </c>
      <c r="D2158" s="31">
        <v>1.95</v>
      </c>
      <c r="E2158" s="31">
        <v>-1.02</v>
      </c>
      <c r="F2158" s="31">
        <v>3875674800</v>
      </c>
    </row>
    <row r="2159" spans="1:6" ht="15" thickBot="1" x14ac:dyDescent="0.2">
      <c r="A2159" s="30" t="s">
        <v>10904</v>
      </c>
      <c r="B2159" s="26" t="str">
        <f t="shared" si="33"/>
        <v>603719</v>
      </c>
      <c r="C2159" s="30" t="s">
        <v>4402</v>
      </c>
      <c r="D2159" s="31">
        <v>9.66</v>
      </c>
      <c r="E2159" s="31">
        <v>-0.52</v>
      </c>
      <c r="F2159" s="31">
        <v>3873660000</v>
      </c>
    </row>
    <row r="2160" spans="1:6" ht="15" thickBot="1" x14ac:dyDescent="0.2">
      <c r="A2160" s="30" t="s">
        <v>10905</v>
      </c>
      <c r="B2160" s="26" t="str">
        <f t="shared" si="33"/>
        <v>002733</v>
      </c>
      <c r="C2160" s="30" t="s">
        <v>4284</v>
      </c>
      <c r="D2160" s="31">
        <v>10.5</v>
      </c>
      <c r="E2160" s="31">
        <v>-1.22</v>
      </c>
      <c r="F2160" s="31">
        <v>3873059000</v>
      </c>
    </row>
    <row r="2161" spans="1:6" ht="15" thickBot="1" x14ac:dyDescent="0.2">
      <c r="A2161" s="30" t="s">
        <v>10906</v>
      </c>
      <c r="B2161" s="26" t="str">
        <f t="shared" si="33"/>
        <v>601188</v>
      </c>
      <c r="C2161" s="30" t="s">
        <v>4490</v>
      </c>
      <c r="D2161" s="31">
        <v>2.94</v>
      </c>
      <c r="E2161" s="31">
        <v>-1.01</v>
      </c>
      <c r="F2161" s="31">
        <v>3868683000</v>
      </c>
    </row>
    <row r="2162" spans="1:6" ht="15" thickBot="1" x14ac:dyDescent="0.2">
      <c r="A2162" s="30" t="s">
        <v>10907</v>
      </c>
      <c r="B2162" s="26" t="str">
        <f t="shared" si="33"/>
        <v>603258</v>
      </c>
      <c r="C2162" s="30" t="s">
        <v>4380</v>
      </c>
      <c r="D2162" s="31">
        <v>16.03</v>
      </c>
      <c r="E2162" s="31">
        <v>-0.56000000000000005</v>
      </c>
      <c r="F2162" s="31">
        <v>3867976500</v>
      </c>
    </row>
    <row r="2163" spans="1:6" ht="15" thickBot="1" x14ac:dyDescent="0.2">
      <c r="A2163" s="30" t="s">
        <v>10908</v>
      </c>
      <c r="B2163" s="26" t="str">
        <f t="shared" si="33"/>
        <v>688609</v>
      </c>
      <c r="C2163" s="30" t="s">
        <v>10909</v>
      </c>
      <c r="D2163" s="31">
        <v>7.73</v>
      </c>
      <c r="E2163" s="31">
        <v>1.98</v>
      </c>
      <c r="F2163" s="31">
        <v>3865000000</v>
      </c>
    </row>
    <row r="2164" spans="1:6" ht="15" thickBot="1" x14ac:dyDescent="0.2">
      <c r="A2164" s="30" t="s">
        <v>10910</v>
      </c>
      <c r="B2164" s="26" t="str">
        <f t="shared" si="33"/>
        <v>300080</v>
      </c>
      <c r="C2164" s="30" t="s">
        <v>3637</v>
      </c>
      <c r="D2164" s="31">
        <v>2.98</v>
      </c>
      <c r="E2164" s="31">
        <v>-6.29</v>
      </c>
      <c r="F2164" s="31">
        <v>3863957300</v>
      </c>
    </row>
    <row r="2165" spans="1:6" ht="15" thickBot="1" x14ac:dyDescent="0.2">
      <c r="A2165" s="30" t="s">
        <v>10911</v>
      </c>
      <c r="B2165" s="26" t="str">
        <f t="shared" si="33"/>
        <v>300708</v>
      </c>
      <c r="C2165" s="30" t="s">
        <v>3477</v>
      </c>
      <c r="D2165" s="31">
        <v>7.75</v>
      </c>
      <c r="E2165" s="31">
        <v>-1.53</v>
      </c>
      <c r="F2165" s="31">
        <v>3863664500</v>
      </c>
    </row>
    <row r="2166" spans="1:6" ht="15" thickBot="1" x14ac:dyDescent="0.2">
      <c r="A2166" s="30" t="s">
        <v>10912</v>
      </c>
      <c r="B2166" s="26" t="str">
        <f t="shared" si="33"/>
        <v>300592</v>
      </c>
      <c r="C2166" s="30" t="s">
        <v>3925</v>
      </c>
      <c r="D2166" s="31">
        <v>10.53</v>
      </c>
      <c r="E2166" s="31">
        <v>-3.75</v>
      </c>
      <c r="F2166" s="31">
        <v>3858160400</v>
      </c>
    </row>
    <row r="2167" spans="1:6" ht="15" thickBot="1" x14ac:dyDescent="0.2">
      <c r="A2167" s="30" t="s">
        <v>10913</v>
      </c>
      <c r="B2167" s="26" t="str">
        <f t="shared" si="33"/>
        <v>000722</v>
      </c>
      <c r="C2167" s="30" t="s">
        <v>4658</v>
      </c>
      <c r="D2167" s="31">
        <v>8.31</v>
      </c>
      <c r="E2167" s="31">
        <v>-2.4700000000000002</v>
      </c>
      <c r="F2167" s="31">
        <v>3857155300</v>
      </c>
    </row>
    <row r="2168" spans="1:6" ht="15" thickBot="1" x14ac:dyDescent="0.2">
      <c r="A2168" s="30" t="s">
        <v>10914</v>
      </c>
      <c r="B2168" s="26" t="str">
        <f t="shared" si="33"/>
        <v>688400</v>
      </c>
      <c r="C2168" s="30" t="s">
        <v>10915</v>
      </c>
      <c r="D2168" s="31">
        <v>16.09</v>
      </c>
      <c r="E2168" s="31">
        <v>-0.68</v>
      </c>
      <c r="F2168" s="31">
        <v>3857133700</v>
      </c>
    </row>
    <row r="2169" spans="1:6" ht="15" thickBot="1" x14ac:dyDescent="0.2">
      <c r="A2169" s="30" t="s">
        <v>10916</v>
      </c>
      <c r="B2169" s="26" t="str">
        <f t="shared" si="33"/>
        <v>002068</v>
      </c>
      <c r="C2169" s="30" t="s">
        <v>4424</v>
      </c>
      <c r="D2169" s="31">
        <v>5.25</v>
      </c>
      <c r="E2169" s="31">
        <v>-0.94</v>
      </c>
      <c r="F2169" s="31">
        <v>3856746800</v>
      </c>
    </row>
    <row r="2170" spans="1:6" ht="15" thickBot="1" x14ac:dyDescent="0.2">
      <c r="A2170" s="30" t="s">
        <v>10917</v>
      </c>
      <c r="B2170" s="26" t="str">
        <f t="shared" si="33"/>
        <v>002646</v>
      </c>
      <c r="C2170" s="30" t="s">
        <v>4382</v>
      </c>
      <c r="D2170" s="31">
        <v>8.16</v>
      </c>
      <c r="E2170" s="31">
        <v>-0.61</v>
      </c>
      <c r="F2170" s="31">
        <v>3856102900</v>
      </c>
    </row>
    <row r="2171" spans="1:6" ht="15" thickBot="1" x14ac:dyDescent="0.2">
      <c r="A2171" s="30" t="s">
        <v>10918</v>
      </c>
      <c r="B2171" s="26" t="str">
        <f t="shared" si="33"/>
        <v>002116</v>
      </c>
      <c r="C2171" s="30" t="s">
        <v>4610</v>
      </c>
      <c r="D2171" s="31">
        <v>8.48</v>
      </c>
      <c r="E2171" s="31">
        <v>0.59</v>
      </c>
      <c r="F2171" s="31">
        <v>3851019900</v>
      </c>
    </row>
    <row r="2172" spans="1:6" ht="15" thickBot="1" x14ac:dyDescent="0.2">
      <c r="A2172" s="30" t="s">
        <v>10919</v>
      </c>
      <c r="B2172" s="26" t="str">
        <f t="shared" si="33"/>
        <v>300581</v>
      </c>
      <c r="C2172" s="30" t="s">
        <v>4570</v>
      </c>
      <c r="D2172" s="31">
        <v>7</v>
      </c>
      <c r="E2172" s="31">
        <v>-0.14000000000000001</v>
      </c>
      <c r="F2172" s="31">
        <v>3850766800</v>
      </c>
    </row>
    <row r="2173" spans="1:6" ht="15" thickBot="1" x14ac:dyDescent="0.2">
      <c r="A2173" s="30" t="s">
        <v>10920</v>
      </c>
      <c r="B2173" s="26" t="str">
        <f t="shared" si="33"/>
        <v>002955</v>
      </c>
      <c r="C2173" s="30" t="s">
        <v>3687</v>
      </c>
      <c r="D2173" s="31">
        <v>20.57</v>
      </c>
      <c r="E2173" s="31">
        <v>-0.82</v>
      </c>
      <c r="F2173" s="31">
        <v>3847376900</v>
      </c>
    </row>
    <row r="2174" spans="1:6" ht="15" thickBot="1" x14ac:dyDescent="0.2">
      <c r="A2174" s="30" t="s">
        <v>10921</v>
      </c>
      <c r="B2174" s="26" t="str">
        <f t="shared" si="33"/>
        <v>300318</v>
      </c>
      <c r="C2174" s="30" t="s">
        <v>4370</v>
      </c>
      <c r="D2174" s="31">
        <v>4.8099999999999996</v>
      </c>
      <c r="E2174" s="31">
        <v>-1.84</v>
      </c>
      <c r="F2174" s="31">
        <v>3840974900</v>
      </c>
    </row>
    <row r="2175" spans="1:6" ht="15" thickBot="1" x14ac:dyDescent="0.2">
      <c r="A2175" s="30" t="s">
        <v>10922</v>
      </c>
      <c r="B2175" s="26" t="str">
        <f t="shared" si="33"/>
        <v>300219</v>
      </c>
      <c r="C2175" s="30" t="s">
        <v>4420</v>
      </c>
      <c r="D2175" s="31">
        <v>5.43</v>
      </c>
      <c r="E2175" s="31">
        <v>-2.16</v>
      </c>
      <c r="F2175" s="31">
        <v>3837032200</v>
      </c>
    </row>
    <row r="2176" spans="1:6" ht="15" thickBot="1" x14ac:dyDescent="0.2">
      <c r="A2176" s="30" t="s">
        <v>10923</v>
      </c>
      <c r="B2176" s="26" t="str">
        <f t="shared" si="33"/>
        <v>688165</v>
      </c>
      <c r="C2176" s="30" t="s">
        <v>4614</v>
      </c>
      <c r="D2176" s="31">
        <v>7.35</v>
      </c>
      <c r="E2176" s="31">
        <v>0.96</v>
      </c>
      <c r="F2176" s="31">
        <v>3835083000</v>
      </c>
    </row>
    <row r="2177" spans="1:6" ht="15" thickBot="1" x14ac:dyDescent="0.2">
      <c r="A2177" s="30" t="s">
        <v>10924</v>
      </c>
      <c r="B2177" s="26" t="str">
        <f t="shared" si="33"/>
        <v>688508</v>
      </c>
      <c r="C2177" s="30" t="s">
        <v>4408</v>
      </c>
      <c r="D2177" s="31">
        <v>29.19</v>
      </c>
      <c r="E2177" s="31">
        <v>-1.49</v>
      </c>
      <c r="F2177" s="31">
        <v>3832949000</v>
      </c>
    </row>
    <row r="2178" spans="1:6" ht="15" thickBot="1" x14ac:dyDescent="0.2">
      <c r="A2178" s="30" t="s">
        <v>10925</v>
      </c>
      <c r="B2178" s="26" t="str">
        <f t="shared" si="33"/>
        <v>600581</v>
      </c>
      <c r="C2178" s="30" t="s">
        <v>4632</v>
      </c>
      <c r="D2178" s="31">
        <v>2.5</v>
      </c>
      <c r="E2178" s="31">
        <v>0.4</v>
      </c>
      <c r="F2178" s="31">
        <v>3832244700</v>
      </c>
    </row>
    <row r="2179" spans="1:6" ht="15" thickBot="1" x14ac:dyDescent="0.2">
      <c r="A2179" s="30" t="s">
        <v>10926</v>
      </c>
      <c r="B2179" s="26" t="str">
        <f t="shared" ref="B2179:B2242" si="34">LEFT(A2179,6)</f>
        <v>600283</v>
      </c>
      <c r="C2179" s="30" t="s">
        <v>4670</v>
      </c>
      <c r="D2179" s="31">
        <v>7.75</v>
      </c>
      <c r="E2179" s="31">
        <v>-0.77</v>
      </c>
      <c r="F2179" s="31">
        <v>3830004000</v>
      </c>
    </row>
    <row r="2180" spans="1:6" ht="15" thickBot="1" x14ac:dyDescent="0.2">
      <c r="A2180" s="30" t="s">
        <v>10927</v>
      </c>
      <c r="B2180" s="26" t="str">
        <f t="shared" si="34"/>
        <v>002662</v>
      </c>
      <c r="C2180" s="30" t="s">
        <v>4512</v>
      </c>
      <c r="D2180" s="31">
        <v>2.5499999999999998</v>
      </c>
      <c r="E2180" s="31">
        <v>0</v>
      </c>
      <c r="F2180" s="31">
        <v>3824951800</v>
      </c>
    </row>
    <row r="2181" spans="1:6" ht="15" thickBot="1" x14ac:dyDescent="0.2">
      <c r="A2181" s="30" t="s">
        <v>10928</v>
      </c>
      <c r="B2181" s="26" t="str">
        <f t="shared" si="34"/>
        <v>300793</v>
      </c>
      <c r="C2181" s="30" t="s">
        <v>4356</v>
      </c>
      <c r="D2181" s="31">
        <v>11.59</v>
      </c>
      <c r="E2181" s="31">
        <v>-0.6</v>
      </c>
      <c r="F2181" s="31">
        <v>3823892200</v>
      </c>
    </row>
    <row r="2182" spans="1:6" ht="15" thickBot="1" x14ac:dyDescent="0.2">
      <c r="A2182" s="30" t="s">
        <v>10929</v>
      </c>
      <c r="B2182" s="26" t="str">
        <f t="shared" si="34"/>
        <v>000665</v>
      </c>
      <c r="C2182" s="30" t="s">
        <v>4622</v>
      </c>
      <c r="D2182" s="31">
        <v>3.36</v>
      </c>
      <c r="E2182" s="31">
        <v>-0.89</v>
      </c>
      <c r="F2182" s="31">
        <v>3820690700</v>
      </c>
    </row>
    <row r="2183" spans="1:6" ht="15" thickBot="1" x14ac:dyDescent="0.2">
      <c r="A2183" s="30" t="s">
        <v>10930</v>
      </c>
      <c r="B2183" s="26" t="str">
        <f t="shared" si="34"/>
        <v>600569</v>
      </c>
      <c r="C2183" s="30" t="s">
        <v>4759</v>
      </c>
      <c r="D2183" s="31">
        <v>1.33</v>
      </c>
      <c r="E2183" s="31">
        <v>-2.21</v>
      </c>
      <c r="F2183" s="31">
        <v>3820320400</v>
      </c>
    </row>
    <row r="2184" spans="1:6" ht="15" thickBot="1" x14ac:dyDescent="0.2">
      <c r="A2184" s="30" t="s">
        <v>10931</v>
      </c>
      <c r="B2184" s="26" t="str">
        <f t="shared" si="34"/>
        <v>688090</v>
      </c>
      <c r="C2184" s="30" t="s">
        <v>4712</v>
      </c>
      <c r="D2184" s="31">
        <v>40.549999999999997</v>
      </c>
      <c r="E2184" s="31">
        <v>2.06</v>
      </c>
      <c r="F2184" s="31">
        <v>3819586100</v>
      </c>
    </row>
    <row r="2185" spans="1:6" ht="15" thickBot="1" x14ac:dyDescent="0.2">
      <c r="A2185" s="30" t="s">
        <v>10932</v>
      </c>
      <c r="B2185" s="26" t="str">
        <f t="shared" si="34"/>
        <v>605056</v>
      </c>
      <c r="C2185" s="30" t="s">
        <v>10933</v>
      </c>
      <c r="D2185" s="31">
        <v>9.4600000000000009</v>
      </c>
      <c r="E2185" s="31">
        <v>0.85</v>
      </c>
      <c r="F2185" s="31">
        <v>3819167700</v>
      </c>
    </row>
    <row r="2186" spans="1:6" ht="15" thickBot="1" x14ac:dyDescent="0.2">
      <c r="A2186" s="30" t="s">
        <v>10934</v>
      </c>
      <c r="B2186" s="26" t="str">
        <f t="shared" si="34"/>
        <v>300119</v>
      </c>
      <c r="C2186" s="30" t="s">
        <v>3463</v>
      </c>
      <c r="D2186" s="31">
        <v>11.4</v>
      </c>
      <c r="E2186" s="31">
        <v>-1.1299999999999999</v>
      </c>
      <c r="F2186" s="31">
        <v>3818798200</v>
      </c>
    </row>
    <row r="2187" spans="1:6" ht="15" thickBot="1" x14ac:dyDescent="0.2">
      <c r="A2187" s="30" t="s">
        <v>10935</v>
      </c>
      <c r="B2187" s="26" t="str">
        <f t="shared" si="34"/>
        <v>300441</v>
      </c>
      <c r="C2187" s="30" t="s">
        <v>4520</v>
      </c>
      <c r="D2187" s="31">
        <v>6.09</v>
      </c>
      <c r="E2187" s="31">
        <v>0.33</v>
      </c>
      <c r="F2187" s="31">
        <v>3818181700</v>
      </c>
    </row>
    <row r="2188" spans="1:6" ht="15" thickBot="1" x14ac:dyDescent="0.2">
      <c r="A2188" s="30" t="s">
        <v>10936</v>
      </c>
      <c r="B2188" s="26" t="str">
        <f t="shared" si="34"/>
        <v>600617</v>
      </c>
      <c r="C2188" s="30" t="s">
        <v>4434</v>
      </c>
      <c r="D2188" s="31">
        <v>2.15</v>
      </c>
      <c r="E2188" s="31">
        <v>0.47</v>
      </c>
      <c r="F2188" s="31">
        <v>3817416800</v>
      </c>
    </row>
    <row r="2189" spans="1:6" ht="15" thickBot="1" x14ac:dyDescent="0.2">
      <c r="A2189" s="30" t="s">
        <v>10937</v>
      </c>
      <c r="B2189" s="26" t="str">
        <f t="shared" si="34"/>
        <v>600880</v>
      </c>
      <c r="C2189" s="30" t="s">
        <v>4532</v>
      </c>
      <c r="D2189" s="31">
        <v>3.49</v>
      </c>
      <c r="E2189" s="31">
        <v>-1.69</v>
      </c>
      <c r="F2189" s="31">
        <v>3814675300</v>
      </c>
    </row>
    <row r="2190" spans="1:6" ht="15" thickBot="1" x14ac:dyDescent="0.2">
      <c r="A2190" s="30" t="s">
        <v>10938</v>
      </c>
      <c r="B2190" s="26" t="str">
        <f t="shared" si="34"/>
        <v>301215</v>
      </c>
      <c r="C2190" s="30" t="s">
        <v>10939</v>
      </c>
      <c r="D2190" s="31">
        <v>4.97</v>
      </c>
      <c r="E2190" s="31">
        <v>-1.19</v>
      </c>
      <c r="F2190" s="31">
        <v>3813978000</v>
      </c>
    </row>
    <row r="2191" spans="1:6" ht="15" thickBot="1" x14ac:dyDescent="0.2">
      <c r="A2191" s="30" t="s">
        <v>10940</v>
      </c>
      <c r="B2191" s="26" t="str">
        <f t="shared" si="34"/>
        <v>600230</v>
      </c>
      <c r="C2191" s="30" t="s">
        <v>4546</v>
      </c>
      <c r="D2191" s="31">
        <v>9.2100000000000009</v>
      </c>
      <c r="E2191" s="31">
        <v>-0.86</v>
      </c>
      <c r="F2191" s="31">
        <v>3812580900</v>
      </c>
    </row>
    <row r="2192" spans="1:6" ht="15" thickBot="1" x14ac:dyDescent="0.2">
      <c r="A2192" s="30" t="s">
        <v>10941</v>
      </c>
      <c r="B2192" s="26" t="str">
        <f t="shared" si="34"/>
        <v>688315</v>
      </c>
      <c r="C2192" s="30" t="s">
        <v>4348</v>
      </c>
      <c r="D2192" s="31">
        <v>9.15</v>
      </c>
      <c r="E2192" s="31">
        <v>-3.18</v>
      </c>
      <c r="F2192" s="31">
        <v>3808230000</v>
      </c>
    </row>
    <row r="2193" spans="1:6" ht="15" thickBot="1" x14ac:dyDescent="0.2">
      <c r="A2193" s="30" t="s">
        <v>10942</v>
      </c>
      <c r="B2193" s="26" t="str">
        <f t="shared" si="34"/>
        <v>002366</v>
      </c>
      <c r="C2193" s="30" t="s">
        <v>3034</v>
      </c>
      <c r="D2193" s="31">
        <v>3.03</v>
      </c>
      <c r="E2193" s="31">
        <v>-2.57</v>
      </c>
      <c r="F2193" s="31">
        <v>3807087100</v>
      </c>
    </row>
    <row r="2194" spans="1:6" ht="15" thickBot="1" x14ac:dyDescent="0.2">
      <c r="A2194" s="30" t="s">
        <v>10943</v>
      </c>
      <c r="B2194" s="26" t="str">
        <f t="shared" si="34"/>
        <v>300520</v>
      </c>
      <c r="C2194" s="30" t="s">
        <v>4326</v>
      </c>
      <c r="D2194" s="31">
        <v>13.72</v>
      </c>
      <c r="E2194" s="31">
        <v>-0.22</v>
      </c>
      <c r="F2194" s="31">
        <v>3805552800</v>
      </c>
    </row>
    <row r="2195" spans="1:6" ht="15" thickBot="1" x14ac:dyDescent="0.2">
      <c r="A2195" s="30" t="s">
        <v>10944</v>
      </c>
      <c r="B2195" s="26" t="str">
        <f t="shared" si="34"/>
        <v>300041</v>
      </c>
      <c r="C2195" s="30" t="s">
        <v>4374</v>
      </c>
      <c r="D2195" s="31">
        <v>6.99</v>
      </c>
      <c r="E2195" s="31">
        <v>-0.85</v>
      </c>
      <c r="F2195" s="31">
        <v>3805513900</v>
      </c>
    </row>
    <row r="2196" spans="1:6" ht="15" thickBot="1" x14ac:dyDescent="0.2">
      <c r="A2196" s="30" t="s">
        <v>10945</v>
      </c>
      <c r="B2196" s="26" t="str">
        <f t="shared" si="34"/>
        <v>002119</v>
      </c>
      <c r="C2196" s="30" t="s">
        <v>4554</v>
      </c>
      <c r="D2196" s="31">
        <v>10.14</v>
      </c>
      <c r="E2196" s="31">
        <v>0</v>
      </c>
      <c r="F2196" s="31">
        <v>3805379800</v>
      </c>
    </row>
    <row r="2197" spans="1:6" ht="15" thickBot="1" x14ac:dyDescent="0.2">
      <c r="A2197" s="30" t="s">
        <v>10946</v>
      </c>
      <c r="B2197" s="26" t="str">
        <f t="shared" si="34"/>
        <v>603322</v>
      </c>
      <c r="C2197" s="30" t="s">
        <v>4396</v>
      </c>
      <c r="D2197" s="31">
        <v>24.14</v>
      </c>
      <c r="E2197" s="31">
        <v>-5.22</v>
      </c>
      <c r="F2197" s="31">
        <v>3804145300</v>
      </c>
    </row>
    <row r="2198" spans="1:6" ht="15" thickBot="1" x14ac:dyDescent="0.2">
      <c r="A2198" s="30" t="s">
        <v>10947</v>
      </c>
      <c r="B2198" s="26" t="str">
        <f t="shared" si="34"/>
        <v>605050</v>
      </c>
      <c r="C2198" s="30" t="s">
        <v>4530</v>
      </c>
      <c r="D2198" s="31">
        <v>7.71</v>
      </c>
      <c r="E2198" s="31">
        <v>-1.28</v>
      </c>
      <c r="F2198" s="31">
        <v>3799713000</v>
      </c>
    </row>
    <row r="2199" spans="1:6" ht="15" thickBot="1" x14ac:dyDescent="0.2">
      <c r="A2199" s="30" t="s">
        <v>10948</v>
      </c>
      <c r="B2199" s="26" t="str">
        <f t="shared" si="34"/>
        <v>000863</v>
      </c>
      <c r="C2199" s="30" t="s">
        <v>4660</v>
      </c>
      <c r="D2199" s="31">
        <v>3.26</v>
      </c>
      <c r="E2199" s="31">
        <v>1.24</v>
      </c>
      <c r="F2199" s="31">
        <v>3793386000</v>
      </c>
    </row>
    <row r="2200" spans="1:6" ht="15" thickBot="1" x14ac:dyDescent="0.2">
      <c r="A2200" s="30" t="s">
        <v>10949</v>
      </c>
      <c r="B2200" s="26" t="str">
        <f t="shared" si="34"/>
        <v>300507</v>
      </c>
      <c r="C2200" s="30" t="s">
        <v>4342</v>
      </c>
      <c r="D2200" s="31">
        <v>4.9400000000000004</v>
      </c>
      <c r="E2200" s="31">
        <v>-0.2</v>
      </c>
      <c r="F2200" s="31">
        <v>3791196800</v>
      </c>
    </row>
    <row r="2201" spans="1:6" ht="15" thickBot="1" x14ac:dyDescent="0.2">
      <c r="A2201" s="30" t="s">
        <v>10950</v>
      </c>
      <c r="B2201" s="26" t="str">
        <f t="shared" si="34"/>
        <v>603566</v>
      </c>
      <c r="C2201" s="30" t="s">
        <v>4478</v>
      </c>
      <c r="D2201" s="31">
        <v>10.95</v>
      </c>
      <c r="E2201" s="31">
        <v>-1.53</v>
      </c>
      <c r="F2201" s="31">
        <v>3789381900</v>
      </c>
    </row>
    <row r="2202" spans="1:6" ht="15" thickBot="1" x14ac:dyDescent="0.2">
      <c r="A2202" s="30" t="s">
        <v>10951</v>
      </c>
      <c r="B2202" s="26" t="str">
        <f t="shared" si="34"/>
        <v>002345</v>
      </c>
      <c r="C2202" s="30" t="s">
        <v>4458</v>
      </c>
      <c r="D2202" s="31">
        <v>4.37</v>
      </c>
      <c r="E2202" s="31">
        <v>-1.1299999999999999</v>
      </c>
      <c r="F2202" s="31">
        <v>3789136800</v>
      </c>
    </row>
    <row r="2203" spans="1:6" ht="15" thickBot="1" x14ac:dyDescent="0.2">
      <c r="A2203" s="30" t="s">
        <v>10952</v>
      </c>
      <c r="B2203" s="26" t="str">
        <f t="shared" si="34"/>
        <v>002154</v>
      </c>
      <c r="C2203" s="30" t="s">
        <v>3809</v>
      </c>
      <c r="D2203" s="31">
        <v>3.21</v>
      </c>
      <c r="E2203" s="31">
        <v>0.31</v>
      </c>
      <c r="F2203" s="31">
        <v>3787072400</v>
      </c>
    </row>
    <row r="2204" spans="1:6" ht="15" thickBot="1" x14ac:dyDescent="0.2">
      <c r="A2204" s="30" t="s">
        <v>10953</v>
      </c>
      <c r="B2204" s="26" t="str">
        <f t="shared" si="34"/>
        <v>603906</v>
      </c>
      <c r="C2204" s="30" t="s">
        <v>4506</v>
      </c>
      <c r="D2204" s="31">
        <v>6.7</v>
      </c>
      <c r="E2204" s="31">
        <v>-1.03</v>
      </c>
      <c r="F2204" s="31">
        <v>3786028700</v>
      </c>
    </row>
    <row r="2205" spans="1:6" ht="15" thickBot="1" x14ac:dyDescent="0.2">
      <c r="A2205" s="30" t="s">
        <v>10954</v>
      </c>
      <c r="B2205" s="26" t="str">
        <f t="shared" si="34"/>
        <v>300349</v>
      </c>
      <c r="C2205" s="30" t="s">
        <v>4146</v>
      </c>
      <c r="D2205" s="31">
        <v>10.220000000000001</v>
      </c>
      <c r="E2205" s="31">
        <v>0.59</v>
      </c>
      <c r="F2205" s="31">
        <v>3785800300</v>
      </c>
    </row>
    <row r="2206" spans="1:6" ht="15" thickBot="1" x14ac:dyDescent="0.2">
      <c r="A2206" s="30" t="s">
        <v>10955</v>
      </c>
      <c r="B2206" s="26" t="str">
        <f t="shared" si="34"/>
        <v>300302</v>
      </c>
      <c r="C2206" s="30" t="s">
        <v>3817</v>
      </c>
      <c r="D2206" s="31">
        <v>10.25</v>
      </c>
      <c r="E2206" s="31">
        <v>-3.21</v>
      </c>
      <c r="F2206" s="31">
        <v>3781111200</v>
      </c>
    </row>
    <row r="2207" spans="1:6" ht="15" thickBot="1" x14ac:dyDescent="0.2">
      <c r="A2207" s="30" t="s">
        <v>10956</v>
      </c>
      <c r="B2207" s="26" t="str">
        <f t="shared" si="34"/>
        <v>002896</v>
      </c>
      <c r="C2207" s="30" t="s">
        <v>4584</v>
      </c>
      <c r="D2207" s="31">
        <v>25.01</v>
      </c>
      <c r="E2207" s="31">
        <v>0.52</v>
      </c>
      <c r="F2207" s="31">
        <v>3780793800</v>
      </c>
    </row>
    <row r="2208" spans="1:6" ht="15" thickBot="1" x14ac:dyDescent="0.2">
      <c r="A2208" s="30" t="s">
        <v>10957</v>
      </c>
      <c r="B2208" s="26" t="str">
        <f t="shared" si="34"/>
        <v>300548</v>
      </c>
      <c r="C2208" s="30" t="s">
        <v>3742</v>
      </c>
      <c r="D2208" s="31">
        <v>16.989999999999998</v>
      </c>
      <c r="E2208" s="31">
        <v>-0.24</v>
      </c>
      <c r="F2208" s="31">
        <v>3778159600</v>
      </c>
    </row>
    <row r="2209" spans="1:6" ht="15" thickBot="1" x14ac:dyDescent="0.2">
      <c r="A2209" s="30" t="s">
        <v>10958</v>
      </c>
      <c r="B2209" s="26" t="str">
        <f t="shared" si="34"/>
        <v>002135</v>
      </c>
      <c r="C2209" s="30" t="s">
        <v>4360</v>
      </c>
      <c r="D2209" s="31">
        <v>3.5</v>
      </c>
      <c r="E2209" s="31">
        <v>-1.69</v>
      </c>
      <c r="F2209" s="31">
        <v>3772817200</v>
      </c>
    </row>
    <row r="2210" spans="1:6" ht="15" thickBot="1" x14ac:dyDescent="0.2">
      <c r="A2210" s="30" t="s">
        <v>10959</v>
      </c>
      <c r="B2210" s="26" t="str">
        <f t="shared" si="34"/>
        <v>300443</v>
      </c>
      <c r="C2210" s="30" t="s">
        <v>3696</v>
      </c>
      <c r="D2210" s="31">
        <v>15.53</v>
      </c>
      <c r="E2210" s="31">
        <v>-0.06</v>
      </c>
      <c r="F2210" s="31">
        <v>3770280900</v>
      </c>
    </row>
    <row r="2211" spans="1:6" ht="15" thickBot="1" x14ac:dyDescent="0.2">
      <c r="A2211" s="30" t="s">
        <v>10960</v>
      </c>
      <c r="B2211" s="26" t="str">
        <f t="shared" si="34"/>
        <v>601929</v>
      </c>
      <c r="C2211" s="30" t="s">
        <v>4831</v>
      </c>
      <c r="D2211" s="31">
        <v>1.08</v>
      </c>
      <c r="E2211" s="31">
        <v>2.86</v>
      </c>
      <c r="F2211" s="31">
        <v>3768971200</v>
      </c>
    </row>
    <row r="2212" spans="1:6" ht="15" thickBot="1" x14ac:dyDescent="0.2">
      <c r="A2212" s="30" t="s">
        <v>10961</v>
      </c>
      <c r="B2212" s="26" t="str">
        <f t="shared" si="34"/>
        <v>601566</v>
      </c>
      <c r="C2212" s="30" t="s">
        <v>4596</v>
      </c>
      <c r="D2212" s="31">
        <v>6.55</v>
      </c>
      <c r="E2212" s="31">
        <v>-0.46</v>
      </c>
      <c r="F2212" s="31">
        <v>3763873300</v>
      </c>
    </row>
    <row r="2213" spans="1:6" ht="15" thickBot="1" x14ac:dyDescent="0.2">
      <c r="A2213" s="30" t="s">
        <v>10962</v>
      </c>
      <c r="B2213" s="26" t="str">
        <f t="shared" si="34"/>
        <v>600491</v>
      </c>
      <c r="C2213" s="30" t="s">
        <v>4716</v>
      </c>
      <c r="D2213" s="31">
        <v>2.46</v>
      </c>
      <c r="E2213" s="31">
        <v>0</v>
      </c>
      <c r="F2213" s="31">
        <v>3763204600</v>
      </c>
    </row>
    <row r="2214" spans="1:6" ht="15" thickBot="1" x14ac:dyDescent="0.2">
      <c r="A2214" s="30" t="s">
        <v>10963</v>
      </c>
      <c r="B2214" s="26" t="str">
        <f t="shared" si="34"/>
        <v>600103</v>
      </c>
      <c r="C2214" s="30" t="s">
        <v>4624</v>
      </c>
      <c r="D2214" s="31">
        <v>1.7</v>
      </c>
      <c r="E2214" s="31">
        <v>0</v>
      </c>
      <c r="F2214" s="31">
        <v>3760959400</v>
      </c>
    </row>
    <row r="2215" spans="1:6" ht="15" thickBot="1" x14ac:dyDescent="0.2">
      <c r="A2215" s="30" t="s">
        <v>10964</v>
      </c>
      <c r="B2215" s="26" t="str">
        <f t="shared" si="34"/>
        <v>000561</v>
      </c>
      <c r="C2215" s="30" t="s">
        <v>4628</v>
      </c>
      <c r="D2215" s="31">
        <v>6.24</v>
      </c>
      <c r="E2215" s="31">
        <v>-1.73</v>
      </c>
      <c r="F2215" s="31">
        <v>3756646500</v>
      </c>
    </row>
    <row r="2216" spans="1:6" ht="15" thickBot="1" x14ac:dyDescent="0.2">
      <c r="A2216" s="30" t="s">
        <v>10965</v>
      </c>
      <c r="B2216" s="26" t="str">
        <f t="shared" si="34"/>
        <v>002167</v>
      </c>
      <c r="C2216" s="30" t="s">
        <v>4344</v>
      </c>
      <c r="D2216" s="31">
        <v>4.95</v>
      </c>
      <c r="E2216" s="31">
        <v>-0.8</v>
      </c>
      <c r="F2216" s="31">
        <v>3755673700</v>
      </c>
    </row>
    <row r="2217" spans="1:6" ht="15" thickBot="1" x14ac:dyDescent="0.2">
      <c r="A2217" s="30" t="s">
        <v>10966</v>
      </c>
      <c r="B2217" s="26" t="str">
        <f t="shared" si="34"/>
        <v>688569</v>
      </c>
      <c r="C2217" s="30" t="s">
        <v>4580</v>
      </c>
      <c r="D2217" s="31">
        <v>17.82</v>
      </c>
      <c r="E2217" s="31">
        <v>-0.61</v>
      </c>
      <c r="F2217" s="31">
        <v>3754080600</v>
      </c>
    </row>
    <row r="2218" spans="1:6" ht="15" thickBot="1" x14ac:dyDescent="0.2">
      <c r="A2218" s="30" t="s">
        <v>10967</v>
      </c>
      <c r="B2218" s="26" t="str">
        <f t="shared" si="34"/>
        <v>600180</v>
      </c>
      <c r="C2218" s="30" t="s">
        <v>4666</v>
      </c>
      <c r="D2218" s="31">
        <v>3.45</v>
      </c>
      <c r="E2218" s="31">
        <v>-0.86</v>
      </c>
      <c r="F2218" s="31">
        <v>3748864800</v>
      </c>
    </row>
    <row r="2219" spans="1:6" ht="15" thickBot="1" x14ac:dyDescent="0.2">
      <c r="A2219" s="30" t="s">
        <v>10968</v>
      </c>
      <c r="B2219" s="26" t="str">
        <f t="shared" si="34"/>
        <v>688313</v>
      </c>
      <c r="C2219" s="30" t="s">
        <v>4590</v>
      </c>
      <c r="D2219" s="31">
        <v>8.17</v>
      </c>
      <c r="E2219" s="31">
        <v>-0.85</v>
      </c>
      <c r="F2219" s="31">
        <v>3748415000</v>
      </c>
    </row>
    <row r="2220" spans="1:6" ht="15" thickBot="1" x14ac:dyDescent="0.2">
      <c r="A2220" s="30" t="s">
        <v>10969</v>
      </c>
      <c r="B2220" s="26" t="str">
        <f t="shared" si="34"/>
        <v>300997</v>
      </c>
      <c r="C2220" s="30" t="s">
        <v>10970</v>
      </c>
      <c r="D2220" s="31">
        <v>9.4600000000000009</v>
      </c>
      <c r="E2220" s="31">
        <v>-4.1500000000000004</v>
      </c>
      <c r="F2220" s="31">
        <v>3746479600</v>
      </c>
    </row>
    <row r="2221" spans="1:6" ht="15" thickBot="1" x14ac:dyDescent="0.2">
      <c r="A2221" s="30" t="s">
        <v>10971</v>
      </c>
      <c r="B2221" s="26" t="str">
        <f t="shared" si="34"/>
        <v>002585</v>
      </c>
      <c r="C2221" s="30" t="s">
        <v>3647</v>
      </c>
      <c r="D2221" s="31">
        <v>4.1900000000000004</v>
      </c>
      <c r="E2221" s="31">
        <v>-2.33</v>
      </c>
      <c r="F2221" s="31">
        <v>3741095300</v>
      </c>
    </row>
    <row r="2222" spans="1:6" ht="15" thickBot="1" x14ac:dyDescent="0.2">
      <c r="A2222" s="30" t="s">
        <v>10972</v>
      </c>
      <c r="B2222" s="26" t="str">
        <f t="shared" si="34"/>
        <v>300328</v>
      </c>
      <c r="C2222" s="30" t="s">
        <v>4392</v>
      </c>
      <c r="D2222" s="31">
        <v>5.45</v>
      </c>
      <c r="E2222" s="31">
        <v>-7.94</v>
      </c>
      <c r="F2222" s="31">
        <v>3740705500</v>
      </c>
    </row>
    <row r="2223" spans="1:6" ht="15" thickBot="1" x14ac:dyDescent="0.2">
      <c r="A2223" s="30" t="s">
        <v>10973</v>
      </c>
      <c r="B2223" s="26" t="str">
        <f t="shared" si="34"/>
        <v>600121</v>
      </c>
      <c r="C2223" s="30" t="s">
        <v>4777</v>
      </c>
      <c r="D2223" s="31">
        <v>3.07</v>
      </c>
      <c r="E2223" s="31">
        <v>0.99</v>
      </c>
      <c r="F2223" s="31">
        <v>3740525000</v>
      </c>
    </row>
    <row r="2224" spans="1:6" ht="15" thickBot="1" x14ac:dyDescent="0.2">
      <c r="A2224" s="30" t="s">
        <v>10974</v>
      </c>
      <c r="B2224" s="26" t="str">
        <f t="shared" si="34"/>
        <v>600628</v>
      </c>
      <c r="C2224" s="30" t="s">
        <v>4688</v>
      </c>
      <c r="D2224" s="31">
        <v>5.78</v>
      </c>
      <c r="E2224" s="31">
        <v>-0.35</v>
      </c>
      <c r="F2224" s="31">
        <v>3738939700</v>
      </c>
    </row>
    <row r="2225" spans="1:6" ht="15" thickBot="1" x14ac:dyDescent="0.2">
      <c r="A2225" s="30" t="s">
        <v>10975</v>
      </c>
      <c r="B2225" s="26" t="str">
        <f t="shared" si="34"/>
        <v>002452</v>
      </c>
      <c r="C2225" s="30" t="s">
        <v>4172</v>
      </c>
      <c r="D2225" s="31">
        <v>7.24</v>
      </c>
      <c r="E2225" s="31">
        <v>3.73</v>
      </c>
      <c r="F2225" s="31">
        <v>3735150700</v>
      </c>
    </row>
    <row r="2226" spans="1:6" ht="15" thickBot="1" x14ac:dyDescent="0.2">
      <c r="A2226" s="30" t="s">
        <v>10976</v>
      </c>
      <c r="B2226" s="26" t="str">
        <f t="shared" si="34"/>
        <v>300366</v>
      </c>
      <c r="C2226" s="30" t="s">
        <v>4140</v>
      </c>
      <c r="D2226" s="31">
        <v>7.04</v>
      </c>
      <c r="E2226" s="31">
        <v>-2.2200000000000002</v>
      </c>
      <c r="F2226" s="31">
        <v>3734737500</v>
      </c>
    </row>
    <row r="2227" spans="1:6" ht="15" thickBot="1" x14ac:dyDescent="0.2">
      <c r="A2227" s="30" t="s">
        <v>10977</v>
      </c>
      <c r="B2227" s="26" t="str">
        <f t="shared" si="34"/>
        <v>605218</v>
      </c>
      <c r="C2227" s="30" t="s">
        <v>4176</v>
      </c>
      <c r="D2227" s="31">
        <v>17.54</v>
      </c>
      <c r="E2227" s="31">
        <v>-0.96</v>
      </c>
      <c r="F2227" s="31">
        <v>3733098900</v>
      </c>
    </row>
    <row r="2228" spans="1:6" ht="15" thickBot="1" x14ac:dyDescent="0.2">
      <c r="A2228" s="30" t="s">
        <v>10978</v>
      </c>
      <c r="B2228" s="26" t="str">
        <f t="shared" si="34"/>
        <v>003019</v>
      </c>
      <c r="C2228" s="30" t="s">
        <v>4470</v>
      </c>
      <c r="D2228" s="31">
        <v>22.24</v>
      </c>
      <c r="E2228" s="31">
        <v>0.54</v>
      </c>
      <c r="F2228" s="31">
        <v>3732859700</v>
      </c>
    </row>
    <row r="2229" spans="1:6" ht="15" thickBot="1" x14ac:dyDescent="0.2">
      <c r="A2229" s="30" t="s">
        <v>10979</v>
      </c>
      <c r="B2229" s="26" t="str">
        <f t="shared" si="34"/>
        <v>002549</v>
      </c>
      <c r="C2229" s="30" t="s">
        <v>4984</v>
      </c>
      <c r="D2229" s="31">
        <v>5.39</v>
      </c>
      <c r="E2229" s="31">
        <v>10</v>
      </c>
      <c r="F2229" s="31">
        <v>3731817800</v>
      </c>
    </row>
    <row r="2230" spans="1:6" ht="15" thickBot="1" x14ac:dyDescent="0.2">
      <c r="A2230" s="30" t="s">
        <v>10980</v>
      </c>
      <c r="B2230" s="26" t="str">
        <f t="shared" si="34"/>
        <v>301095</v>
      </c>
      <c r="C2230" s="30" t="s">
        <v>10981</v>
      </c>
      <c r="D2230" s="31">
        <v>34.76</v>
      </c>
      <c r="E2230" s="31">
        <v>-1.7</v>
      </c>
      <c r="F2230" s="31">
        <v>3731056500</v>
      </c>
    </row>
    <row r="2231" spans="1:6" ht="15" thickBot="1" x14ac:dyDescent="0.2">
      <c r="A2231" s="30" t="s">
        <v>10982</v>
      </c>
      <c r="B2231" s="26" t="str">
        <f t="shared" si="34"/>
        <v>603896</v>
      </c>
      <c r="C2231" s="30" t="s">
        <v>4558</v>
      </c>
      <c r="D2231" s="31">
        <v>18.809999999999999</v>
      </c>
      <c r="E2231" s="31">
        <v>-0.95</v>
      </c>
      <c r="F2231" s="31">
        <v>3728963500</v>
      </c>
    </row>
    <row r="2232" spans="1:6" ht="15" thickBot="1" x14ac:dyDescent="0.2">
      <c r="A2232" s="30" t="s">
        <v>10983</v>
      </c>
      <c r="B2232" s="26" t="str">
        <f t="shared" si="34"/>
        <v>600935</v>
      </c>
      <c r="C2232" s="30" t="s">
        <v>10984</v>
      </c>
      <c r="D2232" s="31">
        <v>2.0099999999999998</v>
      </c>
      <c r="E2232" s="31">
        <v>-1.47</v>
      </c>
      <c r="F2232" s="31">
        <v>3727949500</v>
      </c>
    </row>
    <row r="2233" spans="1:6" ht="15" thickBot="1" x14ac:dyDescent="0.2">
      <c r="A2233" s="30" t="s">
        <v>10985</v>
      </c>
      <c r="B2233" s="26" t="str">
        <f t="shared" si="34"/>
        <v>600351</v>
      </c>
      <c r="C2233" s="30" t="s">
        <v>4652</v>
      </c>
      <c r="D2233" s="31">
        <v>5.17</v>
      </c>
      <c r="E2233" s="31">
        <v>-1.52</v>
      </c>
      <c r="F2233" s="31">
        <v>3722400500</v>
      </c>
    </row>
    <row r="2234" spans="1:6" ht="15" thickBot="1" x14ac:dyDescent="0.2">
      <c r="A2234" s="30" t="s">
        <v>10986</v>
      </c>
      <c r="B2234" s="26" t="str">
        <f t="shared" si="34"/>
        <v>300377</v>
      </c>
      <c r="C2234" s="30" t="s">
        <v>4032</v>
      </c>
      <c r="D2234" s="31">
        <v>5.79</v>
      </c>
      <c r="E2234" s="31">
        <v>-0.52</v>
      </c>
      <c r="F2234" s="31">
        <v>3720614800</v>
      </c>
    </row>
    <row r="2235" spans="1:6" ht="15" thickBot="1" x14ac:dyDescent="0.2">
      <c r="A2235" s="30" t="s">
        <v>10987</v>
      </c>
      <c r="B2235" s="26" t="str">
        <f t="shared" si="34"/>
        <v>688158</v>
      </c>
      <c r="C2235" s="30" t="s">
        <v>4182</v>
      </c>
      <c r="D2235" s="31">
        <v>9.24</v>
      </c>
      <c r="E2235" s="31">
        <v>-2.02</v>
      </c>
      <c r="F2235" s="31">
        <v>3716918500</v>
      </c>
    </row>
    <row r="2236" spans="1:6" ht="15" thickBot="1" x14ac:dyDescent="0.2">
      <c r="A2236" s="30" t="s">
        <v>10988</v>
      </c>
      <c r="B2236" s="26" t="str">
        <f t="shared" si="34"/>
        <v>300019</v>
      </c>
      <c r="C2236" s="30" t="s">
        <v>4046</v>
      </c>
      <c r="D2236" s="31">
        <v>10.75</v>
      </c>
      <c r="E2236" s="31">
        <v>-0.56000000000000005</v>
      </c>
      <c r="F2236" s="31">
        <v>3715848300</v>
      </c>
    </row>
    <row r="2237" spans="1:6" ht="15" thickBot="1" x14ac:dyDescent="0.2">
      <c r="A2237" s="30" t="s">
        <v>10989</v>
      </c>
      <c r="B2237" s="26" t="str">
        <f t="shared" si="34"/>
        <v>605196</v>
      </c>
      <c r="C2237" s="30" t="s">
        <v>10990</v>
      </c>
      <c r="D2237" s="31">
        <v>7.3</v>
      </c>
      <c r="E2237" s="31">
        <v>-1.08</v>
      </c>
      <c r="F2237" s="31">
        <v>3714571600</v>
      </c>
    </row>
    <row r="2238" spans="1:6" ht="15" thickBot="1" x14ac:dyDescent="0.2">
      <c r="A2238" s="30" t="s">
        <v>10991</v>
      </c>
      <c r="B2238" s="26" t="str">
        <f t="shared" si="34"/>
        <v>688403</v>
      </c>
      <c r="C2238" s="30" t="s">
        <v>10992</v>
      </c>
      <c r="D2238" s="31">
        <v>6.45</v>
      </c>
      <c r="E2238" s="31">
        <v>-1.68</v>
      </c>
      <c r="F2238" s="31">
        <v>3714181300</v>
      </c>
    </row>
    <row r="2239" spans="1:6" ht="15" thickBot="1" x14ac:dyDescent="0.2">
      <c r="A2239" s="30" t="s">
        <v>10993</v>
      </c>
      <c r="B2239" s="26" t="str">
        <f t="shared" si="34"/>
        <v>000532</v>
      </c>
      <c r="C2239" s="30" t="s">
        <v>4795</v>
      </c>
      <c r="D2239" s="31">
        <v>10.81</v>
      </c>
      <c r="E2239" s="31">
        <v>2.27</v>
      </c>
      <c r="F2239" s="31">
        <v>3713772800</v>
      </c>
    </row>
    <row r="2240" spans="1:6" ht="15" thickBot="1" x14ac:dyDescent="0.2">
      <c r="A2240" s="30" t="s">
        <v>10994</v>
      </c>
      <c r="B2240" s="26" t="str">
        <f t="shared" si="34"/>
        <v>002579</v>
      </c>
      <c r="C2240" s="30" t="s">
        <v>4372</v>
      </c>
      <c r="D2240" s="31">
        <v>6.38</v>
      </c>
      <c r="E2240" s="31">
        <v>-1.0900000000000001</v>
      </c>
      <c r="F2240" s="31">
        <v>3712415100</v>
      </c>
    </row>
    <row r="2241" spans="1:6" ht="15" thickBot="1" x14ac:dyDescent="0.2">
      <c r="A2241" s="30" t="s">
        <v>10995</v>
      </c>
      <c r="B2241" s="26" t="str">
        <f t="shared" si="34"/>
        <v>300271</v>
      </c>
      <c r="C2241" s="30" t="s">
        <v>4648</v>
      </c>
      <c r="D2241" s="31">
        <v>4.63</v>
      </c>
      <c r="E2241" s="31">
        <v>-1.7</v>
      </c>
      <c r="F2241" s="31">
        <v>3712017100</v>
      </c>
    </row>
    <row r="2242" spans="1:6" ht="15" thickBot="1" x14ac:dyDescent="0.2">
      <c r="A2242" s="30" t="s">
        <v>10996</v>
      </c>
      <c r="B2242" s="26" t="str">
        <f t="shared" si="34"/>
        <v>301153</v>
      </c>
      <c r="C2242" s="30" t="s">
        <v>10997</v>
      </c>
      <c r="D2242" s="31">
        <v>18.03</v>
      </c>
      <c r="E2242" s="31">
        <v>-3.63</v>
      </c>
      <c r="F2242" s="31">
        <v>3711760200</v>
      </c>
    </row>
    <row r="2243" spans="1:6" ht="15" thickBot="1" x14ac:dyDescent="0.2">
      <c r="A2243" s="30" t="s">
        <v>10998</v>
      </c>
      <c r="B2243" s="26" t="str">
        <f t="shared" ref="B2243:B2306" si="35">LEFT(A2243,6)</f>
        <v>002677</v>
      </c>
      <c r="C2243" s="30" t="s">
        <v>4300</v>
      </c>
      <c r="D2243" s="31">
        <v>6.35</v>
      </c>
      <c r="E2243" s="31">
        <v>0.63</v>
      </c>
      <c r="F2243" s="31">
        <v>3710754100</v>
      </c>
    </row>
    <row r="2244" spans="1:6" ht="15" thickBot="1" x14ac:dyDescent="0.2">
      <c r="A2244" s="30" t="s">
        <v>10999</v>
      </c>
      <c r="B2244" s="26" t="str">
        <f t="shared" si="35"/>
        <v>002521</v>
      </c>
      <c r="C2244" s="30" t="s">
        <v>4074</v>
      </c>
      <c r="D2244" s="31">
        <v>9.2100000000000009</v>
      </c>
      <c r="E2244" s="31">
        <v>1.88</v>
      </c>
      <c r="F2244" s="31">
        <v>3710062300</v>
      </c>
    </row>
    <row r="2245" spans="1:6" ht="15" thickBot="1" x14ac:dyDescent="0.2">
      <c r="A2245" s="30" t="s">
        <v>11000</v>
      </c>
      <c r="B2245" s="26" t="str">
        <f t="shared" si="35"/>
        <v>688101</v>
      </c>
      <c r="C2245" s="30" t="s">
        <v>4654</v>
      </c>
      <c r="D2245" s="31">
        <v>11.11</v>
      </c>
      <c r="E2245" s="31">
        <v>-1.33</v>
      </c>
      <c r="F2245" s="31">
        <v>3709406800</v>
      </c>
    </row>
    <row r="2246" spans="1:6" ht="15" thickBot="1" x14ac:dyDescent="0.2">
      <c r="A2246" s="30" t="s">
        <v>11001</v>
      </c>
      <c r="B2246" s="26" t="str">
        <f t="shared" si="35"/>
        <v>300197</v>
      </c>
      <c r="C2246" s="30" t="s">
        <v>4682</v>
      </c>
      <c r="D2246" s="31">
        <v>1.33</v>
      </c>
      <c r="E2246" s="31">
        <v>-6.34</v>
      </c>
      <c r="F2246" s="31">
        <v>3707430900</v>
      </c>
    </row>
    <row r="2247" spans="1:6" ht="15" thickBot="1" x14ac:dyDescent="0.2">
      <c r="A2247" s="30" t="s">
        <v>11002</v>
      </c>
      <c r="B2247" s="26" t="str">
        <f t="shared" si="35"/>
        <v>000731</v>
      </c>
      <c r="C2247" s="30" t="s">
        <v>4656</v>
      </c>
      <c r="D2247" s="31">
        <v>6.46</v>
      </c>
      <c r="E2247" s="31">
        <v>-1.67</v>
      </c>
      <c r="F2247" s="31">
        <v>3706345400</v>
      </c>
    </row>
    <row r="2248" spans="1:6" ht="15" thickBot="1" x14ac:dyDescent="0.2">
      <c r="A2248" s="30" t="s">
        <v>11003</v>
      </c>
      <c r="B2248" s="26" t="str">
        <f t="shared" si="35"/>
        <v>002606</v>
      </c>
      <c r="C2248" s="30" t="s">
        <v>4815</v>
      </c>
      <c r="D2248" s="31">
        <v>8.8000000000000007</v>
      </c>
      <c r="E2248" s="31">
        <v>5.77</v>
      </c>
      <c r="F2248" s="31">
        <v>3706050100</v>
      </c>
    </row>
    <row r="2249" spans="1:6" ht="15" thickBot="1" x14ac:dyDescent="0.2">
      <c r="A2249" s="30" t="s">
        <v>11004</v>
      </c>
      <c r="B2249" s="26" t="str">
        <f t="shared" si="35"/>
        <v>603113</v>
      </c>
      <c r="C2249" s="30" t="s">
        <v>4684</v>
      </c>
      <c r="D2249" s="31">
        <v>4.37</v>
      </c>
      <c r="E2249" s="31">
        <v>-0.91</v>
      </c>
      <c r="F2249" s="31">
        <v>3705538200</v>
      </c>
    </row>
    <row r="2250" spans="1:6" ht="15" thickBot="1" x14ac:dyDescent="0.2">
      <c r="A2250" s="30" t="s">
        <v>11005</v>
      </c>
      <c r="B2250" s="26" t="str">
        <f t="shared" si="35"/>
        <v>300210</v>
      </c>
      <c r="C2250" s="30" t="s">
        <v>4727</v>
      </c>
      <c r="D2250" s="31">
        <v>7.66</v>
      </c>
      <c r="E2250" s="31">
        <v>-15.45</v>
      </c>
      <c r="F2250" s="31">
        <v>3704049400</v>
      </c>
    </row>
    <row r="2251" spans="1:6" ht="15" thickBot="1" x14ac:dyDescent="0.2">
      <c r="A2251" s="30" t="s">
        <v>11006</v>
      </c>
      <c r="B2251" s="26" t="str">
        <f t="shared" si="35"/>
        <v>600300</v>
      </c>
      <c r="C2251" s="30" t="s">
        <v>4706</v>
      </c>
      <c r="D2251" s="31">
        <v>2.29</v>
      </c>
      <c r="E2251" s="31">
        <v>-0.44</v>
      </c>
      <c r="F2251" s="31">
        <v>3703255600</v>
      </c>
    </row>
    <row r="2252" spans="1:6" ht="15" thickBot="1" x14ac:dyDescent="0.2">
      <c r="A2252" s="30" t="s">
        <v>11007</v>
      </c>
      <c r="B2252" s="26" t="str">
        <f t="shared" si="35"/>
        <v>603897</v>
      </c>
      <c r="C2252" s="30" t="s">
        <v>4600</v>
      </c>
      <c r="D2252" s="31">
        <v>17.920000000000002</v>
      </c>
      <c r="E2252" s="31">
        <v>-1.1599999999999999</v>
      </c>
      <c r="F2252" s="31">
        <v>3699327400</v>
      </c>
    </row>
    <row r="2253" spans="1:6" ht="15" thickBot="1" x14ac:dyDescent="0.2">
      <c r="A2253" s="30" t="s">
        <v>11008</v>
      </c>
      <c r="B2253" s="26" t="str">
        <f t="shared" si="35"/>
        <v>688190</v>
      </c>
      <c r="C2253" s="30" t="s">
        <v>11009</v>
      </c>
      <c r="D2253" s="31">
        <v>60.8</v>
      </c>
      <c r="E2253" s="31">
        <v>0.02</v>
      </c>
      <c r="F2253" s="31">
        <v>3697612800</v>
      </c>
    </row>
    <row r="2254" spans="1:6" ht="15" thickBot="1" x14ac:dyDescent="0.2">
      <c r="A2254" s="30" t="s">
        <v>11010</v>
      </c>
      <c r="B2254" s="26" t="str">
        <f t="shared" si="35"/>
        <v>002321</v>
      </c>
      <c r="C2254" s="30" t="s">
        <v>4718</v>
      </c>
      <c r="D2254" s="31">
        <v>1.74</v>
      </c>
      <c r="E2254" s="31">
        <v>1.1599999999999999</v>
      </c>
      <c r="F2254" s="31">
        <v>3696129000</v>
      </c>
    </row>
    <row r="2255" spans="1:6" ht="15" thickBot="1" x14ac:dyDescent="0.2">
      <c r="A2255" s="30" t="s">
        <v>11011</v>
      </c>
      <c r="B2255" s="26" t="str">
        <f t="shared" si="35"/>
        <v>300292</v>
      </c>
      <c r="C2255" s="30" t="s">
        <v>3967</v>
      </c>
      <c r="D2255" s="31">
        <v>3.31</v>
      </c>
      <c r="E2255" s="31">
        <v>0.92</v>
      </c>
      <c r="F2255" s="31">
        <v>3693777300</v>
      </c>
    </row>
    <row r="2256" spans="1:6" ht="15" thickBot="1" x14ac:dyDescent="0.2">
      <c r="A2256" s="30" t="s">
        <v>11012</v>
      </c>
      <c r="B2256" s="26" t="str">
        <f t="shared" si="35"/>
        <v>300161</v>
      </c>
      <c r="C2256" s="30" t="s">
        <v>4502</v>
      </c>
      <c r="D2256" s="31">
        <v>18.95</v>
      </c>
      <c r="E2256" s="31">
        <v>-1.04</v>
      </c>
      <c r="F2256" s="31">
        <v>3692181500</v>
      </c>
    </row>
    <row r="2257" spans="1:6" ht="15" thickBot="1" x14ac:dyDescent="0.2">
      <c r="A2257" s="30" t="s">
        <v>11013</v>
      </c>
      <c r="B2257" s="26" t="str">
        <f t="shared" si="35"/>
        <v>605077</v>
      </c>
      <c r="C2257" s="30" t="s">
        <v>4474</v>
      </c>
      <c r="D2257" s="31">
        <v>12.43</v>
      </c>
      <c r="E2257" s="31">
        <v>-2.36</v>
      </c>
      <c r="F2257" s="31">
        <v>3691646400</v>
      </c>
    </row>
    <row r="2258" spans="1:6" ht="15" thickBot="1" x14ac:dyDescent="0.2">
      <c r="A2258" s="30" t="s">
        <v>11014</v>
      </c>
      <c r="B2258" s="26" t="str">
        <f t="shared" si="35"/>
        <v>301030</v>
      </c>
      <c r="C2258" s="30" t="s">
        <v>3929</v>
      </c>
      <c r="D2258" s="31">
        <v>21.67</v>
      </c>
      <c r="E2258" s="31">
        <v>-1.46</v>
      </c>
      <c r="F2258" s="31">
        <v>3689987300</v>
      </c>
    </row>
    <row r="2259" spans="1:6" ht="15" thickBot="1" x14ac:dyDescent="0.2">
      <c r="A2259" s="30" t="s">
        <v>11015</v>
      </c>
      <c r="B2259" s="26" t="str">
        <f t="shared" si="35"/>
        <v>301367</v>
      </c>
      <c r="C2259" s="30" t="s">
        <v>11016</v>
      </c>
      <c r="D2259" s="31">
        <v>65.28</v>
      </c>
      <c r="E2259" s="31">
        <v>-2.57</v>
      </c>
      <c r="F2259" s="31">
        <v>3689938000</v>
      </c>
    </row>
    <row r="2260" spans="1:6" ht="15" thickBot="1" x14ac:dyDescent="0.2">
      <c r="A2260" s="30" t="s">
        <v>11017</v>
      </c>
      <c r="B2260" s="26" t="str">
        <f t="shared" si="35"/>
        <v>300324</v>
      </c>
      <c r="C2260" s="30" t="s">
        <v>4540</v>
      </c>
      <c r="D2260" s="31">
        <v>2.16</v>
      </c>
      <c r="E2260" s="31">
        <v>-2.2599999999999998</v>
      </c>
      <c r="F2260" s="31">
        <v>3689646000</v>
      </c>
    </row>
    <row r="2261" spans="1:6" ht="15" thickBot="1" x14ac:dyDescent="0.2">
      <c r="A2261" s="30" t="s">
        <v>11018</v>
      </c>
      <c r="B2261" s="26" t="str">
        <f t="shared" si="35"/>
        <v>603551</v>
      </c>
      <c r="C2261" s="30" t="s">
        <v>4646</v>
      </c>
      <c r="D2261" s="31">
        <v>9.23</v>
      </c>
      <c r="E2261" s="31">
        <v>-0.54</v>
      </c>
      <c r="F2261" s="31">
        <v>3689120200</v>
      </c>
    </row>
    <row r="2262" spans="1:6" ht="15" thickBot="1" x14ac:dyDescent="0.2">
      <c r="A2262" s="30" t="s">
        <v>11019</v>
      </c>
      <c r="B2262" s="26" t="str">
        <f t="shared" si="35"/>
        <v>600982</v>
      </c>
      <c r="C2262" s="30" t="s">
        <v>4837</v>
      </c>
      <c r="D2262" s="31">
        <v>3.3</v>
      </c>
      <c r="E2262" s="31">
        <v>1.23</v>
      </c>
      <c r="F2262" s="31">
        <v>3688170700</v>
      </c>
    </row>
    <row r="2263" spans="1:6" ht="15" thickBot="1" x14ac:dyDescent="0.2">
      <c r="A2263" s="30" t="s">
        <v>11020</v>
      </c>
      <c r="B2263" s="26" t="str">
        <f t="shared" si="35"/>
        <v>300320</v>
      </c>
      <c r="C2263" s="30" t="s">
        <v>3988</v>
      </c>
      <c r="D2263" s="31">
        <v>7.52</v>
      </c>
      <c r="E2263" s="31">
        <v>-0.4</v>
      </c>
      <c r="F2263" s="31">
        <v>3686983300</v>
      </c>
    </row>
    <row r="2264" spans="1:6" ht="15" thickBot="1" x14ac:dyDescent="0.2">
      <c r="A2264" s="30" t="s">
        <v>11021</v>
      </c>
      <c r="B2264" s="26" t="str">
        <f t="shared" si="35"/>
        <v>002501</v>
      </c>
      <c r="C2264" s="30" t="s">
        <v>4811</v>
      </c>
      <c r="D2264" s="31">
        <v>1.04</v>
      </c>
      <c r="E2264" s="31">
        <v>0</v>
      </c>
      <c r="F2264" s="31">
        <v>3682763800</v>
      </c>
    </row>
    <row r="2265" spans="1:6" ht="15" thickBot="1" x14ac:dyDescent="0.2">
      <c r="A2265" s="30" t="s">
        <v>11022</v>
      </c>
      <c r="B2265" s="26" t="str">
        <f t="shared" si="35"/>
        <v>600292</v>
      </c>
      <c r="C2265" s="30" t="s">
        <v>4883</v>
      </c>
      <c r="D2265" s="31">
        <v>4.71</v>
      </c>
      <c r="E2265" s="31">
        <v>0.64</v>
      </c>
      <c r="F2265" s="31">
        <v>3677647600</v>
      </c>
    </row>
    <row r="2266" spans="1:6" ht="15" thickBot="1" x14ac:dyDescent="0.2">
      <c r="A2266" s="30" t="s">
        <v>11023</v>
      </c>
      <c r="B2266" s="26" t="str">
        <f t="shared" si="35"/>
        <v>000546</v>
      </c>
      <c r="C2266" s="30" t="s">
        <v>4763</v>
      </c>
      <c r="D2266" s="31">
        <v>5.16</v>
      </c>
      <c r="E2266" s="31">
        <v>4.03</v>
      </c>
      <c r="F2266" s="31">
        <v>3676564000</v>
      </c>
    </row>
    <row r="2267" spans="1:6" ht="15" thickBot="1" x14ac:dyDescent="0.2">
      <c r="A2267" s="30" t="s">
        <v>11024</v>
      </c>
      <c r="B2267" s="26" t="str">
        <f t="shared" si="35"/>
        <v>688093</v>
      </c>
      <c r="C2267" s="30" t="s">
        <v>4436</v>
      </c>
      <c r="D2267" s="31">
        <v>14.46</v>
      </c>
      <c r="E2267" s="31">
        <v>-2.2999999999999998</v>
      </c>
      <c r="F2267" s="31">
        <v>3673751600</v>
      </c>
    </row>
    <row r="2268" spans="1:6" ht="15" thickBot="1" x14ac:dyDescent="0.2">
      <c r="A2268" s="30" t="s">
        <v>11025</v>
      </c>
      <c r="B2268" s="26" t="str">
        <f t="shared" si="35"/>
        <v>688696</v>
      </c>
      <c r="C2268" s="30" t="s">
        <v>4562</v>
      </c>
      <c r="D2268" s="31">
        <v>52.47</v>
      </c>
      <c r="E2268" s="31">
        <v>0.44</v>
      </c>
      <c r="F2268" s="31">
        <v>3672900000</v>
      </c>
    </row>
    <row r="2269" spans="1:6" ht="15" thickBot="1" x14ac:dyDescent="0.2">
      <c r="A2269" s="30" t="s">
        <v>11026</v>
      </c>
      <c r="B2269" s="26" t="str">
        <f t="shared" si="35"/>
        <v>000601</v>
      </c>
      <c r="C2269" s="30" t="s">
        <v>4757</v>
      </c>
      <c r="D2269" s="31">
        <v>3.4</v>
      </c>
      <c r="E2269" s="31">
        <v>-0.88</v>
      </c>
      <c r="F2269" s="31">
        <v>3672141100</v>
      </c>
    </row>
    <row r="2270" spans="1:6" ht="15" thickBot="1" x14ac:dyDescent="0.2">
      <c r="A2270" s="30" t="s">
        <v>11027</v>
      </c>
      <c r="B2270" s="26" t="str">
        <f t="shared" si="35"/>
        <v>300469</v>
      </c>
      <c r="C2270" s="30" t="s">
        <v>4944</v>
      </c>
      <c r="D2270" s="31">
        <v>14.78</v>
      </c>
      <c r="E2270" s="31">
        <v>0</v>
      </c>
      <c r="F2270" s="31">
        <v>3668877100</v>
      </c>
    </row>
    <row r="2271" spans="1:6" ht="15" thickBot="1" x14ac:dyDescent="0.2">
      <c r="A2271" s="30" t="s">
        <v>11028</v>
      </c>
      <c r="B2271" s="26" t="str">
        <f t="shared" si="35"/>
        <v>605098</v>
      </c>
      <c r="C2271" s="30" t="s">
        <v>11029</v>
      </c>
      <c r="D2271" s="31">
        <v>31.07</v>
      </c>
      <c r="E2271" s="31">
        <v>2.54</v>
      </c>
      <c r="F2271" s="31">
        <v>3668702100</v>
      </c>
    </row>
    <row r="2272" spans="1:6" ht="15" thickBot="1" x14ac:dyDescent="0.2">
      <c r="A2272" s="30" t="s">
        <v>11030</v>
      </c>
      <c r="B2272" s="26" t="str">
        <f t="shared" si="35"/>
        <v>002393</v>
      </c>
      <c r="C2272" s="30" t="s">
        <v>4672</v>
      </c>
      <c r="D2272" s="31">
        <v>14.36</v>
      </c>
      <c r="E2272" s="31">
        <v>0.42</v>
      </c>
      <c r="F2272" s="31">
        <v>3668075100</v>
      </c>
    </row>
    <row r="2273" spans="1:6" ht="15" thickBot="1" x14ac:dyDescent="0.2">
      <c r="A2273" s="30" t="s">
        <v>11031</v>
      </c>
      <c r="B2273" s="26" t="str">
        <f t="shared" si="35"/>
        <v>603199</v>
      </c>
      <c r="C2273" s="30" t="s">
        <v>4847</v>
      </c>
      <c r="D2273" s="31">
        <v>33.14</v>
      </c>
      <c r="E2273" s="31">
        <v>1.47</v>
      </c>
      <c r="F2273" s="31">
        <v>3667935200</v>
      </c>
    </row>
    <row r="2274" spans="1:6" ht="15" thickBot="1" x14ac:dyDescent="0.2">
      <c r="A2274" s="30" t="s">
        <v>11032</v>
      </c>
      <c r="B2274" s="26" t="str">
        <f t="shared" si="35"/>
        <v>002657</v>
      </c>
      <c r="C2274" s="30" t="s">
        <v>4674</v>
      </c>
      <c r="D2274" s="31">
        <v>10.94</v>
      </c>
      <c r="E2274" s="31">
        <v>-0.55000000000000004</v>
      </c>
      <c r="F2274" s="31">
        <v>3666197600</v>
      </c>
    </row>
    <row r="2275" spans="1:6" ht="15" thickBot="1" x14ac:dyDescent="0.2">
      <c r="A2275" s="30" t="s">
        <v>11033</v>
      </c>
      <c r="B2275" s="26" t="str">
        <f t="shared" si="35"/>
        <v>002327</v>
      </c>
      <c r="C2275" s="30" t="s">
        <v>3247</v>
      </c>
      <c r="D2275" s="31">
        <v>7.55</v>
      </c>
      <c r="E2275" s="31">
        <v>2.44</v>
      </c>
      <c r="F2275" s="31">
        <v>3660714900</v>
      </c>
    </row>
    <row r="2276" spans="1:6" ht="15" thickBot="1" x14ac:dyDescent="0.2">
      <c r="A2276" s="30" t="s">
        <v>11034</v>
      </c>
      <c r="B2276" s="26" t="str">
        <f t="shared" si="35"/>
        <v>600936</v>
      </c>
      <c r="C2276" s="30" t="s">
        <v>4803</v>
      </c>
      <c r="D2276" s="31">
        <v>2.19</v>
      </c>
      <c r="E2276" s="31">
        <v>-1.79</v>
      </c>
      <c r="F2276" s="31">
        <v>3659547500</v>
      </c>
    </row>
    <row r="2277" spans="1:6" ht="15" thickBot="1" x14ac:dyDescent="0.2">
      <c r="A2277" s="30" t="s">
        <v>11035</v>
      </c>
      <c r="B2277" s="26" t="str">
        <f t="shared" si="35"/>
        <v>688108</v>
      </c>
      <c r="C2277" s="30" t="s">
        <v>4620</v>
      </c>
      <c r="D2277" s="31">
        <v>8.85</v>
      </c>
      <c r="E2277" s="31">
        <v>-2.64</v>
      </c>
      <c r="F2277" s="31">
        <v>3659085600</v>
      </c>
    </row>
    <row r="2278" spans="1:6" ht="15" thickBot="1" x14ac:dyDescent="0.2">
      <c r="A2278" s="30" t="s">
        <v>11036</v>
      </c>
      <c r="B2278" s="26" t="str">
        <f t="shared" si="35"/>
        <v>002491</v>
      </c>
      <c r="C2278" s="30" t="s">
        <v>4536</v>
      </c>
      <c r="D2278" s="31">
        <v>3.11</v>
      </c>
      <c r="E2278" s="31">
        <v>-1.27</v>
      </c>
      <c r="F2278" s="31">
        <v>3658818200</v>
      </c>
    </row>
    <row r="2279" spans="1:6" ht="15" thickBot="1" x14ac:dyDescent="0.2">
      <c r="A2279" s="30" t="s">
        <v>11037</v>
      </c>
      <c r="B2279" s="26" t="str">
        <f t="shared" si="35"/>
        <v>603569</v>
      </c>
      <c r="C2279" s="30" t="s">
        <v>4680</v>
      </c>
      <c r="D2279" s="31">
        <v>6.06</v>
      </c>
      <c r="E2279" s="31">
        <v>-0.98</v>
      </c>
      <c r="F2279" s="31">
        <v>3657016000</v>
      </c>
    </row>
    <row r="2280" spans="1:6" ht="15" thickBot="1" x14ac:dyDescent="0.2">
      <c r="A2280" s="30" t="s">
        <v>11038</v>
      </c>
      <c r="B2280" s="26" t="str">
        <f t="shared" si="35"/>
        <v>688262</v>
      </c>
      <c r="C2280" s="30" t="s">
        <v>11039</v>
      </c>
      <c r="D2280" s="31">
        <v>13.83</v>
      </c>
      <c r="E2280" s="31">
        <v>-3.69</v>
      </c>
      <c r="F2280" s="31">
        <v>3655969400</v>
      </c>
    </row>
    <row r="2281" spans="1:6" ht="15" thickBot="1" x14ac:dyDescent="0.2">
      <c r="A2281" s="30" t="s">
        <v>11040</v>
      </c>
      <c r="B2281" s="26" t="str">
        <f t="shared" si="35"/>
        <v>603689</v>
      </c>
      <c r="C2281" s="30" t="s">
        <v>4801</v>
      </c>
      <c r="D2281" s="31">
        <v>7.77</v>
      </c>
      <c r="E2281" s="31">
        <v>1.04</v>
      </c>
      <c r="F2281" s="31">
        <v>3655392400</v>
      </c>
    </row>
    <row r="2282" spans="1:6" ht="15" thickBot="1" x14ac:dyDescent="0.2">
      <c r="A2282" s="30" t="s">
        <v>11041</v>
      </c>
      <c r="B2282" s="26" t="str">
        <f t="shared" si="35"/>
        <v>300061</v>
      </c>
      <c r="C2282" s="30" t="s">
        <v>4638</v>
      </c>
      <c r="D2282" s="31">
        <v>5.89</v>
      </c>
      <c r="E2282" s="31">
        <v>-13.13</v>
      </c>
      <c r="F2282" s="31">
        <v>3654979000</v>
      </c>
    </row>
    <row r="2283" spans="1:6" ht="15" thickBot="1" x14ac:dyDescent="0.2">
      <c r="A2283" s="30" t="s">
        <v>11042</v>
      </c>
      <c r="B2283" s="26" t="str">
        <f t="shared" si="35"/>
        <v>300569</v>
      </c>
      <c r="C2283" s="30" t="s">
        <v>4386</v>
      </c>
      <c r="D2283" s="31">
        <v>3.91</v>
      </c>
      <c r="E2283" s="31">
        <v>-1.01</v>
      </c>
      <c r="F2283" s="31">
        <v>3652920700</v>
      </c>
    </row>
    <row r="2284" spans="1:6" ht="15" thickBot="1" x14ac:dyDescent="0.2">
      <c r="A2284" s="30" t="s">
        <v>11043</v>
      </c>
      <c r="B2284" s="26" t="str">
        <f t="shared" si="35"/>
        <v>002746</v>
      </c>
      <c r="C2284" s="30" t="s">
        <v>4024</v>
      </c>
      <c r="D2284" s="31">
        <v>5.14</v>
      </c>
      <c r="E2284" s="31">
        <v>-3.2</v>
      </c>
      <c r="F2284" s="31">
        <v>3647735800</v>
      </c>
    </row>
    <row r="2285" spans="1:6" ht="15" thickBot="1" x14ac:dyDescent="0.2">
      <c r="A2285" s="30" t="s">
        <v>11044</v>
      </c>
      <c r="B2285" s="26" t="str">
        <f t="shared" si="35"/>
        <v>300388</v>
      </c>
      <c r="C2285" s="30" t="s">
        <v>4783</v>
      </c>
      <c r="D2285" s="31">
        <v>5.36</v>
      </c>
      <c r="E2285" s="31">
        <v>-1.83</v>
      </c>
      <c r="F2285" s="31">
        <v>3639910300</v>
      </c>
    </row>
    <row r="2286" spans="1:6" ht="15" thickBot="1" x14ac:dyDescent="0.2">
      <c r="A2286" s="30" t="s">
        <v>11045</v>
      </c>
      <c r="B2286" s="26" t="str">
        <f t="shared" si="35"/>
        <v>002970</v>
      </c>
      <c r="C2286" s="30" t="s">
        <v>3350</v>
      </c>
      <c r="D2286" s="31">
        <v>32.54</v>
      </c>
      <c r="E2286" s="31">
        <v>-0.49</v>
      </c>
      <c r="F2286" s="31">
        <v>3639230500</v>
      </c>
    </row>
    <row r="2287" spans="1:6" ht="15" thickBot="1" x14ac:dyDescent="0.2">
      <c r="A2287" s="30" t="s">
        <v>11046</v>
      </c>
      <c r="B2287" s="26" t="str">
        <f t="shared" si="35"/>
        <v>002483</v>
      </c>
      <c r="C2287" s="30" t="s">
        <v>4823</v>
      </c>
      <c r="D2287" s="31">
        <v>4.1100000000000003</v>
      </c>
      <c r="E2287" s="31">
        <v>-0.73</v>
      </c>
      <c r="F2287" s="31">
        <v>3638380800</v>
      </c>
    </row>
    <row r="2288" spans="1:6" ht="15" thickBot="1" x14ac:dyDescent="0.2">
      <c r="A2288" s="30" t="s">
        <v>11047</v>
      </c>
      <c r="B2288" s="26" t="str">
        <f t="shared" si="35"/>
        <v>002526</v>
      </c>
      <c r="C2288" s="30" t="s">
        <v>4753</v>
      </c>
      <c r="D2288" s="31">
        <v>2.0699999999999998</v>
      </c>
      <c r="E2288" s="31">
        <v>-0.48</v>
      </c>
      <c r="F2288" s="31">
        <v>3638054700</v>
      </c>
    </row>
    <row r="2289" spans="1:6" ht="15" thickBot="1" x14ac:dyDescent="0.2">
      <c r="A2289" s="30" t="s">
        <v>11048</v>
      </c>
      <c r="B2289" s="26" t="str">
        <f t="shared" si="35"/>
        <v>603938</v>
      </c>
      <c r="C2289" s="30" t="s">
        <v>4618</v>
      </c>
      <c r="D2289" s="31">
        <v>9.5</v>
      </c>
      <c r="E2289" s="31">
        <v>-2.76</v>
      </c>
      <c r="F2289" s="31">
        <v>3634932700</v>
      </c>
    </row>
    <row r="2290" spans="1:6" ht="15" thickBot="1" x14ac:dyDescent="0.2">
      <c r="A2290" s="30" t="s">
        <v>11049</v>
      </c>
      <c r="B2290" s="26" t="str">
        <f t="shared" si="35"/>
        <v>300287</v>
      </c>
      <c r="C2290" s="30" t="s">
        <v>4498</v>
      </c>
      <c r="D2290" s="31">
        <v>2.77</v>
      </c>
      <c r="E2290" s="31">
        <v>9.06</v>
      </c>
      <c r="F2290" s="31">
        <v>3630779900</v>
      </c>
    </row>
    <row r="2291" spans="1:6" ht="15" thickBot="1" x14ac:dyDescent="0.2">
      <c r="A2291" s="30" t="s">
        <v>11050</v>
      </c>
      <c r="B2291" s="26" t="str">
        <f t="shared" si="35"/>
        <v>688141</v>
      </c>
      <c r="C2291" s="30" t="s">
        <v>11051</v>
      </c>
      <c r="D2291" s="31">
        <v>13.83</v>
      </c>
      <c r="E2291" s="31">
        <v>0.66</v>
      </c>
      <c r="F2291" s="31">
        <v>3626278800</v>
      </c>
    </row>
    <row r="2292" spans="1:6" ht="15" thickBot="1" x14ac:dyDescent="0.2">
      <c r="A2292" s="30" t="s">
        <v>11052</v>
      </c>
      <c r="B2292" s="26" t="str">
        <f t="shared" si="35"/>
        <v>300177</v>
      </c>
      <c r="C2292" s="30" t="s">
        <v>3955</v>
      </c>
      <c r="D2292" s="31">
        <v>5.98</v>
      </c>
      <c r="E2292" s="31">
        <v>-0.83</v>
      </c>
      <c r="F2292" s="31">
        <v>3625526600</v>
      </c>
    </row>
    <row r="2293" spans="1:6" ht="15" thickBot="1" x14ac:dyDescent="0.2">
      <c r="A2293" s="30" t="s">
        <v>11053</v>
      </c>
      <c r="B2293" s="26" t="str">
        <f t="shared" si="35"/>
        <v>601789</v>
      </c>
      <c r="C2293" s="30" t="s">
        <v>4771</v>
      </c>
      <c r="D2293" s="31">
        <v>3.33</v>
      </c>
      <c r="E2293" s="31">
        <v>-1.48</v>
      </c>
      <c r="F2293" s="31">
        <v>3619039300</v>
      </c>
    </row>
    <row r="2294" spans="1:6" ht="15" thickBot="1" x14ac:dyDescent="0.2">
      <c r="A2294" s="30" t="s">
        <v>11054</v>
      </c>
      <c r="B2294" s="26" t="str">
        <f t="shared" si="35"/>
        <v>601588</v>
      </c>
      <c r="C2294" s="30" t="s">
        <v>4552</v>
      </c>
      <c r="D2294" s="31">
        <v>1.36</v>
      </c>
      <c r="E2294" s="31">
        <v>0.74</v>
      </c>
      <c r="F2294" s="31">
        <v>3617600000</v>
      </c>
    </row>
    <row r="2295" spans="1:6" ht="15" thickBot="1" x14ac:dyDescent="0.2">
      <c r="A2295" s="30" t="s">
        <v>11055</v>
      </c>
      <c r="B2295" s="26" t="str">
        <f t="shared" si="35"/>
        <v>600168</v>
      </c>
      <c r="C2295" s="30" t="s">
        <v>4813</v>
      </c>
      <c r="D2295" s="31">
        <v>3.64</v>
      </c>
      <c r="E2295" s="31">
        <v>-1.36</v>
      </c>
      <c r="F2295" s="31">
        <v>3615967200</v>
      </c>
    </row>
    <row r="2296" spans="1:6" ht="15" thickBot="1" x14ac:dyDescent="0.2">
      <c r="A2296" s="30" t="s">
        <v>11056</v>
      </c>
      <c r="B2296" s="26" t="str">
        <f t="shared" si="35"/>
        <v>300256</v>
      </c>
      <c r="C2296" s="30" t="s">
        <v>3451</v>
      </c>
      <c r="D2296" s="31">
        <v>2.2000000000000002</v>
      </c>
      <c r="E2296" s="31">
        <v>-3.51</v>
      </c>
      <c r="F2296" s="31">
        <v>3615465400</v>
      </c>
    </row>
    <row r="2297" spans="1:6" ht="15" thickBot="1" x14ac:dyDescent="0.2">
      <c r="A2297" s="30" t="s">
        <v>11057</v>
      </c>
      <c r="B2297" s="26" t="str">
        <f t="shared" si="35"/>
        <v>688155</v>
      </c>
      <c r="C2297" s="30" t="s">
        <v>4334</v>
      </c>
      <c r="D2297" s="31">
        <v>33.68</v>
      </c>
      <c r="E2297" s="31">
        <v>2.06</v>
      </c>
      <c r="F2297" s="31">
        <v>3615433200</v>
      </c>
    </row>
    <row r="2298" spans="1:6" ht="15" thickBot="1" x14ac:dyDescent="0.2">
      <c r="A2298" s="30" t="s">
        <v>11058</v>
      </c>
      <c r="B2298" s="26" t="str">
        <f t="shared" si="35"/>
        <v>603421</v>
      </c>
      <c r="C2298" s="30" t="s">
        <v>5236</v>
      </c>
      <c r="D2298" s="31">
        <v>5.54</v>
      </c>
      <c r="E2298" s="31">
        <v>9.92</v>
      </c>
      <c r="F2298" s="31">
        <v>3613135400</v>
      </c>
    </row>
    <row r="2299" spans="1:6" ht="15" thickBot="1" x14ac:dyDescent="0.2">
      <c r="A2299" s="30" t="s">
        <v>11059</v>
      </c>
      <c r="B2299" s="26" t="str">
        <f t="shared" si="35"/>
        <v>600510</v>
      </c>
      <c r="C2299" s="30" t="s">
        <v>4879</v>
      </c>
      <c r="D2299" s="31">
        <v>3.5</v>
      </c>
      <c r="E2299" s="31">
        <v>-0.28999999999999998</v>
      </c>
      <c r="F2299" s="31">
        <v>3612089100</v>
      </c>
    </row>
    <row r="2300" spans="1:6" ht="15" thickBot="1" x14ac:dyDescent="0.2">
      <c r="A2300" s="30" t="s">
        <v>11060</v>
      </c>
      <c r="B2300" s="26" t="str">
        <f t="shared" si="35"/>
        <v>603950</v>
      </c>
      <c r="C2300" s="30" t="s">
        <v>4773</v>
      </c>
      <c r="D2300" s="31">
        <v>11.14</v>
      </c>
      <c r="E2300" s="31">
        <v>0.54</v>
      </c>
      <c r="F2300" s="31">
        <v>3610817100</v>
      </c>
    </row>
    <row r="2301" spans="1:6" ht="15" thickBot="1" x14ac:dyDescent="0.2">
      <c r="A2301" s="30" t="s">
        <v>11061</v>
      </c>
      <c r="B2301" s="26" t="str">
        <f t="shared" si="35"/>
        <v>688626</v>
      </c>
      <c r="C2301" s="30" t="s">
        <v>4761</v>
      </c>
      <c r="D2301" s="31">
        <v>22.55</v>
      </c>
      <c r="E2301" s="31">
        <v>3.82</v>
      </c>
      <c r="F2301" s="31">
        <v>3608000000</v>
      </c>
    </row>
    <row r="2302" spans="1:6" ht="15" thickBot="1" x14ac:dyDescent="0.2">
      <c r="A2302" s="30" t="s">
        <v>11062</v>
      </c>
      <c r="B2302" s="26" t="str">
        <f t="shared" si="35"/>
        <v>301018</v>
      </c>
      <c r="C2302" s="30" t="s">
        <v>11063</v>
      </c>
      <c r="D2302" s="31">
        <v>18.12</v>
      </c>
      <c r="E2302" s="31">
        <v>-0.82</v>
      </c>
      <c r="F2302" s="31">
        <v>3606986500</v>
      </c>
    </row>
    <row r="2303" spans="1:6" ht="15" thickBot="1" x14ac:dyDescent="0.2">
      <c r="A2303" s="30" t="s">
        <v>11064</v>
      </c>
      <c r="B2303" s="26" t="str">
        <f t="shared" si="35"/>
        <v>603189</v>
      </c>
      <c r="C2303" s="30" t="s">
        <v>4384</v>
      </c>
      <c r="D2303" s="31">
        <v>13.38</v>
      </c>
      <c r="E2303" s="31">
        <v>-3.18</v>
      </c>
      <c r="F2303" s="31">
        <v>3606556900</v>
      </c>
    </row>
    <row r="2304" spans="1:6" ht="15" thickBot="1" x14ac:dyDescent="0.2">
      <c r="A2304" s="30" t="s">
        <v>11065</v>
      </c>
      <c r="B2304" s="26" t="str">
        <f t="shared" si="35"/>
        <v>300951</v>
      </c>
      <c r="C2304" s="30" t="s">
        <v>4190</v>
      </c>
      <c r="D2304" s="31">
        <v>23.88</v>
      </c>
      <c r="E2304" s="31">
        <v>-1.81</v>
      </c>
      <c r="F2304" s="31">
        <v>3606493200</v>
      </c>
    </row>
    <row r="2305" spans="1:6" ht="15" thickBot="1" x14ac:dyDescent="0.2">
      <c r="A2305" s="30" t="s">
        <v>11066</v>
      </c>
      <c r="B2305" s="26" t="str">
        <f t="shared" si="35"/>
        <v>002793</v>
      </c>
      <c r="C2305" s="30" t="s">
        <v>4698</v>
      </c>
      <c r="D2305" s="31">
        <v>3.32</v>
      </c>
      <c r="E2305" s="31">
        <v>-1.78</v>
      </c>
      <c r="F2305" s="31">
        <v>3605317300</v>
      </c>
    </row>
    <row r="2306" spans="1:6" ht="15" thickBot="1" x14ac:dyDescent="0.2">
      <c r="A2306" s="30" t="s">
        <v>11067</v>
      </c>
      <c r="B2306" s="26" t="str">
        <f t="shared" si="35"/>
        <v>300698</v>
      </c>
      <c r="C2306" s="30" t="s">
        <v>4324</v>
      </c>
      <c r="D2306" s="31">
        <v>30.4</v>
      </c>
      <c r="E2306" s="31">
        <v>-2.09</v>
      </c>
      <c r="F2306" s="31">
        <v>3603796700</v>
      </c>
    </row>
    <row r="2307" spans="1:6" ht="15" thickBot="1" x14ac:dyDescent="0.2">
      <c r="A2307" s="30" t="s">
        <v>11068</v>
      </c>
      <c r="B2307" s="26" t="str">
        <f t="shared" ref="B2307:B2370" si="36">LEFT(A2307,6)</f>
        <v>300222</v>
      </c>
      <c r="C2307" s="30" t="s">
        <v>3984</v>
      </c>
      <c r="D2307" s="31">
        <v>5.66</v>
      </c>
      <c r="E2307" s="31">
        <v>-1.39</v>
      </c>
      <c r="F2307" s="31">
        <v>3598427100</v>
      </c>
    </row>
    <row r="2308" spans="1:6" ht="15" thickBot="1" x14ac:dyDescent="0.2">
      <c r="A2308" s="30" t="s">
        <v>11069</v>
      </c>
      <c r="B2308" s="26" t="str">
        <f t="shared" si="36"/>
        <v>603081</v>
      </c>
      <c r="C2308" s="30" t="s">
        <v>4692</v>
      </c>
      <c r="D2308" s="31">
        <v>8.86</v>
      </c>
      <c r="E2308" s="31">
        <v>-1.56</v>
      </c>
      <c r="F2308" s="31">
        <v>3596352900</v>
      </c>
    </row>
    <row r="2309" spans="1:6" ht="15" thickBot="1" x14ac:dyDescent="0.2">
      <c r="A2309" s="30" t="s">
        <v>11070</v>
      </c>
      <c r="B2309" s="26" t="str">
        <f t="shared" si="36"/>
        <v>002758</v>
      </c>
      <c r="C2309" s="30" t="s">
        <v>4787</v>
      </c>
      <c r="D2309" s="31">
        <v>6.94</v>
      </c>
      <c r="E2309" s="31">
        <v>0.43</v>
      </c>
      <c r="F2309" s="31">
        <v>3594669100</v>
      </c>
    </row>
    <row r="2310" spans="1:6" ht="15" thickBot="1" x14ac:dyDescent="0.2">
      <c r="A2310" s="30" t="s">
        <v>11071</v>
      </c>
      <c r="B2310" s="26" t="str">
        <f t="shared" si="36"/>
        <v>300796</v>
      </c>
      <c r="C2310" s="30" t="s">
        <v>5072</v>
      </c>
      <c r="D2310" s="31">
        <v>9.93</v>
      </c>
      <c r="E2310" s="31">
        <v>4.97</v>
      </c>
      <c r="F2310" s="31">
        <v>3586148700</v>
      </c>
    </row>
    <row r="2311" spans="1:6" ht="15" thickBot="1" x14ac:dyDescent="0.2">
      <c r="A2311" s="30" t="s">
        <v>11072</v>
      </c>
      <c r="B2311" s="26" t="str">
        <f t="shared" si="36"/>
        <v>688799</v>
      </c>
      <c r="C2311" s="30" t="s">
        <v>4885</v>
      </c>
      <c r="D2311" s="31">
        <v>38.200000000000003</v>
      </c>
      <c r="E2311" s="31">
        <v>1.43</v>
      </c>
      <c r="F2311" s="31">
        <v>3583160000</v>
      </c>
    </row>
    <row r="2312" spans="1:6" ht="15" thickBot="1" x14ac:dyDescent="0.2">
      <c r="A2312" s="30" t="s">
        <v>11073</v>
      </c>
      <c r="B2312" s="26" t="str">
        <f t="shared" si="36"/>
        <v>688348</v>
      </c>
      <c r="C2312" s="30" t="s">
        <v>11074</v>
      </c>
      <c r="D2312" s="31">
        <v>44.45</v>
      </c>
      <c r="E2312" s="31">
        <v>-1.22</v>
      </c>
      <c r="F2312" s="31">
        <v>3582095800</v>
      </c>
    </row>
    <row r="2313" spans="1:6" ht="15" thickBot="1" x14ac:dyDescent="0.2">
      <c r="A2313" s="30" t="s">
        <v>11075</v>
      </c>
      <c r="B2313" s="26" t="str">
        <f t="shared" si="36"/>
        <v>601368</v>
      </c>
      <c r="C2313" s="30" t="s">
        <v>4865</v>
      </c>
      <c r="D2313" s="31">
        <v>4.05</v>
      </c>
      <c r="E2313" s="31">
        <v>-0.98</v>
      </c>
      <c r="F2313" s="31">
        <v>3576041000</v>
      </c>
    </row>
    <row r="2314" spans="1:6" ht="15" thickBot="1" x14ac:dyDescent="0.2">
      <c r="A2314" s="30" t="s">
        <v>11076</v>
      </c>
      <c r="B2314" s="26" t="str">
        <f t="shared" si="36"/>
        <v>300194</v>
      </c>
      <c r="C2314" s="30" t="s">
        <v>4048</v>
      </c>
      <c r="D2314" s="31">
        <v>3.69</v>
      </c>
      <c r="E2314" s="31">
        <v>-1.6</v>
      </c>
      <c r="F2314" s="31">
        <v>3571419900</v>
      </c>
    </row>
    <row r="2315" spans="1:6" ht="15" thickBot="1" x14ac:dyDescent="0.2">
      <c r="A2315" s="30" t="s">
        <v>11077</v>
      </c>
      <c r="B2315" s="26" t="str">
        <f t="shared" si="36"/>
        <v>300481</v>
      </c>
      <c r="C2315" s="30" t="s">
        <v>4640</v>
      </c>
      <c r="D2315" s="31">
        <v>12.13</v>
      </c>
      <c r="E2315" s="31">
        <v>-0.56999999999999995</v>
      </c>
      <c r="F2315" s="31">
        <v>3565640900</v>
      </c>
    </row>
    <row r="2316" spans="1:6" ht="15" thickBot="1" x14ac:dyDescent="0.2">
      <c r="A2316" s="30" t="s">
        <v>11078</v>
      </c>
      <c r="B2316" s="26" t="str">
        <f t="shared" si="36"/>
        <v>603703</v>
      </c>
      <c r="C2316" s="30" t="s">
        <v>4708</v>
      </c>
      <c r="D2316" s="31">
        <v>8.59</v>
      </c>
      <c r="E2316" s="31">
        <v>-1.1499999999999999</v>
      </c>
      <c r="F2316" s="31">
        <v>3564696400</v>
      </c>
    </row>
    <row r="2317" spans="1:6" ht="15" thickBot="1" x14ac:dyDescent="0.2">
      <c r="A2317" s="30" t="s">
        <v>11079</v>
      </c>
      <c r="B2317" s="26" t="str">
        <f t="shared" si="36"/>
        <v>688566</v>
      </c>
      <c r="C2317" s="30" t="s">
        <v>4542</v>
      </c>
      <c r="D2317" s="31">
        <v>18.850000000000001</v>
      </c>
      <c r="E2317" s="31">
        <v>-0.95</v>
      </c>
      <c r="F2317" s="31">
        <v>3564232900</v>
      </c>
    </row>
    <row r="2318" spans="1:6" ht="15" thickBot="1" x14ac:dyDescent="0.2">
      <c r="A2318" s="30" t="s">
        <v>11080</v>
      </c>
      <c r="B2318" s="26" t="str">
        <f t="shared" si="36"/>
        <v>600794</v>
      </c>
      <c r="C2318" s="30" t="s">
        <v>4948</v>
      </c>
      <c r="D2318" s="31">
        <v>2.94</v>
      </c>
      <c r="E2318" s="31">
        <v>0.34</v>
      </c>
      <c r="F2318" s="31">
        <v>3563727300</v>
      </c>
    </row>
    <row r="2319" spans="1:6" ht="15" thickBot="1" x14ac:dyDescent="0.2">
      <c r="A2319" s="30" t="s">
        <v>11081</v>
      </c>
      <c r="B2319" s="26" t="str">
        <f t="shared" si="36"/>
        <v>605167</v>
      </c>
      <c r="C2319" s="30" t="s">
        <v>11082</v>
      </c>
      <c r="D2319" s="31">
        <v>7.93</v>
      </c>
      <c r="E2319" s="31">
        <v>-0.13</v>
      </c>
      <c r="F2319" s="31">
        <v>3561125100</v>
      </c>
    </row>
    <row r="2320" spans="1:6" ht="15" thickBot="1" x14ac:dyDescent="0.2">
      <c r="A2320" s="30" t="s">
        <v>11083</v>
      </c>
      <c r="B2320" s="26" t="str">
        <f t="shared" si="36"/>
        <v>688692</v>
      </c>
      <c r="C2320" s="30" t="s">
        <v>11084</v>
      </c>
      <c r="D2320" s="31">
        <v>249.28</v>
      </c>
      <c r="E2320" s="31">
        <v>-0.28000000000000003</v>
      </c>
      <c r="F2320" s="31">
        <v>3560978000</v>
      </c>
    </row>
    <row r="2321" spans="1:6" ht="15" thickBot="1" x14ac:dyDescent="0.2">
      <c r="A2321" s="30" t="s">
        <v>11085</v>
      </c>
      <c r="B2321" s="26" t="str">
        <f t="shared" si="36"/>
        <v>603105</v>
      </c>
      <c r="C2321" s="30" t="s">
        <v>4827</v>
      </c>
      <c r="D2321" s="31">
        <v>7.12</v>
      </c>
      <c r="E2321" s="31">
        <v>-0.84</v>
      </c>
      <c r="F2321" s="31">
        <v>3560025000</v>
      </c>
    </row>
    <row r="2322" spans="1:6" ht="15" thickBot="1" x14ac:dyDescent="0.2">
      <c r="A2322" s="30" t="s">
        <v>11086</v>
      </c>
      <c r="B2322" s="26" t="str">
        <f t="shared" si="36"/>
        <v>002881</v>
      </c>
      <c r="C2322" s="30" t="s">
        <v>3511</v>
      </c>
      <c r="D2322" s="31">
        <v>19.66</v>
      </c>
      <c r="E2322" s="31">
        <v>-1.1100000000000001</v>
      </c>
      <c r="F2322" s="31">
        <v>3559634800</v>
      </c>
    </row>
    <row r="2323" spans="1:6" ht="15" thickBot="1" x14ac:dyDescent="0.2">
      <c r="A2323" s="30" t="s">
        <v>11087</v>
      </c>
      <c r="B2323" s="26" t="str">
        <f t="shared" si="36"/>
        <v>300291</v>
      </c>
      <c r="C2323" s="30" t="s">
        <v>4749</v>
      </c>
      <c r="D2323" s="31">
        <v>3.83</v>
      </c>
      <c r="E2323" s="31">
        <v>-1.54</v>
      </c>
      <c r="F2323" s="31">
        <v>3557988500</v>
      </c>
    </row>
    <row r="2324" spans="1:6" ht="15" thickBot="1" x14ac:dyDescent="0.2">
      <c r="A2324" s="30" t="s">
        <v>11088</v>
      </c>
      <c r="B2324" s="26" t="str">
        <f t="shared" si="36"/>
        <v>002265</v>
      </c>
      <c r="C2324" s="30" t="s">
        <v>2429</v>
      </c>
      <c r="D2324" s="31">
        <v>8.82</v>
      </c>
      <c r="E2324" s="31">
        <v>-0.79</v>
      </c>
      <c r="F2324" s="31">
        <v>3555315800</v>
      </c>
    </row>
    <row r="2325" spans="1:6" ht="15" thickBot="1" x14ac:dyDescent="0.2">
      <c r="A2325" s="30" t="s">
        <v>11089</v>
      </c>
      <c r="B2325" s="26" t="str">
        <f t="shared" si="36"/>
        <v>300737</v>
      </c>
      <c r="C2325" s="30" t="s">
        <v>3887</v>
      </c>
      <c r="D2325" s="31">
        <v>3.95</v>
      </c>
      <c r="E2325" s="31">
        <v>0.25</v>
      </c>
      <c r="F2325" s="31">
        <v>3554989800</v>
      </c>
    </row>
    <row r="2326" spans="1:6" ht="15" thickBot="1" x14ac:dyDescent="0.2">
      <c r="A2326" s="30" t="s">
        <v>11090</v>
      </c>
      <c r="B2326" s="26" t="str">
        <f t="shared" si="36"/>
        <v>603187</v>
      </c>
      <c r="C2326" s="30" t="s">
        <v>4743</v>
      </c>
      <c r="D2326" s="31">
        <v>9.19</v>
      </c>
      <c r="E2326" s="31">
        <v>-1.5</v>
      </c>
      <c r="F2326" s="31">
        <v>3550574300</v>
      </c>
    </row>
    <row r="2327" spans="1:6" ht="15" thickBot="1" x14ac:dyDescent="0.2">
      <c r="A2327" s="30" t="s">
        <v>11091</v>
      </c>
      <c r="B2327" s="26" t="str">
        <f t="shared" si="36"/>
        <v>603387</v>
      </c>
      <c r="C2327" s="30" t="s">
        <v>4702</v>
      </c>
      <c r="D2327" s="31">
        <v>7</v>
      </c>
      <c r="E2327" s="31">
        <v>-2.78</v>
      </c>
      <c r="F2327" s="31">
        <v>3550074600</v>
      </c>
    </row>
    <row r="2328" spans="1:6" ht="15" thickBot="1" x14ac:dyDescent="0.2">
      <c r="A2328" s="30" t="s">
        <v>11092</v>
      </c>
      <c r="B2328" s="26" t="str">
        <f t="shared" si="36"/>
        <v>603639</v>
      </c>
      <c r="C2328" s="30" t="s">
        <v>4729</v>
      </c>
      <c r="D2328" s="31">
        <v>10.45</v>
      </c>
      <c r="E2328" s="31">
        <v>0.87</v>
      </c>
      <c r="F2328" s="31">
        <v>3549337200</v>
      </c>
    </row>
    <row r="2329" spans="1:6" ht="15" thickBot="1" x14ac:dyDescent="0.2">
      <c r="A2329" s="30" t="s">
        <v>11093</v>
      </c>
      <c r="B2329" s="26" t="str">
        <f t="shared" si="36"/>
        <v>300758</v>
      </c>
      <c r="C2329" s="30" t="s">
        <v>4164</v>
      </c>
      <c r="D2329" s="31">
        <v>10.050000000000001</v>
      </c>
      <c r="E2329" s="31">
        <v>-0.5</v>
      </c>
      <c r="F2329" s="31">
        <v>3546582200</v>
      </c>
    </row>
    <row r="2330" spans="1:6" ht="15" thickBot="1" x14ac:dyDescent="0.2">
      <c r="A2330" s="30" t="s">
        <v>11094</v>
      </c>
      <c r="B2330" s="26" t="str">
        <f t="shared" si="36"/>
        <v>300110</v>
      </c>
      <c r="C2330" s="30" t="s">
        <v>4869</v>
      </c>
      <c r="D2330" s="31">
        <v>3</v>
      </c>
      <c r="E2330" s="31">
        <v>-0.66</v>
      </c>
      <c r="F2330" s="31">
        <v>3543532800</v>
      </c>
    </row>
    <row r="2331" spans="1:6" ht="15" thickBot="1" x14ac:dyDescent="0.2">
      <c r="A2331" s="30" t="s">
        <v>11095</v>
      </c>
      <c r="B2331" s="26" t="str">
        <f t="shared" si="36"/>
        <v>605286</v>
      </c>
      <c r="C2331" s="30" t="s">
        <v>11096</v>
      </c>
      <c r="D2331" s="31">
        <v>21.09</v>
      </c>
      <c r="E2331" s="31">
        <v>-1.17</v>
      </c>
      <c r="F2331" s="31">
        <v>3543120000</v>
      </c>
    </row>
    <row r="2332" spans="1:6" ht="15" thickBot="1" x14ac:dyDescent="0.2">
      <c r="A2332" s="30" t="s">
        <v>11097</v>
      </c>
      <c r="B2332" s="26" t="str">
        <f t="shared" si="36"/>
        <v>300332</v>
      </c>
      <c r="C2332" s="30" t="s">
        <v>4578</v>
      </c>
      <c r="D2332" s="31">
        <v>4.33</v>
      </c>
      <c r="E2332" s="31">
        <v>-2.48</v>
      </c>
      <c r="F2332" s="31">
        <v>3542582600</v>
      </c>
    </row>
    <row r="2333" spans="1:6" ht="15" thickBot="1" x14ac:dyDescent="0.2">
      <c r="A2333" s="30" t="s">
        <v>11098</v>
      </c>
      <c r="B2333" s="26" t="str">
        <f t="shared" si="36"/>
        <v>002985</v>
      </c>
      <c r="C2333" s="30" t="s">
        <v>3292</v>
      </c>
      <c r="D2333" s="31">
        <v>17.09</v>
      </c>
      <c r="E2333" s="31">
        <v>-0.81</v>
      </c>
      <c r="F2333" s="31">
        <v>3542490300</v>
      </c>
    </row>
    <row r="2334" spans="1:6" ht="15" thickBot="1" x14ac:dyDescent="0.2">
      <c r="A2334" s="30" t="s">
        <v>11099</v>
      </c>
      <c r="B2334" s="26" t="str">
        <f t="shared" si="36"/>
        <v>000045</v>
      </c>
      <c r="C2334" s="30" t="s">
        <v>4604</v>
      </c>
      <c r="D2334" s="31">
        <v>7.75</v>
      </c>
      <c r="E2334" s="31">
        <v>-1.65</v>
      </c>
      <c r="F2334" s="31">
        <v>3541919300</v>
      </c>
    </row>
    <row r="2335" spans="1:6" ht="15" thickBot="1" x14ac:dyDescent="0.2">
      <c r="A2335" s="30" t="s">
        <v>11100</v>
      </c>
      <c r="B2335" s="26" t="str">
        <f t="shared" si="36"/>
        <v>002833</v>
      </c>
      <c r="C2335" s="30" t="s">
        <v>3126</v>
      </c>
      <c r="D2335" s="31">
        <v>14.32</v>
      </c>
      <c r="E2335" s="31">
        <v>-0.28000000000000003</v>
      </c>
      <c r="F2335" s="31">
        <v>3540931500</v>
      </c>
    </row>
    <row r="2336" spans="1:6" ht="15" thickBot="1" x14ac:dyDescent="0.2">
      <c r="A2336" s="30" t="s">
        <v>11101</v>
      </c>
      <c r="B2336" s="26" t="str">
        <f t="shared" si="36"/>
        <v>300046</v>
      </c>
      <c r="C2336" s="30" t="s">
        <v>4737</v>
      </c>
      <c r="D2336" s="31">
        <v>14.97</v>
      </c>
      <c r="E2336" s="31">
        <v>-0.99</v>
      </c>
      <c r="F2336" s="31">
        <v>3540874600</v>
      </c>
    </row>
    <row r="2337" spans="1:6" ht="15" thickBot="1" x14ac:dyDescent="0.2">
      <c r="A2337" s="30" t="s">
        <v>11102</v>
      </c>
      <c r="B2337" s="26" t="str">
        <f t="shared" si="36"/>
        <v>300872</v>
      </c>
      <c r="C2337" s="30" t="s">
        <v>4206</v>
      </c>
      <c r="D2337" s="31">
        <v>10.36</v>
      </c>
      <c r="E2337" s="31">
        <v>-2.2599999999999998</v>
      </c>
      <c r="F2337" s="31">
        <v>3540204600</v>
      </c>
    </row>
    <row r="2338" spans="1:6" ht="15" thickBot="1" x14ac:dyDescent="0.2">
      <c r="A2338" s="30" t="s">
        <v>11103</v>
      </c>
      <c r="B2338" s="26" t="str">
        <f t="shared" si="36"/>
        <v>002181</v>
      </c>
      <c r="C2338" s="30" t="s">
        <v>4829</v>
      </c>
      <c r="D2338" s="31">
        <v>3.12</v>
      </c>
      <c r="E2338" s="31">
        <v>-1.27</v>
      </c>
      <c r="F2338" s="31">
        <v>3539522900</v>
      </c>
    </row>
    <row r="2339" spans="1:6" ht="15" thickBot="1" x14ac:dyDescent="0.2">
      <c r="A2339" s="30" t="s">
        <v>11104</v>
      </c>
      <c r="B2339" s="26" t="str">
        <f t="shared" si="36"/>
        <v>603890</v>
      </c>
      <c r="C2339" s="30" t="s">
        <v>4721</v>
      </c>
      <c r="D2339" s="31">
        <v>8.06</v>
      </c>
      <c r="E2339" s="31">
        <v>-3.36</v>
      </c>
      <c r="F2339" s="31">
        <v>3538696500</v>
      </c>
    </row>
    <row r="2340" spans="1:6" ht="15" thickBot="1" x14ac:dyDescent="0.2">
      <c r="A2340" s="30" t="s">
        <v>11105</v>
      </c>
      <c r="B2340" s="26" t="str">
        <f t="shared" si="36"/>
        <v>300351</v>
      </c>
      <c r="C2340" s="30" t="s">
        <v>3435</v>
      </c>
      <c r="D2340" s="31">
        <v>13.58</v>
      </c>
      <c r="E2340" s="31">
        <v>-1.17</v>
      </c>
      <c r="F2340" s="31">
        <v>3534476100</v>
      </c>
    </row>
    <row r="2341" spans="1:6" ht="15" thickBot="1" x14ac:dyDescent="0.2">
      <c r="A2341" s="30" t="s">
        <v>11106</v>
      </c>
      <c r="B2341" s="26" t="str">
        <f t="shared" si="36"/>
        <v>300067</v>
      </c>
      <c r="C2341" s="30" t="s">
        <v>4550</v>
      </c>
      <c r="D2341" s="31">
        <v>3.77</v>
      </c>
      <c r="E2341" s="31">
        <v>-7.6</v>
      </c>
      <c r="F2341" s="31">
        <v>3534313500</v>
      </c>
    </row>
    <row r="2342" spans="1:6" ht="15" thickBot="1" x14ac:dyDescent="0.2">
      <c r="A2342" s="30" t="s">
        <v>11107</v>
      </c>
      <c r="B2342" s="26" t="str">
        <f t="shared" si="36"/>
        <v>300435</v>
      </c>
      <c r="C2342" s="30" t="s">
        <v>4616</v>
      </c>
      <c r="D2342" s="31">
        <v>9.58</v>
      </c>
      <c r="E2342" s="31">
        <v>-2.15</v>
      </c>
      <c r="F2342" s="31">
        <v>3533688200</v>
      </c>
    </row>
    <row r="2343" spans="1:6" ht="15" thickBot="1" x14ac:dyDescent="0.2">
      <c r="A2343" s="30" t="s">
        <v>11108</v>
      </c>
      <c r="B2343" s="26" t="str">
        <f t="shared" si="36"/>
        <v>600815</v>
      </c>
      <c r="C2343" s="30" t="s">
        <v>5084</v>
      </c>
      <c r="D2343" s="31">
        <v>1.99</v>
      </c>
      <c r="E2343" s="31">
        <v>3.11</v>
      </c>
      <c r="F2343" s="31">
        <v>3530448000</v>
      </c>
    </row>
    <row r="2344" spans="1:6" ht="15" thickBot="1" x14ac:dyDescent="0.2">
      <c r="A2344" s="30" t="s">
        <v>11109</v>
      </c>
      <c r="B2344" s="26" t="str">
        <f t="shared" si="36"/>
        <v>603629</v>
      </c>
      <c r="C2344" s="30" t="s">
        <v>4644</v>
      </c>
      <c r="D2344" s="31">
        <v>13.85</v>
      </c>
      <c r="E2344" s="31">
        <v>-1.35</v>
      </c>
      <c r="F2344" s="31">
        <v>3528980000</v>
      </c>
    </row>
    <row r="2345" spans="1:6" ht="15" thickBot="1" x14ac:dyDescent="0.2">
      <c r="A2345" s="30" t="s">
        <v>11110</v>
      </c>
      <c r="B2345" s="26" t="str">
        <f t="shared" si="36"/>
        <v>600758</v>
      </c>
      <c r="C2345" s="30" t="s">
        <v>4996</v>
      </c>
      <c r="D2345" s="31">
        <v>2.67</v>
      </c>
      <c r="E2345" s="31">
        <v>-0.37</v>
      </c>
      <c r="F2345" s="31">
        <v>3526384900</v>
      </c>
    </row>
    <row r="2346" spans="1:6" ht="15" thickBot="1" x14ac:dyDescent="0.2">
      <c r="A2346" s="30" t="s">
        <v>11111</v>
      </c>
      <c r="B2346" s="26" t="str">
        <f t="shared" si="36"/>
        <v>301205</v>
      </c>
      <c r="C2346" s="30" t="s">
        <v>11112</v>
      </c>
      <c r="D2346" s="31">
        <v>51.86</v>
      </c>
      <c r="E2346" s="31">
        <v>-6.46</v>
      </c>
      <c r="F2346" s="31">
        <v>3524316400</v>
      </c>
    </row>
    <row r="2347" spans="1:6" ht="15" thickBot="1" x14ac:dyDescent="0.2">
      <c r="A2347" s="30" t="s">
        <v>11113</v>
      </c>
      <c r="B2347" s="26" t="str">
        <f t="shared" si="36"/>
        <v>600979</v>
      </c>
      <c r="C2347" s="30" t="s">
        <v>4710</v>
      </c>
      <c r="D2347" s="31">
        <v>2.86</v>
      </c>
      <c r="E2347" s="31">
        <v>1.78</v>
      </c>
      <c r="F2347" s="31">
        <v>3524263000</v>
      </c>
    </row>
    <row r="2348" spans="1:6" ht="15" thickBot="1" x14ac:dyDescent="0.2">
      <c r="A2348" s="30" t="s">
        <v>11114</v>
      </c>
      <c r="B2348" s="26" t="str">
        <f t="shared" si="36"/>
        <v>002810</v>
      </c>
      <c r="C2348" s="30" t="s">
        <v>4460</v>
      </c>
      <c r="D2348" s="31">
        <v>11.01</v>
      </c>
      <c r="E2348" s="31">
        <v>-1.96</v>
      </c>
      <c r="F2348" s="31">
        <v>3523195000</v>
      </c>
    </row>
    <row r="2349" spans="1:6" ht="15" thickBot="1" x14ac:dyDescent="0.2">
      <c r="A2349" s="30" t="s">
        <v>11115</v>
      </c>
      <c r="B2349" s="26" t="str">
        <f t="shared" si="36"/>
        <v>000973</v>
      </c>
      <c r="C2349" s="30" t="s">
        <v>4877</v>
      </c>
      <c r="D2349" s="31">
        <v>3.64</v>
      </c>
      <c r="E2349" s="31">
        <v>-0.55000000000000004</v>
      </c>
      <c r="F2349" s="31">
        <v>3521420300</v>
      </c>
    </row>
    <row r="2350" spans="1:6" ht="15" thickBot="1" x14ac:dyDescent="0.2">
      <c r="A2350" s="30" t="s">
        <v>11116</v>
      </c>
      <c r="B2350" s="26" t="str">
        <f t="shared" si="36"/>
        <v>300396</v>
      </c>
      <c r="C2350" s="30" t="s">
        <v>4751</v>
      </c>
      <c r="D2350" s="31">
        <v>12.92</v>
      </c>
      <c r="E2350" s="31">
        <v>-1.22</v>
      </c>
      <c r="F2350" s="31">
        <v>3519843300</v>
      </c>
    </row>
    <row r="2351" spans="1:6" ht="15" thickBot="1" x14ac:dyDescent="0.2">
      <c r="A2351" s="30" t="s">
        <v>11117</v>
      </c>
      <c r="B2351" s="26" t="str">
        <f t="shared" si="36"/>
        <v>300252</v>
      </c>
      <c r="C2351" s="30" t="s">
        <v>4094</v>
      </c>
      <c r="D2351" s="31">
        <v>6.55</v>
      </c>
      <c r="E2351" s="31">
        <v>0.31</v>
      </c>
      <c r="F2351" s="31">
        <v>3517554700</v>
      </c>
    </row>
    <row r="2352" spans="1:6" ht="15" thickBot="1" x14ac:dyDescent="0.2">
      <c r="A2352" s="30" t="s">
        <v>11118</v>
      </c>
      <c r="B2352" s="26" t="str">
        <f t="shared" si="36"/>
        <v>002907</v>
      </c>
      <c r="C2352" s="30" t="s">
        <v>3767</v>
      </c>
      <c r="D2352" s="31">
        <v>11.38</v>
      </c>
      <c r="E2352" s="31">
        <v>-2.15</v>
      </c>
      <c r="F2352" s="31">
        <v>3515146400</v>
      </c>
    </row>
    <row r="2353" spans="1:6" ht="15" thickBot="1" x14ac:dyDescent="0.2">
      <c r="A2353" s="30" t="s">
        <v>11119</v>
      </c>
      <c r="B2353" s="26" t="str">
        <f t="shared" si="36"/>
        <v>688388</v>
      </c>
      <c r="C2353" s="30" t="s">
        <v>4735</v>
      </c>
      <c r="D2353" s="31">
        <v>8.24</v>
      </c>
      <c r="E2353" s="31">
        <v>-1.91</v>
      </c>
      <c r="F2353" s="31">
        <v>3512201700</v>
      </c>
    </row>
    <row r="2354" spans="1:6" ht="15" thickBot="1" x14ac:dyDescent="0.2">
      <c r="A2354" s="30" t="s">
        <v>11120</v>
      </c>
      <c r="B2354" s="26" t="str">
        <f t="shared" si="36"/>
        <v>002892</v>
      </c>
      <c r="C2354" s="30" t="s">
        <v>3467</v>
      </c>
      <c r="D2354" s="31">
        <v>8.85</v>
      </c>
      <c r="E2354" s="31">
        <v>-2.5299999999999998</v>
      </c>
      <c r="F2354" s="31">
        <v>3508988200</v>
      </c>
    </row>
    <row r="2355" spans="1:6" ht="15" thickBot="1" x14ac:dyDescent="0.2">
      <c r="A2355" s="30" t="s">
        <v>11121</v>
      </c>
      <c r="B2355" s="26" t="str">
        <f t="shared" si="36"/>
        <v>603558</v>
      </c>
      <c r="C2355" s="30" t="s">
        <v>4937</v>
      </c>
      <c r="D2355" s="31">
        <v>9.5</v>
      </c>
      <c r="E2355" s="31">
        <v>2.04</v>
      </c>
      <c r="F2355" s="31">
        <v>3506269000</v>
      </c>
    </row>
    <row r="2356" spans="1:6" ht="15" thickBot="1" x14ac:dyDescent="0.2">
      <c r="A2356" s="30" t="s">
        <v>11122</v>
      </c>
      <c r="B2356" s="26" t="str">
        <f t="shared" si="36"/>
        <v>603867</v>
      </c>
      <c r="C2356" s="30" t="s">
        <v>4821</v>
      </c>
      <c r="D2356" s="31">
        <v>18.89</v>
      </c>
      <c r="E2356" s="31">
        <v>-1.1000000000000001</v>
      </c>
      <c r="F2356" s="31">
        <v>3505822900</v>
      </c>
    </row>
    <row r="2357" spans="1:6" ht="15" thickBot="1" x14ac:dyDescent="0.2">
      <c r="A2357" s="30" t="s">
        <v>11123</v>
      </c>
      <c r="B2357" s="26" t="str">
        <f t="shared" si="36"/>
        <v>002708</v>
      </c>
      <c r="C2357" s="30" t="s">
        <v>4364</v>
      </c>
      <c r="D2357" s="31">
        <v>7.08</v>
      </c>
      <c r="E2357" s="31">
        <v>0.71</v>
      </c>
      <c r="F2357" s="31">
        <v>3502230800</v>
      </c>
    </row>
    <row r="2358" spans="1:6" ht="15" thickBot="1" x14ac:dyDescent="0.2">
      <c r="A2358" s="30" t="s">
        <v>11124</v>
      </c>
      <c r="B2358" s="26" t="str">
        <f t="shared" si="36"/>
        <v>002512</v>
      </c>
      <c r="C2358" s="30" t="s">
        <v>4358</v>
      </c>
      <c r="D2358" s="31">
        <v>3.34</v>
      </c>
      <c r="E2358" s="31">
        <v>-1.48</v>
      </c>
      <c r="F2358" s="31">
        <v>3501839600</v>
      </c>
    </row>
    <row r="2359" spans="1:6" ht="15" thickBot="1" x14ac:dyDescent="0.2">
      <c r="A2359" s="30" t="s">
        <v>11125</v>
      </c>
      <c r="B2359" s="26" t="str">
        <f t="shared" si="36"/>
        <v>300446</v>
      </c>
      <c r="C2359" s="30" t="s">
        <v>2109</v>
      </c>
      <c r="D2359" s="31">
        <v>11.24</v>
      </c>
      <c r="E2359" s="31">
        <v>0.27</v>
      </c>
      <c r="F2359" s="31">
        <v>3501669300</v>
      </c>
    </row>
    <row r="2360" spans="1:6" ht="15" thickBot="1" x14ac:dyDescent="0.2">
      <c r="A2360" s="30" t="s">
        <v>11126</v>
      </c>
      <c r="B2360" s="26" t="str">
        <f t="shared" si="36"/>
        <v>300429</v>
      </c>
      <c r="C2360" s="30" t="s">
        <v>3740</v>
      </c>
      <c r="D2360" s="31">
        <v>9.26</v>
      </c>
      <c r="E2360" s="31">
        <v>2.21</v>
      </c>
      <c r="F2360" s="31">
        <v>3496679300</v>
      </c>
    </row>
    <row r="2361" spans="1:6" ht="15" thickBot="1" x14ac:dyDescent="0.2">
      <c r="A2361" s="30" t="s">
        <v>11127</v>
      </c>
      <c r="B2361" s="26" t="str">
        <f t="shared" si="36"/>
        <v>000751</v>
      </c>
      <c r="C2361" s="30" t="s">
        <v>4488</v>
      </c>
      <c r="D2361" s="31">
        <v>2.48</v>
      </c>
      <c r="E2361" s="31">
        <v>0</v>
      </c>
      <c r="F2361" s="31">
        <v>3496474600</v>
      </c>
    </row>
    <row r="2362" spans="1:6" ht="15" thickBot="1" x14ac:dyDescent="0.2">
      <c r="A2362" s="30" t="s">
        <v>11128</v>
      </c>
      <c r="B2362" s="26" t="str">
        <f t="shared" si="36"/>
        <v>000993</v>
      </c>
      <c r="C2362" s="30" t="s">
        <v>4972</v>
      </c>
      <c r="D2362" s="31">
        <v>7.95</v>
      </c>
      <c r="E2362" s="31">
        <v>1.92</v>
      </c>
      <c r="F2362" s="31">
        <v>3495993200</v>
      </c>
    </row>
    <row r="2363" spans="1:6" ht="15" thickBot="1" x14ac:dyDescent="0.2">
      <c r="A2363" s="30" t="s">
        <v>11129</v>
      </c>
      <c r="B2363" s="26" t="str">
        <f t="shared" si="36"/>
        <v>300975</v>
      </c>
      <c r="C2363" s="30" t="s">
        <v>3481</v>
      </c>
      <c r="D2363" s="31">
        <v>7.45</v>
      </c>
      <c r="E2363" s="31">
        <v>-0.93</v>
      </c>
      <c r="F2363" s="31">
        <v>3490747100</v>
      </c>
    </row>
    <row r="2364" spans="1:6" ht="15" thickBot="1" x14ac:dyDescent="0.2">
      <c r="A2364" s="30" t="s">
        <v>11130</v>
      </c>
      <c r="B2364" s="26" t="str">
        <f t="shared" si="36"/>
        <v>002383</v>
      </c>
      <c r="C2364" s="30" t="s">
        <v>4158</v>
      </c>
      <c r="D2364" s="31">
        <v>5.66</v>
      </c>
      <c r="E2364" s="31">
        <v>-0.7</v>
      </c>
      <c r="F2364" s="31">
        <v>3488231300</v>
      </c>
    </row>
    <row r="2365" spans="1:6" ht="15" thickBot="1" x14ac:dyDescent="0.2">
      <c r="A2365" s="30" t="s">
        <v>11131</v>
      </c>
      <c r="B2365" s="26" t="str">
        <f t="shared" si="36"/>
        <v>300740</v>
      </c>
      <c r="C2365" s="30" t="s">
        <v>4484</v>
      </c>
      <c r="D2365" s="31">
        <v>9.76</v>
      </c>
      <c r="E2365" s="31">
        <v>-1.91</v>
      </c>
      <c r="F2365" s="31">
        <v>3488054500</v>
      </c>
    </row>
    <row r="2366" spans="1:6" ht="15" thickBot="1" x14ac:dyDescent="0.2">
      <c r="A2366" s="30" t="s">
        <v>11132</v>
      </c>
      <c r="B2366" s="26" t="str">
        <f t="shared" si="36"/>
        <v>600851</v>
      </c>
      <c r="C2366" s="30" t="s">
        <v>4268</v>
      </c>
      <c r="D2366" s="31">
        <v>4.72</v>
      </c>
      <c r="E2366" s="31">
        <v>-2.2799999999999998</v>
      </c>
      <c r="F2366" s="31">
        <v>3484332800</v>
      </c>
    </row>
    <row r="2367" spans="1:6" ht="15" thickBot="1" x14ac:dyDescent="0.2">
      <c r="A2367" s="30" t="s">
        <v>11133</v>
      </c>
      <c r="B2367" s="26" t="str">
        <f t="shared" si="36"/>
        <v>688612</v>
      </c>
      <c r="C2367" s="30" t="s">
        <v>11134</v>
      </c>
      <c r="D2367" s="31">
        <v>18</v>
      </c>
      <c r="E2367" s="31">
        <v>-0.88</v>
      </c>
      <c r="F2367" s="31">
        <v>3476474900</v>
      </c>
    </row>
    <row r="2368" spans="1:6" ht="15" thickBot="1" x14ac:dyDescent="0.2">
      <c r="A2368" s="30" t="s">
        <v>11135</v>
      </c>
      <c r="B2368" s="26" t="str">
        <f t="shared" si="36"/>
        <v>002376</v>
      </c>
      <c r="C2368" s="30" t="s">
        <v>4899</v>
      </c>
      <c r="D2368" s="31">
        <v>5.55</v>
      </c>
      <c r="E2368" s="31">
        <v>1.0900000000000001</v>
      </c>
      <c r="F2368" s="31">
        <v>3470508000</v>
      </c>
    </row>
    <row r="2369" spans="1:6" ht="15" thickBot="1" x14ac:dyDescent="0.2">
      <c r="A2369" s="30" t="s">
        <v>11136</v>
      </c>
      <c r="B2369" s="26" t="str">
        <f t="shared" si="36"/>
        <v>002269</v>
      </c>
      <c r="C2369" s="30" t="s">
        <v>4994</v>
      </c>
      <c r="D2369" s="31">
        <v>1.38</v>
      </c>
      <c r="E2369" s="31">
        <v>0</v>
      </c>
      <c r="F2369" s="31">
        <v>3467250000</v>
      </c>
    </row>
    <row r="2370" spans="1:6" ht="15" thickBot="1" x14ac:dyDescent="0.2">
      <c r="A2370" s="30" t="s">
        <v>11137</v>
      </c>
      <c r="B2370" s="26" t="str">
        <f t="shared" si="36"/>
        <v>600361</v>
      </c>
      <c r="C2370" s="30" t="s">
        <v>1507</v>
      </c>
      <c r="D2370" s="31">
        <v>3.47</v>
      </c>
      <c r="E2370" s="31">
        <v>-0.28999999999999998</v>
      </c>
      <c r="F2370" s="31">
        <v>3464455500</v>
      </c>
    </row>
    <row r="2371" spans="1:6" ht="15" thickBot="1" x14ac:dyDescent="0.2">
      <c r="A2371" s="30" t="s">
        <v>11138</v>
      </c>
      <c r="B2371" s="26" t="str">
        <f t="shared" ref="B2371:B2434" si="37">LEFT(A2371,6)</f>
        <v>002356</v>
      </c>
      <c r="C2371" s="30" t="s">
        <v>4907</v>
      </c>
      <c r="D2371" s="31">
        <v>2.64</v>
      </c>
      <c r="E2371" s="31">
        <v>-0.75</v>
      </c>
      <c r="F2371" s="31">
        <v>3461711900</v>
      </c>
    </row>
    <row r="2372" spans="1:6" ht="15" thickBot="1" x14ac:dyDescent="0.2">
      <c r="A2372" s="30" t="s">
        <v>11139</v>
      </c>
      <c r="B2372" s="26" t="str">
        <f t="shared" si="37"/>
        <v>300358</v>
      </c>
      <c r="C2372" s="30" t="s">
        <v>4723</v>
      </c>
      <c r="D2372" s="31">
        <v>6.1</v>
      </c>
      <c r="E2372" s="31">
        <v>-1.1399999999999999</v>
      </c>
      <c r="F2372" s="31">
        <v>3461419100</v>
      </c>
    </row>
    <row r="2373" spans="1:6" ht="15" thickBot="1" x14ac:dyDescent="0.2">
      <c r="A2373" s="30" t="s">
        <v>11140</v>
      </c>
      <c r="B2373" s="26" t="str">
        <f t="shared" si="37"/>
        <v>300850</v>
      </c>
      <c r="C2373" s="30" t="s">
        <v>3515</v>
      </c>
      <c r="D2373" s="31">
        <v>14.09</v>
      </c>
      <c r="E2373" s="31">
        <v>-0.71</v>
      </c>
      <c r="F2373" s="31">
        <v>3458323100</v>
      </c>
    </row>
    <row r="2374" spans="1:6" ht="15" thickBot="1" x14ac:dyDescent="0.2">
      <c r="A2374" s="30" t="s">
        <v>11141</v>
      </c>
      <c r="B2374" s="26" t="str">
        <f t="shared" si="37"/>
        <v>603155</v>
      </c>
      <c r="C2374" s="30" t="s">
        <v>4929</v>
      </c>
      <c r="D2374" s="31">
        <v>10.95</v>
      </c>
      <c r="E2374" s="31">
        <v>0.64</v>
      </c>
      <c r="F2374" s="31">
        <v>3457865500</v>
      </c>
    </row>
    <row r="2375" spans="1:6" ht="15" thickBot="1" x14ac:dyDescent="0.2">
      <c r="A2375" s="30" t="s">
        <v>11142</v>
      </c>
      <c r="B2375" s="26" t="str">
        <f t="shared" si="37"/>
        <v>605277</v>
      </c>
      <c r="C2375" s="30" t="s">
        <v>4696</v>
      </c>
      <c r="D2375" s="31">
        <v>11.01</v>
      </c>
      <c r="E2375" s="31">
        <v>0.37</v>
      </c>
      <c r="F2375" s="31">
        <v>3456945900</v>
      </c>
    </row>
    <row r="2376" spans="1:6" ht="15" thickBot="1" x14ac:dyDescent="0.2">
      <c r="A2376" s="30" t="s">
        <v>11143</v>
      </c>
      <c r="B2376" s="26" t="str">
        <f t="shared" si="37"/>
        <v>002510</v>
      </c>
      <c r="C2376" s="30" t="s">
        <v>4921</v>
      </c>
      <c r="D2376" s="31">
        <v>3.71</v>
      </c>
      <c r="E2376" s="31">
        <v>0</v>
      </c>
      <c r="F2376" s="31">
        <v>3456849200</v>
      </c>
    </row>
    <row r="2377" spans="1:6" ht="15" thickBot="1" x14ac:dyDescent="0.2">
      <c r="A2377" s="30" t="s">
        <v>11144</v>
      </c>
      <c r="B2377" s="26" t="str">
        <f t="shared" si="37"/>
        <v>688212</v>
      </c>
      <c r="C2377" s="30" t="s">
        <v>11145</v>
      </c>
      <c r="D2377" s="31">
        <v>37.22</v>
      </c>
      <c r="E2377" s="31">
        <v>-5.53</v>
      </c>
      <c r="F2377" s="31">
        <v>3452692800</v>
      </c>
    </row>
    <row r="2378" spans="1:6" ht="15" thickBot="1" x14ac:dyDescent="0.2">
      <c r="A2378" s="30" t="s">
        <v>11146</v>
      </c>
      <c r="B2378" s="26" t="str">
        <f t="shared" si="37"/>
        <v>600841</v>
      </c>
      <c r="C2378" s="30" t="s">
        <v>4084</v>
      </c>
      <c r="D2378" s="31">
        <v>3.75</v>
      </c>
      <c r="E2378" s="31">
        <v>-3.35</v>
      </c>
      <c r="F2378" s="31">
        <v>3450540400</v>
      </c>
    </row>
    <row r="2379" spans="1:6" ht="15" thickBot="1" x14ac:dyDescent="0.2">
      <c r="A2379" s="30" t="s">
        <v>11147</v>
      </c>
      <c r="B2379" s="26" t="str">
        <f t="shared" si="37"/>
        <v>000802</v>
      </c>
      <c r="C2379" s="30" t="s">
        <v>4956</v>
      </c>
      <c r="D2379" s="31">
        <v>4.82</v>
      </c>
      <c r="E2379" s="31">
        <v>-1.43</v>
      </c>
      <c r="F2379" s="31">
        <v>3448542500</v>
      </c>
    </row>
    <row r="2380" spans="1:6" ht="15" thickBot="1" x14ac:dyDescent="0.2">
      <c r="A2380" s="30" t="s">
        <v>11148</v>
      </c>
      <c r="B2380" s="26" t="str">
        <f t="shared" si="37"/>
        <v>600992</v>
      </c>
      <c r="C2380" s="30" t="s">
        <v>5344</v>
      </c>
      <c r="D2380" s="31">
        <v>14.07</v>
      </c>
      <c r="E2380" s="31">
        <v>-1.47</v>
      </c>
      <c r="F2380" s="31">
        <v>3448416300</v>
      </c>
    </row>
    <row r="2381" spans="1:6" ht="15" thickBot="1" x14ac:dyDescent="0.2">
      <c r="A2381" s="30" t="s">
        <v>11149</v>
      </c>
      <c r="B2381" s="26" t="str">
        <f t="shared" si="37"/>
        <v>603815</v>
      </c>
      <c r="C2381" s="30" t="s">
        <v>5202</v>
      </c>
      <c r="D2381" s="31">
        <v>5.57</v>
      </c>
      <c r="E2381" s="31">
        <v>0</v>
      </c>
      <c r="F2381" s="31">
        <v>3447408000</v>
      </c>
    </row>
    <row r="2382" spans="1:6" ht="15" thickBot="1" x14ac:dyDescent="0.2">
      <c r="A2382" s="30" t="s">
        <v>11150</v>
      </c>
      <c r="B2382" s="26" t="str">
        <f t="shared" si="37"/>
        <v>600698</v>
      </c>
      <c r="C2382" s="30" t="s">
        <v>4931</v>
      </c>
      <c r="D2382" s="31">
        <v>4.1500000000000004</v>
      </c>
      <c r="E2382" s="31">
        <v>1.22</v>
      </c>
      <c r="F2382" s="31">
        <v>3445932900</v>
      </c>
    </row>
    <row r="2383" spans="1:6" ht="15" thickBot="1" x14ac:dyDescent="0.2">
      <c r="A2383" s="30" t="s">
        <v>11151</v>
      </c>
      <c r="B2383" s="26" t="str">
        <f t="shared" si="37"/>
        <v>300590</v>
      </c>
      <c r="C2383" s="30" t="s">
        <v>3921</v>
      </c>
      <c r="D2383" s="31">
        <v>9.74</v>
      </c>
      <c r="E2383" s="31">
        <v>-1.91</v>
      </c>
      <c r="F2383" s="31">
        <v>3445881200</v>
      </c>
    </row>
    <row r="2384" spans="1:6" ht="15" thickBot="1" x14ac:dyDescent="0.2">
      <c r="A2384" s="30" t="s">
        <v>11152</v>
      </c>
      <c r="B2384" s="26" t="str">
        <f t="shared" si="37"/>
        <v>002166</v>
      </c>
      <c r="C2384" s="30" t="s">
        <v>3613</v>
      </c>
      <c r="D2384" s="31">
        <v>6.7</v>
      </c>
      <c r="E2384" s="31">
        <v>-0.59</v>
      </c>
      <c r="F2384" s="31">
        <v>3440645200</v>
      </c>
    </row>
    <row r="2385" spans="1:6" ht="15" thickBot="1" x14ac:dyDescent="0.2">
      <c r="A2385" s="30" t="s">
        <v>11153</v>
      </c>
      <c r="B2385" s="26" t="str">
        <f t="shared" si="37"/>
        <v>002140</v>
      </c>
      <c r="C2385" s="30" t="s">
        <v>3974</v>
      </c>
      <c r="D2385" s="31">
        <v>6.35</v>
      </c>
      <c r="E2385" s="31">
        <v>-0.63</v>
      </c>
      <c r="F2385" s="31">
        <v>3438591700</v>
      </c>
    </row>
    <row r="2386" spans="1:6" ht="15" thickBot="1" x14ac:dyDescent="0.2">
      <c r="A2386" s="30" t="s">
        <v>11154</v>
      </c>
      <c r="B2386" s="26" t="str">
        <f t="shared" si="37"/>
        <v>002869</v>
      </c>
      <c r="C2386" s="30" t="s">
        <v>4414</v>
      </c>
      <c r="D2386" s="31">
        <v>21.59</v>
      </c>
      <c r="E2386" s="31">
        <v>-0.23</v>
      </c>
      <c r="F2386" s="31">
        <v>3438428900</v>
      </c>
    </row>
    <row r="2387" spans="1:6" ht="15" thickBot="1" x14ac:dyDescent="0.2">
      <c r="A2387" s="30" t="s">
        <v>11155</v>
      </c>
      <c r="B2387" s="26" t="str">
        <f t="shared" si="37"/>
        <v>002263</v>
      </c>
      <c r="C2387" s="30" t="s">
        <v>5062</v>
      </c>
      <c r="D2387" s="31">
        <v>1.83</v>
      </c>
      <c r="E2387" s="31">
        <v>-1.08</v>
      </c>
      <c r="F2387" s="31">
        <v>3437371500</v>
      </c>
    </row>
    <row r="2388" spans="1:6" ht="15" thickBot="1" x14ac:dyDescent="0.2">
      <c r="A2388" s="30" t="s">
        <v>11156</v>
      </c>
      <c r="B2388" s="26" t="str">
        <f t="shared" si="37"/>
        <v>002791</v>
      </c>
      <c r="C2388" s="30" t="s">
        <v>2716</v>
      </c>
      <c r="D2388" s="31">
        <v>20.91</v>
      </c>
      <c r="E2388" s="31">
        <v>3.11</v>
      </c>
      <c r="F2388" s="31">
        <v>3435611800</v>
      </c>
    </row>
    <row r="2389" spans="1:6" ht="15" thickBot="1" x14ac:dyDescent="0.2">
      <c r="A2389" s="30" t="s">
        <v>11157</v>
      </c>
      <c r="B2389" s="26" t="str">
        <f t="shared" si="37"/>
        <v>000505</v>
      </c>
      <c r="C2389" s="30" t="s">
        <v>4843</v>
      </c>
      <c r="D2389" s="31">
        <v>5.43</v>
      </c>
      <c r="E2389" s="31">
        <v>-1.45</v>
      </c>
      <c r="F2389" s="31">
        <v>3433825200</v>
      </c>
    </row>
    <row r="2390" spans="1:6" ht="15" thickBot="1" x14ac:dyDescent="0.2">
      <c r="A2390" s="30" t="s">
        <v>11158</v>
      </c>
      <c r="B2390" s="26" t="str">
        <f t="shared" si="37"/>
        <v>688533</v>
      </c>
      <c r="C2390" s="30" t="s">
        <v>4805</v>
      </c>
      <c r="D2390" s="31">
        <v>21.46</v>
      </c>
      <c r="E2390" s="31">
        <v>-0.97</v>
      </c>
      <c r="F2390" s="31">
        <v>3433623300</v>
      </c>
    </row>
    <row r="2391" spans="1:6" ht="15" thickBot="1" x14ac:dyDescent="0.2">
      <c r="A2391" s="30" t="s">
        <v>11159</v>
      </c>
      <c r="B2391" s="26" t="str">
        <f t="shared" si="37"/>
        <v>603931</v>
      </c>
      <c r="C2391" s="30" t="s">
        <v>4919</v>
      </c>
      <c r="D2391" s="31">
        <v>17.2</v>
      </c>
      <c r="E2391" s="31">
        <v>1.78</v>
      </c>
      <c r="F2391" s="31">
        <v>3432404100</v>
      </c>
    </row>
    <row r="2392" spans="1:6" ht="15" thickBot="1" x14ac:dyDescent="0.2">
      <c r="A2392" s="30" t="s">
        <v>11160</v>
      </c>
      <c r="B2392" s="26" t="str">
        <f t="shared" si="37"/>
        <v>002637</v>
      </c>
      <c r="C2392" s="30" t="s">
        <v>4664</v>
      </c>
      <c r="D2392" s="31">
        <v>7.75</v>
      </c>
      <c r="E2392" s="31">
        <v>-1.4</v>
      </c>
      <c r="F2392" s="31">
        <v>3431104400</v>
      </c>
    </row>
    <row r="2393" spans="1:6" ht="15" thickBot="1" x14ac:dyDescent="0.2">
      <c r="A2393" s="30" t="s">
        <v>11161</v>
      </c>
      <c r="B2393" s="26" t="str">
        <f t="shared" si="37"/>
        <v>603918</v>
      </c>
      <c r="C2393" s="30" t="s">
        <v>4853</v>
      </c>
      <c r="D2393" s="31">
        <v>9.36</v>
      </c>
      <c r="E2393" s="31">
        <v>-1.06</v>
      </c>
      <c r="F2393" s="31">
        <v>3427899900</v>
      </c>
    </row>
    <row r="2394" spans="1:6" ht="15" thickBot="1" x14ac:dyDescent="0.2">
      <c r="A2394" s="30" t="s">
        <v>11162</v>
      </c>
      <c r="B2394" s="26" t="str">
        <f t="shared" si="37"/>
        <v>601599</v>
      </c>
      <c r="C2394" s="30" t="s">
        <v>5014</v>
      </c>
      <c r="D2394" s="31">
        <v>2.95</v>
      </c>
      <c r="E2394" s="31">
        <v>-1.34</v>
      </c>
      <c r="F2394" s="31">
        <v>3423600200</v>
      </c>
    </row>
    <row r="2395" spans="1:6" ht="15" thickBot="1" x14ac:dyDescent="0.2">
      <c r="A2395" s="30" t="s">
        <v>11163</v>
      </c>
      <c r="B2395" s="26" t="str">
        <f t="shared" si="37"/>
        <v>002779</v>
      </c>
      <c r="C2395" s="30" t="s">
        <v>4412</v>
      </c>
      <c r="D2395" s="31">
        <v>28.87</v>
      </c>
      <c r="E2395" s="31">
        <v>-2.5299999999999998</v>
      </c>
      <c r="F2395" s="31">
        <v>3419204700</v>
      </c>
    </row>
    <row r="2396" spans="1:6" ht="15" thickBot="1" x14ac:dyDescent="0.2">
      <c r="A2396" s="30" t="s">
        <v>11164</v>
      </c>
      <c r="B2396" s="26" t="str">
        <f t="shared" si="37"/>
        <v>002395</v>
      </c>
      <c r="C2396" s="30" t="s">
        <v>4958</v>
      </c>
      <c r="D2396" s="31">
        <v>12.74</v>
      </c>
      <c r="E2396" s="31">
        <v>-2.2999999999999998</v>
      </c>
      <c r="F2396" s="31">
        <v>3416982700</v>
      </c>
    </row>
    <row r="2397" spans="1:6" ht="15" thickBot="1" x14ac:dyDescent="0.2">
      <c r="A2397" s="30" t="s">
        <v>11165</v>
      </c>
      <c r="B2397" s="26" t="str">
        <f t="shared" si="37"/>
        <v>603823</v>
      </c>
      <c r="C2397" s="30" t="s">
        <v>4755</v>
      </c>
      <c r="D2397" s="31">
        <v>8.31</v>
      </c>
      <c r="E2397" s="31">
        <v>-1.42</v>
      </c>
      <c r="F2397" s="31">
        <v>3415671800</v>
      </c>
    </row>
    <row r="2398" spans="1:6" ht="15" thickBot="1" x14ac:dyDescent="0.2">
      <c r="A2398" s="30" t="s">
        <v>11166</v>
      </c>
      <c r="B2398" s="26" t="str">
        <f t="shared" si="37"/>
        <v>300968</v>
      </c>
      <c r="C2398" s="30" t="s">
        <v>4793</v>
      </c>
      <c r="D2398" s="31">
        <v>8.26</v>
      </c>
      <c r="E2398" s="31">
        <v>-2.02</v>
      </c>
      <c r="F2398" s="31">
        <v>3414518800</v>
      </c>
    </row>
    <row r="2399" spans="1:6" ht="15" thickBot="1" x14ac:dyDescent="0.2">
      <c r="A2399" s="30" t="s">
        <v>11167</v>
      </c>
      <c r="B2399" s="26" t="str">
        <f t="shared" si="37"/>
        <v>300494</v>
      </c>
      <c r="C2399" s="30" t="s">
        <v>4076</v>
      </c>
      <c r="D2399" s="31">
        <v>8.57</v>
      </c>
      <c r="E2399" s="31">
        <v>-1.72</v>
      </c>
      <c r="F2399" s="31">
        <v>3413425800</v>
      </c>
    </row>
    <row r="2400" spans="1:6" ht="15" thickBot="1" x14ac:dyDescent="0.2">
      <c r="A2400" s="30" t="s">
        <v>11168</v>
      </c>
      <c r="B2400" s="26" t="str">
        <f t="shared" si="37"/>
        <v>300880</v>
      </c>
      <c r="C2400" s="30" t="s">
        <v>4964</v>
      </c>
      <c r="D2400" s="31">
        <v>17.559999999999999</v>
      </c>
      <c r="E2400" s="31">
        <v>0.63</v>
      </c>
      <c r="F2400" s="31">
        <v>3409462200</v>
      </c>
    </row>
    <row r="2401" spans="1:6" ht="15" thickBot="1" x14ac:dyDescent="0.2">
      <c r="A2401" s="30" t="s">
        <v>11169</v>
      </c>
      <c r="B2401" s="26" t="str">
        <f t="shared" si="37"/>
        <v>300587</v>
      </c>
      <c r="C2401" s="30" t="s">
        <v>4222</v>
      </c>
      <c r="D2401" s="31">
        <v>3.59</v>
      </c>
      <c r="E2401" s="31">
        <v>-0.28000000000000003</v>
      </c>
      <c r="F2401" s="31">
        <v>3409266900</v>
      </c>
    </row>
    <row r="2402" spans="1:6" ht="15" thickBot="1" x14ac:dyDescent="0.2">
      <c r="A2402" s="30" t="s">
        <v>11170</v>
      </c>
      <c r="B2402" s="26" t="str">
        <f t="shared" si="37"/>
        <v>301078</v>
      </c>
      <c r="C2402" s="30" t="s">
        <v>11171</v>
      </c>
      <c r="D2402" s="31">
        <v>5.26</v>
      </c>
      <c r="E2402" s="31">
        <v>1.74</v>
      </c>
      <c r="F2402" s="31">
        <v>3407601700</v>
      </c>
    </row>
    <row r="2403" spans="1:6" ht="15" thickBot="1" x14ac:dyDescent="0.2">
      <c r="A2403" s="30" t="s">
        <v>11172</v>
      </c>
      <c r="B2403" s="26" t="str">
        <f t="shared" si="37"/>
        <v>300007</v>
      </c>
      <c r="C2403" s="30" t="s">
        <v>4390</v>
      </c>
      <c r="D2403" s="31">
        <v>12.04</v>
      </c>
      <c r="E2403" s="31">
        <v>-0.74</v>
      </c>
      <c r="F2403" s="31">
        <v>3407013300</v>
      </c>
    </row>
    <row r="2404" spans="1:6" ht="15" thickBot="1" x14ac:dyDescent="0.2">
      <c r="A2404" s="30" t="s">
        <v>11173</v>
      </c>
      <c r="B2404" s="26" t="str">
        <f t="shared" si="37"/>
        <v>000551</v>
      </c>
      <c r="C2404" s="30" t="s">
        <v>5050</v>
      </c>
      <c r="D2404" s="31">
        <v>8.48</v>
      </c>
      <c r="E2404" s="31">
        <v>0.83</v>
      </c>
      <c r="F2404" s="31">
        <v>3403718200</v>
      </c>
    </row>
    <row r="2405" spans="1:6" ht="15" thickBot="1" x14ac:dyDescent="0.2">
      <c r="A2405" s="30" t="s">
        <v>11174</v>
      </c>
      <c r="B2405" s="26" t="str">
        <f t="shared" si="37"/>
        <v>301316</v>
      </c>
      <c r="C2405" s="30" t="s">
        <v>11175</v>
      </c>
      <c r="D2405" s="31">
        <v>14.01</v>
      </c>
      <c r="E2405" s="31">
        <v>-0.28999999999999998</v>
      </c>
      <c r="F2405" s="31">
        <v>3401999300</v>
      </c>
    </row>
    <row r="2406" spans="1:6" ht="15" thickBot="1" x14ac:dyDescent="0.2">
      <c r="A2406" s="30" t="s">
        <v>11176</v>
      </c>
      <c r="B2406" s="26" t="str">
        <f t="shared" si="37"/>
        <v>002766</v>
      </c>
      <c r="C2406" s="30" t="s">
        <v>4923</v>
      </c>
      <c r="D2406" s="31">
        <v>4.01</v>
      </c>
      <c r="E2406" s="31">
        <v>-1.23</v>
      </c>
      <c r="F2406" s="31">
        <v>3401824100</v>
      </c>
    </row>
    <row r="2407" spans="1:6" ht="15" thickBot="1" x14ac:dyDescent="0.2">
      <c r="A2407" s="30" t="s">
        <v>11177</v>
      </c>
      <c r="B2407" s="26" t="str">
        <f t="shared" si="37"/>
        <v>002577</v>
      </c>
      <c r="C2407" s="30" t="s">
        <v>4875</v>
      </c>
      <c r="D2407" s="31">
        <v>12.02</v>
      </c>
      <c r="E2407" s="31">
        <v>-2.2000000000000002</v>
      </c>
      <c r="F2407" s="31">
        <v>3400037300</v>
      </c>
    </row>
    <row r="2408" spans="1:6" ht="15" thickBot="1" x14ac:dyDescent="0.2">
      <c r="A2408" s="30" t="s">
        <v>11178</v>
      </c>
      <c r="B2408" s="26" t="str">
        <f t="shared" si="37"/>
        <v>002642</v>
      </c>
      <c r="C2408" s="30" t="s">
        <v>4594</v>
      </c>
      <c r="D2408" s="31">
        <v>5.62</v>
      </c>
      <c r="E2408" s="31">
        <v>-2.6</v>
      </c>
      <c r="F2408" s="31">
        <v>3399184100</v>
      </c>
    </row>
    <row r="2409" spans="1:6" ht="15" thickBot="1" x14ac:dyDescent="0.2">
      <c r="A2409" s="30" t="s">
        <v>11179</v>
      </c>
      <c r="B2409" s="26" t="str">
        <f t="shared" si="37"/>
        <v>300276</v>
      </c>
      <c r="C2409" s="30" t="s">
        <v>3917</v>
      </c>
      <c r="D2409" s="31">
        <v>3.33</v>
      </c>
      <c r="E2409" s="31">
        <v>0.3</v>
      </c>
      <c r="F2409" s="31">
        <v>3399163800</v>
      </c>
    </row>
    <row r="2410" spans="1:6" ht="15" thickBot="1" x14ac:dyDescent="0.2">
      <c r="A2410" s="30" t="s">
        <v>11180</v>
      </c>
      <c r="B2410" s="26" t="str">
        <f t="shared" si="37"/>
        <v>600203</v>
      </c>
      <c r="C2410" s="30" t="s">
        <v>4960</v>
      </c>
      <c r="D2410" s="31">
        <v>5.73</v>
      </c>
      <c r="E2410" s="31">
        <v>-2.72</v>
      </c>
      <c r="F2410" s="31">
        <v>3397821700</v>
      </c>
    </row>
    <row r="2411" spans="1:6" ht="15" thickBot="1" x14ac:dyDescent="0.2">
      <c r="A2411" s="30" t="s">
        <v>11181</v>
      </c>
      <c r="B2411" s="26" t="str">
        <f t="shared" si="37"/>
        <v>688222</v>
      </c>
      <c r="C2411" s="30" t="s">
        <v>4925</v>
      </c>
      <c r="D2411" s="31">
        <v>8.4700000000000006</v>
      </c>
      <c r="E2411" s="31">
        <v>-1.05</v>
      </c>
      <c r="F2411" s="31">
        <v>3393759600</v>
      </c>
    </row>
    <row r="2412" spans="1:6" ht="15" thickBot="1" x14ac:dyDescent="0.2">
      <c r="A2412" s="30" t="s">
        <v>11182</v>
      </c>
      <c r="B2412" s="26" t="str">
        <f t="shared" si="37"/>
        <v>002818</v>
      </c>
      <c r="C2412" s="30" t="s">
        <v>2464</v>
      </c>
      <c r="D2412" s="31">
        <v>11.36</v>
      </c>
      <c r="E2412" s="31">
        <v>2.16</v>
      </c>
      <c r="F2412" s="31">
        <v>3389337700</v>
      </c>
    </row>
    <row r="2413" spans="1:6" ht="15" thickBot="1" x14ac:dyDescent="0.2">
      <c r="A2413" s="30" t="s">
        <v>11183</v>
      </c>
      <c r="B2413" s="26" t="str">
        <f t="shared" si="37"/>
        <v>002364</v>
      </c>
      <c r="C2413" s="30" t="s">
        <v>4952</v>
      </c>
      <c r="D2413" s="31">
        <v>6.07</v>
      </c>
      <c r="E2413" s="31">
        <v>-1.1399999999999999</v>
      </c>
      <c r="F2413" s="31">
        <v>3387693900</v>
      </c>
    </row>
    <row r="2414" spans="1:6" ht="15" thickBot="1" x14ac:dyDescent="0.2">
      <c r="A2414" s="30" t="s">
        <v>11184</v>
      </c>
      <c r="B2414" s="26" t="str">
        <f t="shared" si="37"/>
        <v>600666</v>
      </c>
      <c r="C2414" s="30" t="s">
        <v>4572</v>
      </c>
      <c r="D2414" s="31">
        <v>1.4</v>
      </c>
      <c r="E2414" s="31">
        <v>1.45</v>
      </c>
      <c r="F2414" s="31">
        <v>3387654100</v>
      </c>
    </row>
    <row r="2415" spans="1:6" ht="15" thickBot="1" x14ac:dyDescent="0.2">
      <c r="A2415" s="30" t="s">
        <v>11185</v>
      </c>
      <c r="B2415" s="26" t="str">
        <f t="shared" si="37"/>
        <v>301155</v>
      </c>
      <c r="C2415" s="30" t="s">
        <v>11186</v>
      </c>
      <c r="D2415" s="31">
        <v>37.15</v>
      </c>
      <c r="E2415" s="31">
        <v>-1.01</v>
      </c>
      <c r="F2415" s="31">
        <v>3385240300</v>
      </c>
    </row>
    <row r="2416" spans="1:6" ht="15" thickBot="1" x14ac:dyDescent="0.2">
      <c r="A2416" s="30" t="s">
        <v>11187</v>
      </c>
      <c r="B2416" s="26" t="str">
        <f t="shared" si="37"/>
        <v>002559</v>
      </c>
      <c r="C2416" s="30" t="s">
        <v>4612</v>
      </c>
      <c r="D2416" s="31">
        <v>6.76</v>
      </c>
      <c r="E2416" s="31">
        <v>-0.59</v>
      </c>
      <c r="F2416" s="31">
        <v>3383456700</v>
      </c>
    </row>
    <row r="2417" spans="1:6" ht="15" thickBot="1" x14ac:dyDescent="0.2">
      <c r="A2417" s="30" t="s">
        <v>11188</v>
      </c>
      <c r="B2417" s="26" t="str">
        <f t="shared" si="37"/>
        <v>300497</v>
      </c>
      <c r="C2417" s="30" t="s">
        <v>4253</v>
      </c>
      <c r="D2417" s="31">
        <v>7.49</v>
      </c>
      <c r="E2417" s="31">
        <v>-0.66</v>
      </c>
      <c r="F2417" s="31">
        <v>3382639300</v>
      </c>
    </row>
    <row r="2418" spans="1:6" ht="15" thickBot="1" x14ac:dyDescent="0.2">
      <c r="A2418" s="30" t="s">
        <v>11189</v>
      </c>
      <c r="B2418" s="26" t="str">
        <f t="shared" si="37"/>
        <v>688510</v>
      </c>
      <c r="C2418" s="30" t="s">
        <v>4839</v>
      </c>
      <c r="D2418" s="31">
        <v>13.09</v>
      </c>
      <c r="E2418" s="31">
        <v>-2.46</v>
      </c>
      <c r="F2418" s="31">
        <v>3382228300</v>
      </c>
    </row>
    <row r="2419" spans="1:6" ht="15" thickBot="1" x14ac:dyDescent="0.2">
      <c r="A2419" s="30" t="s">
        <v>11190</v>
      </c>
      <c r="B2419" s="26" t="str">
        <f t="shared" si="37"/>
        <v>300766</v>
      </c>
      <c r="C2419" s="30" t="s">
        <v>4564</v>
      </c>
      <c r="D2419" s="31">
        <v>9.5</v>
      </c>
      <c r="E2419" s="31">
        <v>-3.94</v>
      </c>
      <c r="F2419" s="31">
        <v>3378893900</v>
      </c>
    </row>
    <row r="2420" spans="1:6" ht="15" thickBot="1" x14ac:dyDescent="0.2">
      <c r="A2420" s="30" t="s">
        <v>11191</v>
      </c>
      <c r="B2420" s="26" t="str">
        <f t="shared" si="37"/>
        <v>601061</v>
      </c>
      <c r="C2420" s="30" t="s">
        <v>11192</v>
      </c>
      <c r="D2420" s="31">
        <v>6.74</v>
      </c>
      <c r="E2420" s="31">
        <v>0.3</v>
      </c>
      <c r="F2420" s="31">
        <v>3377776900</v>
      </c>
    </row>
    <row r="2421" spans="1:6" ht="15" thickBot="1" x14ac:dyDescent="0.2">
      <c r="A2421" s="30" t="s">
        <v>11193</v>
      </c>
      <c r="B2421" s="26" t="str">
        <f t="shared" si="37"/>
        <v>603595</v>
      </c>
      <c r="C2421" s="30" t="s">
        <v>4873</v>
      </c>
      <c r="D2421" s="31">
        <v>14.52</v>
      </c>
      <c r="E2421" s="31">
        <v>-1.83</v>
      </c>
      <c r="F2421" s="31">
        <v>3375062600</v>
      </c>
    </row>
    <row r="2422" spans="1:6" ht="15" thickBot="1" x14ac:dyDescent="0.2">
      <c r="A2422" s="30" t="s">
        <v>11194</v>
      </c>
      <c r="B2422" s="26" t="str">
        <f t="shared" si="37"/>
        <v>300523</v>
      </c>
      <c r="C2422" s="30" t="s">
        <v>5002</v>
      </c>
      <c r="D2422" s="31">
        <v>14.53</v>
      </c>
      <c r="E2422" s="31">
        <v>-1.49</v>
      </c>
      <c r="F2422" s="31">
        <v>3374851100</v>
      </c>
    </row>
    <row r="2423" spans="1:6" ht="15" thickBot="1" x14ac:dyDescent="0.2">
      <c r="A2423" s="30" t="s">
        <v>11195</v>
      </c>
      <c r="B2423" s="26" t="str">
        <f t="shared" si="37"/>
        <v>300712</v>
      </c>
      <c r="C2423" s="30" t="s">
        <v>4893</v>
      </c>
      <c r="D2423" s="31">
        <v>18.079999999999998</v>
      </c>
      <c r="E2423" s="31">
        <v>-1.63</v>
      </c>
      <c r="F2423" s="31">
        <v>3373775200</v>
      </c>
    </row>
    <row r="2424" spans="1:6" ht="15" thickBot="1" x14ac:dyDescent="0.2">
      <c r="A2424" s="30" t="s">
        <v>11196</v>
      </c>
      <c r="B2424" s="26" t="str">
        <f t="shared" si="37"/>
        <v>300711</v>
      </c>
      <c r="C2424" s="30" t="s">
        <v>4990</v>
      </c>
      <c r="D2424" s="31">
        <v>13.58</v>
      </c>
      <c r="E2424" s="31">
        <v>0.82</v>
      </c>
      <c r="F2424" s="31">
        <v>3373636000</v>
      </c>
    </row>
    <row r="2425" spans="1:6" ht="15" thickBot="1" x14ac:dyDescent="0.2">
      <c r="A2425" s="30" t="s">
        <v>11197</v>
      </c>
      <c r="B2425" s="26" t="str">
        <f t="shared" si="37"/>
        <v>300025</v>
      </c>
      <c r="C2425" s="30" t="s">
        <v>4430</v>
      </c>
      <c r="D2425" s="31">
        <v>7.81</v>
      </c>
      <c r="E2425" s="31">
        <v>-1.39</v>
      </c>
      <c r="F2425" s="31">
        <v>3372151200</v>
      </c>
    </row>
    <row r="2426" spans="1:6" ht="15" thickBot="1" x14ac:dyDescent="0.2">
      <c r="A2426" s="30" t="s">
        <v>11198</v>
      </c>
      <c r="B2426" s="26" t="str">
        <f t="shared" si="37"/>
        <v>688319</v>
      </c>
      <c r="C2426" s="30" t="s">
        <v>4980</v>
      </c>
      <c r="D2426" s="31">
        <v>8.3000000000000007</v>
      </c>
      <c r="E2426" s="31">
        <v>-0.96</v>
      </c>
      <c r="F2426" s="31">
        <v>3364897200</v>
      </c>
    </row>
    <row r="2427" spans="1:6" ht="15" thickBot="1" x14ac:dyDescent="0.2">
      <c r="A2427" s="30" t="s">
        <v>11199</v>
      </c>
      <c r="B2427" s="26" t="str">
        <f t="shared" si="37"/>
        <v>300981</v>
      </c>
      <c r="C2427" s="30" t="s">
        <v>4556</v>
      </c>
      <c r="D2427" s="31">
        <v>9.41</v>
      </c>
      <c r="E2427" s="31">
        <v>-7.38</v>
      </c>
      <c r="F2427" s="31">
        <v>3363435800</v>
      </c>
    </row>
    <row r="2428" spans="1:6" ht="15" thickBot="1" x14ac:dyDescent="0.2">
      <c r="A2428" s="30" t="s">
        <v>11200</v>
      </c>
      <c r="B2428" s="26" t="str">
        <f t="shared" si="37"/>
        <v>688299</v>
      </c>
      <c r="C2428" s="30" t="s">
        <v>4895</v>
      </c>
      <c r="D2428" s="31">
        <v>11.72</v>
      </c>
      <c r="E2428" s="31">
        <v>-2.17</v>
      </c>
      <c r="F2428" s="31">
        <v>3361693500</v>
      </c>
    </row>
    <row r="2429" spans="1:6" ht="15" thickBot="1" x14ac:dyDescent="0.2">
      <c r="A2429" s="30" t="s">
        <v>11201</v>
      </c>
      <c r="B2429" s="26" t="str">
        <f t="shared" si="37"/>
        <v>600396</v>
      </c>
      <c r="C2429" s="30" t="s">
        <v>5429</v>
      </c>
      <c r="D2429" s="31">
        <v>2.2799999999999998</v>
      </c>
      <c r="E2429" s="31">
        <v>-1.3</v>
      </c>
      <c r="F2429" s="31">
        <v>3357771500</v>
      </c>
    </row>
    <row r="2430" spans="1:6" ht="15" thickBot="1" x14ac:dyDescent="0.2">
      <c r="A2430" s="30" t="s">
        <v>11202</v>
      </c>
      <c r="B2430" s="26" t="str">
        <f t="shared" si="37"/>
        <v>600756</v>
      </c>
      <c r="C2430" s="30" t="s">
        <v>5218</v>
      </c>
      <c r="D2430" s="31">
        <v>10.36</v>
      </c>
      <c r="E2430" s="31">
        <v>-1.71</v>
      </c>
      <c r="F2430" s="31">
        <v>3357663100</v>
      </c>
    </row>
    <row r="2431" spans="1:6" ht="15" thickBot="1" x14ac:dyDescent="0.2">
      <c r="A2431" s="30" t="s">
        <v>11203</v>
      </c>
      <c r="B2431" s="26" t="str">
        <f t="shared" si="37"/>
        <v>688107</v>
      </c>
      <c r="C2431" s="30" t="s">
        <v>11204</v>
      </c>
      <c r="D2431" s="31">
        <v>17.399999999999999</v>
      </c>
      <c r="E2431" s="31">
        <v>-1.31</v>
      </c>
      <c r="F2431" s="31">
        <v>3354134300</v>
      </c>
    </row>
    <row r="2432" spans="1:6" ht="15" thickBot="1" x14ac:dyDescent="0.2">
      <c r="A2432" s="30" t="s">
        <v>11205</v>
      </c>
      <c r="B2432" s="26" t="str">
        <f t="shared" si="37"/>
        <v>603859</v>
      </c>
      <c r="C2432" s="30" t="s">
        <v>4970</v>
      </c>
      <c r="D2432" s="31">
        <v>13.64</v>
      </c>
      <c r="E2432" s="31">
        <v>-0.22</v>
      </c>
      <c r="F2432" s="31">
        <v>3353098000</v>
      </c>
    </row>
    <row r="2433" spans="1:6" ht="15" thickBot="1" x14ac:dyDescent="0.2">
      <c r="A2433" s="30" t="s">
        <v>11206</v>
      </c>
      <c r="B2433" s="26" t="str">
        <f t="shared" si="37"/>
        <v>002838</v>
      </c>
      <c r="C2433" s="30" t="s">
        <v>4500</v>
      </c>
      <c r="D2433" s="31">
        <v>8.59</v>
      </c>
      <c r="E2433" s="31">
        <v>-0.92</v>
      </c>
      <c r="F2433" s="31">
        <v>3352169100</v>
      </c>
    </row>
    <row r="2434" spans="1:6" ht="15" thickBot="1" x14ac:dyDescent="0.2">
      <c r="A2434" s="30" t="s">
        <v>11207</v>
      </c>
      <c r="B2434" s="26" t="str">
        <f t="shared" si="37"/>
        <v>603969</v>
      </c>
      <c r="C2434" s="30" t="s">
        <v>4998</v>
      </c>
      <c r="D2434" s="31">
        <v>3.98</v>
      </c>
      <c r="E2434" s="31">
        <v>0</v>
      </c>
      <c r="F2434" s="31">
        <v>3349563200</v>
      </c>
    </row>
    <row r="2435" spans="1:6" ht="15" thickBot="1" x14ac:dyDescent="0.2">
      <c r="A2435" s="30" t="s">
        <v>11208</v>
      </c>
      <c r="B2435" s="26" t="str">
        <f t="shared" ref="B2435:B2498" si="38">LEFT(A2435,6)</f>
        <v>300895</v>
      </c>
      <c r="C2435" s="30" t="s">
        <v>4986</v>
      </c>
      <c r="D2435" s="31">
        <v>24.22</v>
      </c>
      <c r="E2435" s="31">
        <v>-2.1</v>
      </c>
      <c r="F2435" s="31">
        <v>3346532000</v>
      </c>
    </row>
    <row r="2436" spans="1:6" ht="15" thickBot="1" x14ac:dyDescent="0.2">
      <c r="A2436" s="30" t="s">
        <v>11209</v>
      </c>
      <c r="B2436" s="26" t="str">
        <f t="shared" si="38"/>
        <v>603138</v>
      </c>
      <c r="C2436" s="30" t="s">
        <v>4857</v>
      </c>
      <c r="D2436" s="31">
        <v>11.82</v>
      </c>
      <c r="E2436" s="31">
        <v>0</v>
      </c>
      <c r="F2436" s="31">
        <v>3346442800</v>
      </c>
    </row>
    <row r="2437" spans="1:6" ht="15" thickBot="1" x14ac:dyDescent="0.2">
      <c r="A2437" s="30" t="s">
        <v>11210</v>
      </c>
      <c r="B2437" s="26" t="str">
        <f t="shared" si="38"/>
        <v>600881</v>
      </c>
      <c r="C2437" s="30" t="s">
        <v>5164</v>
      </c>
      <c r="D2437" s="31">
        <v>1.03</v>
      </c>
      <c r="E2437" s="31">
        <v>0</v>
      </c>
      <c r="F2437" s="31">
        <v>3346381000</v>
      </c>
    </row>
    <row r="2438" spans="1:6" ht="15" thickBot="1" x14ac:dyDescent="0.2">
      <c r="A2438" s="30" t="s">
        <v>11211</v>
      </c>
      <c r="B2438" s="26" t="str">
        <f t="shared" si="38"/>
        <v>002454</v>
      </c>
      <c r="C2438" s="30" t="s">
        <v>4992</v>
      </c>
      <c r="D2438" s="31">
        <v>5.33</v>
      </c>
      <c r="E2438" s="31">
        <v>-0.37</v>
      </c>
      <c r="F2438" s="31">
        <v>3341799300</v>
      </c>
    </row>
    <row r="2439" spans="1:6" ht="15" thickBot="1" x14ac:dyDescent="0.2">
      <c r="A2439" s="30" t="s">
        <v>11212</v>
      </c>
      <c r="B2439" s="26" t="str">
        <f t="shared" si="38"/>
        <v>000789</v>
      </c>
      <c r="C2439" s="30" t="s">
        <v>5092</v>
      </c>
      <c r="D2439" s="31">
        <v>4.1900000000000004</v>
      </c>
      <c r="E2439" s="31">
        <v>-1.18</v>
      </c>
      <c r="F2439" s="31">
        <v>3341039600</v>
      </c>
    </row>
    <row r="2440" spans="1:6" ht="15" thickBot="1" x14ac:dyDescent="0.2">
      <c r="A2440" s="30" t="s">
        <v>11213</v>
      </c>
      <c r="B2440" s="26" t="str">
        <f t="shared" si="38"/>
        <v>600592</v>
      </c>
      <c r="C2440" s="30" t="s">
        <v>5330</v>
      </c>
      <c r="D2440" s="31">
        <v>8.36</v>
      </c>
      <c r="E2440" s="31">
        <v>4.1100000000000003</v>
      </c>
      <c r="F2440" s="31">
        <v>3340267900</v>
      </c>
    </row>
    <row r="2441" spans="1:6" ht="15" thickBot="1" x14ac:dyDescent="0.2">
      <c r="A2441" s="30" t="s">
        <v>11214</v>
      </c>
      <c r="B2441" s="26" t="str">
        <f t="shared" si="38"/>
        <v>600876</v>
      </c>
      <c r="C2441" s="30" t="s">
        <v>4100</v>
      </c>
      <c r="D2441" s="31">
        <v>8.44</v>
      </c>
      <c r="E2441" s="31">
        <v>-1.86</v>
      </c>
      <c r="F2441" s="31">
        <v>3339496700</v>
      </c>
    </row>
    <row r="2442" spans="1:6" ht="15" thickBot="1" x14ac:dyDescent="0.2">
      <c r="A2442" s="30" t="s">
        <v>11215</v>
      </c>
      <c r="B2442" s="26" t="str">
        <f t="shared" si="38"/>
        <v>002169</v>
      </c>
      <c r="C2442" s="30" t="s">
        <v>5166</v>
      </c>
      <c r="D2442" s="31">
        <v>4.37</v>
      </c>
      <c r="E2442" s="31">
        <v>1.87</v>
      </c>
      <c r="F2442" s="31">
        <v>3337639400</v>
      </c>
    </row>
    <row r="2443" spans="1:6" ht="15" thickBot="1" x14ac:dyDescent="0.2">
      <c r="A2443" s="30" t="s">
        <v>11216</v>
      </c>
      <c r="B2443" s="26" t="str">
        <f t="shared" si="38"/>
        <v>002792</v>
      </c>
      <c r="C2443" s="30" t="s">
        <v>3382</v>
      </c>
      <c r="D2443" s="31">
        <v>10.63</v>
      </c>
      <c r="E2443" s="31">
        <v>2.21</v>
      </c>
      <c r="F2443" s="31">
        <v>3331004100</v>
      </c>
    </row>
    <row r="2444" spans="1:6" ht="15" thickBot="1" x14ac:dyDescent="0.2">
      <c r="A2444" s="30" t="s">
        <v>11217</v>
      </c>
      <c r="B2444" s="26" t="str">
        <f t="shared" si="38"/>
        <v>601065</v>
      </c>
      <c r="C2444" s="30" t="s">
        <v>11218</v>
      </c>
      <c r="D2444" s="31">
        <v>8</v>
      </c>
      <c r="E2444" s="31">
        <v>-0.99</v>
      </c>
      <c r="F2444" s="31">
        <v>3330048600</v>
      </c>
    </row>
    <row r="2445" spans="1:6" ht="15" thickBot="1" x14ac:dyDescent="0.2">
      <c r="A2445" s="30" t="s">
        <v>11219</v>
      </c>
      <c r="B2445" s="26" t="str">
        <f t="shared" si="38"/>
        <v>000713</v>
      </c>
      <c r="C2445" s="30" t="s">
        <v>5082</v>
      </c>
      <c r="D2445" s="31">
        <v>5.42</v>
      </c>
      <c r="E2445" s="31">
        <v>-1.46</v>
      </c>
      <c r="F2445" s="31">
        <v>3327961200</v>
      </c>
    </row>
    <row r="2446" spans="1:6" ht="15" thickBot="1" x14ac:dyDescent="0.2">
      <c r="A2446" s="30" t="s">
        <v>11220</v>
      </c>
      <c r="B2446" s="26" t="str">
        <f t="shared" si="38"/>
        <v>002301</v>
      </c>
      <c r="C2446" s="30" t="s">
        <v>5010</v>
      </c>
      <c r="D2446" s="31">
        <v>4.63</v>
      </c>
      <c r="E2446" s="31">
        <v>-1.49</v>
      </c>
      <c r="F2446" s="31">
        <v>3324294700</v>
      </c>
    </row>
    <row r="2447" spans="1:6" ht="15" thickBot="1" x14ac:dyDescent="0.2">
      <c r="A2447" s="30" t="s">
        <v>11221</v>
      </c>
      <c r="B2447" s="26" t="str">
        <f t="shared" si="38"/>
        <v>688687</v>
      </c>
      <c r="C2447" s="30" t="s">
        <v>4819</v>
      </c>
      <c r="D2447" s="31">
        <v>19.440000000000001</v>
      </c>
      <c r="E2447" s="31">
        <v>-1.27</v>
      </c>
      <c r="F2447" s="31">
        <v>3323159600</v>
      </c>
    </row>
    <row r="2448" spans="1:6" ht="15" thickBot="1" x14ac:dyDescent="0.2">
      <c r="A2448" s="30" t="s">
        <v>11222</v>
      </c>
      <c r="B2448" s="26" t="str">
        <f t="shared" si="38"/>
        <v>605179</v>
      </c>
      <c r="C2448" s="30" t="s">
        <v>4974</v>
      </c>
      <c r="D2448" s="31">
        <v>8.2799999999999994</v>
      </c>
      <c r="E2448" s="31">
        <v>-0.72</v>
      </c>
      <c r="F2448" s="31">
        <v>3320280000</v>
      </c>
    </row>
    <row r="2449" spans="1:6" ht="15" thickBot="1" x14ac:dyDescent="0.2">
      <c r="A2449" s="30" t="s">
        <v>11223</v>
      </c>
      <c r="B2449" s="26" t="str">
        <f t="shared" si="38"/>
        <v>600729</v>
      </c>
      <c r="C2449" s="30" t="s">
        <v>2548</v>
      </c>
      <c r="D2449" s="31">
        <v>17.739999999999998</v>
      </c>
      <c r="E2449" s="31">
        <v>-1.1200000000000001</v>
      </c>
      <c r="F2449" s="31">
        <v>3318610500</v>
      </c>
    </row>
    <row r="2450" spans="1:6" ht="15" thickBot="1" x14ac:dyDescent="0.2">
      <c r="A2450" s="30" t="s">
        <v>11224</v>
      </c>
      <c r="B2450" s="26" t="str">
        <f t="shared" si="38"/>
        <v>002117</v>
      </c>
      <c r="C2450" s="30" t="s">
        <v>5056</v>
      </c>
      <c r="D2450" s="31">
        <v>6.08</v>
      </c>
      <c r="E2450" s="31">
        <v>-0.65</v>
      </c>
      <c r="F2450" s="31">
        <v>3316640900</v>
      </c>
    </row>
    <row r="2451" spans="1:6" ht="15" thickBot="1" x14ac:dyDescent="0.2">
      <c r="A2451" s="30" t="s">
        <v>11225</v>
      </c>
      <c r="B2451" s="26" t="str">
        <f t="shared" si="38"/>
        <v>002552</v>
      </c>
      <c r="C2451" s="30" t="s">
        <v>4178</v>
      </c>
      <c r="D2451" s="31">
        <v>10.49</v>
      </c>
      <c r="E2451" s="31">
        <v>-2.33</v>
      </c>
      <c r="F2451" s="31">
        <v>3310670000</v>
      </c>
    </row>
    <row r="2452" spans="1:6" ht="15" thickBot="1" x14ac:dyDescent="0.2">
      <c r="A2452" s="30" t="s">
        <v>11226</v>
      </c>
      <c r="B2452" s="26" t="str">
        <f t="shared" si="38"/>
        <v>300653</v>
      </c>
      <c r="C2452" s="30" t="s">
        <v>5004</v>
      </c>
      <c r="D2452" s="31">
        <v>18.39</v>
      </c>
      <c r="E2452" s="31">
        <v>-1.5</v>
      </c>
      <c r="F2452" s="31">
        <v>3310200000</v>
      </c>
    </row>
    <row r="2453" spans="1:6" ht="15" thickBot="1" x14ac:dyDescent="0.2">
      <c r="A2453" s="30" t="s">
        <v>11227</v>
      </c>
      <c r="B2453" s="26" t="str">
        <f t="shared" si="38"/>
        <v>605319</v>
      </c>
      <c r="C2453" s="30" t="s">
        <v>11228</v>
      </c>
      <c r="D2453" s="31">
        <v>15.5</v>
      </c>
      <c r="E2453" s="31">
        <v>1.1100000000000001</v>
      </c>
      <c r="F2453" s="31">
        <v>3309748800</v>
      </c>
    </row>
    <row r="2454" spans="1:6" ht="15" thickBot="1" x14ac:dyDescent="0.2">
      <c r="A2454" s="30" t="s">
        <v>11229</v>
      </c>
      <c r="B2454" s="26" t="str">
        <f t="shared" si="38"/>
        <v>688621</v>
      </c>
      <c r="C2454" s="30" t="s">
        <v>4946</v>
      </c>
      <c r="D2454" s="31">
        <v>29.55</v>
      </c>
      <c r="E2454" s="31">
        <v>-1.7</v>
      </c>
      <c r="F2454" s="31">
        <v>3309600000</v>
      </c>
    </row>
    <row r="2455" spans="1:6" ht="15" thickBot="1" x14ac:dyDescent="0.2">
      <c r="A2455" s="30" t="s">
        <v>11230</v>
      </c>
      <c r="B2455" s="26" t="str">
        <f t="shared" si="38"/>
        <v>603800</v>
      </c>
      <c r="C2455" s="30" t="s">
        <v>5034</v>
      </c>
      <c r="D2455" s="31">
        <v>15.91</v>
      </c>
      <c r="E2455" s="31">
        <v>-2.5099999999999998</v>
      </c>
      <c r="F2455" s="31">
        <v>3309280000</v>
      </c>
    </row>
    <row r="2456" spans="1:6" ht="15" thickBot="1" x14ac:dyDescent="0.2">
      <c r="A2456" s="30" t="s">
        <v>11231</v>
      </c>
      <c r="B2456" s="26" t="str">
        <f t="shared" si="38"/>
        <v>300781</v>
      </c>
      <c r="C2456" s="30" t="s">
        <v>4030</v>
      </c>
      <c r="D2456" s="31">
        <v>40.76</v>
      </c>
      <c r="E2456" s="31">
        <v>-3.89</v>
      </c>
      <c r="F2456" s="31">
        <v>3305806600</v>
      </c>
    </row>
    <row r="2457" spans="1:6" ht="15" thickBot="1" x14ac:dyDescent="0.2">
      <c r="A2457" s="30" t="s">
        <v>11232</v>
      </c>
      <c r="B2457" s="26" t="str">
        <f t="shared" si="38"/>
        <v>688281</v>
      </c>
      <c r="C2457" s="30" t="s">
        <v>11233</v>
      </c>
      <c r="D2457" s="31">
        <v>67.89</v>
      </c>
      <c r="E2457" s="31">
        <v>-7.81</v>
      </c>
      <c r="F2457" s="31">
        <v>3304433000</v>
      </c>
    </row>
    <row r="2458" spans="1:6" ht="15" thickBot="1" x14ac:dyDescent="0.2">
      <c r="A2458" s="30" t="s">
        <v>11234</v>
      </c>
      <c r="B2458" s="26" t="str">
        <f t="shared" si="38"/>
        <v>603499</v>
      </c>
      <c r="C2458" s="30" t="s">
        <v>5677</v>
      </c>
      <c r="D2458" s="31">
        <v>15.27</v>
      </c>
      <c r="E2458" s="31">
        <v>1.39</v>
      </c>
      <c r="F2458" s="31">
        <v>3300440200</v>
      </c>
    </row>
    <row r="2459" spans="1:6" ht="15" thickBot="1" x14ac:dyDescent="0.2">
      <c r="A2459" s="30" t="s">
        <v>11235</v>
      </c>
      <c r="B2459" s="26" t="str">
        <f t="shared" si="38"/>
        <v>600843</v>
      </c>
      <c r="C2459" s="30" t="s">
        <v>4588</v>
      </c>
      <c r="D2459" s="31">
        <v>7.03</v>
      </c>
      <c r="E2459" s="31">
        <v>-1.95</v>
      </c>
      <c r="F2459" s="31">
        <v>3298635800</v>
      </c>
    </row>
    <row r="2460" spans="1:6" ht="15" thickBot="1" x14ac:dyDescent="0.2">
      <c r="A2460" s="30" t="s">
        <v>11236</v>
      </c>
      <c r="B2460" s="26" t="str">
        <f t="shared" si="38"/>
        <v>002685</v>
      </c>
      <c r="C2460" s="30" t="s">
        <v>5256</v>
      </c>
      <c r="D2460" s="31">
        <v>3.27</v>
      </c>
      <c r="E2460" s="31">
        <v>-2.1</v>
      </c>
      <c r="F2460" s="31">
        <v>3294709200</v>
      </c>
    </row>
    <row r="2461" spans="1:6" ht="15" thickBot="1" x14ac:dyDescent="0.2">
      <c r="A2461" s="30" t="s">
        <v>11237</v>
      </c>
      <c r="B2461" s="26" t="str">
        <f t="shared" si="38"/>
        <v>603773</v>
      </c>
      <c r="C2461" s="30" t="s">
        <v>4544</v>
      </c>
      <c r="D2461" s="31">
        <v>16.2</v>
      </c>
      <c r="E2461" s="31">
        <v>-3.23</v>
      </c>
      <c r="F2461" s="31">
        <v>3294609900</v>
      </c>
    </row>
    <row r="2462" spans="1:6" ht="15" thickBot="1" x14ac:dyDescent="0.2">
      <c r="A2462" s="30" t="s">
        <v>11238</v>
      </c>
      <c r="B2462" s="26" t="str">
        <f t="shared" si="38"/>
        <v>300552</v>
      </c>
      <c r="C2462" s="30" t="s">
        <v>3332</v>
      </c>
      <c r="D2462" s="31">
        <v>25.41</v>
      </c>
      <c r="E2462" s="31">
        <v>-1.05</v>
      </c>
      <c r="F2462" s="31">
        <v>3289566600</v>
      </c>
    </row>
    <row r="2463" spans="1:6" ht="15" thickBot="1" x14ac:dyDescent="0.2">
      <c r="A2463" s="30" t="s">
        <v>11239</v>
      </c>
      <c r="B2463" s="26" t="str">
        <f t="shared" si="38"/>
        <v>002655</v>
      </c>
      <c r="C2463" s="30" t="s">
        <v>4968</v>
      </c>
      <c r="D2463" s="31">
        <v>9.14</v>
      </c>
      <c r="E2463" s="31">
        <v>-0.98</v>
      </c>
      <c r="F2463" s="31">
        <v>3289402100</v>
      </c>
    </row>
    <row r="2464" spans="1:6" ht="15" thickBot="1" x14ac:dyDescent="0.2">
      <c r="A2464" s="30" t="s">
        <v>11240</v>
      </c>
      <c r="B2464" s="26" t="str">
        <f t="shared" si="38"/>
        <v>603167</v>
      </c>
      <c r="C2464" s="30" t="s">
        <v>5122</v>
      </c>
      <c r="D2464" s="31">
        <v>7.01</v>
      </c>
      <c r="E2464" s="31">
        <v>-0.56999999999999995</v>
      </c>
      <c r="F2464" s="31">
        <v>3288703000</v>
      </c>
    </row>
    <row r="2465" spans="1:6" ht="15" thickBot="1" x14ac:dyDescent="0.2">
      <c r="A2465" s="30" t="s">
        <v>11241</v>
      </c>
      <c r="B2465" s="26" t="str">
        <f t="shared" si="38"/>
        <v>600078</v>
      </c>
      <c r="C2465" s="30" t="s">
        <v>5104</v>
      </c>
      <c r="D2465" s="31">
        <v>4.96</v>
      </c>
      <c r="E2465" s="31">
        <v>-0.4</v>
      </c>
      <c r="F2465" s="31">
        <v>3286361400</v>
      </c>
    </row>
    <row r="2466" spans="1:6" ht="15" thickBot="1" x14ac:dyDescent="0.2">
      <c r="A2466" s="30" t="s">
        <v>11242</v>
      </c>
      <c r="B2466" s="26" t="str">
        <f t="shared" si="38"/>
        <v>600576</v>
      </c>
      <c r="C2466" s="30" t="s">
        <v>3553</v>
      </c>
      <c r="D2466" s="31">
        <v>4.88</v>
      </c>
      <c r="E2466" s="31">
        <v>4.5</v>
      </c>
      <c r="F2466" s="31">
        <v>3285049300</v>
      </c>
    </row>
    <row r="2467" spans="1:6" ht="15" thickBot="1" x14ac:dyDescent="0.2">
      <c r="A2467" s="30" t="s">
        <v>11243</v>
      </c>
      <c r="B2467" s="26" t="str">
        <f t="shared" si="38"/>
        <v>600868</v>
      </c>
      <c r="C2467" s="30" t="s">
        <v>5154</v>
      </c>
      <c r="D2467" s="31">
        <v>1.73</v>
      </c>
      <c r="E2467" s="31">
        <v>-1.1399999999999999</v>
      </c>
      <c r="F2467" s="31">
        <v>3283797200</v>
      </c>
    </row>
    <row r="2468" spans="1:6" ht="15" thickBot="1" x14ac:dyDescent="0.2">
      <c r="A2468" s="30" t="s">
        <v>11244</v>
      </c>
      <c r="B2468" s="26" t="str">
        <f t="shared" si="38"/>
        <v>000850</v>
      </c>
      <c r="C2468" s="30" t="s">
        <v>5513</v>
      </c>
      <c r="D2468" s="31">
        <v>3.48</v>
      </c>
      <c r="E2468" s="31">
        <v>-4.66</v>
      </c>
      <c r="F2468" s="31">
        <v>3283021100</v>
      </c>
    </row>
    <row r="2469" spans="1:6" ht="15" thickBot="1" x14ac:dyDescent="0.2">
      <c r="A2469" s="30" t="s">
        <v>11245</v>
      </c>
      <c r="B2469" s="26" t="str">
        <f t="shared" si="38"/>
        <v>000897</v>
      </c>
      <c r="C2469" s="30" t="s">
        <v>5298</v>
      </c>
      <c r="D2469" s="31">
        <v>2.0299999999999998</v>
      </c>
      <c r="E2469" s="31">
        <v>2.0099999999999998</v>
      </c>
      <c r="F2469" s="31">
        <v>3283000500</v>
      </c>
    </row>
    <row r="2470" spans="1:6" ht="15" thickBot="1" x14ac:dyDescent="0.2">
      <c r="A2470" s="30" t="s">
        <v>11246</v>
      </c>
      <c r="B2470" s="26" t="str">
        <f t="shared" si="38"/>
        <v>605228</v>
      </c>
      <c r="C2470" s="30" t="s">
        <v>5058</v>
      </c>
      <c r="D2470" s="31">
        <v>7.76</v>
      </c>
      <c r="E2470" s="31">
        <v>-1.52</v>
      </c>
      <c r="F2470" s="31">
        <v>3280016000</v>
      </c>
    </row>
    <row r="2471" spans="1:6" ht="15" thickBot="1" x14ac:dyDescent="0.2">
      <c r="A2471" s="30" t="s">
        <v>11247</v>
      </c>
      <c r="B2471" s="26" t="str">
        <f t="shared" si="38"/>
        <v>603386</v>
      </c>
      <c r="C2471" s="30" t="s">
        <v>5016</v>
      </c>
      <c r="D2471" s="31">
        <v>10.050000000000001</v>
      </c>
      <c r="E2471" s="31">
        <v>-2.0499999999999998</v>
      </c>
      <c r="F2471" s="31">
        <v>3279541700</v>
      </c>
    </row>
    <row r="2472" spans="1:6" ht="15" thickBot="1" x14ac:dyDescent="0.2">
      <c r="A2472" s="30" t="s">
        <v>11248</v>
      </c>
      <c r="B2472" s="26" t="str">
        <f t="shared" si="38"/>
        <v>002919</v>
      </c>
      <c r="C2472" s="30" t="s">
        <v>5114</v>
      </c>
      <c r="D2472" s="31">
        <v>12.38</v>
      </c>
      <c r="E2472" s="31">
        <v>2.15</v>
      </c>
      <c r="F2472" s="31">
        <v>3273125600</v>
      </c>
    </row>
    <row r="2473" spans="1:6" ht="15" thickBot="1" x14ac:dyDescent="0.2">
      <c r="A2473" s="30" t="s">
        <v>11249</v>
      </c>
      <c r="B2473" s="26" t="str">
        <f t="shared" si="38"/>
        <v>002882</v>
      </c>
      <c r="C2473" s="30" t="s">
        <v>3216</v>
      </c>
      <c r="D2473" s="31">
        <v>13.26</v>
      </c>
      <c r="E2473" s="31">
        <v>-0.82</v>
      </c>
      <c r="F2473" s="31">
        <v>3272662800</v>
      </c>
    </row>
    <row r="2474" spans="1:6" ht="15" thickBot="1" x14ac:dyDescent="0.2">
      <c r="A2474" s="30" t="s">
        <v>11250</v>
      </c>
      <c r="B2474" s="26" t="str">
        <f t="shared" si="38"/>
        <v>300531</v>
      </c>
      <c r="C2474" s="30" t="s">
        <v>4901</v>
      </c>
      <c r="D2474" s="31">
        <v>10.38</v>
      </c>
      <c r="E2474" s="31">
        <v>-0.57999999999999996</v>
      </c>
      <c r="F2474" s="31">
        <v>3270904500</v>
      </c>
    </row>
    <row r="2475" spans="1:6" ht="15" thickBot="1" x14ac:dyDescent="0.2">
      <c r="A2475" s="30" t="s">
        <v>11251</v>
      </c>
      <c r="B2475" s="26" t="str">
        <f t="shared" si="38"/>
        <v>301263</v>
      </c>
      <c r="C2475" s="30" t="s">
        <v>11252</v>
      </c>
      <c r="D2475" s="31">
        <v>12.44</v>
      </c>
      <c r="E2475" s="31">
        <v>-1.19</v>
      </c>
      <c r="F2475" s="31">
        <v>3270791500</v>
      </c>
    </row>
    <row r="2476" spans="1:6" ht="15" thickBot="1" x14ac:dyDescent="0.2">
      <c r="A2476" s="30" t="s">
        <v>11253</v>
      </c>
      <c r="B2476" s="26" t="str">
        <f t="shared" si="38"/>
        <v>002455</v>
      </c>
      <c r="C2476" s="30" t="s">
        <v>4454</v>
      </c>
      <c r="D2476" s="31">
        <v>6.44</v>
      </c>
      <c r="E2476" s="31">
        <v>-0.77</v>
      </c>
      <c r="F2476" s="31">
        <v>3268963300</v>
      </c>
    </row>
    <row r="2477" spans="1:6" ht="15" thickBot="1" x14ac:dyDescent="0.2">
      <c r="A2477" s="30" t="s">
        <v>11254</v>
      </c>
      <c r="B2477" s="26" t="str">
        <f t="shared" si="38"/>
        <v>002639</v>
      </c>
      <c r="C2477" s="30" t="s">
        <v>4534</v>
      </c>
      <c r="D2477" s="31">
        <v>5.0199999999999996</v>
      </c>
      <c r="E2477" s="31">
        <v>-0.79</v>
      </c>
      <c r="F2477" s="31">
        <v>3265920700</v>
      </c>
    </row>
    <row r="2478" spans="1:6" ht="15" thickBot="1" x14ac:dyDescent="0.2">
      <c r="A2478" s="30" t="s">
        <v>11255</v>
      </c>
      <c r="B2478" s="26" t="str">
        <f t="shared" si="38"/>
        <v>688550</v>
      </c>
      <c r="C2478" s="30" t="s">
        <v>5148</v>
      </c>
      <c r="D2478" s="31">
        <v>18.690000000000001</v>
      </c>
      <c r="E2478" s="31">
        <v>2.41</v>
      </c>
      <c r="F2478" s="31">
        <v>3265728400</v>
      </c>
    </row>
    <row r="2479" spans="1:6" ht="15" thickBot="1" x14ac:dyDescent="0.2">
      <c r="A2479" s="30" t="s">
        <v>11256</v>
      </c>
      <c r="B2479" s="26" t="str">
        <f t="shared" si="38"/>
        <v>300882</v>
      </c>
      <c r="C2479" s="30" t="s">
        <v>4849</v>
      </c>
      <c r="D2479" s="31">
        <v>12.26</v>
      </c>
      <c r="E2479" s="31">
        <v>-0.24</v>
      </c>
      <c r="F2479" s="31">
        <v>3265169400</v>
      </c>
    </row>
    <row r="2480" spans="1:6" ht="15" thickBot="1" x14ac:dyDescent="0.2">
      <c r="A2480" s="30" t="s">
        <v>11257</v>
      </c>
      <c r="B2480" s="26" t="str">
        <f t="shared" si="38"/>
        <v>601921</v>
      </c>
      <c r="C2480" s="30" t="s">
        <v>11258</v>
      </c>
      <c r="D2480" s="31">
        <v>7.73</v>
      </c>
      <c r="E2480" s="31">
        <v>1.85</v>
      </c>
      <c r="F2480" s="31">
        <v>3263775800</v>
      </c>
    </row>
    <row r="2481" spans="1:6" ht="15" thickBot="1" x14ac:dyDescent="0.2">
      <c r="A2481" s="30" t="s">
        <v>11259</v>
      </c>
      <c r="B2481" s="26" t="str">
        <f t="shared" si="38"/>
        <v>002083</v>
      </c>
      <c r="C2481" s="30" t="s">
        <v>5052</v>
      </c>
      <c r="D2481" s="31">
        <v>4.18</v>
      </c>
      <c r="E2481" s="31">
        <v>0.24</v>
      </c>
      <c r="F2481" s="31">
        <v>3263349200</v>
      </c>
    </row>
    <row r="2482" spans="1:6" ht="15" thickBot="1" x14ac:dyDescent="0.2">
      <c r="A2482" s="30" t="s">
        <v>11260</v>
      </c>
      <c r="B2482" s="26" t="str">
        <f t="shared" si="38"/>
        <v>605018</v>
      </c>
      <c r="C2482" s="30" t="s">
        <v>5066</v>
      </c>
      <c r="D2482" s="31">
        <v>6.95</v>
      </c>
      <c r="E2482" s="31">
        <v>-0.71</v>
      </c>
      <c r="F2482" s="31">
        <v>3262160100</v>
      </c>
    </row>
    <row r="2483" spans="1:6" ht="15" thickBot="1" x14ac:dyDescent="0.2">
      <c r="A2483" s="30" t="s">
        <v>11261</v>
      </c>
      <c r="B2483" s="26" t="str">
        <f t="shared" si="38"/>
        <v>300011</v>
      </c>
      <c r="C2483" s="30" t="s">
        <v>5060</v>
      </c>
      <c r="D2483" s="31">
        <v>6.5</v>
      </c>
      <c r="E2483" s="31">
        <v>2.36</v>
      </c>
      <c r="F2483" s="31">
        <v>3260587400</v>
      </c>
    </row>
    <row r="2484" spans="1:6" ht="15" thickBot="1" x14ac:dyDescent="0.2">
      <c r="A2484" s="30" t="s">
        <v>11262</v>
      </c>
      <c r="B2484" s="26" t="str">
        <f t="shared" si="38"/>
        <v>605133</v>
      </c>
      <c r="C2484" s="30" t="s">
        <v>5196</v>
      </c>
      <c r="D2484" s="31">
        <v>17.7</v>
      </c>
      <c r="E2484" s="31">
        <v>-0.67</v>
      </c>
      <c r="F2484" s="31">
        <v>3257609200</v>
      </c>
    </row>
    <row r="2485" spans="1:6" ht="15" thickBot="1" x14ac:dyDescent="0.2">
      <c r="A2485" s="30" t="s">
        <v>11263</v>
      </c>
      <c r="B2485" s="26" t="str">
        <f t="shared" si="38"/>
        <v>300444</v>
      </c>
      <c r="C2485" s="30" t="s">
        <v>4070</v>
      </c>
      <c r="D2485" s="31">
        <v>5.49</v>
      </c>
      <c r="E2485" s="31">
        <v>1.1100000000000001</v>
      </c>
      <c r="F2485" s="31">
        <v>3251731900</v>
      </c>
    </row>
    <row r="2486" spans="1:6" ht="15" thickBot="1" x14ac:dyDescent="0.2">
      <c r="A2486" s="30" t="s">
        <v>11264</v>
      </c>
      <c r="B2486" s="26" t="str">
        <f t="shared" si="38"/>
        <v>600860</v>
      </c>
      <c r="C2486" s="30" t="s">
        <v>4859</v>
      </c>
      <c r="D2486" s="31">
        <v>7.46</v>
      </c>
      <c r="E2486" s="31">
        <v>-0.93</v>
      </c>
      <c r="F2486" s="31">
        <v>3246826500</v>
      </c>
    </row>
    <row r="2487" spans="1:6" ht="15" thickBot="1" x14ac:dyDescent="0.2">
      <c r="A2487" s="30" t="s">
        <v>11265</v>
      </c>
      <c r="B2487" s="26" t="str">
        <f t="shared" si="38"/>
        <v>000910</v>
      </c>
      <c r="C2487" s="30" t="s">
        <v>5102</v>
      </c>
      <c r="D2487" s="31">
        <v>5.93</v>
      </c>
      <c r="E2487" s="31">
        <v>-1.98</v>
      </c>
      <c r="F2487" s="31">
        <v>3244403800</v>
      </c>
    </row>
    <row r="2488" spans="1:6" ht="15" thickBot="1" x14ac:dyDescent="0.2">
      <c r="A2488" s="30" t="s">
        <v>11266</v>
      </c>
      <c r="B2488" s="26" t="str">
        <f t="shared" si="38"/>
        <v>002206</v>
      </c>
      <c r="C2488" s="30" t="s">
        <v>4280</v>
      </c>
      <c r="D2488" s="31">
        <v>3.54</v>
      </c>
      <c r="E2488" s="31">
        <v>0</v>
      </c>
      <c r="F2488" s="31">
        <v>3243258200</v>
      </c>
    </row>
    <row r="2489" spans="1:6" ht="15" thickBot="1" x14ac:dyDescent="0.2">
      <c r="A2489" s="30" t="s">
        <v>11267</v>
      </c>
      <c r="B2489" s="26" t="str">
        <f t="shared" si="38"/>
        <v>002300</v>
      </c>
      <c r="C2489" s="30" t="s">
        <v>5192</v>
      </c>
      <c r="D2489" s="31">
        <v>4.49</v>
      </c>
      <c r="E2489" s="31">
        <v>-0.44</v>
      </c>
      <c r="F2489" s="31">
        <v>3243015000</v>
      </c>
    </row>
    <row r="2490" spans="1:6" ht="15" thickBot="1" x14ac:dyDescent="0.2">
      <c r="A2490" s="30" t="s">
        <v>11268</v>
      </c>
      <c r="B2490" s="26" t="str">
        <f t="shared" si="38"/>
        <v>000779</v>
      </c>
      <c r="C2490" s="30" t="s">
        <v>5194</v>
      </c>
      <c r="D2490" s="31">
        <v>6.97</v>
      </c>
      <c r="E2490" s="31">
        <v>1.02</v>
      </c>
      <c r="F2490" s="31">
        <v>3239578600</v>
      </c>
    </row>
    <row r="2491" spans="1:6" ht="15" thickBot="1" x14ac:dyDescent="0.2">
      <c r="A2491" s="30" t="s">
        <v>11269</v>
      </c>
      <c r="B2491" s="26" t="str">
        <f t="shared" si="38"/>
        <v>688522</v>
      </c>
      <c r="C2491" s="30" t="s">
        <v>11270</v>
      </c>
      <c r="D2491" s="31">
        <v>38.22</v>
      </c>
      <c r="E2491" s="31">
        <v>1.38</v>
      </c>
      <c r="F2491" s="31">
        <v>3238923400</v>
      </c>
    </row>
    <row r="2492" spans="1:6" ht="15" thickBot="1" x14ac:dyDescent="0.2">
      <c r="A2492" s="30" t="s">
        <v>11271</v>
      </c>
      <c r="B2492" s="26" t="str">
        <f t="shared" si="38"/>
        <v>300213</v>
      </c>
      <c r="C2492" s="30" t="s">
        <v>4940</v>
      </c>
      <c r="D2492" s="31">
        <v>5.87</v>
      </c>
      <c r="E2492" s="31">
        <v>-1.68</v>
      </c>
      <c r="F2492" s="31">
        <v>3235328400</v>
      </c>
    </row>
    <row r="2493" spans="1:6" ht="15" thickBot="1" x14ac:dyDescent="0.2">
      <c r="A2493" s="30" t="s">
        <v>11272</v>
      </c>
      <c r="B2493" s="26" t="str">
        <f t="shared" si="38"/>
        <v>300894</v>
      </c>
      <c r="C2493" s="30" t="s">
        <v>4036</v>
      </c>
      <c r="D2493" s="31">
        <v>11</v>
      </c>
      <c r="E2493" s="31">
        <v>-0.99</v>
      </c>
      <c r="F2493" s="31">
        <v>3234774400</v>
      </c>
    </row>
    <row r="2494" spans="1:6" ht="15" thickBot="1" x14ac:dyDescent="0.2">
      <c r="A2494" s="30" t="s">
        <v>11273</v>
      </c>
      <c r="B2494" s="26" t="str">
        <f t="shared" si="38"/>
        <v>300586</v>
      </c>
      <c r="C2494" s="30" t="s">
        <v>4160</v>
      </c>
      <c r="D2494" s="31">
        <v>6.05</v>
      </c>
      <c r="E2494" s="31">
        <v>0.67</v>
      </c>
      <c r="F2494" s="31">
        <v>3233659800</v>
      </c>
    </row>
    <row r="2495" spans="1:6" ht="15" thickBot="1" x14ac:dyDescent="0.2">
      <c r="A2495" s="30" t="s">
        <v>11274</v>
      </c>
      <c r="B2495" s="26" t="str">
        <f t="shared" si="38"/>
        <v>300563</v>
      </c>
      <c r="C2495" s="30" t="s">
        <v>3813</v>
      </c>
      <c r="D2495" s="31">
        <v>26.28</v>
      </c>
      <c r="E2495" s="31">
        <v>-4.33</v>
      </c>
      <c r="F2495" s="31">
        <v>3233464900</v>
      </c>
    </row>
    <row r="2496" spans="1:6" ht="15" thickBot="1" x14ac:dyDescent="0.2">
      <c r="A2496" s="30" t="s">
        <v>11275</v>
      </c>
      <c r="B2496" s="26" t="str">
        <f t="shared" si="38"/>
        <v>002950</v>
      </c>
      <c r="C2496" s="30" t="s">
        <v>3953</v>
      </c>
      <c r="D2496" s="31">
        <v>7.15</v>
      </c>
      <c r="E2496" s="31">
        <v>-1.52</v>
      </c>
      <c r="F2496" s="31">
        <v>3231765700</v>
      </c>
    </row>
    <row r="2497" spans="1:6" ht="15" thickBot="1" x14ac:dyDescent="0.2">
      <c r="A2497" s="30" t="s">
        <v>11276</v>
      </c>
      <c r="B2497" s="26" t="str">
        <f t="shared" si="38"/>
        <v>300629</v>
      </c>
      <c r="C2497" s="30" t="s">
        <v>4518</v>
      </c>
      <c r="D2497" s="31">
        <v>15.27</v>
      </c>
      <c r="E2497" s="31">
        <v>0.46</v>
      </c>
      <c r="F2497" s="31">
        <v>3231431200</v>
      </c>
    </row>
    <row r="2498" spans="1:6" ht="15" thickBot="1" x14ac:dyDescent="0.2">
      <c r="A2498" s="30" t="s">
        <v>11277</v>
      </c>
      <c r="B2498" s="26" t="str">
        <f t="shared" si="38"/>
        <v>002988</v>
      </c>
      <c r="C2498" s="30" t="s">
        <v>5100</v>
      </c>
      <c r="D2498" s="31">
        <v>13.03</v>
      </c>
      <c r="E2498" s="31">
        <v>-0.76</v>
      </c>
      <c r="F2498" s="31">
        <v>3229582500</v>
      </c>
    </row>
    <row r="2499" spans="1:6" ht="15" thickBot="1" x14ac:dyDescent="0.2">
      <c r="A2499" s="30" t="s">
        <v>11278</v>
      </c>
      <c r="B2499" s="26" t="str">
        <f t="shared" ref="B2499:B2562" si="39">LEFT(A2499,6)</f>
        <v>603991</v>
      </c>
      <c r="C2499" s="30" t="s">
        <v>5206</v>
      </c>
      <c r="D2499" s="31">
        <v>43.3</v>
      </c>
      <c r="E2499" s="31">
        <v>-2.13</v>
      </c>
      <c r="F2499" s="31">
        <v>3227365400</v>
      </c>
    </row>
    <row r="2500" spans="1:6" ht="15" thickBot="1" x14ac:dyDescent="0.2">
      <c r="A2500" s="30" t="s">
        <v>11279</v>
      </c>
      <c r="B2500" s="26" t="str">
        <f t="shared" si="39"/>
        <v>603628</v>
      </c>
      <c r="C2500" s="30" t="s">
        <v>5068</v>
      </c>
      <c r="D2500" s="31">
        <v>11.78</v>
      </c>
      <c r="E2500" s="31">
        <v>-1.34</v>
      </c>
      <c r="F2500" s="31">
        <v>3225364000</v>
      </c>
    </row>
    <row r="2501" spans="1:6" ht="15" thickBot="1" x14ac:dyDescent="0.2">
      <c r="A2501" s="30" t="s">
        <v>11280</v>
      </c>
      <c r="B2501" s="26" t="str">
        <f t="shared" si="39"/>
        <v>001236</v>
      </c>
      <c r="C2501" s="30" t="s">
        <v>11281</v>
      </c>
      <c r="D2501" s="31">
        <v>9.8699999999999992</v>
      </c>
      <c r="E2501" s="31">
        <v>10.029999999999999</v>
      </c>
      <c r="F2501" s="31">
        <v>3221919900</v>
      </c>
    </row>
    <row r="2502" spans="1:6" ht="15" thickBot="1" x14ac:dyDescent="0.2">
      <c r="A2502" s="30" t="s">
        <v>11282</v>
      </c>
      <c r="B2502" s="26" t="str">
        <f t="shared" si="39"/>
        <v>300962</v>
      </c>
      <c r="C2502" s="30" t="s">
        <v>11283</v>
      </c>
      <c r="D2502" s="31">
        <v>12.19</v>
      </c>
      <c r="E2502" s="31">
        <v>-0.56999999999999995</v>
      </c>
      <c r="F2502" s="31">
        <v>3218183100</v>
      </c>
    </row>
    <row r="2503" spans="1:6" ht="15" thickBot="1" x14ac:dyDescent="0.2">
      <c r="A2503" s="30" t="s">
        <v>11284</v>
      </c>
      <c r="B2503" s="26" t="str">
        <f t="shared" si="39"/>
        <v>603380</v>
      </c>
      <c r="C2503" s="30" t="s">
        <v>5220</v>
      </c>
      <c r="D2503" s="31">
        <v>20.05</v>
      </c>
      <c r="E2503" s="31">
        <v>-0.45</v>
      </c>
      <c r="F2503" s="31">
        <v>3216846100</v>
      </c>
    </row>
    <row r="2504" spans="1:6" ht="15" thickBot="1" x14ac:dyDescent="0.2">
      <c r="A2504" s="30" t="s">
        <v>11285</v>
      </c>
      <c r="B2504" s="26" t="str">
        <f t="shared" si="39"/>
        <v>300160</v>
      </c>
      <c r="C2504" s="30" t="s">
        <v>5028</v>
      </c>
      <c r="D2504" s="31">
        <v>4.2300000000000004</v>
      </c>
      <c r="E2504" s="31">
        <v>-2.54</v>
      </c>
      <c r="F2504" s="31">
        <v>3212226100</v>
      </c>
    </row>
    <row r="2505" spans="1:6" ht="15" thickBot="1" x14ac:dyDescent="0.2">
      <c r="A2505" s="30" t="s">
        <v>11286</v>
      </c>
      <c r="B2505" s="26" t="str">
        <f t="shared" si="39"/>
        <v>300465</v>
      </c>
      <c r="C2505" s="30" t="s">
        <v>5198</v>
      </c>
      <c r="D2505" s="31">
        <v>7.19</v>
      </c>
      <c r="E2505" s="31">
        <v>-2.04</v>
      </c>
      <c r="F2505" s="31">
        <v>3212220600</v>
      </c>
    </row>
    <row r="2506" spans="1:6" ht="15" thickBot="1" x14ac:dyDescent="0.2">
      <c r="A2506" s="30" t="s">
        <v>11287</v>
      </c>
      <c r="B2506" s="26" t="str">
        <f t="shared" si="39"/>
        <v>603861</v>
      </c>
      <c r="C2506" s="30" t="s">
        <v>5160</v>
      </c>
      <c r="D2506" s="31">
        <v>7.57</v>
      </c>
      <c r="E2506" s="31">
        <v>0.67</v>
      </c>
      <c r="F2506" s="31">
        <v>3210553400</v>
      </c>
    </row>
    <row r="2507" spans="1:6" ht="15" thickBot="1" x14ac:dyDescent="0.2">
      <c r="A2507" s="30" t="s">
        <v>11288</v>
      </c>
      <c r="B2507" s="26" t="str">
        <f t="shared" si="39"/>
        <v>603590</v>
      </c>
      <c r="C2507" s="30" t="s">
        <v>5018</v>
      </c>
      <c r="D2507" s="31">
        <v>20.45</v>
      </c>
      <c r="E2507" s="31">
        <v>-1.02</v>
      </c>
      <c r="F2507" s="31">
        <v>3210241000</v>
      </c>
    </row>
    <row r="2508" spans="1:6" ht="15" thickBot="1" x14ac:dyDescent="0.2">
      <c r="A2508" s="30" t="s">
        <v>11289</v>
      </c>
      <c r="B2508" s="26" t="str">
        <f t="shared" si="39"/>
        <v>002029</v>
      </c>
      <c r="C2508" s="30" t="s">
        <v>5000</v>
      </c>
      <c r="D2508" s="31">
        <v>4.82</v>
      </c>
      <c r="E2508" s="31">
        <v>-1.03</v>
      </c>
      <c r="F2508" s="31">
        <v>3207256700</v>
      </c>
    </row>
    <row r="2509" spans="1:6" ht="15" thickBot="1" x14ac:dyDescent="0.2">
      <c r="A2509" s="30" t="s">
        <v>11290</v>
      </c>
      <c r="B2509" s="26" t="str">
        <f t="shared" si="39"/>
        <v>603399</v>
      </c>
      <c r="C2509" s="30" t="s">
        <v>5026</v>
      </c>
      <c r="D2509" s="31">
        <v>6.26</v>
      </c>
      <c r="E2509" s="31">
        <v>-1.57</v>
      </c>
      <c r="F2509" s="31">
        <v>3206939500</v>
      </c>
    </row>
    <row r="2510" spans="1:6" ht="15" thickBot="1" x14ac:dyDescent="0.2">
      <c r="A2510" s="30" t="s">
        <v>11291</v>
      </c>
      <c r="B2510" s="26" t="str">
        <f t="shared" si="39"/>
        <v>603396</v>
      </c>
      <c r="C2510" s="30" t="s">
        <v>5038</v>
      </c>
      <c r="D2510" s="31">
        <v>23.15</v>
      </c>
      <c r="E2510" s="31">
        <v>-2.3199999999999998</v>
      </c>
      <c r="F2510" s="31">
        <v>3206911100</v>
      </c>
    </row>
    <row r="2511" spans="1:6" ht="15" thickBot="1" x14ac:dyDescent="0.2">
      <c r="A2511" s="30" t="s">
        <v>11292</v>
      </c>
      <c r="B2511" s="26" t="str">
        <f t="shared" si="39"/>
        <v>600679</v>
      </c>
      <c r="C2511" s="30" t="s">
        <v>4889</v>
      </c>
      <c r="D2511" s="31">
        <v>9.48</v>
      </c>
      <c r="E2511" s="31">
        <v>2.82</v>
      </c>
      <c r="F2511" s="31">
        <v>3206008300</v>
      </c>
    </row>
    <row r="2512" spans="1:6" ht="15" thickBot="1" x14ac:dyDescent="0.2">
      <c r="A2512" s="30" t="s">
        <v>11293</v>
      </c>
      <c r="B2512" s="26" t="str">
        <f t="shared" si="39"/>
        <v>300158</v>
      </c>
      <c r="C2512" s="30" t="s">
        <v>5042</v>
      </c>
      <c r="D2512" s="31">
        <v>3.2</v>
      </c>
      <c r="E2512" s="31">
        <v>-4.4800000000000004</v>
      </c>
      <c r="F2512" s="31">
        <v>3203662500</v>
      </c>
    </row>
    <row r="2513" spans="1:6" ht="15" thickBot="1" x14ac:dyDescent="0.2">
      <c r="A2513" s="30" t="s">
        <v>11294</v>
      </c>
      <c r="B2513" s="26" t="str">
        <f t="shared" si="39"/>
        <v>300193</v>
      </c>
      <c r="C2513" s="30" t="s">
        <v>4733</v>
      </c>
      <c r="D2513" s="31">
        <v>7.33</v>
      </c>
      <c r="E2513" s="31">
        <v>-0.54</v>
      </c>
      <c r="F2513" s="31">
        <v>3203656700</v>
      </c>
    </row>
    <row r="2514" spans="1:6" ht="15" thickBot="1" x14ac:dyDescent="0.2">
      <c r="A2514" s="30" t="s">
        <v>11295</v>
      </c>
      <c r="B2514" s="26" t="str">
        <f t="shared" si="39"/>
        <v>300201</v>
      </c>
      <c r="C2514" s="30" t="s">
        <v>5369</v>
      </c>
      <c r="D2514" s="31">
        <v>3.09</v>
      </c>
      <c r="E2514" s="31">
        <v>5.82</v>
      </c>
      <c r="F2514" s="31">
        <v>3203153000</v>
      </c>
    </row>
    <row r="2515" spans="1:6" ht="15" thickBot="1" x14ac:dyDescent="0.2">
      <c r="A2515" s="30" t="s">
        <v>11296</v>
      </c>
      <c r="B2515" s="26" t="str">
        <f t="shared" si="39"/>
        <v>300258</v>
      </c>
      <c r="C2515" s="30" t="s">
        <v>5046</v>
      </c>
      <c r="D2515" s="31">
        <v>6.92</v>
      </c>
      <c r="E2515" s="31">
        <v>0.57999999999999996</v>
      </c>
      <c r="F2515" s="31">
        <v>3202104600</v>
      </c>
    </row>
    <row r="2516" spans="1:6" ht="15" thickBot="1" x14ac:dyDescent="0.2">
      <c r="A2516" s="30" t="s">
        <v>11297</v>
      </c>
      <c r="B2516" s="26" t="str">
        <f t="shared" si="39"/>
        <v>002479</v>
      </c>
      <c r="C2516" s="30" t="s">
        <v>5270</v>
      </c>
      <c r="D2516" s="31">
        <v>3.71</v>
      </c>
      <c r="E2516" s="31">
        <v>0.27</v>
      </c>
      <c r="F2516" s="31">
        <v>3202000300</v>
      </c>
    </row>
    <row r="2517" spans="1:6" ht="15" thickBot="1" x14ac:dyDescent="0.2">
      <c r="A2517" s="30" t="s">
        <v>11298</v>
      </c>
      <c r="B2517" s="26" t="str">
        <f t="shared" si="39"/>
        <v>000882</v>
      </c>
      <c r="C2517" s="30" t="s">
        <v>5276</v>
      </c>
      <c r="D2517" s="31">
        <v>1.17</v>
      </c>
      <c r="E2517" s="31">
        <v>0.86</v>
      </c>
      <c r="F2517" s="31">
        <v>3200551700</v>
      </c>
    </row>
    <row r="2518" spans="1:6" ht="15" thickBot="1" x14ac:dyDescent="0.2">
      <c r="A2518" s="30" t="s">
        <v>11299</v>
      </c>
      <c r="B2518" s="26" t="str">
        <f t="shared" si="39"/>
        <v>603676</v>
      </c>
      <c r="C2518" s="30" t="s">
        <v>5156</v>
      </c>
      <c r="D2518" s="31">
        <v>7.35</v>
      </c>
      <c r="E2518" s="31">
        <v>-1.87</v>
      </c>
      <c r="F2518" s="31">
        <v>3198437000</v>
      </c>
    </row>
    <row r="2519" spans="1:6" ht="15" thickBot="1" x14ac:dyDescent="0.2">
      <c r="A2519" s="30" t="s">
        <v>11300</v>
      </c>
      <c r="B2519" s="26" t="str">
        <f t="shared" si="39"/>
        <v>300792</v>
      </c>
      <c r="C2519" s="30" t="s">
        <v>4704</v>
      </c>
      <c r="D2519" s="31">
        <v>14.93</v>
      </c>
      <c r="E2519" s="31">
        <v>-2.36</v>
      </c>
      <c r="F2519" s="31">
        <v>3195065900</v>
      </c>
    </row>
    <row r="2520" spans="1:6" ht="15" thickBot="1" x14ac:dyDescent="0.2">
      <c r="A2520" s="30" t="s">
        <v>11301</v>
      </c>
      <c r="B2520" s="26" t="str">
        <f t="shared" si="39"/>
        <v>300639</v>
      </c>
      <c r="C2520" s="30" t="s">
        <v>5036</v>
      </c>
      <c r="D2520" s="31">
        <v>5.03</v>
      </c>
      <c r="E2520" s="31">
        <v>-2.71</v>
      </c>
      <c r="F2520" s="31">
        <v>3194876800</v>
      </c>
    </row>
    <row r="2521" spans="1:6" ht="15" thickBot="1" x14ac:dyDescent="0.2">
      <c r="A2521" s="30" t="s">
        <v>11302</v>
      </c>
      <c r="B2521" s="26" t="str">
        <f t="shared" si="39"/>
        <v>300082</v>
      </c>
      <c r="C2521" s="30" t="s">
        <v>5032</v>
      </c>
      <c r="D2521" s="31">
        <v>4.71</v>
      </c>
      <c r="E2521" s="31">
        <v>-2.2799999999999998</v>
      </c>
      <c r="F2521" s="31">
        <v>3194359500</v>
      </c>
    </row>
    <row r="2522" spans="1:6" ht="15" thickBot="1" x14ac:dyDescent="0.2">
      <c r="A2522" s="30" t="s">
        <v>11303</v>
      </c>
      <c r="B2522" s="26" t="str">
        <f t="shared" si="39"/>
        <v>003000</v>
      </c>
      <c r="C2522" s="30" t="s">
        <v>3803</v>
      </c>
      <c r="D2522" s="31">
        <v>10.5</v>
      </c>
      <c r="E2522" s="31">
        <v>-1.22</v>
      </c>
      <c r="F2522" s="31">
        <v>3193474600</v>
      </c>
    </row>
    <row r="2523" spans="1:6" ht="15" thickBot="1" x14ac:dyDescent="0.2">
      <c r="A2523" s="30" t="s">
        <v>11304</v>
      </c>
      <c r="B2523" s="26" t="str">
        <f t="shared" si="39"/>
        <v>600113</v>
      </c>
      <c r="C2523" s="30" t="s">
        <v>5162</v>
      </c>
      <c r="D2523" s="31">
        <v>7.76</v>
      </c>
      <c r="E2523" s="31">
        <v>-0.64</v>
      </c>
      <c r="F2523" s="31">
        <v>3192705800</v>
      </c>
    </row>
    <row r="2524" spans="1:6" ht="15" thickBot="1" x14ac:dyDescent="0.2">
      <c r="A2524" s="30" t="s">
        <v>11305</v>
      </c>
      <c r="B2524" s="26" t="str">
        <f t="shared" si="39"/>
        <v>300953</v>
      </c>
      <c r="C2524" s="30" t="s">
        <v>3689</v>
      </c>
      <c r="D2524" s="31">
        <v>46.96</v>
      </c>
      <c r="E2524" s="31">
        <v>0.45</v>
      </c>
      <c r="F2524" s="31">
        <v>3192341700</v>
      </c>
    </row>
    <row r="2525" spans="1:6" ht="15" thickBot="1" x14ac:dyDescent="0.2">
      <c r="A2525" s="30" t="s">
        <v>11306</v>
      </c>
      <c r="B2525" s="26" t="str">
        <f t="shared" si="39"/>
        <v>600834</v>
      </c>
      <c r="C2525" s="30" t="s">
        <v>5284</v>
      </c>
      <c r="D2525" s="31">
        <v>6.68</v>
      </c>
      <c r="E2525" s="31">
        <v>0.75</v>
      </c>
      <c r="F2525" s="31">
        <v>3188911100</v>
      </c>
    </row>
    <row r="2526" spans="1:6" ht="15" thickBot="1" x14ac:dyDescent="0.2">
      <c r="A2526" s="30" t="s">
        <v>11307</v>
      </c>
      <c r="B2526" s="26" t="str">
        <f t="shared" si="39"/>
        <v>600636</v>
      </c>
      <c r="C2526" s="30" t="s">
        <v>5300</v>
      </c>
      <c r="D2526" s="31">
        <v>7.26</v>
      </c>
      <c r="E2526" s="31">
        <v>-0.96</v>
      </c>
      <c r="F2526" s="31">
        <v>3184503200</v>
      </c>
    </row>
    <row r="2527" spans="1:6" ht="15" thickBot="1" x14ac:dyDescent="0.2">
      <c r="A2527" s="30" t="s">
        <v>11308</v>
      </c>
      <c r="B2527" s="26" t="str">
        <f t="shared" si="39"/>
        <v>002644</v>
      </c>
      <c r="C2527" s="30" t="s">
        <v>5230</v>
      </c>
      <c r="D2527" s="31">
        <v>6.23</v>
      </c>
      <c r="E2527" s="31">
        <v>-1.1100000000000001</v>
      </c>
      <c r="F2527" s="31">
        <v>3181393100</v>
      </c>
    </row>
    <row r="2528" spans="1:6" ht="15" thickBot="1" x14ac:dyDescent="0.2">
      <c r="A2528" s="30" t="s">
        <v>11309</v>
      </c>
      <c r="B2528" s="26" t="str">
        <f t="shared" si="39"/>
        <v>000026</v>
      </c>
      <c r="C2528" s="30" t="s">
        <v>5008</v>
      </c>
      <c r="D2528" s="31">
        <v>8.77</v>
      </c>
      <c r="E2528" s="31">
        <v>0</v>
      </c>
      <c r="F2528" s="31">
        <v>3180943500</v>
      </c>
    </row>
    <row r="2529" spans="1:6" ht="15" thickBot="1" x14ac:dyDescent="0.2">
      <c r="A2529" s="30" t="s">
        <v>11310</v>
      </c>
      <c r="B2529" s="26" t="str">
        <f t="shared" si="39"/>
        <v>603032</v>
      </c>
      <c r="C2529" s="30" t="s">
        <v>4841</v>
      </c>
      <c r="D2529" s="31">
        <v>13.82</v>
      </c>
      <c r="E2529" s="31">
        <v>-4.43</v>
      </c>
      <c r="F2529" s="31">
        <v>3180230800</v>
      </c>
    </row>
    <row r="2530" spans="1:6" ht="15" thickBot="1" x14ac:dyDescent="0.2">
      <c r="A2530" s="30" t="s">
        <v>11311</v>
      </c>
      <c r="B2530" s="26" t="str">
        <f t="shared" si="39"/>
        <v>300688</v>
      </c>
      <c r="C2530" s="30" t="s">
        <v>4779</v>
      </c>
      <c r="D2530" s="31">
        <v>22.4</v>
      </c>
      <c r="E2530" s="31">
        <v>2.66</v>
      </c>
      <c r="F2530" s="31">
        <v>3179284800</v>
      </c>
    </row>
    <row r="2531" spans="1:6" ht="15" thickBot="1" x14ac:dyDescent="0.2">
      <c r="A2531" s="30" t="s">
        <v>11312</v>
      </c>
      <c r="B2531" s="26" t="str">
        <f t="shared" si="39"/>
        <v>300331</v>
      </c>
      <c r="C2531" s="30" t="s">
        <v>4296</v>
      </c>
      <c r="D2531" s="31">
        <v>15.82</v>
      </c>
      <c r="E2531" s="31">
        <v>6.75</v>
      </c>
      <c r="F2531" s="31">
        <v>3177586400</v>
      </c>
    </row>
    <row r="2532" spans="1:6" ht="15" thickBot="1" x14ac:dyDescent="0.2">
      <c r="A2532" s="30" t="s">
        <v>11313</v>
      </c>
      <c r="B2532" s="26" t="str">
        <f t="shared" si="39"/>
        <v>600261</v>
      </c>
      <c r="C2532" s="30" t="s">
        <v>5274</v>
      </c>
      <c r="D2532" s="31">
        <v>2.38</v>
      </c>
      <c r="E2532" s="31">
        <v>-0.83</v>
      </c>
      <c r="F2532" s="31">
        <v>3177426100</v>
      </c>
    </row>
    <row r="2533" spans="1:6" ht="15" thickBot="1" x14ac:dyDescent="0.2">
      <c r="A2533" s="30" t="s">
        <v>11314</v>
      </c>
      <c r="B2533" s="26" t="str">
        <f t="shared" si="39"/>
        <v>600819</v>
      </c>
      <c r="C2533" s="30" t="s">
        <v>4887</v>
      </c>
      <c r="D2533" s="31">
        <v>4.25</v>
      </c>
      <c r="E2533" s="31">
        <v>-1.39</v>
      </c>
      <c r="F2533" s="31">
        <v>3176518300</v>
      </c>
    </row>
    <row r="2534" spans="1:6" ht="15" thickBot="1" x14ac:dyDescent="0.2">
      <c r="A2534" s="30" t="s">
        <v>11315</v>
      </c>
      <c r="B2534" s="26" t="str">
        <f t="shared" si="39"/>
        <v>002115</v>
      </c>
      <c r="C2534" s="30" t="s">
        <v>4881</v>
      </c>
      <c r="D2534" s="31">
        <v>4.22</v>
      </c>
      <c r="E2534" s="31">
        <v>-1.86</v>
      </c>
      <c r="F2534" s="31">
        <v>3174265100</v>
      </c>
    </row>
    <row r="2535" spans="1:6" ht="15" thickBot="1" x14ac:dyDescent="0.2">
      <c r="A2535" s="30" t="s">
        <v>11316</v>
      </c>
      <c r="B2535" s="26" t="str">
        <f t="shared" si="39"/>
        <v>300846</v>
      </c>
      <c r="C2535" s="30" t="s">
        <v>3937</v>
      </c>
      <c r="D2535" s="31">
        <v>8.9</v>
      </c>
      <c r="E2535" s="31">
        <v>-1.44</v>
      </c>
      <c r="F2535" s="31">
        <v>3173904100</v>
      </c>
    </row>
    <row r="2536" spans="1:6" ht="15" thickBot="1" x14ac:dyDescent="0.2">
      <c r="A2536" s="30" t="s">
        <v>11317</v>
      </c>
      <c r="B2536" s="26" t="str">
        <f t="shared" si="39"/>
        <v>300900</v>
      </c>
      <c r="C2536" s="30" t="s">
        <v>4066</v>
      </c>
      <c r="D2536" s="31">
        <v>14.57</v>
      </c>
      <c r="E2536" s="31">
        <v>-0.68</v>
      </c>
      <c r="F2536" s="31">
        <v>3172655400</v>
      </c>
    </row>
    <row r="2537" spans="1:6" ht="15" thickBot="1" x14ac:dyDescent="0.2">
      <c r="A2537" s="30" t="s">
        <v>11318</v>
      </c>
      <c r="B2537" s="26" t="str">
        <f t="shared" si="39"/>
        <v>300138</v>
      </c>
      <c r="C2537" s="30" t="s">
        <v>4739</v>
      </c>
      <c r="D2537" s="31">
        <v>7.08</v>
      </c>
      <c r="E2537" s="31">
        <v>-3.54</v>
      </c>
      <c r="F2537" s="31">
        <v>3171749300</v>
      </c>
    </row>
    <row r="2538" spans="1:6" ht="15" thickBot="1" x14ac:dyDescent="0.2">
      <c r="A2538" s="30" t="s">
        <v>11319</v>
      </c>
      <c r="B2538" s="26" t="str">
        <f t="shared" si="39"/>
        <v>000417</v>
      </c>
      <c r="C2538" s="30" t="s">
        <v>5334</v>
      </c>
      <c r="D2538" s="31">
        <v>4.07</v>
      </c>
      <c r="E2538" s="31">
        <v>0.99</v>
      </c>
      <c r="F2538" s="31">
        <v>3170641700</v>
      </c>
    </row>
    <row r="2539" spans="1:6" ht="15" thickBot="1" x14ac:dyDescent="0.2">
      <c r="A2539" s="30" t="s">
        <v>11320</v>
      </c>
      <c r="B2539" s="26" t="str">
        <f t="shared" si="39"/>
        <v>002581</v>
      </c>
      <c r="C2539" s="30" t="s">
        <v>3503</v>
      </c>
      <c r="D2539" s="31">
        <v>7.91</v>
      </c>
      <c r="E2539" s="31">
        <v>-1.49</v>
      </c>
      <c r="F2539" s="31">
        <v>3170258100</v>
      </c>
    </row>
    <row r="2540" spans="1:6" ht="15" thickBot="1" x14ac:dyDescent="0.2">
      <c r="A2540" s="30" t="s">
        <v>11321</v>
      </c>
      <c r="B2540" s="26" t="str">
        <f t="shared" si="39"/>
        <v>002627</v>
      </c>
      <c r="C2540" s="30" t="s">
        <v>5244</v>
      </c>
      <c r="D2540" s="31">
        <v>4.42</v>
      </c>
      <c r="E2540" s="31">
        <v>-1.78</v>
      </c>
      <c r="F2540" s="31">
        <v>3169868300</v>
      </c>
    </row>
    <row r="2541" spans="1:6" ht="15" thickBot="1" x14ac:dyDescent="0.2">
      <c r="A2541" s="30" t="s">
        <v>11322</v>
      </c>
      <c r="B2541" s="26" t="str">
        <f t="shared" si="39"/>
        <v>601113</v>
      </c>
      <c r="C2541" s="30" t="s">
        <v>5264</v>
      </c>
      <c r="D2541" s="31">
        <v>2.87</v>
      </c>
      <c r="E2541" s="31">
        <v>-0.35</v>
      </c>
      <c r="F2541" s="31">
        <v>3168916900</v>
      </c>
    </row>
    <row r="2542" spans="1:6" ht="15" thickBot="1" x14ac:dyDescent="0.2">
      <c r="A2542" s="30" t="s">
        <v>11323</v>
      </c>
      <c r="B2542" s="26" t="str">
        <f t="shared" si="39"/>
        <v>688800</v>
      </c>
      <c r="C2542" s="30" t="s">
        <v>11324</v>
      </c>
      <c r="D2542" s="31">
        <v>20</v>
      </c>
      <c r="E2542" s="31">
        <v>0</v>
      </c>
      <c r="F2542" s="31">
        <v>3168397500</v>
      </c>
    </row>
    <row r="2543" spans="1:6" ht="15" thickBot="1" x14ac:dyDescent="0.2">
      <c r="A2543" s="30" t="s">
        <v>11325</v>
      </c>
      <c r="B2543" s="26" t="str">
        <f t="shared" si="39"/>
        <v>002478</v>
      </c>
      <c r="C2543" s="30" t="s">
        <v>4426</v>
      </c>
      <c r="D2543" s="31">
        <v>4.43</v>
      </c>
      <c r="E2543" s="31">
        <v>0.23</v>
      </c>
      <c r="F2543" s="31">
        <v>3167821600</v>
      </c>
    </row>
    <row r="2544" spans="1:6" ht="15" thickBot="1" x14ac:dyDescent="0.2">
      <c r="A2544" s="30" t="s">
        <v>11326</v>
      </c>
      <c r="B2544" s="26" t="str">
        <f t="shared" si="39"/>
        <v>002026</v>
      </c>
      <c r="C2544" s="30" t="s">
        <v>5020</v>
      </c>
      <c r="D2544" s="31">
        <v>7.4</v>
      </c>
      <c r="E2544" s="31">
        <v>-1.73</v>
      </c>
      <c r="F2544" s="31">
        <v>3167288600</v>
      </c>
    </row>
    <row r="2545" spans="1:6" ht="15" thickBot="1" x14ac:dyDescent="0.2">
      <c r="A2545" s="30" t="s">
        <v>11327</v>
      </c>
      <c r="B2545" s="26" t="str">
        <f t="shared" si="39"/>
        <v>603158</v>
      </c>
      <c r="C2545" s="30" t="s">
        <v>5242</v>
      </c>
      <c r="D2545" s="31">
        <v>6.45</v>
      </c>
      <c r="E2545" s="31">
        <v>-0.77</v>
      </c>
      <c r="F2545" s="31">
        <v>3165655500</v>
      </c>
    </row>
    <row r="2546" spans="1:6" ht="15" thickBot="1" x14ac:dyDescent="0.2">
      <c r="A2546" s="30" t="s">
        <v>11328</v>
      </c>
      <c r="B2546" s="26" t="str">
        <f t="shared" si="39"/>
        <v>300159</v>
      </c>
      <c r="C2546" s="30" t="s">
        <v>5142</v>
      </c>
      <c r="D2546" s="31">
        <v>2.15</v>
      </c>
      <c r="E2546" s="31">
        <v>0.47</v>
      </c>
      <c r="F2546" s="31">
        <v>3164454300</v>
      </c>
    </row>
    <row r="2547" spans="1:6" ht="15" thickBot="1" x14ac:dyDescent="0.2">
      <c r="A2547" s="30" t="s">
        <v>11329</v>
      </c>
      <c r="B2547" s="26" t="str">
        <f t="shared" si="39"/>
        <v>688595</v>
      </c>
      <c r="C2547" s="30" t="s">
        <v>5086</v>
      </c>
      <c r="D2547" s="31">
        <v>22.19</v>
      </c>
      <c r="E2547" s="31">
        <v>-2.89</v>
      </c>
      <c r="F2547" s="31">
        <v>3160423900</v>
      </c>
    </row>
    <row r="2548" spans="1:6" ht="15" thickBot="1" x14ac:dyDescent="0.2">
      <c r="A2548" s="30" t="s">
        <v>11330</v>
      </c>
      <c r="B2548" s="26" t="str">
        <f t="shared" si="39"/>
        <v>600620</v>
      </c>
      <c r="C2548" s="30" t="s">
        <v>5296</v>
      </c>
      <c r="D2548" s="31">
        <v>4.5999999999999996</v>
      </c>
      <c r="E2548" s="31">
        <v>-0.22</v>
      </c>
      <c r="F2548" s="31">
        <v>3158714700</v>
      </c>
    </row>
    <row r="2549" spans="1:6" ht="15" thickBot="1" x14ac:dyDescent="0.2">
      <c r="A2549" s="30" t="s">
        <v>11331</v>
      </c>
      <c r="B2549" s="26" t="str">
        <f t="shared" si="39"/>
        <v>300510</v>
      </c>
      <c r="C2549" s="30" t="s">
        <v>4636</v>
      </c>
      <c r="D2549" s="31">
        <v>3.83</v>
      </c>
      <c r="E2549" s="31">
        <v>-13.54</v>
      </c>
      <c r="F2549" s="31">
        <v>3158565400</v>
      </c>
    </row>
    <row r="2550" spans="1:6" ht="15" thickBot="1" x14ac:dyDescent="0.2">
      <c r="A2550" s="30" t="s">
        <v>11332</v>
      </c>
      <c r="B2550" s="26" t="str">
        <f t="shared" si="39"/>
        <v>000697</v>
      </c>
      <c r="C2550" s="30" t="s">
        <v>3931</v>
      </c>
      <c r="D2550" s="31">
        <v>5.6</v>
      </c>
      <c r="E2550" s="31">
        <v>1.08</v>
      </c>
      <c r="F2550" s="31">
        <v>3158343400</v>
      </c>
    </row>
    <row r="2551" spans="1:6" ht="15" thickBot="1" x14ac:dyDescent="0.2">
      <c r="A2551" s="30" t="s">
        <v>11333</v>
      </c>
      <c r="B2551" s="26" t="str">
        <f t="shared" si="39"/>
        <v>002062</v>
      </c>
      <c r="C2551" s="30" t="s">
        <v>4897</v>
      </c>
      <c r="D2551" s="31">
        <v>3.19</v>
      </c>
      <c r="E2551" s="31">
        <v>-1.54</v>
      </c>
      <c r="F2551" s="31">
        <v>3157876800</v>
      </c>
    </row>
    <row r="2552" spans="1:6" ht="15" thickBot="1" x14ac:dyDescent="0.2">
      <c r="A2552" s="30" t="s">
        <v>11334</v>
      </c>
      <c r="B2552" s="26" t="str">
        <f t="shared" si="39"/>
        <v>603324</v>
      </c>
      <c r="C2552" s="30" t="s">
        <v>11335</v>
      </c>
      <c r="D2552" s="31">
        <v>21.16</v>
      </c>
      <c r="E2552" s="31">
        <v>-0.84</v>
      </c>
      <c r="F2552" s="31">
        <v>3154407100</v>
      </c>
    </row>
    <row r="2553" spans="1:6" ht="15" thickBot="1" x14ac:dyDescent="0.2">
      <c r="A2553" s="30" t="s">
        <v>11336</v>
      </c>
      <c r="B2553" s="26" t="str">
        <f t="shared" si="39"/>
        <v>000920</v>
      </c>
      <c r="C2553" s="30" t="s">
        <v>4863</v>
      </c>
      <c r="D2553" s="31">
        <v>7.47</v>
      </c>
      <c r="E2553" s="31">
        <v>-0.4</v>
      </c>
      <c r="F2553" s="31">
        <v>3152171900</v>
      </c>
    </row>
    <row r="2554" spans="1:6" ht="15" thickBot="1" x14ac:dyDescent="0.2">
      <c r="A2554" s="30" t="s">
        <v>11337</v>
      </c>
      <c r="B2554" s="26" t="str">
        <f t="shared" si="39"/>
        <v>605158</v>
      </c>
      <c r="C2554" s="30" t="s">
        <v>5200</v>
      </c>
      <c r="D2554" s="31">
        <v>6.16</v>
      </c>
      <c r="E2554" s="31">
        <v>0</v>
      </c>
      <c r="F2554" s="31">
        <v>3150347200</v>
      </c>
    </row>
    <row r="2555" spans="1:6" ht="15" thickBot="1" x14ac:dyDescent="0.2">
      <c r="A2555" s="30" t="s">
        <v>11338</v>
      </c>
      <c r="B2555" s="26" t="str">
        <f t="shared" si="39"/>
        <v>603319</v>
      </c>
      <c r="C2555" s="30" t="s">
        <v>5282</v>
      </c>
      <c r="D2555" s="31">
        <v>15.17</v>
      </c>
      <c r="E2555" s="31">
        <v>0.8</v>
      </c>
      <c r="F2555" s="31">
        <v>3147926900</v>
      </c>
    </row>
    <row r="2556" spans="1:6" ht="15" thickBot="1" x14ac:dyDescent="0.2">
      <c r="A2556" s="30" t="s">
        <v>11339</v>
      </c>
      <c r="B2556" s="26" t="str">
        <f t="shared" si="39"/>
        <v>600676</v>
      </c>
      <c r="C2556" s="30" t="s">
        <v>5132</v>
      </c>
      <c r="D2556" s="31">
        <v>3.06</v>
      </c>
      <c r="E2556" s="31">
        <v>-1.61</v>
      </c>
      <c r="F2556" s="31">
        <v>3147188400</v>
      </c>
    </row>
    <row r="2557" spans="1:6" ht="15" thickBot="1" x14ac:dyDescent="0.2">
      <c r="A2557" s="30" t="s">
        <v>11340</v>
      </c>
      <c r="B2557" s="26" t="str">
        <f t="shared" si="39"/>
        <v>300739</v>
      </c>
      <c r="C2557" s="30" t="s">
        <v>5124</v>
      </c>
      <c r="D2557" s="31">
        <v>10.43</v>
      </c>
      <c r="E2557" s="31">
        <v>-1.88</v>
      </c>
      <c r="F2557" s="31">
        <v>3145811300</v>
      </c>
    </row>
    <row r="2558" spans="1:6" ht="15" thickBot="1" x14ac:dyDescent="0.2">
      <c r="A2558" s="30" t="s">
        <v>11341</v>
      </c>
      <c r="B2558" s="26" t="str">
        <f t="shared" si="39"/>
        <v>688677</v>
      </c>
      <c r="C2558" s="30" t="s">
        <v>5168</v>
      </c>
      <c r="D2558" s="31">
        <v>26.08</v>
      </c>
      <c r="E2558" s="31">
        <v>1.36</v>
      </c>
      <c r="F2558" s="31">
        <v>3145613100</v>
      </c>
    </row>
    <row r="2559" spans="1:6" ht="15" thickBot="1" x14ac:dyDescent="0.2">
      <c r="A2559" s="30" t="s">
        <v>11342</v>
      </c>
      <c r="B2559" s="26" t="str">
        <f t="shared" si="39"/>
        <v>002037</v>
      </c>
      <c r="C2559" s="30" t="s">
        <v>5358</v>
      </c>
      <c r="D2559" s="31">
        <v>6.5</v>
      </c>
      <c r="E2559" s="31">
        <v>0</v>
      </c>
      <c r="F2559" s="31">
        <v>3145243200</v>
      </c>
    </row>
    <row r="2560" spans="1:6" ht="15" thickBot="1" x14ac:dyDescent="0.2">
      <c r="A2560" s="30" t="s">
        <v>11343</v>
      </c>
      <c r="B2560" s="26" t="str">
        <f t="shared" si="39"/>
        <v>002589</v>
      </c>
      <c r="C2560" s="30" t="s">
        <v>4927</v>
      </c>
      <c r="D2560" s="31">
        <v>2.2999999999999998</v>
      </c>
      <c r="E2560" s="31">
        <v>-2.95</v>
      </c>
      <c r="F2560" s="31">
        <v>3140860600</v>
      </c>
    </row>
    <row r="2561" spans="1:6" ht="15" thickBot="1" x14ac:dyDescent="0.2">
      <c r="A2561" s="30" t="s">
        <v>11344</v>
      </c>
      <c r="B2561" s="26" t="str">
        <f t="shared" si="39"/>
        <v>688066</v>
      </c>
      <c r="C2561" s="30" t="s">
        <v>5228</v>
      </c>
      <c r="D2561" s="31">
        <v>12.02</v>
      </c>
      <c r="E2561" s="31">
        <v>-0.08</v>
      </c>
      <c r="F2561" s="31">
        <v>3140550100</v>
      </c>
    </row>
    <row r="2562" spans="1:6" ht="15" thickBot="1" x14ac:dyDescent="0.2">
      <c r="A2562" s="30" t="s">
        <v>11345</v>
      </c>
      <c r="B2562" s="26" t="str">
        <f t="shared" si="39"/>
        <v>605337</v>
      </c>
      <c r="C2562" s="30" t="s">
        <v>5208</v>
      </c>
      <c r="D2562" s="31">
        <v>7.96</v>
      </c>
      <c r="E2562" s="31">
        <v>-1.36</v>
      </c>
      <c r="F2562" s="31">
        <v>3139681100</v>
      </c>
    </row>
    <row r="2563" spans="1:6" ht="15" thickBot="1" x14ac:dyDescent="0.2">
      <c r="A2563" s="30" t="s">
        <v>11346</v>
      </c>
      <c r="B2563" s="26" t="str">
        <f t="shared" ref="B2563:B2626" si="40">LEFT(A2563,6)</f>
        <v>002693</v>
      </c>
      <c r="C2563" s="30" t="s">
        <v>6500</v>
      </c>
      <c r="D2563" s="31">
        <v>7.63</v>
      </c>
      <c r="E2563" s="31">
        <v>9.94</v>
      </c>
      <c r="F2563" s="31">
        <v>3138845400</v>
      </c>
    </row>
    <row r="2564" spans="1:6" ht="15" thickBot="1" x14ac:dyDescent="0.2">
      <c r="A2564" s="30" t="s">
        <v>11347</v>
      </c>
      <c r="B2564" s="26" t="str">
        <f t="shared" si="40"/>
        <v>002333</v>
      </c>
      <c r="C2564" s="30" t="s">
        <v>5190</v>
      </c>
      <c r="D2564" s="31">
        <v>4.8099999999999996</v>
      </c>
      <c r="E2564" s="31">
        <v>-0.62</v>
      </c>
      <c r="F2564" s="31">
        <v>3138828500</v>
      </c>
    </row>
    <row r="2565" spans="1:6" ht="15" thickBot="1" x14ac:dyDescent="0.2">
      <c r="A2565" s="30" t="s">
        <v>11348</v>
      </c>
      <c r="B2565" s="26" t="str">
        <f t="shared" si="40"/>
        <v>002757</v>
      </c>
      <c r="C2565" s="30" t="s">
        <v>5110</v>
      </c>
      <c r="D2565" s="31">
        <v>11.12</v>
      </c>
      <c r="E2565" s="31">
        <v>-0.89</v>
      </c>
      <c r="F2565" s="31">
        <v>3136439600</v>
      </c>
    </row>
    <row r="2566" spans="1:6" ht="15" thickBot="1" x14ac:dyDescent="0.2">
      <c r="A2566" s="30" t="s">
        <v>11349</v>
      </c>
      <c r="B2566" s="26" t="str">
        <f t="shared" si="40"/>
        <v>300869</v>
      </c>
      <c r="C2566" s="30" t="s">
        <v>3619</v>
      </c>
      <c r="D2566" s="31">
        <v>12.46</v>
      </c>
      <c r="E2566" s="31">
        <v>-2.04</v>
      </c>
      <c r="F2566" s="31">
        <v>3134550100</v>
      </c>
    </row>
    <row r="2567" spans="1:6" ht="15" thickBot="1" x14ac:dyDescent="0.2">
      <c r="A2567" s="30" t="s">
        <v>11350</v>
      </c>
      <c r="B2567" s="26" t="str">
        <f t="shared" si="40"/>
        <v>600727</v>
      </c>
      <c r="C2567" s="30" t="s">
        <v>5254</v>
      </c>
      <c r="D2567" s="31">
        <v>5.93</v>
      </c>
      <c r="E2567" s="31">
        <v>-1</v>
      </c>
      <c r="F2567" s="31">
        <v>3134142200</v>
      </c>
    </row>
    <row r="2568" spans="1:6" ht="15" thickBot="1" x14ac:dyDescent="0.2">
      <c r="A2568" s="30" t="s">
        <v>11351</v>
      </c>
      <c r="B2568" s="26" t="str">
        <f t="shared" si="40"/>
        <v>002104</v>
      </c>
      <c r="C2568" s="30" t="s">
        <v>4592</v>
      </c>
      <c r="D2568" s="31">
        <v>5.26</v>
      </c>
      <c r="E2568" s="31">
        <v>-0.19</v>
      </c>
      <c r="F2568" s="31">
        <v>3131383400</v>
      </c>
    </row>
    <row r="2569" spans="1:6" ht="15" thickBot="1" x14ac:dyDescent="0.2">
      <c r="A2569" s="30" t="s">
        <v>11352</v>
      </c>
      <c r="B2569" s="26" t="str">
        <f t="shared" si="40"/>
        <v>603200</v>
      </c>
      <c r="C2569" s="30" t="s">
        <v>5186</v>
      </c>
      <c r="D2569" s="31">
        <v>17.850000000000001</v>
      </c>
      <c r="E2569" s="31">
        <v>-3.1</v>
      </c>
      <c r="F2569" s="31">
        <v>3131018200</v>
      </c>
    </row>
    <row r="2570" spans="1:6" ht="15" thickBot="1" x14ac:dyDescent="0.2">
      <c r="A2570" s="30" t="s">
        <v>11353</v>
      </c>
      <c r="B2570" s="26" t="str">
        <f t="shared" si="40"/>
        <v>600824</v>
      </c>
      <c r="C2570" s="30" t="s">
        <v>5338</v>
      </c>
      <c r="D2570" s="31">
        <v>2.97</v>
      </c>
      <c r="E2570" s="31">
        <v>-1.98</v>
      </c>
      <c r="F2570" s="31">
        <v>3130460400</v>
      </c>
    </row>
    <row r="2571" spans="1:6" ht="15" thickBot="1" x14ac:dyDescent="0.2">
      <c r="A2571" s="30" t="s">
        <v>11354</v>
      </c>
      <c r="B2571" s="26" t="str">
        <f t="shared" si="40"/>
        <v>605338</v>
      </c>
      <c r="C2571" s="30" t="s">
        <v>5184</v>
      </c>
      <c r="D2571" s="31">
        <v>12.62</v>
      </c>
      <c r="E2571" s="31">
        <v>-0.63</v>
      </c>
      <c r="F2571" s="31">
        <v>3129760000</v>
      </c>
    </row>
    <row r="2572" spans="1:6" ht="15" thickBot="1" x14ac:dyDescent="0.2">
      <c r="A2572" s="30" t="s">
        <v>11355</v>
      </c>
      <c r="B2572" s="26" t="str">
        <f t="shared" si="40"/>
        <v>300355</v>
      </c>
      <c r="C2572" s="30" t="s">
        <v>4785</v>
      </c>
      <c r="D2572" s="31">
        <v>2.29</v>
      </c>
      <c r="E2572" s="31">
        <v>-2.14</v>
      </c>
      <c r="F2572" s="31">
        <v>3128290700</v>
      </c>
    </row>
    <row r="2573" spans="1:6" ht="15" thickBot="1" x14ac:dyDescent="0.2">
      <c r="A2573" s="30" t="s">
        <v>11356</v>
      </c>
      <c r="B2573" s="26" t="str">
        <f t="shared" si="40"/>
        <v>002612</v>
      </c>
      <c r="C2573" s="30" t="s">
        <v>3346</v>
      </c>
      <c r="D2573" s="31">
        <v>12.33</v>
      </c>
      <c r="E2573" s="31">
        <v>-1.83</v>
      </c>
      <c r="F2573" s="31">
        <v>3126136800</v>
      </c>
    </row>
    <row r="2574" spans="1:6" ht="15" thickBot="1" x14ac:dyDescent="0.2">
      <c r="A2574" s="30" t="s">
        <v>11357</v>
      </c>
      <c r="B2574" s="26" t="str">
        <f t="shared" si="40"/>
        <v>301051</v>
      </c>
      <c r="C2574" s="30" t="s">
        <v>11358</v>
      </c>
      <c r="D2574" s="31">
        <v>23.31</v>
      </c>
      <c r="E2574" s="31">
        <v>-2.4700000000000002</v>
      </c>
      <c r="F2574" s="31">
        <v>3121913700</v>
      </c>
    </row>
    <row r="2575" spans="1:6" ht="15" thickBot="1" x14ac:dyDescent="0.2">
      <c r="A2575" s="30" t="s">
        <v>11359</v>
      </c>
      <c r="B2575" s="26" t="str">
        <f t="shared" si="40"/>
        <v>600822</v>
      </c>
      <c r="C2575" s="30" t="s">
        <v>5272</v>
      </c>
      <c r="D2575" s="31">
        <v>7.88</v>
      </c>
      <c r="E2575" s="31">
        <v>3.96</v>
      </c>
      <c r="F2575" s="31">
        <v>3121645500</v>
      </c>
    </row>
    <row r="2576" spans="1:6" ht="15" thickBot="1" x14ac:dyDescent="0.2">
      <c r="A2576" s="30" t="s">
        <v>11360</v>
      </c>
      <c r="B2576" s="26" t="str">
        <f t="shared" si="40"/>
        <v>300843</v>
      </c>
      <c r="C2576" s="30" t="s">
        <v>4942</v>
      </c>
      <c r="D2576" s="31">
        <v>21.82</v>
      </c>
      <c r="E2576" s="31">
        <v>-1.36</v>
      </c>
      <c r="F2576" s="31">
        <v>3120197800</v>
      </c>
    </row>
    <row r="2577" spans="1:6" ht="15" thickBot="1" x14ac:dyDescent="0.2">
      <c r="A2577" s="30" t="s">
        <v>11361</v>
      </c>
      <c r="B2577" s="26" t="str">
        <f t="shared" si="40"/>
        <v>300617</v>
      </c>
      <c r="C2577" s="30" t="s">
        <v>4678</v>
      </c>
      <c r="D2577" s="31">
        <v>22.19</v>
      </c>
      <c r="E2577" s="31">
        <v>0.5</v>
      </c>
      <c r="F2577" s="31">
        <v>3119728400</v>
      </c>
    </row>
    <row r="2578" spans="1:6" ht="15" thickBot="1" x14ac:dyDescent="0.2">
      <c r="A2578" s="30" t="s">
        <v>11362</v>
      </c>
      <c r="B2578" s="26" t="str">
        <f t="shared" si="40"/>
        <v>600589</v>
      </c>
      <c r="C2578" s="30" t="s">
        <v>5260</v>
      </c>
      <c r="D2578" s="31">
        <v>2.11</v>
      </c>
      <c r="E2578" s="31">
        <v>-2.77</v>
      </c>
      <c r="F2578" s="31">
        <v>3119571500</v>
      </c>
    </row>
    <row r="2579" spans="1:6" ht="15" thickBot="1" x14ac:dyDescent="0.2">
      <c r="A2579" s="30" t="s">
        <v>11363</v>
      </c>
      <c r="B2579" s="26" t="str">
        <f t="shared" si="40"/>
        <v>000151</v>
      </c>
      <c r="C2579" s="30" t="s">
        <v>5112</v>
      </c>
      <c r="D2579" s="31">
        <v>10.119999999999999</v>
      </c>
      <c r="E2579" s="31">
        <v>0.3</v>
      </c>
      <c r="F2579" s="31">
        <v>3116299100</v>
      </c>
    </row>
    <row r="2580" spans="1:6" ht="15" thickBot="1" x14ac:dyDescent="0.2">
      <c r="A2580" s="30" t="s">
        <v>11364</v>
      </c>
      <c r="B2580" s="26" t="str">
        <f t="shared" si="40"/>
        <v>603687</v>
      </c>
      <c r="C2580" s="30" t="s">
        <v>5258</v>
      </c>
      <c r="D2580" s="31">
        <v>5.7</v>
      </c>
      <c r="E2580" s="31">
        <v>-0.87</v>
      </c>
      <c r="F2580" s="31">
        <v>3115064000</v>
      </c>
    </row>
    <row r="2581" spans="1:6" ht="15" thickBot="1" x14ac:dyDescent="0.2">
      <c r="A2581" s="30" t="s">
        <v>11365</v>
      </c>
      <c r="B2581" s="26" t="str">
        <f t="shared" si="40"/>
        <v>301031</v>
      </c>
      <c r="C2581" s="30" t="s">
        <v>11366</v>
      </c>
      <c r="D2581" s="31">
        <v>71.67</v>
      </c>
      <c r="E2581" s="31">
        <v>-0.25</v>
      </c>
      <c r="F2581" s="31">
        <v>3110922300</v>
      </c>
    </row>
    <row r="2582" spans="1:6" ht="15" thickBot="1" x14ac:dyDescent="0.2">
      <c r="A2582" s="30" t="s">
        <v>11367</v>
      </c>
      <c r="B2582" s="26" t="str">
        <f t="shared" si="40"/>
        <v>603970</v>
      </c>
      <c r="C2582" s="30" t="s">
        <v>5216</v>
      </c>
      <c r="D2582" s="31">
        <v>11.57</v>
      </c>
      <c r="E2582" s="31">
        <v>-2.2799999999999998</v>
      </c>
      <c r="F2582" s="31">
        <v>3110017600</v>
      </c>
    </row>
    <row r="2583" spans="1:6" ht="15" thickBot="1" x14ac:dyDescent="0.2">
      <c r="A2583" s="30" t="s">
        <v>11368</v>
      </c>
      <c r="B2583" s="26" t="str">
        <f t="shared" si="40"/>
        <v>000868</v>
      </c>
      <c r="C2583" s="30" t="s">
        <v>4196</v>
      </c>
      <c r="D2583" s="31">
        <v>4.24</v>
      </c>
      <c r="E2583" s="31">
        <v>-3.86</v>
      </c>
      <c r="F2583" s="31">
        <v>3109312500</v>
      </c>
    </row>
    <row r="2584" spans="1:6" ht="15" thickBot="1" x14ac:dyDescent="0.2">
      <c r="A2584" s="30" t="s">
        <v>11369</v>
      </c>
      <c r="B2584" s="26" t="str">
        <f t="shared" si="40"/>
        <v>688117</v>
      </c>
      <c r="C2584" s="30" t="s">
        <v>5078</v>
      </c>
      <c r="D2584" s="31">
        <v>27.73</v>
      </c>
      <c r="E2584" s="31">
        <v>-9.23</v>
      </c>
      <c r="F2584" s="31">
        <v>3105760000</v>
      </c>
    </row>
    <row r="2585" spans="1:6" ht="15" thickBot="1" x14ac:dyDescent="0.2">
      <c r="A2585" s="30" t="s">
        <v>11370</v>
      </c>
      <c r="B2585" s="26" t="str">
        <f t="shared" si="40"/>
        <v>002523</v>
      </c>
      <c r="C2585" s="30" t="s">
        <v>5401</v>
      </c>
      <c r="D2585" s="31">
        <v>2.2000000000000002</v>
      </c>
      <c r="E2585" s="31">
        <v>1.38</v>
      </c>
      <c r="F2585" s="31">
        <v>3105396500</v>
      </c>
    </row>
    <row r="2586" spans="1:6" ht="15" thickBot="1" x14ac:dyDescent="0.2">
      <c r="A2586" s="30" t="s">
        <v>11371</v>
      </c>
      <c r="B2586" s="26" t="str">
        <f t="shared" si="40"/>
        <v>300691</v>
      </c>
      <c r="C2586" s="30" t="s">
        <v>4298</v>
      </c>
      <c r="D2586" s="31">
        <v>16.04</v>
      </c>
      <c r="E2586" s="31">
        <v>8.01</v>
      </c>
      <c r="F2586" s="31">
        <v>3101792500</v>
      </c>
    </row>
    <row r="2587" spans="1:6" ht="15" thickBot="1" x14ac:dyDescent="0.2">
      <c r="A2587" s="30" t="s">
        <v>11372</v>
      </c>
      <c r="B2587" s="26" t="str">
        <f t="shared" si="40"/>
        <v>002297</v>
      </c>
      <c r="C2587" s="30" t="s">
        <v>5348</v>
      </c>
      <c r="D2587" s="31">
        <v>5.41</v>
      </c>
      <c r="E2587" s="31">
        <v>-0.92</v>
      </c>
      <c r="F2587" s="31">
        <v>3100497100</v>
      </c>
    </row>
    <row r="2588" spans="1:6" ht="15" thickBot="1" x14ac:dyDescent="0.2">
      <c r="A2588" s="30" t="s">
        <v>11373</v>
      </c>
      <c r="B2588" s="26" t="str">
        <f t="shared" si="40"/>
        <v>301363</v>
      </c>
      <c r="C2588" s="30" t="s">
        <v>11374</v>
      </c>
      <c r="D2588" s="31">
        <v>27.63</v>
      </c>
      <c r="E2588" s="31">
        <v>1.17</v>
      </c>
      <c r="F2588" s="31">
        <v>3098955900</v>
      </c>
    </row>
    <row r="2589" spans="1:6" ht="15" thickBot="1" x14ac:dyDescent="0.2">
      <c r="A2589" s="30" t="s">
        <v>11375</v>
      </c>
      <c r="B2589" s="26" t="str">
        <f t="shared" si="40"/>
        <v>300905</v>
      </c>
      <c r="C2589" s="30" t="s">
        <v>3615</v>
      </c>
      <c r="D2589" s="31">
        <v>24.88</v>
      </c>
      <c r="E2589" s="31">
        <v>0.89</v>
      </c>
      <c r="F2589" s="31">
        <v>3097197200</v>
      </c>
    </row>
    <row r="2590" spans="1:6" ht="15" thickBot="1" x14ac:dyDescent="0.2">
      <c r="A2590" s="30" t="s">
        <v>11376</v>
      </c>
      <c r="B2590" s="26" t="str">
        <f t="shared" si="40"/>
        <v>600590</v>
      </c>
      <c r="C2590" s="30" t="s">
        <v>5697</v>
      </c>
      <c r="D2590" s="31">
        <v>3.67</v>
      </c>
      <c r="E2590" s="31">
        <v>0</v>
      </c>
      <c r="F2590" s="31">
        <v>3095900100</v>
      </c>
    </row>
    <row r="2591" spans="1:6" ht="15" thickBot="1" x14ac:dyDescent="0.2">
      <c r="A2591" s="30" t="s">
        <v>11377</v>
      </c>
      <c r="B2591" s="26" t="str">
        <f t="shared" si="40"/>
        <v>600463</v>
      </c>
      <c r="C2591" s="30" t="s">
        <v>6408</v>
      </c>
      <c r="D2591" s="31">
        <v>10.3</v>
      </c>
      <c r="E2591" s="31">
        <v>5.32</v>
      </c>
      <c r="F2591" s="31">
        <v>3090000000</v>
      </c>
    </row>
    <row r="2592" spans="1:6" ht="15" thickBot="1" x14ac:dyDescent="0.2">
      <c r="A2592" s="30" t="s">
        <v>11378</v>
      </c>
      <c r="B2592" s="26" t="str">
        <f t="shared" si="40"/>
        <v>002768</v>
      </c>
      <c r="C2592" s="30" t="s">
        <v>3819</v>
      </c>
      <c r="D2592" s="31">
        <v>17.48</v>
      </c>
      <c r="E2592" s="31">
        <v>-0.23</v>
      </c>
      <c r="F2592" s="31">
        <v>3089557200</v>
      </c>
    </row>
    <row r="2593" spans="1:6" ht="15" thickBot="1" x14ac:dyDescent="0.2">
      <c r="A2593" s="30" t="s">
        <v>11379</v>
      </c>
      <c r="B2593" s="26" t="str">
        <f t="shared" si="40"/>
        <v>002480</v>
      </c>
      <c r="C2593" s="30" t="s">
        <v>5499</v>
      </c>
      <c r="D2593" s="31">
        <v>4.0199999999999996</v>
      </c>
      <c r="E2593" s="31">
        <v>4.6900000000000004</v>
      </c>
      <c r="F2593" s="31">
        <v>3086226100</v>
      </c>
    </row>
    <row r="2594" spans="1:6" ht="15" thickBot="1" x14ac:dyDescent="0.2">
      <c r="A2594" s="30" t="s">
        <v>11380</v>
      </c>
      <c r="B2594" s="26" t="str">
        <f t="shared" si="40"/>
        <v>002527</v>
      </c>
      <c r="C2594" s="30" t="s">
        <v>4486</v>
      </c>
      <c r="D2594" s="31">
        <v>5.83</v>
      </c>
      <c r="E2594" s="31">
        <v>-1.02</v>
      </c>
      <c r="F2594" s="31">
        <v>3085122500</v>
      </c>
    </row>
    <row r="2595" spans="1:6" ht="15" thickBot="1" x14ac:dyDescent="0.2">
      <c r="A2595" s="30" t="s">
        <v>11381</v>
      </c>
      <c r="B2595" s="26" t="str">
        <f t="shared" si="40"/>
        <v>600239</v>
      </c>
      <c r="C2595" s="30" t="s">
        <v>5553</v>
      </c>
      <c r="D2595" s="31">
        <v>1.92</v>
      </c>
      <c r="E2595" s="31">
        <v>1.05</v>
      </c>
      <c r="F2595" s="31">
        <v>3082918900</v>
      </c>
    </row>
    <row r="2596" spans="1:6" ht="15" thickBot="1" x14ac:dyDescent="0.2">
      <c r="A2596" s="30" t="s">
        <v>11382</v>
      </c>
      <c r="B2596" s="26" t="str">
        <f t="shared" si="40"/>
        <v>000599</v>
      </c>
      <c r="C2596" s="30" t="s">
        <v>6044</v>
      </c>
      <c r="D2596" s="31">
        <v>3.77</v>
      </c>
      <c r="E2596" s="31">
        <v>2.17</v>
      </c>
      <c r="F2596" s="31">
        <v>3079111600</v>
      </c>
    </row>
    <row r="2597" spans="1:6" ht="15" thickBot="1" x14ac:dyDescent="0.2">
      <c r="A2597" s="30" t="s">
        <v>11383</v>
      </c>
      <c r="B2597" s="26" t="str">
        <f t="shared" si="40"/>
        <v>000720</v>
      </c>
      <c r="C2597" s="30" t="s">
        <v>5766</v>
      </c>
      <c r="D2597" s="31">
        <v>2.4500000000000002</v>
      </c>
      <c r="E2597" s="31">
        <v>-4.3</v>
      </c>
      <c r="F2597" s="31">
        <v>3078502300</v>
      </c>
    </row>
    <row r="2598" spans="1:6" ht="15" thickBot="1" x14ac:dyDescent="0.2">
      <c r="A2598" s="30" t="s">
        <v>11384</v>
      </c>
      <c r="B2598" s="26" t="str">
        <f t="shared" si="40"/>
        <v>688339</v>
      </c>
      <c r="C2598" s="30" t="s">
        <v>3911</v>
      </c>
      <c r="D2598" s="31">
        <v>19.28</v>
      </c>
      <c r="E2598" s="31">
        <v>-2.23</v>
      </c>
      <c r="F2598" s="31">
        <v>3073030000</v>
      </c>
    </row>
    <row r="2599" spans="1:6" ht="15" thickBot="1" x14ac:dyDescent="0.2">
      <c r="A2599" s="30" t="s">
        <v>11385</v>
      </c>
      <c r="B2599" s="26" t="str">
        <f t="shared" si="40"/>
        <v>002554</v>
      </c>
      <c r="C2599" s="30" t="s">
        <v>5581</v>
      </c>
      <c r="D2599" s="31">
        <v>2.2799999999999998</v>
      </c>
      <c r="E2599" s="31">
        <v>0</v>
      </c>
      <c r="F2599" s="31">
        <v>3070267600</v>
      </c>
    </row>
    <row r="2600" spans="1:6" ht="15" thickBot="1" x14ac:dyDescent="0.2">
      <c r="A2600" s="30" t="s">
        <v>11386</v>
      </c>
      <c r="B2600" s="26" t="str">
        <f t="shared" si="40"/>
        <v>603313</v>
      </c>
      <c r="C2600" s="30" t="s">
        <v>5320</v>
      </c>
      <c r="D2600" s="31">
        <v>5.38</v>
      </c>
      <c r="E2600" s="31">
        <v>0</v>
      </c>
      <c r="F2600" s="31">
        <v>3069757400</v>
      </c>
    </row>
    <row r="2601" spans="1:6" ht="15" thickBot="1" x14ac:dyDescent="0.2">
      <c r="A2601" s="30" t="s">
        <v>11387</v>
      </c>
      <c r="B2601" s="26" t="str">
        <f t="shared" si="40"/>
        <v>688153</v>
      </c>
      <c r="C2601" s="30" t="s">
        <v>11388</v>
      </c>
      <c r="D2601" s="31">
        <v>26.96</v>
      </c>
      <c r="E2601" s="31">
        <v>-1.5</v>
      </c>
      <c r="F2601" s="31">
        <v>3067026200</v>
      </c>
    </row>
    <row r="2602" spans="1:6" ht="15" thickBot="1" x14ac:dyDescent="0.2">
      <c r="A2602" s="30" t="s">
        <v>11389</v>
      </c>
      <c r="B2602" s="26" t="str">
        <f t="shared" si="40"/>
        <v>603666</v>
      </c>
      <c r="C2602" s="30" t="s">
        <v>5088</v>
      </c>
      <c r="D2602" s="31">
        <v>14.85</v>
      </c>
      <c r="E2602" s="31">
        <v>-2.2400000000000002</v>
      </c>
      <c r="F2602" s="31">
        <v>3066388600</v>
      </c>
    </row>
    <row r="2603" spans="1:6" ht="15" thickBot="1" x14ac:dyDescent="0.2">
      <c r="A2603" s="30" t="s">
        <v>11390</v>
      </c>
      <c r="B2603" s="26" t="str">
        <f t="shared" si="40"/>
        <v>300042</v>
      </c>
      <c r="C2603" s="30" t="s">
        <v>5210</v>
      </c>
      <c r="D2603" s="31">
        <v>15.3</v>
      </c>
      <c r="E2603" s="31">
        <v>-3.04</v>
      </c>
      <c r="F2603" s="31">
        <v>3066120000</v>
      </c>
    </row>
    <row r="2604" spans="1:6" ht="15" thickBot="1" x14ac:dyDescent="0.2">
      <c r="A2604" s="30" t="s">
        <v>11391</v>
      </c>
      <c r="B2604" s="26" t="str">
        <f t="shared" si="40"/>
        <v>002307</v>
      </c>
      <c r="C2604" s="30" t="s">
        <v>4817</v>
      </c>
      <c r="D2604" s="31">
        <v>2.81</v>
      </c>
      <c r="E2604" s="31">
        <v>0</v>
      </c>
      <c r="F2604" s="31">
        <v>3065796300</v>
      </c>
    </row>
    <row r="2605" spans="1:6" ht="15" thickBot="1" x14ac:dyDescent="0.2">
      <c r="A2605" s="30" t="s">
        <v>11392</v>
      </c>
      <c r="B2605" s="26" t="str">
        <f t="shared" si="40"/>
        <v>300893</v>
      </c>
      <c r="C2605" s="30" t="s">
        <v>3162</v>
      </c>
      <c r="D2605" s="31">
        <v>27.1</v>
      </c>
      <c r="E2605" s="31">
        <v>2.15</v>
      </c>
      <c r="F2605" s="31">
        <v>3061713100</v>
      </c>
    </row>
    <row r="2606" spans="1:6" ht="15" thickBot="1" x14ac:dyDescent="0.2">
      <c r="A2606" s="30" t="s">
        <v>11393</v>
      </c>
      <c r="B2606" s="26" t="str">
        <f t="shared" si="40"/>
        <v>002986</v>
      </c>
      <c r="C2606" s="30" t="s">
        <v>4404</v>
      </c>
      <c r="D2606" s="31">
        <v>10.210000000000001</v>
      </c>
      <c r="E2606" s="31">
        <v>0.2</v>
      </c>
      <c r="F2606" s="31">
        <v>3060784700</v>
      </c>
    </row>
    <row r="2607" spans="1:6" ht="15" thickBot="1" x14ac:dyDescent="0.2">
      <c r="A2607" s="30" t="s">
        <v>11394</v>
      </c>
      <c r="B2607" s="26" t="str">
        <f t="shared" si="40"/>
        <v>300267</v>
      </c>
      <c r="C2607" s="30" t="s">
        <v>3994</v>
      </c>
      <c r="D2607" s="31">
        <v>2.15</v>
      </c>
      <c r="E2607" s="31">
        <v>-4.87</v>
      </c>
      <c r="F2607" s="31">
        <v>3058153200</v>
      </c>
    </row>
    <row r="2608" spans="1:6" ht="15" thickBot="1" x14ac:dyDescent="0.2">
      <c r="A2608" s="30" t="s">
        <v>11395</v>
      </c>
      <c r="B2608" s="26" t="str">
        <f t="shared" si="40"/>
        <v>600505</v>
      </c>
      <c r="C2608" s="30" t="s">
        <v>5665</v>
      </c>
      <c r="D2608" s="31">
        <v>8.3800000000000008</v>
      </c>
      <c r="E2608" s="31">
        <v>4.62</v>
      </c>
      <c r="F2608" s="31">
        <v>3055075700</v>
      </c>
    </row>
    <row r="2609" spans="1:6" ht="15" thickBot="1" x14ac:dyDescent="0.2">
      <c r="A2609" s="30" t="s">
        <v>11396</v>
      </c>
      <c r="B2609" s="26" t="str">
        <f t="shared" si="40"/>
        <v>000726</v>
      </c>
      <c r="C2609" s="30" t="s">
        <v>4524</v>
      </c>
      <c r="D2609" s="31">
        <v>5.19</v>
      </c>
      <c r="E2609" s="31">
        <v>0</v>
      </c>
      <c r="F2609" s="31">
        <v>3054543300</v>
      </c>
    </row>
    <row r="2610" spans="1:6" ht="15" thickBot="1" x14ac:dyDescent="0.2">
      <c r="A2610" s="30" t="s">
        <v>11397</v>
      </c>
      <c r="B2610" s="26" t="str">
        <f t="shared" si="40"/>
        <v>000906</v>
      </c>
      <c r="C2610" s="30" t="s">
        <v>5226</v>
      </c>
      <c r="D2610" s="31">
        <v>4.3499999999999996</v>
      </c>
      <c r="E2610" s="31">
        <v>-0.91</v>
      </c>
      <c r="F2610" s="31">
        <v>3053790300</v>
      </c>
    </row>
    <row r="2611" spans="1:6" ht="15" thickBot="1" x14ac:dyDescent="0.2">
      <c r="A2611" s="30" t="s">
        <v>11398</v>
      </c>
      <c r="B2611" s="26" t="str">
        <f t="shared" si="40"/>
        <v>002362</v>
      </c>
      <c r="C2611" s="30" t="s">
        <v>4745</v>
      </c>
      <c r="D2611" s="31">
        <v>14.74</v>
      </c>
      <c r="E2611" s="31">
        <v>-1.67</v>
      </c>
      <c r="F2611" s="31">
        <v>3053562200</v>
      </c>
    </row>
    <row r="2612" spans="1:6" ht="15" thickBot="1" x14ac:dyDescent="0.2">
      <c r="A2612" s="30" t="s">
        <v>11399</v>
      </c>
      <c r="B2612" s="26" t="str">
        <f t="shared" si="40"/>
        <v>600798</v>
      </c>
      <c r="C2612" s="30" t="s">
        <v>5453</v>
      </c>
      <c r="D2612" s="31">
        <v>2.5299999999999998</v>
      </c>
      <c r="E2612" s="31">
        <v>-0.39</v>
      </c>
      <c r="F2612" s="31">
        <v>3052531500</v>
      </c>
    </row>
    <row r="2613" spans="1:6" ht="15" thickBot="1" x14ac:dyDescent="0.2">
      <c r="A2613" s="30" t="s">
        <v>11400</v>
      </c>
      <c r="B2613" s="26" t="str">
        <f t="shared" si="40"/>
        <v>600255</v>
      </c>
      <c r="C2613" s="30" t="s">
        <v>5455</v>
      </c>
      <c r="D2613" s="31">
        <v>1.69</v>
      </c>
      <c r="E2613" s="31">
        <v>0</v>
      </c>
      <c r="F2613" s="31">
        <v>3052388400</v>
      </c>
    </row>
    <row r="2614" spans="1:6" ht="15" thickBot="1" x14ac:dyDescent="0.2">
      <c r="A2614" s="30" t="s">
        <v>11401</v>
      </c>
      <c r="B2614" s="26" t="str">
        <f t="shared" si="40"/>
        <v>002132</v>
      </c>
      <c r="C2614" s="30" t="s">
        <v>5437</v>
      </c>
      <c r="D2614" s="31">
        <v>2.1800000000000002</v>
      </c>
      <c r="E2614" s="31">
        <v>-2.2400000000000002</v>
      </c>
      <c r="F2614" s="31">
        <v>3050871100</v>
      </c>
    </row>
    <row r="2615" spans="1:6" ht="15" thickBot="1" x14ac:dyDescent="0.2">
      <c r="A2615" s="30" t="s">
        <v>11402</v>
      </c>
      <c r="B2615" s="26" t="str">
        <f t="shared" si="40"/>
        <v>688598</v>
      </c>
      <c r="C2615" s="30" t="s">
        <v>5371</v>
      </c>
      <c r="D2615" s="31">
        <v>14.94</v>
      </c>
      <c r="E2615" s="31">
        <v>-1.19</v>
      </c>
      <c r="F2615" s="31">
        <v>3050119300</v>
      </c>
    </row>
    <row r="2616" spans="1:6" ht="15" thickBot="1" x14ac:dyDescent="0.2">
      <c r="A2616" s="30" t="s">
        <v>11403</v>
      </c>
      <c r="B2616" s="26" t="str">
        <f t="shared" si="40"/>
        <v>601010</v>
      </c>
      <c r="C2616" s="30" t="s">
        <v>5387</v>
      </c>
      <c r="D2616" s="31">
        <v>1.65</v>
      </c>
      <c r="E2616" s="31">
        <v>-2.37</v>
      </c>
      <c r="F2616" s="31">
        <v>3049200000</v>
      </c>
    </row>
    <row r="2617" spans="1:6" ht="15" thickBot="1" x14ac:dyDescent="0.2">
      <c r="A2617" s="30" t="s">
        <v>11404</v>
      </c>
      <c r="B2617" s="26" t="str">
        <f t="shared" si="40"/>
        <v>000670</v>
      </c>
      <c r="C2617" s="30" t="s">
        <v>4789</v>
      </c>
      <c r="D2617" s="31">
        <v>4.22</v>
      </c>
      <c r="E2617" s="31">
        <v>-1.17</v>
      </c>
      <c r="F2617" s="31">
        <v>3047290300</v>
      </c>
    </row>
    <row r="2618" spans="1:6" ht="15" thickBot="1" x14ac:dyDescent="0.2">
      <c r="A2618" s="30" t="s">
        <v>11405</v>
      </c>
      <c r="B2618" s="26" t="str">
        <f t="shared" si="40"/>
        <v>002228</v>
      </c>
      <c r="C2618" s="30" t="s">
        <v>5603</v>
      </c>
      <c r="D2618" s="31">
        <v>2.5</v>
      </c>
      <c r="E2618" s="31">
        <v>2.04</v>
      </c>
      <c r="F2618" s="31">
        <v>3046927300</v>
      </c>
    </row>
    <row r="2619" spans="1:6" ht="15" thickBot="1" x14ac:dyDescent="0.2">
      <c r="A2619" s="30" t="s">
        <v>11406</v>
      </c>
      <c r="B2619" s="26" t="str">
        <f t="shared" si="40"/>
        <v>600630</v>
      </c>
      <c r="C2619" s="30" t="s">
        <v>5465</v>
      </c>
      <c r="D2619" s="31">
        <v>7.17</v>
      </c>
      <c r="E2619" s="31">
        <v>0.42</v>
      </c>
      <c r="F2619" s="31">
        <v>3046257700</v>
      </c>
    </row>
    <row r="2620" spans="1:6" ht="15" thickBot="1" x14ac:dyDescent="0.2">
      <c r="A2620" s="30" t="s">
        <v>11407</v>
      </c>
      <c r="B2620" s="26" t="str">
        <f t="shared" si="40"/>
        <v>688382</v>
      </c>
      <c r="C2620" s="30" t="s">
        <v>11408</v>
      </c>
      <c r="D2620" s="31">
        <v>7.62</v>
      </c>
      <c r="E2620" s="31">
        <v>0.26</v>
      </c>
      <c r="F2620" s="31">
        <v>3045620900</v>
      </c>
    </row>
    <row r="2621" spans="1:6" ht="15" thickBot="1" x14ac:dyDescent="0.2">
      <c r="A2621" s="30" t="s">
        <v>11409</v>
      </c>
      <c r="B2621" s="26" t="str">
        <f t="shared" si="40"/>
        <v>688428</v>
      </c>
      <c r="C2621" s="30" t="s">
        <v>11410</v>
      </c>
      <c r="D2621" s="31">
        <v>11.78</v>
      </c>
      <c r="E2621" s="31">
        <v>1.03</v>
      </c>
      <c r="F2621" s="31">
        <v>3043286700</v>
      </c>
    </row>
    <row r="2622" spans="1:6" ht="15" thickBot="1" x14ac:dyDescent="0.2">
      <c r="A2622" s="30" t="s">
        <v>11411</v>
      </c>
      <c r="B2622" s="26" t="str">
        <f t="shared" si="40"/>
        <v>603239</v>
      </c>
      <c r="C2622" s="30" t="s">
        <v>5316</v>
      </c>
      <c r="D2622" s="31">
        <v>11.23</v>
      </c>
      <c r="E2622" s="31">
        <v>0.9</v>
      </c>
      <c r="F2622" s="31">
        <v>3040185600</v>
      </c>
    </row>
    <row r="2623" spans="1:6" ht="15" thickBot="1" x14ac:dyDescent="0.2">
      <c r="A2623" s="30" t="s">
        <v>11412</v>
      </c>
      <c r="B2623" s="26" t="str">
        <f t="shared" si="40"/>
        <v>000068</v>
      </c>
      <c r="C2623" s="30" t="s">
        <v>5435</v>
      </c>
      <c r="D2623" s="31">
        <v>3.02</v>
      </c>
      <c r="E2623" s="31">
        <v>1.68</v>
      </c>
      <c r="F2623" s="31">
        <v>3040147800</v>
      </c>
    </row>
    <row r="2624" spans="1:6" ht="15" thickBot="1" x14ac:dyDescent="0.2">
      <c r="A2624" s="30" t="s">
        <v>11413</v>
      </c>
      <c r="B2624" s="26" t="str">
        <f t="shared" si="40"/>
        <v>000788</v>
      </c>
      <c r="C2624" s="30" t="s">
        <v>5373</v>
      </c>
      <c r="D2624" s="31">
        <v>5.0999999999999996</v>
      </c>
      <c r="E2624" s="31">
        <v>-2.4900000000000002</v>
      </c>
      <c r="F2624" s="31">
        <v>3039535900</v>
      </c>
    </row>
    <row r="2625" spans="1:6" ht="15" thickBot="1" x14ac:dyDescent="0.2">
      <c r="A2625" s="30" t="s">
        <v>11414</v>
      </c>
      <c r="B2625" s="26" t="str">
        <f t="shared" si="40"/>
        <v>300066</v>
      </c>
      <c r="C2625" s="30" t="s">
        <v>5182</v>
      </c>
      <c r="D2625" s="31">
        <v>3.02</v>
      </c>
      <c r="E2625" s="31">
        <v>-1.31</v>
      </c>
      <c r="F2625" s="31">
        <v>3037849300</v>
      </c>
    </row>
    <row r="2626" spans="1:6" ht="15" thickBot="1" x14ac:dyDescent="0.2">
      <c r="A2626" s="30" t="s">
        <v>11415</v>
      </c>
      <c r="B2626" s="26" t="str">
        <f t="shared" si="40"/>
        <v>300566</v>
      </c>
      <c r="C2626" s="30" t="s">
        <v>4676</v>
      </c>
      <c r="D2626" s="31">
        <v>13.3</v>
      </c>
      <c r="E2626" s="31">
        <v>-1.85</v>
      </c>
      <c r="F2626" s="31">
        <v>3035373000</v>
      </c>
    </row>
    <row r="2627" spans="1:6" ht="15" thickBot="1" x14ac:dyDescent="0.2">
      <c r="A2627" s="30" t="s">
        <v>11416</v>
      </c>
      <c r="B2627" s="26" t="str">
        <f t="shared" ref="B2627:B2690" si="41">LEFT(A2627,6)</f>
        <v>300206</v>
      </c>
      <c r="C2627" s="30" t="s">
        <v>3533</v>
      </c>
      <c r="D2627" s="31">
        <v>8.9</v>
      </c>
      <c r="E2627" s="31">
        <v>-2.2000000000000002</v>
      </c>
      <c r="F2627" s="31">
        <v>3029898800</v>
      </c>
    </row>
    <row r="2628" spans="1:6" ht="15" thickBot="1" x14ac:dyDescent="0.2">
      <c r="A2628" s="30" t="s">
        <v>11417</v>
      </c>
      <c r="B2628" s="26" t="str">
        <f t="shared" si="41"/>
        <v>603669</v>
      </c>
      <c r="C2628" s="30" t="s">
        <v>5491</v>
      </c>
      <c r="D2628" s="31">
        <v>4.2</v>
      </c>
      <c r="E2628" s="31">
        <v>0</v>
      </c>
      <c r="F2628" s="31">
        <v>3029203800</v>
      </c>
    </row>
    <row r="2629" spans="1:6" ht="15" thickBot="1" x14ac:dyDescent="0.2">
      <c r="A2629" s="30" t="s">
        <v>11418</v>
      </c>
      <c r="B2629" s="26" t="str">
        <f t="shared" si="41"/>
        <v>002645</v>
      </c>
      <c r="C2629" s="30" t="s">
        <v>4833</v>
      </c>
      <c r="D2629" s="31">
        <v>5.95</v>
      </c>
      <c r="E2629" s="31">
        <v>-1</v>
      </c>
      <c r="F2629" s="31">
        <v>3028973100</v>
      </c>
    </row>
    <row r="2630" spans="1:6" ht="15" thickBot="1" x14ac:dyDescent="0.2">
      <c r="A2630" s="30" t="s">
        <v>11419</v>
      </c>
      <c r="B2630" s="26" t="str">
        <f t="shared" si="41"/>
        <v>688219</v>
      </c>
      <c r="C2630" s="30" t="s">
        <v>5379</v>
      </c>
      <c r="D2630" s="31">
        <v>6.59</v>
      </c>
      <c r="E2630" s="31">
        <v>-1.05</v>
      </c>
      <c r="F2630" s="31">
        <v>3026686900</v>
      </c>
    </row>
    <row r="2631" spans="1:6" ht="15" thickBot="1" x14ac:dyDescent="0.2">
      <c r="A2631" s="30" t="s">
        <v>11420</v>
      </c>
      <c r="B2631" s="26" t="str">
        <f t="shared" si="41"/>
        <v>002277</v>
      </c>
      <c r="C2631" s="30" t="s">
        <v>5475</v>
      </c>
      <c r="D2631" s="31">
        <v>2.17</v>
      </c>
      <c r="E2631" s="31">
        <v>0</v>
      </c>
      <c r="F2631" s="31">
        <v>3025355000</v>
      </c>
    </row>
    <row r="2632" spans="1:6" ht="15" thickBot="1" x14ac:dyDescent="0.2">
      <c r="A2632" s="30" t="s">
        <v>11421</v>
      </c>
      <c r="B2632" s="26" t="str">
        <f t="shared" si="41"/>
        <v>002224</v>
      </c>
      <c r="C2632" s="30" t="s">
        <v>5048</v>
      </c>
      <c r="D2632" s="31">
        <v>3.75</v>
      </c>
      <c r="E2632" s="31">
        <v>-2.09</v>
      </c>
      <c r="F2632" s="31">
        <v>3023590300</v>
      </c>
    </row>
    <row r="2633" spans="1:6" ht="15" thickBot="1" x14ac:dyDescent="0.2">
      <c r="A2633" s="30" t="s">
        <v>11422</v>
      </c>
      <c r="B2633" s="26" t="str">
        <f t="shared" si="41"/>
        <v>605128</v>
      </c>
      <c r="C2633" s="30" t="s">
        <v>5354</v>
      </c>
      <c r="D2633" s="31">
        <v>25.53</v>
      </c>
      <c r="E2633" s="31">
        <v>-2.1800000000000002</v>
      </c>
      <c r="F2633" s="31">
        <v>3022864300</v>
      </c>
    </row>
    <row r="2634" spans="1:6" ht="15" thickBot="1" x14ac:dyDescent="0.2">
      <c r="A2634" s="30" t="s">
        <v>11423</v>
      </c>
      <c r="B2634" s="26" t="str">
        <f t="shared" si="41"/>
        <v>002055</v>
      </c>
      <c r="C2634" s="30" t="s">
        <v>4917</v>
      </c>
      <c r="D2634" s="31">
        <v>5.1100000000000003</v>
      </c>
      <c r="E2634" s="31">
        <v>-1.54</v>
      </c>
      <c r="F2634" s="31">
        <v>3021833000</v>
      </c>
    </row>
    <row r="2635" spans="1:6" ht="15" thickBot="1" x14ac:dyDescent="0.2">
      <c r="A2635" s="30" t="s">
        <v>11424</v>
      </c>
      <c r="B2635" s="26" t="str">
        <f t="shared" si="41"/>
        <v>600512</v>
      </c>
      <c r="C2635" s="30" t="s">
        <v>5477</v>
      </c>
      <c r="D2635" s="31">
        <v>1.9</v>
      </c>
      <c r="E2635" s="31">
        <v>-1.04</v>
      </c>
      <c r="F2635" s="31">
        <v>3016069800</v>
      </c>
    </row>
    <row r="2636" spans="1:6" ht="15" thickBot="1" x14ac:dyDescent="0.2">
      <c r="A2636" s="30" t="s">
        <v>11425</v>
      </c>
      <c r="B2636" s="26" t="str">
        <f t="shared" si="41"/>
        <v>300702</v>
      </c>
      <c r="C2636" s="30" t="s">
        <v>3625</v>
      </c>
      <c r="D2636" s="31">
        <v>14.27</v>
      </c>
      <c r="E2636" s="31">
        <v>-2.2599999999999998</v>
      </c>
      <c r="F2636" s="31">
        <v>3013317200</v>
      </c>
    </row>
    <row r="2637" spans="1:6" ht="15" thickBot="1" x14ac:dyDescent="0.2">
      <c r="A2637" s="30" t="s">
        <v>11426</v>
      </c>
      <c r="B2637" s="26" t="str">
        <f t="shared" si="41"/>
        <v>002109</v>
      </c>
      <c r="C2637" s="30" t="s">
        <v>5479</v>
      </c>
      <c r="D2637" s="31">
        <v>2.36</v>
      </c>
      <c r="E2637" s="31">
        <v>0</v>
      </c>
      <c r="F2637" s="31">
        <v>3011996800</v>
      </c>
    </row>
    <row r="2638" spans="1:6" ht="15" thickBot="1" x14ac:dyDescent="0.2">
      <c r="A2638" s="30" t="s">
        <v>11427</v>
      </c>
      <c r="B2638" s="26" t="str">
        <f t="shared" si="41"/>
        <v>600829</v>
      </c>
      <c r="C2638" s="30" t="s">
        <v>5360</v>
      </c>
      <c r="D2638" s="31">
        <v>5.19</v>
      </c>
      <c r="E2638" s="31">
        <v>0</v>
      </c>
      <c r="F2638" s="31">
        <v>3009621800</v>
      </c>
    </row>
    <row r="2639" spans="1:6" ht="15" thickBot="1" x14ac:dyDescent="0.2">
      <c r="A2639" s="30" t="s">
        <v>11428</v>
      </c>
      <c r="B2639" s="26" t="str">
        <f t="shared" si="41"/>
        <v>300848</v>
      </c>
      <c r="C2639" s="30" t="s">
        <v>3549</v>
      </c>
      <c r="D2639" s="31">
        <v>12.57</v>
      </c>
      <c r="E2639" s="31">
        <v>-0.16</v>
      </c>
      <c r="F2639" s="31">
        <v>3009555800</v>
      </c>
    </row>
    <row r="2640" spans="1:6" ht="15" thickBot="1" x14ac:dyDescent="0.2">
      <c r="A2640" s="30" t="s">
        <v>11429</v>
      </c>
      <c r="B2640" s="26" t="str">
        <f t="shared" si="41"/>
        <v>300006</v>
      </c>
      <c r="C2640" s="30" t="s">
        <v>5840</v>
      </c>
      <c r="D2640" s="31">
        <v>2.85</v>
      </c>
      <c r="E2640" s="31">
        <v>-4.68</v>
      </c>
      <c r="F2640" s="31">
        <v>3009094900</v>
      </c>
    </row>
    <row r="2641" spans="1:6" ht="15" thickBot="1" x14ac:dyDescent="0.2">
      <c r="A2641" s="30" t="s">
        <v>11430</v>
      </c>
      <c r="B2641" s="26" t="str">
        <f t="shared" si="41"/>
        <v>688593</v>
      </c>
      <c r="C2641" s="30" t="s">
        <v>11431</v>
      </c>
      <c r="D2641" s="31">
        <v>9.43</v>
      </c>
      <c r="E2641" s="31">
        <v>10.039999999999999</v>
      </c>
      <c r="F2641" s="31">
        <v>3008221800</v>
      </c>
    </row>
    <row r="2642" spans="1:6" ht="15" thickBot="1" x14ac:dyDescent="0.2">
      <c r="A2642" s="30" t="s">
        <v>11432</v>
      </c>
      <c r="B2642" s="26" t="str">
        <f t="shared" si="41"/>
        <v>601011</v>
      </c>
      <c r="C2642" s="30" t="s">
        <v>5413</v>
      </c>
      <c r="D2642" s="31">
        <v>1.57</v>
      </c>
      <c r="E2642" s="31">
        <v>-1.88</v>
      </c>
      <c r="F2642" s="31">
        <v>3007593300</v>
      </c>
    </row>
    <row r="2643" spans="1:6" ht="15" thickBot="1" x14ac:dyDescent="0.2">
      <c r="A2643" s="30" t="s">
        <v>11433</v>
      </c>
      <c r="B2643" s="26" t="str">
        <f t="shared" si="41"/>
        <v>603757</v>
      </c>
      <c r="C2643" s="30" t="s">
        <v>5383</v>
      </c>
      <c r="D2643" s="31">
        <v>18.04</v>
      </c>
      <c r="E2643" s="31">
        <v>-0.39</v>
      </c>
      <c r="F2643" s="31">
        <v>3007328900</v>
      </c>
    </row>
    <row r="2644" spans="1:6" ht="15" thickBot="1" x14ac:dyDescent="0.2">
      <c r="A2644" s="30" t="s">
        <v>11434</v>
      </c>
      <c r="B2644" s="26" t="str">
        <f t="shared" si="41"/>
        <v>603912</v>
      </c>
      <c r="C2644" s="30" t="s">
        <v>5433</v>
      </c>
      <c r="D2644" s="31">
        <v>5.55</v>
      </c>
      <c r="E2644" s="31">
        <v>-1.42</v>
      </c>
      <c r="F2644" s="31">
        <v>3006856600</v>
      </c>
    </row>
    <row r="2645" spans="1:6" ht="15" thickBot="1" x14ac:dyDescent="0.2">
      <c r="A2645" s="30" t="s">
        <v>11435</v>
      </c>
      <c r="B2645" s="26" t="str">
        <f t="shared" si="41"/>
        <v>600853</v>
      </c>
      <c r="C2645" s="30" t="s">
        <v>5409</v>
      </c>
      <c r="D2645" s="31">
        <v>2.98</v>
      </c>
      <c r="E2645" s="31">
        <v>-0.67</v>
      </c>
      <c r="F2645" s="31">
        <v>3006378800</v>
      </c>
    </row>
    <row r="2646" spans="1:6" ht="15" thickBot="1" x14ac:dyDescent="0.2">
      <c r="A2646" s="30" t="s">
        <v>11436</v>
      </c>
      <c r="B2646" s="26" t="str">
        <f t="shared" si="41"/>
        <v>300397</v>
      </c>
      <c r="C2646" s="30" t="s">
        <v>4476</v>
      </c>
      <c r="D2646" s="31">
        <v>7.58</v>
      </c>
      <c r="E2646" s="31">
        <v>-1.94</v>
      </c>
      <c r="F2646" s="31">
        <v>3004962400</v>
      </c>
    </row>
    <row r="2647" spans="1:6" ht="15" thickBot="1" x14ac:dyDescent="0.2">
      <c r="A2647" s="30" t="s">
        <v>11437</v>
      </c>
      <c r="B2647" s="26" t="str">
        <f t="shared" si="41"/>
        <v>603126</v>
      </c>
      <c r="C2647" s="30" t="s">
        <v>5527</v>
      </c>
      <c r="D2647" s="31">
        <v>4.92</v>
      </c>
      <c r="E2647" s="31">
        <v>-2.77</v>
      </c>
      <c r="F2647" s="31">
        <v>3003660000</v>
      </c>
    </row>
    <row r="2648" spans="1:6" ht="15" thickBot="1" x14ac:dyDescent="0.2">
      <c r="A2648" s="30" t="s">
        <v>11438</v>
      </c>
      <c r="B2648" s="26" t="str">
        <f t="shared" si="41"/>
        <v>605399</v>
      </c>
      <c r="C2648" s="30" t="s">
        <v>5318</v>
      </c>
      <c r="D2648" s="31">
        <v>9.6300000000000008</v>
      </c>
      <c r="E2648" s="31">
        <v>-1.74</v>
      </c>
      <c r="F2648" s="31">
        <v>3003382000</v>
      </c>
    </row>
    <row r="2649" spans="1:6" ht="15" thickBot="1" x14ac:dyDescent="0.2">
      <c r="A2649" s="30" t="s">
        <v>11439</v>
      </c>
      <c r="B2649" s="26" t="str">
        <f t="shared" si="41"/>
        <v>300228</v>
      </c>
      <c r="C2649" s="30" t="s">
        <v>5232</v>
      </c>
      <c r="D2649" s="31">
        <v>5.53</v>
      </c>
      <c r="E2649" s="31">
        <v>0.36</v>
      </c>
      <c r="F2649" s="31">
        <v>3002381300</v>
      </c>
    </row>
    <row r="2650" spans="1:6" ht="15" thickBot="1" x14ac:dyDescent="0.2">
      <c r="A2650" s="30" t="s">
        <v>11440</v>
      </c>
      <c r="B2650" s="26" t="str">
        <f t="shared" si="41"/>
        <v>603686</v>
      </c>
      <c r="C2650" s="30" t="s">
        <v>5367</v>
      </c>
      <c r="D2650" s="31">
        <v>7.22</v>
      </c>
      <c r="E2650" s="31">
        <v>-1.1000000000000001</v>
      </c>
      <c r="F2650" s="31">
        <v>2999407500</v>
      </c>
    </row>
    <row r="2651" spans="1:6" ht="15" thickBot="1" x14ac:dyDescent="0.2">
      <c r="A2651" s="30" t="s">
        <v>11441</v>
      </c>
      <c r="B2651" s="26" t="str">
        <f t="shared" si="41"/>
        <v>688628</v>
      </c>
      <c r="C2651" s="30" t="s">
        <v>5393</v>
      </c>
      <c r="D2651" s="31">
        <v>26.98</v>
      </c>
      <c r="E2651" s="31">
        <v>-2.1800000000000002</v>
      </c>
      <c r="F2651" s="31">
        <v>2998956400</v>
      </c>
    </row>
    <row r="2652" spans="1:6" ht="15" thickBot="1" x14ac:dyDescent="0.2">
      <c r="A2652" s="30" t="s">
        <v>11442</v>
      </c>
      <c r="B2652" s="26" t="str">
        <f t="shared" si="41"/>
        <v>300323</v>
      </c>
      <c r="C2652" s="30" t="s">
        <v>2961</v>
      </c>
      <c r="D2652" s="31">
        <v>3.99</v>
      </c>
      <c r="E2652" s="31">
        <v>-0.75</v>
      </c>
      <c r="F2652" s="31">
        <v>2998887300</v>
      </c>
    </row>
    <row r="2653" spans="1:6" ht="15" thickBot="1" x14ac:dyDescent="0.2">
      <c r="A2653" s="30" t="s">
        <v>11443</v>
      </c>
      <c r="B2653" s="26" t="str">
        <f t="shared" si="41"/>
        <v>688352</v>
      </c>
      <c r="C2653" s="30" t="s">
        <v>11444</v>
      </c>
      <c r="D2653" s="31">
        <v>8.33</v>
      </c>
      <c r="E2653" s="31">
        <v>-0.48</v>
      </c>
      <c r="F2653" s="31">
        <v>2997809800</v>
      </c>
    </row>
    <row r="2654" spans="1:6" ht="15" thickBot="1" x14ac:dyDescent="0.2">
      <c r="A2654" s="30" t="s">
        <v>11445</v>
      </c>
      <c r="B2654" s="26" t="str">
        <f t="shared" si="41"/>
        <v>300310</v>
      </c>
      <c r="C2654" s="30" t="s">
        <v>4188</v>
      </c>
      <c r="D2654" s="31">
        <v>4.33</v>
      </c>
      <c r="E2654" s="31">
        <v>-0.69</v>
      </c>
      <c r="F2654" s="31">
        <v>2995236100</v>
      </c>
    </row>
    <row r="2655" spans="1:6" ht="15" thickBot="1" x14ac:dyDescent="0.2">
      <c r="A2655" s="30" t="s">
        <v>11446</v>
      </c>
      <c r="B2655" s="26" t="str">
        <f t="shared" si="41"/>
        <v>603598</v>
      </c>
      <c r="C2655" s="30" t="s">
        <v>5431</v>
      </c>
      <c r="D2655" s="31">
        <v>11.18</v>
      </c>
      <c r="E2655" s="31">
        <v>-0.8</v>
      </c>
      <c r="F2655" s="31">
        <v>2994707200</v>
      </c>
    </row>
    <row r="2656" spans="1:6" ht="15" thickBot="1" x14ac:dyDescent="0.2">
      <c r="A2656" s="30" t="s">
        <v>11447</v>
      </c>
      <c r="B2656" s="26" t="str">
        <f t="shared" si="41"/>
        <v>833575</v>
      </c>
      <c r="C2656" s="30" t="s">
        <v>11448</v>
      </c>
      <c r="D2656" s="31">
        <v>16.02</v>
      </c>
      <c r="E2656" s="31">
        <v>-1.36</v>
      </c>
      <c r="F2656" s="31">
        <v>2993091600</v>
      </c>
    </row>
    <row r="2657" spans="1:6" ht="15" thickBot="1" x14ac:dyDescent="0.2">
      <c r="A2657" s="30" t="s">
        <v>11449</v>
      </c>
      <c r="B2657" s="26" t="str">
        <f t="shared" si="41"/>
        <v>002561</v>
      </c>
      <c r="C2657" s="30" t="s">
        <v>5529</v>
      </c>
      <c r="D2657" s="31">
        <v>7.22</v>
      </c>
      <c r="E2657" s="31">
        <v>1.83</v>
      </c>
      <c r="F2657" s="31">
        <v>2992253700</v>
      </c>
    </row>
    <row r="2658" spans="1:6" ht="15" thickBot="1" x14ac:dyDescent="0.2">
      <c r="A2658" s="30" t="s">
        <v>11450</v>
      </c>
      <c r="B2658" s="26" t="str">
        <f t="shared" si="41"/>
        <v>300471</v>
      </c>
      <c r="C2658" s="30" t="s">
        <v>5030</v>
      </c>
      <c r="D2658" s="31">
        <v>8.16</v>
      </c>
      <c r="E2658" s="31">
        <v>-0.85</v>
      </c>
      <c r="F2658" s="31">
        <v>2991064200</v>
      </c>
    </row>
    <row r="2659" spans="1:6" ht="15" thickBot="1" x14ac:dyDescent="0.2">
      <c r="A2659" s="30" t="s">
        <v>11451</v>
      </c>
      <c r="B2659" s="26" t="str">
        <f t="shared" si="41"/>
        <v>000655</v>
      </c>
      <c r="C2659" s="30" t="s">
        <v>5531</v>
      </c>
      <c r="D2659" s="31">
        <v>5.0199999999999996</v>
      </c>
      <c r="E2659" s="31">
        <v>-1.18</v>
      </c>
      <c r="F2659" s="31">
        <v>2988608000</v>
      </c>
    </row>
    <row r="2660" spans="1:6" ht="15" thickBot="1" x14ac:dyDescent="0.2">
      <c r="A2660" s="30" t="s">
        <v>11452</v>
      </c>
      <c r="B2660" s="26" t="str">
        <f t="shared" si="41"/>
        <v>300541</v>
      </c>
      <c r="C2660" s="30" t="s">
        <v>4791</v>
      </c>
      <c r="D2660" s="31">
        <v>8.18</v>
      </c>
      <c r="E2660" s="31">
        <v>-1.68</v>
      </c>
      <c r="F2660" s="31">
        <v>2987410100</v>
      </c>
    </row>
    <row r="2661" spans="1:6" ht="15" thickBot="1" x14ac:dyDescent="0.2">
      <c r="A2661" s="30" t="s">
        <v>11453</v>
      </c>
      <c r="B2661" s="26" t="str">
        <f t="shared" si="41"/>
        <v>002965</v>
      </c>
      <c r="C2661" s="30" t="s">
        <v>3665</v>
      </c>
      <c r="D2661" s="31">
        <v>23.6</v>
      </c>
      <c r="E2661" s="31">
        <v>-1.21</v>
      </c>
      <c r="F2661" s="31">
        <v>2987362100</v>
      </c>
    </row>
    <row r="2662" spans="1:6" ht="15" thickBot="1" x14ac:dyDescent="0.2">
      <c r="A2662" s="30" t="s">
        <v>11454</v>
      </c>
      <c r="B2662" s="26" t="str">
        <f t="shared" si="41"/>
        <v>300939</v>
      </c>
      <c r="C2662" s="30" t="s">
        <v>5324</v>
      </c>
      <c r="D2662" s="31">
        <v>24.89</v>
      </c>
      <c r="E2662" s="31">
        <v>-1.1499999999999999</v>
      </c>
      <c r="F2662" s="31">
        <v>2986800000</v>
      </c>
    </row>
    <row r="2663" spans="1:6" ht="15" thickBot="1" x14ac:dyDescent="0.2">
      <c r="A2663" s="30" t="s">
        <v>11455</v>
      </c>
      <c r="B2663" s="26" t="str">
        <f t="shared" si="41"/>
        <v>300664</v>
      </c>
      <c r="C2663" s="30" t="s">
        <v>5483</v>
      </c>
      <c r="D2663" s="31">
        <v>3.99</v>
      </c>
      <c r="E2663" s="31">
        <v>-0.75</v>
      </c>
      <c r="F2663" s="31">
        <v>2985087900</v>
      </c>
    </row>
    <row r="2664" spans="1:6" ht="15" thickBot="1" x14ac:dyDescent="0.2">
      <c r="A2664" s="30" t="s">
        <v>11456</v>
      </c>
      <c r="B2664" s="26" t="str">
        <f t="shared" si="41"/>
        <v>002198</v>
      </c>
      <c r="C2664" s="30" t="s">
        <v>5425</v>
      </c>
      <c r="D2664" s="31">
        <v>5.88</v>
      </c>
      <c r="E2664" s="31">
        <v>-2.81</v>
      </c>
      <c r="F2664" s="31">
        <v>2984157900</v>
      </c>
    </row>
    <row r="2665" spans="1:6" ht="15" thickBot="1" x14ac:dyDescent="0.2">
      <c r="A2665" s="30" t="s">
        <v>11457</v>
      </c>
      <c r="B2665" s="26" t="str">
        <f t="shared" si="41"/>
        <v>300094</v>
      </c>
      <c r="C2665" s="30" t="s">
        <v>5362</v>
      </c>
      <c r="D2665" s="31">
        <v>2.7</v>
      </c>
      <c r="E2665" s="31">
        <v>-1.82</v>
      </c>
      <c r="F2665" s="31">
        <v>2983395000</v>
      </c>
    </row>
    <row r="2666" spans="1:6" ht="15" thickBot="1" x14ac:dyDescent="0.2">
      <c r="A2666" s="30" t="s">
        <v>11458</v>
      </c>
      <c r="B2666" s="26" t="str">
        <f t="shared" si="41"/>
        <v>600238</v>
      </c>
      <c r="C2666" s="30" t="s">
        <v>5469</v>
      </c>
      <c r="D2666" s="31">
        <v>6.7</v>
      </c>
      <c r="E2666" s="31">
        <v>-2.9</v>
      </c>
      <c r="F2666" s="31">
        <v>2981510600</v>
      </c>
    </row>
    <row r="2667" spans="1:6" ht="15" thickBot="1" x14ac:dyDescent="0.2">
      <c r="A2667" s="30" t="s">
        <v>11459</v>
      </c>
      <c r="B2667" s="26" t="str">
        <f t="shared" si="41"/>
        <v>603767</v>
      </c>
      <c r="C2667" s="30" t="s">
        <v>5391</v>
      </c>
      <c r="D2667" s="31">
        <v>9.66</v>
      </c>
      <c r="E2667" s="31">
        <v>0</v>
      </c>
      <c r="F2667" s="31">
        <v>2981380300</v>
      </c>
    </row>
    <row r="2668" spans="1:6" ht="15" thickBot="1" x14ac:dyDescent="0.2">
      <c r="A2668" s="30" t="s">
        <v>11460</v>
      </c>
      <c r="B2668" s="26" t="str">
        <f t="shared" si="41"/>
        <v>688209</v>
      </c>
      <c r="C2668" s="30" t="s">
        <v>11461</v>
      </c>
      <c r="D2668" s="31">
        <v>10.119999999999999</v>
      </c>
      <c r="E2668" s="31">
        <v>-0.98</v>
      </c>
      <c r="F2668" s="31">
        <v>2979658200</v>
      </c>
    </row>
    <row r="2669" spans="1:6" ht="15" thickBot="1" x14ac:dyDescent="0.2">
      <c r="A2669" s="30" t="s">
        <v>11462</v>
      </c>
      <c r="B2669" s="26" t="str">
        <f t="shared" si="41"/>
        <v>002462</v>
      </c>
      <c r="C2669" s="30" t="s">
        <v>5419</v>
      </c>
      <c r="D2669" s="31">
        <v>10.220000000000001</v>
      </c>
      <c r="E2669" s="31">
        <v>-1.64</v>
      </c>
      <c r="F2669" s="31">
        <v>2978827700</v>
      </c>
    </row>
    <row r="2670" spans="1:6" ht="15" thickBot="1" x14ac:dyDescent="0.2">
      <c r="A2670" s="30" t="s">
        <v>11463</v>
      </c>
      <c r="B2670" s="26" t="str">
        <f t="shared" si="41"/>
        <v>603366</v>
      </c>
      <c r="C2670" s="30" t="s">
        <v>5495</v>
      </c>
      <c r="D2670" s="31">
        <v>3.69</v>
      </c>
      <c r="E2670" s="31">
        <v>-0.54</v>
      </c>
      <c r="F2670" s="31">
        <v>2974655700</v>
      </c>
    </row>
    <row r="2671" spans="1:6" ht="15" thickBot="1" x14ac:dyDescent="0.2">
      <c r="A2671" s="30" t="s">
        <v>11464</v>
      </c>
      <c r="B2671" s="26" t="str">
        <f t="shared" si="41"/>
        <v>000965</v>
      </c>
      <c r="C2671" s="30" t="s">
        <v>5888</v>
      </c>
      <c r="D2671" s="31">
        <v>2.68</v>
      </c>
      <c r="E2671" s="31">
        <v>1.9</v>
      </c>
      <c r="F2671" s="31">
        <v>2974346800</v>
      </c>
    </row>
    <row r="2672" spans="1:6" ht="15" thickBot="1" x14ac:dyDescent="0.2">
      <c r="A2672" s="30" t="s">
        <v>11465</v>
      </c>
      <c r="B2672" s="26" t="str">
        <f t="shared" si="41"/>
        <v>002609</v>
      </c>
      <c r="C2672" s="30" t="s">
        <v>4144</v>
      </c>
      <c r="D2672" s="31">
        <v>6.47</v>
      </c>
      <c r="E2672" s="31">
        <v>-0.15</v>
      </c>
      <c r="F2672" s="31">
        <v>2972354200</v>
      </c>
    </row>
    <row r="2673" spans="1:6" ht="15" thickBot="1" x14ac:dyDescent="0.2">
      <c r="A2673" s="30" t="s">
        <v>11466</v>
      </c>
      <c r="B2673" s="26" t="str">
        <f t="shared" si="41"/>
        <v>300833</v>
      </c>
      <c r="C2673" s="30" t="s">
        <v>3957</v>
      </c>
      <c r="D2673" s="31">
        <v>36.549999999999997</v>
      </c>
      <c r="E2673" s="31">
        <v>1.95</v>
      </c>
      <c r="F2673" s="31">
        <v>2970055700</v>
      </c>
    </row>
    <row r="2674" spans="1:6" ht="15" thickBot="1" x14ac:dyDescent="0.2">
      <c r="A2674" s="30" t="s">
        <v>11467</v>
      </c>
      <c r="B2674" s="26" t="str">
        <f t="shared" si="41"/>
        <v>300790</v>
      </c>
      <c r="C2674" s="30" t="s">
        <v>4328</v>
      </c>
      <c r="D2674" s="31">
        <v>12.01</v>
      </c>
      <c r="E2674" s="31">
        <v>-1.8</v>
      </c>
      <c r="F2674" s="31">
        <v>2968397400</v>
      </c>
    </row>
    <row r="2675" spans="1:6" ht="15" thickBot="1" x14ac:dyDescent="0.2">
      <c r="A2675" s="30" t="s">
        <v>11468</v>
      </c>
      <c r="B2675" s="26" t="str">
        <f t="shared" si="41"/>
        <v>300127</v>
      </c>
      <c r="C2675" s="30" t="s">
        <v>4212</v>
      </c>
      <c r="D2675" s="31">
        <v>12.86</v>
      </c>
      <c r="E2675" s="31">
        <v>-0.23</v>
      </c>
      <c r="F2675" s="31">
        <v>2968295600</v>
      </c>
    </row>
    <row r="2676" spans="1:6" ht="15" thickBot="1" x14ac:dyDescent="0.2">
      <c r="A2676" s="30" t="s">
        <v>11469</v>
      </c>
      <c r="B2676" s="26" t="str">
        <f t="shared" si="41"/>
        <v>000409</v>
      </c>
      <c r="C2676" s="30" t="s">
        <v>3863</v>
      </c>
      <c r="D2676" s="31">
        <v>7.01</v>
      </c>
      <c r="E2676" s="31">
        <v>-0.71</v>
      </c>
      <c r="F2676" s="31">
        <v>2967741300</v>
      </c>
    </row>
    <row r="2677" spans="1:6" ht="15" thickBot="1" x14ac:dyDescent="0.2">
      <c r="A2677" s="30" t="s">
        <v>11470</v>
      </c>
      <c r="B2677" s="26" t="str">
        <f t="shared" si="41"/>
        <v>002843</v>
      </c>
      <c r="C2677" s="30" t="s">
        <v>5076</v>
      </c>
      <c r="D2677" s="31">
        <v>11.87</v>
      </c>
      <c r="E2677" s="31">
        <v>0.08</v>
      </c>
      <c r="F2677" s="31">
        <v>2967560100</v>
      </c>
    </row>
    <row r="2678" spans="1:6" ht="15" thickBot="1" x14ac:dyDescent="0.2">
      <c r="A2678" s="30" t="s">
        <v>11471</v>
      </c>
      <c r="B2678" s="26" t="str">
        <f t="shared" si="41"/>
        <v>688105</v>
      </c>
      <c r="C2678" s="30" t="s">
        <v>11472</v>
      </c>
      <c r="D2678" s="31">
        <v>17.75</v>
      </c>
      <c r="E2678" s="31">
        <v>-2.69</v>
      </c>
      <c r="F2678" s="31">
        <v>2967317400</v>
      </c>
    </row>
    <row r="2679" spans="1:6" ht="15" thickBot="1" x14ac:dyDescent="0.2">
      <c r="A2679" s="30" t="s">
        <v>11473</v>
      </c>
      <c r="B2679" s="26" t="str">
        <f t="shared" si="41"/>
        <v>603722</v>
      </c>
      <c r="C2679" s="30" t="s">
        <v>5375</v>
      </c>
      <c r="D2679" s="31">
        <v>33.72</v>
      </c>
      <c r="E2679" s="31">
        <v>0.72</v>
      </c>
      <c r="F2679" s="31">
        <v>2965252500</v>
      </c>
    </row>
    <row r="2680" spans="1:6" ht="15" thickBot="1" x14ac:dyDescent="0.2">
      <c r="A2680" s="30" t="s">
        <v>11474</v>
      </c>
      <c r="B2680" s="26" t="str">
        <f t="shared" si="41"/>
        <v>600770</v>
      </c>
      <c r="C2680" s="30" t="s">
        <v>5507</v>
      </c>
      <c r="D2680" s="31">
        <v>2.2799999999999998</v>
      </c>
      <c r="E2680" s="31">
        <v>-2.15</v>
      </c>
      <c r="F2680" s="31">
        <v>2964000000</v>
      </c>
    </row>
    <row r="2681" spans="1:6" ht="15" thickBot="1" x14ac:dyDescent="0.2">
      <c r="A2681" s="30" t="s">
        <v>11475</v>
      </c>
      <c r="B2681" s="26" t="str">
        <f t="shared" si="41"/>
        <v>605268</v>
      </c>
      <c r="C2681" s="30" t="s">
        <v>5489</v>
      </c>
      <c r="D2681" s="31">
        <v>6.79</v>
      </c>
      <c r="E2681" s="31">
        <v>0.89</v>
      </c>
      <c r="F2681" s="31">
        <v>2960440000</v>
      </c>
    </row>
    <row r="2682" spans="1:6" ht="15" thickBot="1" x14ac:dyDescent="0.2">
      <c r="A2682" s="30" t="s">
        <v>11476</v>
      </c>
      <c r="B2682" s="26" t="str">
        <f t="shared" si="41"/>
        <v>688611</v>
      </c>
      <c r="C2682" s="30" t="s">
        <v>5641</v>
      </c>
      <c r="D2682" s="31">
        <v>27</v>
      </c>
      <c r="E2682" s="31">
        <v>-0.04</v>
      </c>
      <c r="F2682" s="31">
        <v>2958228000</v>
      </c>
    </row>
    <row r="2683" spans="1:6" ht="15" thickBot="1" x14ac:dyDescent="0.2">
      <c r="A2683" s="30" t="s">
        <v>11477</v>
      </c>
      <c r="B2683" s="26" t="str">
        <f t="shared" si="41"/>
        <v>688629</v>
      </c>
      <c r="C2683" s="30" t="s">
        <v>11478</v>
      </c>
      <c r="D2683" s="31">
        <v>17.95</v>
      </c>
      <c r="E2683" s="31">
        <v>-6.61</v>
      </c>
      <c r="F2683" s="31">
        <v>2957097300</v>
      </c>
    </row>
    <row r="2684" spans="1:6" ht="15" thickBot="1" x14ac:dyDescent="0.2">
      <c r="A2684" s="30" t="s">
        <v>11479</v>
      </c>
      <c r="B2684" s="26" t="str">
        <f t="shared" si="41"/>
        <v>603186</v>
      </c>
      <c r="C2684" s="30" t="s">
        <v>5178</v>
      </c>
      <c r="D2684" s="31">
        <v>20.82</v>
      </c>
      <c r="E2684" s="31">
        <v>-4.0599999999999996</v>
      </c>
      <c r="F2684" s="31">
        <v>2956967000</v>
      </c>
    </row>
    <row r="2685" spans="1:6" ht="15" thickBot="1" x14ac:dyDescent="0.2">
      <c r="A2685" s="30" t="s">
        <v>11480</v>
      </c>
      <c r="B2685" s="26" t="str">
        <f t="shared" si="41"/>
        <v>002358</v>
      </c>
      <c r="C2685" s="30" t="s">
        <v>5744</v>
      </c>
      <c r="D2685" s="31">
        <v>3.18</v>
      </c>
      <c r="E2685" s="31">
        <v>1.27</v>
      </c>
      <c r="F2685" s="31">
        <v>2954837300</v>
      </c>
    </row>
    <row r="2686" spans="1:6" ht="15" thickBot="1" x14ac:dyDescent="0.2">
      <c r="A2686" s="30" t="s">
        <v>11481</v>
      </c>
      <c r="B2686" s="26" t="str">
        <f t="shared" si="41"/>
        <v>002870</v>
      </c>
      <c r="C2686" s="30" t="s">
        <v>4606</v>
      </c>
      <c r="D2686" s="31">
        <v>28.39</v>
      </c>
      <c r="E2686" s="31">
        <v>1.72</v>
      </c>
      <c r="F2686" s="31">
        <v>2954308300</v>
      </c>
    </row>
    <row r="2687" spans="1:6" ht="15" thickBot="1" x14ac:dyDescent="0.2">
      <c r="A2687" s="30" t="s">
        <v>11482</v>
      </c>
      <c r="B2687" s="26" t="str">
        <f t="shared" si="41"/>
        <v>601089</v>
      </c>
      <c r="C2687" s="30" t="s">
        <v>11483</v>
      </c>
      <c r="D2687" s="31">
        <v>14.37</v>
      </c>
      <c r="E2687" s="31">
        <v>-1.17</v>
      </c>
      <c r="F2687" s="31">
        <v>2950828000</v>
      </c>
    </row>
    <row r="2688" spans="1:6" ht="15" thickBot="1" x14ac:dyDescent="0.2">
      <c r="A2688" s="30" t="s">
        <v>11484</v>
      </c>
      <c r="B2688" s="26" t="str">
        <f t="shared" si="41"/>
        <v>603701</v>
      </c>
      <c r="C2688" s="30" t="s">
        <v>5557</v>
      </c>
      <c r="D2688" s="31">
        <v>11.29</v>
      </c>
      <c r="E2688" s="31">
        <v>1.17</v>
      </c>
      <c r="F2688" s="31">
        <v>2950775900</v>
      </c>
    </row>
    <row r="2689" spans="1:6" ht="15" thickBot="1" x14ac:dyDescent="0.2">
      <c r="A2689" s="30" t="s">
        <v>11485</v>
      </c>
      <c r="B2689" s="26" t="str">
        <f t="shared" si="41"/>
        <v>600792</v>
      </c>
      <c r="C2689" s="30" t="s">
        <v>5212</v>
      </c>
      <c r="D2689" s="31">
        <v>2.98</v>
      </c>
      <c r="E2689" s="31">
        <v>1.02</v>
      </c>
      <c r="F2689" s="31">
        <v>2949972300</v>
      </c>
    </row>
    <row r="2690" spans="1:6" ht="15" thickBot="1" x14ac:dyDescent="0.2">
      <c r="A2690" s="30" t="s">
        <v>11486</v>
      </c>
      <c r="B2690" s="26" t="str">
        <f t="shared" si="41"/>
        <v>300982</v>
      </c>
      <c r="C2690" s="30" t="s">
        <v>5214</v>
      </c>
      <c r="D2690" s="31">
        <v>15.2</v>
      </c>
      <c r="E2690" s="31">
        <v>-1.24</v>
      </c>
      <c r="F2690" s="31">
        <v>2947236600</v>
      </c>
    </row>
    <row r="2691" spans="1:6" ht="15" thickBot="1" x14ac:dyDescent="0.2">
      <c r="A2691" s="30" t="s">
        <v>11487</v>
      </c>
      <c r="B2691" s="26" t="str">
        <f t="shared" ref="B2691:B2754" si="42">LEFT(A2691,6)</f>
        <v>301297</v>
      </c>
      <c r="C2691" s="30" t="s">
        <v>11488</v>
      </c>
      <c r="D2691" s="31">
        <v>21.29</v>
      </c>
      <c r="E2691" s="31">
        <v>4.47</v>
      </c>
      <c r="F2691" s="31">
        <v>2946323100</v>
      </c>
    </row>
    <row r="2692" spans="1:6" ht="15" thickBot="1" x14ac:dyDescent="0.2">
      <c r="A2692" s="30" t="s">
        <v>11489</v>
      </c>
      <c r="B2692" s="26" t="str">
        <f t="shared" si="42"/>
        <v>300010</v>
      </c>
      <c r="C2692" s="30" t="s">
        <v>3601</v>
      </c>
      <c r="D2692" s="31">
        <v>2.61</v>
      </c>
      <c r="E2692" s="31">
        <v>4.4000000000000004</v>
      </c>
      <c r="F2692" s="31">
        <v>2942951800</v>
      </c>
    </row>
    <row r="2693" spans="1:6" ht="15" thickBot="1" x14ac:dyDescent="0.2">
      <c r="A2693" s="30" t="s">
        <v>11490</v>
      </c>
      <c r="B2693" s="26" t="str">
        <f t="shared" si="42"/>
        <v>300139</v>
      </c>
      <c r="C2693" s="30" t="s">
        <v>5094</v>
      </c>
      <c r="D2693" s="31">
        <v>12.59</v>
      </c>
      <c r="E2693" s="31">
        <v>0.8</v>
      </c>
      <c r="F2693" s="31">
        <v>2941675200</v>
      </c>
    </row>
    <row r="2694" spans="1:6" ht="15" thickBot="1" x14ac:dyDescent="0.2">
      <c r="A2694" s="30" t="s">
        <v>11491</v>
      </c>
      <c r="B2694" s="26" t="str">
        <f t="shared" si="42"/>
        <v>605366</v>
      </c>
      <c r="C2694" s="30" t="s">
        <v>5385</v>
      </c>
      <c r="D2694" s="31">
        <v>4.8499999999999996</v>
      </c>
      <c r="E2694" s="31">
        <v>-1.82</v>
      </c>
      <c r="F2694" s="31">
        <v>2940127300</v>
      </c>
    </row>
    <row r="2695" spans="1:6" ht="15" thickBot="1" x14ac:dyDescent="0.2">
      <c r="A2695" s="30" t="s">
        <v>11492</v>
      </c>
      <c r="B2695" s="26" t="str">
        <f t="shared" si="42"/>
        <v>600661</v>
      </c>
      <c r="C2695" s="30" t="s">
        <v>5595</v>
      </c>
      <c r="D2695" s="31">
        <v>10.26</v>
      </c>
      <c r="E2695" s="31">
        <v>0.98</v>
      </c>
      <c r="F2695" s="31">
        <v>2939991000</v>
      </c>
    </row>
    <row r="2696" spans="1:6" ht="15" thickBot="1" x14ac:dyDescent="0.2">
      <c r="A2696" s="30" t="s">
        <v>11493</v>
      </c>
      <c r="B2696" s="26" t="str">
        <f t="shared" si="42"/>
        <v>605188</v>
      </c>
      <c r="C2696" s="30" t="s">
        <v>5539</v>
      </c>
      <c r="D2696" s="31">
        <v>5.93</v>
      </c>
      <c r="E2696" s="31">
        <v>0</v>
      </c>
      <c r="F2696" s="31">
        <v>2938789400</v>
      </c>
    </row>
    <row r="2697" spans="1:6" ht="15" thickBot="1" x14ac:dyDescent="0.2">
      <c r="A2697" s="30" t="s">
        <v>11494</v>
      </c>
      <c r="B2697" s="26" t="str">
        <f t="shared" si="42"/>
        <v>605088</v>
      </c>
      <c r="C2697" s="30" t="s">
        <v>5262</v>
      </c>
      <c r="D2697" s="31">
        <v>16.95</v>
      </c>
      <c r="E2697" s="31">
        <v>-1.1100000000000001</v>
      </c>
      <c r="F2697" s="31">
        <v>2938374600</v>
      </c>
    </row>
    <row r="2698" spans="1:6" ht="15" thickBot="1" x14ac:dyDescent="0.2">
      <c r="A2698" s="30" t="s">
        <v>11495</v>
      </c>
      <c r="B2698" s="26" t="str">
        <f t="shared" si="42"/>
        <v>000558</v>
      </c>
      <c r="C2698" s="30" t="s">
        <v>5669</v>
      </c>
      <c r="D2698" s="31">
        <v>2.2799999999999998</v>
      </c>
      <c r="E2698" s="31">
        <v>0</v>
      </c>
      <c r="F2698" s="31">
        <v>2938200900</v>
      </c>
    </row>
    <row r="2699" spans="1:6" ht="15" thickBot="1" x14ac:dyDescent="0.2">
      <c r="A2699" s="30" t="s">
        <v>11496</v>
      </c>
      <c r="B2699" s="26" t="str">
        <f t="shared" si="42"/>
        <v>600237</v>
      </c>
      <c r="C2699" s="30" t="s">
        <v>5657</v>
      </c>
      <c r="D2699" s="31">
        <v>4.8600000000000003</v>
      </c>
      <c r="E2699" s="31">
        <v>-2.99</v>
      </c>
      <c r="F2699" s="31">
        <v>2937793100</v>
      </c>
    </row>
    <row r="2700" spans="1:6" ht="15" thickBot="1" x14ac:dyDescent="0.2">
      <c r="A2700" s="30" t="s">
        <v>11497</v>
      </c>
      <c r="B2700" s="26" t="str">
        <f t="shared" si="42"/>
        <v>002469</v>
      </c>
      <c r="C2700" s="30" t="s">
        <v>5439</v>
      </c>
      <c r="D2700" s="31">
        <v>4.67</v>
      </c>
      <c r="E2700" s="31">
        <v>0</v>
      </c>
      <c r="F2700" s="31">
        <v>2936964500</v>
      </c>
    </row>
    <row r="2701" spans="1:6" ht="15" thickBot="1" x14ac:dyDescent="0.2">
      <c r="A2701" s="30" t="s">
        <v>11498</v>
      </c>
      <c r="B2701" s="26" t="str">
        <f t="shared" si="42"/>
        <v>600818</v>
      </c>
      <c r="C2701" s="30" t="s">
        <v>5222</v>
      </c>
      <c r="D2701" s="31">
        <v>12.34</v>
      </c>
      <c r="E2701" s="31">
        <v>-1.04</v>
      </c>
      <c r="F2701" s="31">
        <v>2936400600</v>
      </c>
    </row>
    <row r="2702" spans="1:6" ht="15" thickBot="1" x14ac:dyDescent="0.2">
      <c r="A2702" s="30" t="s">
        <v>11499</v>
      </c>
      <c r="B2702" s="26" t="str">
        <f t="shared" si="42"/>
        <v>688549</v>
      </c>
      <c r="C2702" s="30" t="s">
        <v>11500</v>
      </c>
      <c r="D2702" s="31">
        <v>5.08</v>
      </c>
      <c r="E2702" s="31">
        <v>0.2</v>
      </c>
      <c r="F2702" s="31">
        <v>2934898800</v>
      </c>
    </row>
    <row r="2703" spans="1:6" ht="15" thickBot="1" x14ac:dyDescent="0.2">
      <c r="A2703" s="30" t="s">
        <v>11501</v>
      </c>
      <c r="B2703" s="26" t="str">
        <f t="shared" si="42"/>
        <v>300043</v>
      </c>
      <c r="C2703" s="30" t="s">
        <v>5481</v>
      </c>
      <c r="D2703" s="31">
        <v>2.36</v>
      </c>
      <c r="E2703" s="31">
        <v>-0.84</v>
      </c>
      <c r="F2703" s="31">
        <v>2934753200</v>
      </c>
    </row>
    <row r="2704" spans="1:6" ht="15" thickBot="1" x14ac:dyDescent="0.2">
      <c r="A2704" s="30" t="s">
        <v>11502</v>
      </c>
      <c r="B2704" s="26" t="str">
        <f t="shared" si="42"/>
        <v>688631</v>
      </c>
      <c r="C2704" s="30" t="s">
        <v>11503</v>
      </c>
      <c r="D2704" s="31">
        <v>47.81</v>
      </c>
      <c r="E2704" s="31">
        <v>-2.0099999999999998</v>
      </c>
      <c r="F2704" s="31">
        <v>2927654900</v>
      </c>
    </row>
    <row r="2705" spans="1:6" ht="15" thickBot="1" x14ac:dyDescent="0.2">
      <c r="A2705" s="30" t="s">
        <v>11504</v>
      </c>
      <c r="B2705" s="26" t="str">
        <f t="shared" si="42"/>
        <v>300411</v>
      </c>
      <c r="C2705" s="30" t="s">
        <v>4442</v>
      </c>
      <c r="D2705" s="31">
        <v>9.5500000000000007</v>
      </c>
      <c r="E2705" s="31">
        <v>0.21</v>
      </c>
      <c r="F2705" s="31">
        <v>2926122600</v>
      </c>
    </row>
    <row r="2706" spans="1:6" ht="15" thickBot="1" x14ac:dyDescent="0.2">
      <c r="A2706" s="30" t="s">
        <v>11505</v>
      </c>
      <c r="B2706" s="26" t="str">
        <f t="shared" si="42"/>
        <v>002989</v>
      </c>
      <c r="C2706" s="30" t="s">
        <v>5306</v>
      </c>
      <c r="D2706" s="31">
        <v>17.63</v>
      </c>
      <c r="E2706" s="31">
        <v>-4.34</v>
      </c>
      <c r="F2706" s="31">
        <v>2922773900</v>
      </c>
    </row>
    <row r="2707" spans="1:6" ht="15" thickBot="1" x14ac:dyDescent="0.2">
      <c r="A2707" s="30" t="s">
        <v>11506</v>
      </c>
      <c r="B2707" s="26" t="str">
        <f t="shared" si="42"/>
        <v>688202</v>
      </c>
      <c r="C2707" s="30" t="s">
        <v>5152</v>
      </c>
      <c r="D2707" s="31">
        <v>23.83</v>
      </c>
      <c r="E2707" s="31">
        <v>-0.67</v>
      </c>
      <c r="F2707" s="31">
        <v>2922359500</v>
      </c>
    </row>
    <row r="2708" spans="1:6" ht="15" thickBot="1" x14ac:dyDescent="0.2">
      <c r="A2708" s="30" t="s">
        <v>11507</v>
      </c>
      <c r="B2708" s="26" t="str">
        <f t="shared" si="42"/>
        <v>300503</v>
      </c>
      <c r="C2708" s="30" t="s">
        <v>4576</v>
      </c>
      <c r="D2708" s="31">
        <v>12.22</v>
      </c>
      <c r="E2708" s="31">
        <v>0.25</v>
      </c>
      <c r="F2708" s="31">
        <v>2921646800</v>
      </c>
    </row>
    <row r="2709" spans="1:6" ht="15" thickBot="1" x14ac:dyDescent="0.2">
      <c r="A2709" s="30" t="s">
        <v>11508</v>
      </c>
      <c r="B2709" s="26" t="str">
        <f t="shared" si="42"/>
        <v>000859</v>
      </c>
      <c r="C2709" s="30" t="s">
        <v>5591</v>
      </c>
      <c r="D2709" s="31">
        <v>3.26</v>
      </c>
      <c r="E2709" s="31">
        <v>1.88</v>
      </c>
      <c r="F2709" s="31">
        <v>2920484100</v>
      </c>
    </row>
    <row r="2710" spans="1:6" ht="15" thickBot="1" x14ac:dyDescent="0.2">
      <c r="A2710" s="30" t="s">
        <v>11509</v>
      </c>
      <c r="B2710" s="26" t="str">
        <f t="shared" si="42"/>
        <v>002771</v>
      </c>
      <c r="C2710" s="30" t="s">
        <v>4797</v>
      </c>
      <c r="D2710" s="31">
        <v>16.72</v>
      </c>
      <c r="E2710" s="31">
        <v>-1.53</v>
      </c>
      <c r="F2710" s="31">
        <v>2917885000</v>
      </c>
    </row>
    <row r="2711" spans="1:6" ht="15" thickBot="1" x14ac:dyDescent="0.2">
      <c r="A2711" s="30" t="s">
        <v>11510</v>
      </c>
      <c r="B2711" s="26" t="str">
        <f t="shared" si="42"/>
        <v>600616</v>
      </c>
      <c r="C2711" s="30" t="s">
        <v>5575</v>
      </c>
      <c r="D2711" s="31">
        <v>4.3600000000000003</v>
      </c>
      <c r="E2711" s="31">
        <v>-0.68</v>
      </c>
      <c r="F2711" s="31">
        <v>2916861600</v>
      </c>
    </row>
    <row r="2712" spans="1:6" ht="15" thickBot="1" x14ac:dyDescent="0.2">
      <c r="A2712" s="30" t="s">
        <v>11511</v>
      </c>
      <c r="B2712" s="26" t="str">
        <f t="shared" si="42"/>
        <v>600345</v>
      </c>
      <c r="C2712" s="30" t="s">
        <v>3793</v>
      </c>
      <c r="D2712" s="31">
        <v>14.73</v>
      </c>
      <c r="E2712" s="31">
        <v>-0.47</v>
      </c>
      <c r="F2712" s="31">
        <v>2916540000</v>
      </c>
    </row>
    <row r="2713" spans="1:6" ht="15" thickBot="1" x14ac:dyDescent="0.2">
      <c r="A2713" s="30" t="s">
        <v>11512</v>
      </c>
      <c r="B2713" s="26" t="str">
        <f t="shared" si="42"/>
        <v>002406</v>
      </c>
      <c r="C2713" s="30" t="s">
        <v>4915</v>
      </c>
      <c r="D2713" s="31">
        <v>4.84</v>
      </c>
      <c r="E2713" s="31">
        <v>-3.2</v>
      </c>
      <c r="F2713" s="31">
        <v>2914706200</v>
      </c>
    </row>
    <row r="2714" spans="1:6" ht="15" thickBot="1" x14ac:dyDescent="0.2">
      <c r="A2714" s="30" t="s">
        <v>11513</v>
      </c>
      <c r="B2714" s="26" t="str">
        <f t="shared" si="42"/>
        <v>601999</v>
      </c>
      <c r="C2714" s="30" t="s">
        <v>5555</v>
      </c>
      <c r="D2714" s="31">
        <v>5.29</v>
      </c>
      <c r="E2714" s="31">
        <v>-1.67</v>
      </c>
      <c r="F2714" s="31">
        <v>2914338800</v>
      </c>
    </row>
    <row r="2715" spans="1:6" ht="15" thickBot="1" x14ac:dyDescent="0.2">
      <c r="A2715" s="30" t="s">
        <v>11514</v>
      </c>
      <c r="B2715" s="26" t="str">
        <f t="shared" si="42"/>
        <v>688025</v>
      </c>
      <c r="C2715" s="30" t="s">
        <v>5310</v>
      </c>
      <c r="D2715" s="31">
        <v>30.64</v>
      </c>
      <c r="E2715" s="31">
        <v>-2.2000000000000002</v>
      </c>
      <c r="F2715" s="31">
        <v>2912314300</v>
      </c>
    </row>
    <row r="2716" spans="1:6" ht="15" thickBot="1" x14ac:dyDescent="0.2">
      <c r="A2716" s="30" t="s">
        <v>11515</v>
      </c>
      <c r="B2716" s="26" t="str">
        <f t="shared" si="42"/>
        <v>300044</v>
      </c>
      <c r="C2716" s="30" t="s">
        <v>5461</v>
      </c>
      <c r="D2716" s="31">
        <v>3.81</v>
      </c>
      <c r="E2716" s="31">
        <v>-2.56</v>
      </c>
      <c r="F2716" s="31">
        <v>2909976800</v>
      </c>
    </row>
    <row r="2717" spans="1:6" ht="15" thickBot="1" x14ac:dyDescent="0.2">
      <c r="A2717" s="30" t="s">
        <v>11516</v>
      </c>
      <c r="B2717" s="26" t="str">
        <f t="shared" si="42"/>
        <v>603166</v>
      </c>
      <c r="C2717" s="30" t="s">
        <v>5451</v>
      </c>
      <c r="D2717" s="31">
        <v>4.5</v>
      </c>
      <c r="E2717" s="31">
        <v>-0.66</v>
      </c>
      <c r="F2717" s="31">
        <v>2907938900</v>
      </c>
    </row>
    <row r="2718" spans="1:6" ht="15" thickBot="1" x14ac:dyDescent="0.2">
      <c r="A2718" s="30" t="s">
        <v>11517</v>
      </c>
      <c r="B2718" s="26" t="str">
        <f t="shared" si="42"/>
        <v>300057</v>
      </c>
      <c r="C2718" s="30" t="s">
        <v>4690</v>
      </c>
      <c r="D2718" s="31">
        <v>3.94</v>
      </c>
      <c r="E2718" s="31">
        <v>-1.5</v>
      </c>
      <c r="F2718" s="31">
        <v>2907837000</v>
      </c>
    </row>
    <row r="2719" spans="1:6" ht="15" thickBot="1" x14ac:dyDescent="0.2">
      <c r="A2719" s="30" t="s">
        <v>11518</v>
      </c>
      <c r="B2719" s="26" t="str">
        <f t="shared" si="42"/>
        <v>688488</v>
      </c>
      <c r="C2719" s="30" t="s">
        <v>4935</v>
      </c>
      <c r="D2719" s="31">
        <v>6.9</v>
      </c>
      <c r="E2719" s="31">
        <v>-3.77</v>
      </c>
      <c r="F2719" s="31">
        <v>2903401400</v>
      </c>
    </row>
    <row r="2720" spans="1:6" ht="15" thickBot="1" x14ac:dyDescent="0.2">
      <c r="A2720" s="30" t="s">
        <v>11519</v>
      </c>
      <c r="B2720" s="26" t="str">
        <f t="shared" si="42"/>
        <v>688553</v>
      </c>
      <c r="C2720" s="30" t="s">
        <v>11520</v>
      </c>
      <c r="D2720" s="31">
        <v>9.9700000000000006</v>
      </c>
      <c r="E2720" s="31">
        <v>-2.35</v>
      </c>
      <c r="F2720" s="31">
        <v>2902619600</v>
      </c>
    </row>
    <row r="2721" spans="1:6" ht="15" thickBot="1" x14ac:dyDescent="0.2">
      <c r="A2721" s="30" t="s">
        <v>11521</v>
      </c>
      <c r="B2721" s="26" t="str">
        <f t="shared" si="42"/>
        <v>603339</v>
      </c>
      <c r="C2721" s="30" t="s">
        <v>5551</v>
      </c>
      <c r="D2721" s="31">
        <v>9.3800000000000008</v>
      </c>
      <c r="E2721" s="31">
        <v>0.64</v>
      </c>
      <c r="F2721" s="31">
        <v>2902558200</v>
      </c>
    </row>
    <row r="2722" spans="1:6" ht="15" thickBot="1" x14ac:dyDescent="0.2">
      <c r="A2722" s="30" t="s">
        <v>11522</v>
      </c>
      <c r="B2722" s="26" t="str">
        <f t="shared" si="42"/>
        <v>002282</v>
      </c>
      <c r="C2722" s="30" t="s">
        <v>5322</v>
      </c>
      <c r="D2722" s="31">
        <v>5.78</v>
      </c>
      <c r="E2722" s="31">
        <v>-1.7</v>
      </c>
      <c r="F2722" s="31">
        <v>2901647500</v>
      </c>
    </row>
    <row r="2723" spans="1:6" ht="15" thickBot="1" x14ac:dyDescent="0.2">
      <c r="A2723" s="30" t="s">
        <v>11523</v>
      </c>
      <c r="B2723" s="26" t="str">
        <f t="shared" si="42"/>
        <v>301005</v>
      </c>
      <c r="C2723" s="30" t="s">
        <v>11524</v>
      </c>
      <c r="D2723" s="31">
        <v>21.92</v>
      </c>
      <c r="E2723" s="31">
        <v>-0.05</v>
      </c>
      <c r="F2723" s="31">
        <v>2901589500</v>
      </c>
    </row>
    <row r="2724" spans="1:6" ht="15" thickBot="1" x14ac:dyDescent="0.2">
      <c r="A2724" s="30" t="s">
        <v>11525</v>
      </c>
      <c r="B2724" s="26" t="str">
        <f t="shared" si="42"/>
        <v>000925</v>
      </c>
      <c r="C2724" s="30" t="s">
        <v>4662</v>
      </c>
      <c r="D2724" s="31">
        <v>5.29</v>
      </c>
      <c r="E2724" s="31">
        <v>-0.75</v>
      </c>
      <c r="F2724" s="31">
        <v>2898307400</v>
      </c>
    </row>
    <row r="2725" spans="1:6" ht="15" thickBot="1" x14ac:dyDescent="0.2">
      <c r="A2725" s="30" t="s">
        <v>11526</v>
      </c>
      <c r="B2725" s="26" t="str">
        <f t="shared" si="42"/>
        <v>000931</v>
      </c>
      <c r="C2725" s="30" t="s">
        <v>5517</v>
      </c>
      <c r="D2725" s="31">
        <v>3.88</v>
      </c>
      <c r="E2725" s="31">
        <v>1.04</v>
      </c>
      <c r="F2725" s="31">
        <v>2895224900</v>
      </c>
    </row>
    <row r="2726" spans="1:6" ht="15" thickBot="1" x14ac:dyDescent="0.2">
      <c r="A2726" s="30" t="s">
        <v>11527</v>
      </c>
      <c r="B2726" s="26" t="str">
        <f t="shared" si="42"/>
        <v>603085</v>
      </c>
      <c r="C2726" s="30" t="s">
        <v>5116</v>
      </c>
      <c r="D2726" s="31">
        <v>7.82</v>
      </c>
      <c r="E2726" s="31">
        <v>-4.87</v>
      </c>
      <c r="F2726" s="31">
        <v>2895162900</v>
      </c>
    </row>
    <row r="2727" spans="1:6" ht="15" thickBot="1" x14ac:dyDescent="0.2">
      <c r="A2727" s="30" t="s">
        <v>11528</v>
      </c>
      <c r="B2727" s="26" t="str">
        <f t="shared" si="42"/>
        <v>300326</v>
      </c>
      <c r="C2727" s="30" t="s">
        <v>5559</v>
      </c>
      <c r="D2727" s="31">
        <v>4.04</v>
      </c>
      <c r="E2727" s="31">
        <v>-0.98</v>
      </c>
      <c r="F2727" s="31">
        <v>2895018400</v>
      </c>
    </row>
    <row r="2728" spans="1:6" ht="15" thickBot="1" x14ac:dyDescent="0.2">
      <c r="A2728" s="30" t="s">
        <v>11529</v>
      </c>
      <c r="B2728" s="26" t="str">
        <f t="shared" si="42"/>
        <v>000926</v>
      </c>
      <c r="C2728" s="30" t="s">
        <v>5695</v>
      </c>
      <c r="D2728" s="31">
        <v>1.84</v>
      </c>
      <c r="E2728" s="31">
        <v>1.1000000000000001</v>
      </c>
      <c r="F2728" s="31">
        <v>2894704800</v>
      </c>
    </row>
    <row r="2729" spans="1:6" ht="15" thickBot="1" x14ac:dyDescent="0.2">
      <c r="A2729" s="30" t="s">
        <v>11530</v>
      </c>
      <c r="B2729" s="26" t="str">
        <f t="shared" si="42"/>
        <v>002095</v>
      </c>
      <c r="C2729" s="30" t="s">
        <v>5445</v>
      </c>
      <c r="D2729" s="31">
        <v>11.5</v>
      </c>
      <c r="E2729" s="31">
        <v>-2.13</v>
      </c>
      <c r="F2729" s="31">
        <v>2894646800</v>
      </c>
    </row>
    <row r="2730" spans="1:6" ht="15" thickBot="1" x14ac:dyDescent="0.2">
      <c r="A2730" s="30" t="s">
        <v>11531</v>
      </c>
      <c r="B2730" s="26" t="str">
        <f t="shared" si="42"/>
        <v>600644</v>
      </c>
      <c r="C2730" s="30" t="s">
        <v>5758</v>
      </c>
      <c r="D2730" s="31">
        <v>5.37</v>
      </c>
      <c r="E2730" s="31">
        <v>1.9</v>
      </c>
      <c r="F2730" s="31">
        <v>2891211500</v>
      </c>
    </row>
    <row r="2731" spans="1:6" ht="15" thickBot="1" x14ac:dyDescent="0.2">
      <c r="A2731" s="30" t="s">
        <v>11532</v>
      </c>
      <c r="B2731" s="26" t="str">
        <f t="shared" si="42"/>
        <v>605086</v>
      </c>
      <c r="C2731" s="30" t="s">
        <v>11533</v>
      </c>
      <c r="D2731" s="31">
        <v>16.12</v>
      </c>
      <c r="E2731" s="31">
        <v>10.029999999999999</v>
      </c>
      <c r="F2731" s="31">
        <v>2888704000</v>
      </c>
    </row>
    <row r="2732" spans="1:6" ht="15" thickBot="1" x14ac:dyDescent="0.2">
      <c r="A2732" s="30" t="s">
        <v>11534</v>
      </c>
      <c r="B2732" s="26" t="str">
        <f t="shared" si="42"/>
        <v>300265</v>
      </c>
      <c r="C2732" s="30" t="s">
        <v>5611</v>
      </c>
      <c r="D2732" s="31">
        <v>6.3</v>
      </c>
      <c r="E2732" s="31">
        <v>-0.16</v>
      </c>
      <c r="F2732" s="31">
        <v>2885324900</v>
      </c>
    </row>
    <row r="2733" spans="1:6" ht="15" thickBot="1" x14ac:dyDescent="0.2">
      <c r="A2733" s="30" t="s">
        <v>11535</v>
      </c>
      <c r="B2733" s="26" t="str">
        <f t="shared" si="42"/>
        <v>301060</v>
      </c>
      <c r="C2733" s="30" t="s">
        <v>11536</v>
      </c>
      <c r="D2733" s="31">
        <v>8.09</v>
      </c>
      <c r="E2733" s="31">
        <v>-2.06</v>
      </c>
      <c r="F2733" s="31">
        <v>2884734600</v>
      </c>
    </row>
    <row r="2734" spans="1:6" ht="15" thickBot="1" x14ac:dyDescent="0.2">
      <c r="A2734" s="30" t="s">
        <v>11537</v>
      </c>
      <c r="B2734" s="26" t="str">
        <f t="shared" si="42"/>
        <v>301370</v>
      </c>
      <c r="C2734" s="30" t="s">
        <v>11538</v>
      </c>
      <c r="D2734" s="31">
        <v>8.91</v>
      </c>
      <c r="E2734" s="31">
        <v>-3.88</v>
      </c>
      <c r="F2734" s="31">
        <v>2884599700</v>
      </c>
    </row>
    <row r="2735" spans="1:6" ht="15" thickBot="1" x14ac:dyDescent="0.2">
      <c r="A2735" s="30" t="s">
        <v>11539</v>
      </c>
      <c r="B2735" s="26" t="str">
        <f t="shared" si="42"/>
        <v>000428</v>
      </c>
      <c r="C2735" s="30" t="s">
        <v>5545</v>
      </c>
      <c r="D2735" s="31">
        <v>2.83</v>
      </c>
      <c r="E2735" s="31">
        <v>-1.05</v>
      </c>
      <c r="F2735" s="31">
        <v>2883419100</v>
      </c>
    </row>
    <row r="2736" spans="1:6" ht="15" thickBot="1" x14ac:dyDescent="0.2">
      <c r="A2736" s="30" t="s">
        <v>11540</v>
      </c>
      <c r="B2736" s="26" t="str">
        <f t="shared" si="42"/>
        <v>603618</v>
      </c>
      <c r="C2736" s="30" t="s">
        <v>5649</v>
      </c>
      <c r="D2736" s="31">
        <v>4.17</v>
      </c>
      <c r="E2736" s="31">
        <v>-0.48</v>
      </c>
      <c r="F2736" s="31">
        <v>2883036300</v>
      </c>
    </row>
    <row r="2737" spans="1:6" ht="15" thickBot="1" x14ac:dyDescent="0.2">
      <c r="A2737" s="30" t="s">
        <v>11541</v>
      </c>
      <c r="B2737" s="26" t="str">
        <f t="shared" si="42"/>
        <v>300218</v>
      </c>
      <c r="C2737" s="30" t="s">
        <v>5509</v>
      </c>
      <c r="D2737" s="31">
        <v>13.33</v>
      </c>
      <c r="E2737" s="31">
        <v>0.08</v>
      </c>
      <c r="F2737" s="31">
        <v>2882964300</v>
      </c>
    </row>
    <row r="2738" spans="1:6" ht="15" thickBot="1" x14ac:dyDescent="0.2">
      <c r="A2738" s="30" t="s">
        <v>11542</v>
      </c>
      <c r="B2738" s="26" t="str">
        <f t="shared" si="42"/>
        <v>603600</v>
      </c>
      <c r="C2738" s="30" t="s">
        <v>5342</v>
      </c>
      <c r="D2738" s="31">
        <v>9.58</v>
      </c>
      <c r="E2738" s="31">
        <v>-0.21</v>
      </c>
      <c r="F2738" s="31">
        <v>2881836800</v>
      </c>
    </row>
    <row r="2739" spans="1:6" ht="15" thickBot="1" x14ac:dyDescent="0.2">
      <c r="A2739" s="30" t="s">
        <v>11543</v>
      </c>
      <c r="B2739" s="26" t="str">
        <f t="shared" si="42"/>
        <v>300056</v>
      </c>
      <c r="C2739" s="30" t="s">
        <v>5537</v>
      </c>
      <c r="D2739" s="31">
        <v>7.48</v>
      </c>
      <c r="E2739" s="31">
        <v>0</v>
      </c>
      <c r="F2739" s="31">
        <v>2881254800</v>
      </c>
    </row>
    <row r="2740" spans="1:6" ht="15" thickBot="1" x14ac:dyDescent="0.2">
      <c r="A2740" s="30" t="s">
        <v>11544</v>
      </c>
      <c r="B2740" s="26" t="str">
        <f t="shared" si="42"/>
        <v>300684</v>
      </c>
      <c r="C2740" s="30" t="s">
        <v>4010</v>
      </c>
      <c r="D2740" s="31">
        <v>14.35</v>
      </c>
      <c r="E2740" s="31">
        <v>-1.58</v>
      </c>
      <c r="F2740" s="31">
        <v>2879627800</v>
      </c>
    </row>
    <row r="2741" spans="1:6" ht="15" thickBot="1" x14ac:dyDescent="0.2">
      <c r="A2741" s="30" t="s">
        <v>11545</v>
      </c>
      <c r="B2741" s="26" t="str">
        <f t="shared" si="42"/>
        <v>000707</v>
      </c>
      <c r="C2741" s="30" t="s">
        <v>5589</v>
      </c>
      <c r="D2741" s="31">
        <v>6.2</v>
      </c>
      <c r="E2741" s="31">
        <v>-0.64</v>
      </c>
      <c r="F2741" s="31">
        <v>2877703700</v>
      </c>
    </row>
    <row r="2742" spans="1:6" ht="15" thickBot="1" x14ac:dyDescent="0.2">
      <c r="A2742" s="30" t="s">
        <v>11546</v>
      </c>
      <c r="B2742" s="26" t="str">
        <f t="shared" si="42"/>
        <v>600805</v>
      </c>
      <c r="C2742" s="30" t="s">
        <v>5585</v>
      </c>
      <c r="D2742" s="31">
        <v>3.38</v>
      </c>
      <c r="E2742" s="31">
        <v>0.9</v>
      </c>
      <c r="F2742" s="31">
        <v>2873930700</v>
      </c>
    </row>
    <row r="2743" spans="1:6" ht="15" thickBot="1" x14ac:dyDescent="0.2">
      <c r="A2743" s="30" t="s">
        <v>11547</v>
      </c>
      <c r="B2743" s="26" t="str">
        <f t="shared" si="42"/>
        <v>300204</v>
      </c>
      <c r="C2743" s="30" t="s">
        <v>5523</v>
      </c>
      <c r="D2743" s="31">
        <v>6.09</v>
      </c>
      <c r="E2743" s="31">
        <v>-3.33</v>
      </c>
      <c r="F2743" s="31">
        <v>2872292300</v>
      </c>
    </row>
    <row r="2744" spans="1:6" ht="15" thickBot="1" x14ac:dyDescent="0.2">
      <c r="A2744" s="30" t="s">
        <v>11548</v>
      </c>
      <c r="B2744" s="26" t="str">
        <f t="shared" si="42"/>
        <v>002672</v>
      </c>
      <c r="C2744" s="30" t="s">
        <v>5170</v>
      </c>
      <c r="D2744" s="31">
        <v>3.42</v>
      </c>
      <c r="E2744" s="31">
        <v>-0.28999999999999998</v>
      </c>
      <c r="F2744" s="31">
        <v>2872141900</v>
      </c>
    </row>
    <row r="2745" spans="1:6" ht="15" thickBot="1" x14ac:dyDescent="0.2">
      <c r="A2745" s="30" t="s">
        <v>11549</v>
      </c>
      <c r="B2745" s="26" t="str">
        <f t="shared" si="42"/>
        <v>600052</v>
      </c>
      <c r="C2745" s="30" t="s">
        <v>5708</v>
      </c>
      <c r="D2745" s="31">
        <v>3.4</v>
      </c>
      <c r="E2745" s="31">
        <v>0.3</v>
      </c>
      <c r="F2745" s="31">
        <v>2870262100</v>
      </c>
    </row>
    <row r="2746" spans="1:6" ht="15" thickBot="1" x14ac:dyDescent="0.2">
      <c r="A2746" s="30" t="s">
        <v>11550</v>
      </c>
      <c r="B2746" s="26" t="str">
        <f t="shared" si="42"/>
        <v>688102</v>
      </c>
      <c r="C2746" s="30" t="s">
        <v>11551</v>
      </c>
      <c r="D2746" s="31">
        <v>6.86</v>
      </c>
      <c r="E2746" s="31">
        <v>-0.72</v>
      </c>
      <c r="F2746" s="31">
        <v>2869439500</v>
      </c>
    </row>
    <row r="2747" spans="1:6" ht="15" thickBot="1" x14ac:dyDescent="0.2">
      <c r="A2747" s="30" t="s">
        <v>11552</v>
      </c>
      <c r="B2747" s="26" t="str">
        <f t="shared" si="42"/>
        <v>603615</v>
      </c>
      <c r="C2747" s="30" t="s">
        <v>5174</v>
      </c>
      <c r="D2747" s="31">
        <v>11.86</v>
      </c>
      <c r="E2747" s="31">
        <v>-8.56</v>
      </c>
      <c r="F2747" s="31">
        <v>2867985200</v>
      </c>
    </row>
    <row r="2748" spans="1:6" ht="15" thickBot="1" x14ac:dyDescent="0.2">
      <c r="A2748" s="30" t="s">
        <v>11553</v>
      </c>
      <c r="B2748" s="26" t="str">
        <f t="shared" si="42"/>
        <v>688543</v>
      </c>
      <c r="C2748" s="30" t="s">
        <v>11554</v>
      </c>
      <c r="D2748" s="31">
        <v>35.090000000000003</v>
      </c>
      <c r="E2748" s="31">
        <v>-1.65</v>
      </c>
      <c r="F2748" s="31">
        <v>2865197800</v>
      </c>
    </row>
    <row r="2749" spans="1:6" ht="15" thickBot="1" x14ac:dyDescent="0.2">
      <c r="A2749" s="30" t="s">
        <v>11555</v>
      </c>
      <c r="B2749" s="26" t="str">
        <f t="shared" si="42"/>
        <v>002520</v>
      </c>
      <c r="C2749" s="30" t="s">
        <v>4522</v>
      </c>
      <c r="D2749" s="31">
        <v>4.4400000000000004</v>
      </c>
      <c r="E2749" s="31">
        <v>-9.94</v>
      </c>
      <c r="F2749" s="31">
        <v>2863534400</v>
      </c>
    </row>
    <row r="2750" spans="1:6" ht="15" thickBot="1" x14ac:dyDescent="0.2">
      <c r="A2750" s="30" t="s">
        <v>11556</v>
      </c>
      <c r="B2750" s="26" t="str">
        <f t="shared" si="42"/>
        <v>603222</v>
      </c>
      <c r="C2750" s="30" t="s">
        <v>5525</v>
      </c>
      <c r="D2750" s="31">
        <v>5.33</v>
      </c>
      <c r="E2750" s="31">
        <v>-5.66</v>
      </c>
      <c r="F2750" s="31">
        <v>2863475400</v>
      </c>
    </row>
    <row r="2751" spans="1:6" ht="15" thickBot="1" x14ac:dyDescent="0.2">
      <c r="A2751" s="30" t="s">
        <v>11557</v>
      </c>
      <c r="B2751" s="26" t="str">
        <f t="shared" si="42"/>
        <v>688023</v>
      </c>
      <c r="C2751" s="30" t="s">
        <v>5505</v>
      </c>
      <c r="D2751" s="31">
        <v>28.03</v>
      </c>
      <c r="E2751" s="31">
        <v>-2.34</v>
      </c>
      <c r="F2751" s="31">
        <v>2860897200</v>
      </c>
    </row>
    <row r="2752" spans="1:6" ht="15" thickBot="1" x14ac:dyDescent="0.2">
      <c r="A2752" s="30" t="s">
        <v>11558</v>
      </c>
      <c r="B2752" s="26" t="str">
        <f t="shared" si="42"/>
        <v>688312</v>
      </c>
      <c r="C2752" s="30" t="s">
        <v>5675</v>
      </c>
      <c r="D2752" s="31">
        <v>19.75</v>
      </c>
      <c r="E2752" s="31">
        <v>-3</v>
      </c>
      <c r="F2752" s="31">
        <v>2860758600</v>
      </c>
    </row>
    <row r="2753" spans="1:6" ht="15" thickBot="1" x14ac:dyDescent="0.2">
      <c r="A2753" s="30" t="s">
        <v>11559</v>
      </c>
      <c r="B2753" s="26" t="str">
        <f t="shared" si="42"/>
        <v>300577</v>
      </c>
      <c r="C2753" s="30" t="s">
        <v>3893</v>
      </c>
      <c r="D2753" s="31">
        <v>20.36</v>
      </c>
      <c r="E2753" s="31">
        <v>1.8</v>
      </c>
      <c r="F2753" s="31">
        <v>2860138400</v>
      </c>
    </row>
    <row r="2754" spans="1:6" ht="15" thickBot="1" x14ac:dyDescent="0.2">
      <c r="A2754" s="30" t="s">
        <v>11560</v>
      </c>
      <c r="B2754" s="26" t="str">
        <f t="shared" si="42"/>
        <v>600962</v>
      </c>
      <c r="C2754" s="30" t="s">
        <v>5864</v>
      </c>
      <c r="D2754" s="31">
        <v>10.9</v>
      </c>
      <c r="E2754" s="31">
        <v>-1</v>
      </c>
      <c r="F2754" s="31">
        <v>2858089000</v>
      </c>
    </row>
    <row r="2755" spans="1:6" ht="15" thickBot="1" x14ac:dyDescent="0.2">
      <c r="A2755" s="30" t="s">
        <v>11561</v>
      </c>
      <c r="B2755" s="26" t="str">
        <f t="shared" ref="B2755:B2818" si="43">LEFT(A2755,6)</f>
        <v>600288</v>
      </c>
      <c r="C2755" s="30" t="s">
        <v>5599</v>
      </c>
      <c r="D2755" s="31">
        <v>6.54</v>
      </c>
      <c r="E2755" s="31">
        <v>-1.8</v>
      </c>
      <c r="F2755" s="31">
        <v>2856672000</v>
      </c>
    </row>
    <row r="2756" spans="1:6" ht="15" thickBot="1" x14ac:dyDescent="0.2">
      <c r="A2756" s="30" t="s">
        <v>11562</v>
      </c>
      <c r="B2756" s="26" t="str">
        <f t="shared" si="43"/>
        <v>300384</v>
      </c>
      <c r="C2756" s="30" t="s">
        <v>4304</v>
      </c>
      <c r="D2756" s="31">
        <v>13</v>
      </c>
      <c r="E2756" s="31">
        <v>-0.92</v>
      </c>
      <c r="F2756" s="31">
        <v>2855985300</v>
      </c>
    </row>
    <row r="2757" spans="1:6" ht="15" thickBot="1" x14ac:dyDescent="0.2">
      <c r="A2757" s="30" t="s">
        <v>11563</v>
      </c>
      <c r="B2757" s="26" t="str">
        <f t="shared" si="43"/>
        <v>000411</v>
      </c>
      <c r="C2757" s="30" t="s">
        <v>3907</v>
      </c>
      <c r="D2757" s="31">
        <v>8.91</v>
      </c>
      <c r="E2757" s="31">
        <v>-1</v>
      </c>
      <c r="F2757" s="31">
        <v>2855618100</v>
      </c>
    </row>
    <row r="2758" spans="1:6" ht="15" thickBot="1" x14ac:dyDescent="0.2">
      <c r="A2758" s="30" t="s">
        <v>11564</v>
      </c>
      <c r="B2758" s="26" t="str">
        <f t="shared" si="43"/>
        <v>002933</v>
      </c>
      <c r="C2758" s="30" t="s">
        <v>5788</v>
      </c>
      <c r="D2758" s="31">
        <v>25.03</v>
      </c>
      <c r="E2758" s="31">
        <v>3.6</v>
      </c>
      <c r="F2758" s="31">
        <v>2855235900</v>
      </c>
    </row>
    <row r="2759" spans="1:6" ht="15" thickBot="1" x14ac:dyDescent="0.2">
      <c r="A2759" s="30" t="s">
        <v>11565</v>
      </c>
      <c r="B2759" s="26" t="str">
        <f t="shared" si="43"/>
        <v>301071</v>
      </c>
      <c r="C2759" s="30" t="s">
        <v>3226</v>
      </c>
      <c r="D2759" s="31">
        <v>21.86</v>
      </c>
      <c r="E2759" s="31">
        <v>-2.41</v>
      </c>
      <c r="F2759" s="31">
        <v>2854074200</v>
      </c>
    </row>
    <row r="2760" spans="1:6" ht="15" thickBot="1" x14ac:dyDescent="0.2">
      <c r="A2760" s="30" t="s">
        <v>11566</v>
      </c>
      <c r="B2760" s="26" t="str">
        <f t="shared" si="43"/>
        <v>300259</v>
      </c>
      <c r="C2760" s="30" t="s">
        <v>5597</v>
      </c>
      <c r="D2760" s="31">
        <v>2.44</v>
      </c>
      <c r="E2760" s="31">
        <v>-1.61</v>
      </c>
      <c r="F2760" s="31">
        <v>2853661100</v>
      </c>
    </row>
    <row r="2761" spans="1:6" ht="15" thickBot="1" x14ac:dyDescent="0.2">
      <c r="A2761" s="30" t="s">
        <v>11567</v>
      </c>
      <c r="B2761" s="26" t="str">
        <f t="shared" si="43"/>
        <v>600683</v>
      </c>
      <c r="C2761" s="30" t="s">
        <v>6034</v>
      </c>
      <c r="D2761" s="31">
        <v>3.85</v>
      </c>
      <c r="E2761" s="31">
        <v>3.77</v>
      </c>
      <c r="F2761" s="31">
        <v>2851993700</v>
      </c>
    </row>
    <row r="2762" spans="1:6" ht="15" thickBot="1" x14ac:dyDescent="0.2">
      <c r="A2762" s="30" t="s">
        <v>11568</v>
      </c>
      <c r="B2762" s="26" t="str">
        <f t="shared" si="43"/>
        <v>300121</v>
      </c>
      <c r="C2762" s="30" t="s">
        <v>5900</v>
      </c>
      <c r="D2762" s="31">
        <v>7.23</v>
      </c>
      <c r="E2762" s="31">
        <v>0.7</v>
      </c>
      <c r="F2762" s="31">
        <v>2851895800</v>
      </c>
    </row>
    <row r="2763" spans="1:6" ht="15" thickBot="1" x14ac:dyDescent="0.2">
      <c r="A2763" s="30" t="s">
        <v>11569</v>
      </c>
      <c r="B2763" s="26" t="str">
        <f t="shared" si="43"/>
        <v>300862</v>
      </c>
      <c r="C2763" s="30" t="s">
        <v>5024</v>
      </c>
      <c r="D2763" s="31">
        <v>18.8</v>
      </c>
      <c r="E2763" s="31">
        <v>-5.29</v>
      </c>
      <c r="F2763" s="31">
        <v>2847654900</v>
      </c>
    </row>
    <row r="2764" spans="1:6" ht="15" thickBot="1" x14ac:dyDescent="0.2">
      <c r="A2764" s="30" t="s">
        <v>11570</v>
      </c>
      <c r="B2764" s="26" t="str">
        <f t="shared" si="43"/>
        <v>000919</v>
      </c>
      <c r="C2764" s="30" t="s">
        <v>4775</v>
      </c>
      <c r="D2764" s="31">
        <v>5.65</v>
      </c>
      <c r="E2764" s="31">
        <v>-3.42</v>
      </c>
      <c r="F2764" s="31">
        <v>2846930300</v>
      </c>
    </row>
    <row r="2765" spans="1:6" ht="15" thickBot="1" x14ac:dyDescent="0.2">
      <c r="A2765" s="30" t="s">
        <v>11571</v>
      </c>
      <c r="B2765" s="26" t="str">
        <f t="shared" si="43"/>
        <v>300402</v>
      </c>
      <c r="C2765" s="30" t="s">
        <v>5571</v>
      </c>
      <c r="D2765" s="31">
        <v>11.68</v>
      </c>
      <c r="E2765" s="31">
        <v>-1.27</v>
      </c>
      <c r="F2765" s="31">
        <v>2845464000</v>
      </c>
    </row>
    <row r="2766" spans="1:6" ht="15" thickBot="1" x14ac:dyDescent="0.2">
      <c r="A2766" s="30" t="s">
        <v>11572</v>
      </c>
      <c r="B2766" s="26" t="str">
        <f t="shared" si="43"/>
        <v>600558</v>
      </c>
      <c r="C2766" s="30" t="s">
        <v>5673</v>
      </c>
      <c r="D2766" s="31">
        <v>3.17</v>
      </c>
      <c r="E2766" s="31">
        <v>-0.94</v>
      </c>
      <c r="F2766" s="31">
        <v>2845407300</v>
      </c>
    </row>
    <row r="2767" spans="1:6" ht="15" thickBot="1" x14ac:dyDescent="0.2">
      <c r="A2767" s="30" t="s">
        <v>11573</v>
      </c>
      <c r="B2767" s="26" t="str">
        <f t="shared" si="43"/>
        <v>003015</v>
      </c>
      <c r="C2767" s="30" t="s">
        <v>4448</v>
      </c>
      <c r="D2767" s="31">
        <v>11.46</v>
      </c>
      <c r="E2767" s="31">
        <v>-6.07</v>
      </c>
      <c r="F2767" s="31">
        <v>2845117900</v>
      </c>
    </row>
    <row r="2768" spans="1:6" ht="15" thickBot="1" x14ac:dyDescent="0.2">
      <c r="A2768" s="30" t="s">
        <v>11574</v>
      </c>
      <c r="B2768" s="26" t="str">
        <f t="shared" si="43"/>
        <v>300985</v>
      </c>
      <c r="C2768" s="30" t="s">
        <v>5449</v>
      </c>
      <c r="D2768" s="31">
        <v>15.25</v>
      </c>
      <c r="E2768" s="31">
        <v>-0.59</v>
      </c>
      <c r="F2768" s="31">
        <v>2844315300</v>
      </c>
    </row>
    <row r="2769" spans="1:6" ht="15" thickBot="1" x14ac:dyDescent="0.2">
      <c r="A2769" s="30" t="s">
        <v>11575</v>
      </c>
      <c r="B2769" s="26" t="str">
        <f t="shared" si="43"/>
        <v>600743</v>
      </c>
      <c r="C2769" s="30" t="s">
        <v>5856</v>
      </c>
      <c r="D2769" s="31">
        <v>1.21</v>
      </c>
      <c r="E2769" s="31">
        <v>0.83</v>
      </c>
      <c r="F2769" s="31">
        <v>2838782100</v>
      </c>
    </row>
    <row r="2770" spans="1:6" ht="15" thickBot="1" x14ac:dyDescent="0.2">
      <c r="A2770" s="30" t="s">
        <v>11576</v>
      </c>
      <c r="B2770" s="26" t="str">
        <f t="shared" si="43"/>
        <v>300973</v>
      </c>
      <c r="C2770" s="30" t="s">
        <v>4220</v>
      </c>
      <c r="D2770" s="31">
        <v>24.36</v>
      </c>
      <c r="E2770" s="31">
        <v>1.63</v>
      </c>
      <c r="F2770" s="31">
        <v>2838594600</v>
      </c>
    </row>
    <row r="2771" spans="1:6" ht="15" thickBot="1" x14ac:dyDescent="0.2">
      <c r="A2771" s="30" t="s">
        <v>11577</v>
      </c>
      <c r="B2771" s="26" t="str">
        <f t="shared" si="43"/>
        <v>301382</v>
      </c>
      <c r="C2771" s="30" t="s">
        <v>11578</v>
      </c>
      <c r="D2771" s="31">
        <v>20.75</v>
      </c>
      <c r="E2771" s="31">
        <v>1.02</v>
      </c>
      <c r="F2771" s="31">
        <v>2836767300</v>
      </c>
    </row>
    <row r="2772" spans="1:6" ht="15" thickBot="1" x14ac:dyDescent="0.2">
      <c r="A2772" s="30" t="s">
        <v>11579</v>
      </c>
      <c r="B2772" s="26" t="str">
        <f t="shared" si="43"/>
        <v>603309</v>
      </c>
      <c r="C2772" s="30" t="s">
        <v>5381</v>
      </c>
      <c r="D2772" s="31">
        <v>9.7200000000000006</v>
      </c>
      <c r="E2772" s="31">
        <v>-4.6100000000000003</v>
      </c>
      <c r="F2772" s="31">
        <v>2836733600</v>
      </c>
    </row>
    <row r="2773" spans="1:6" ht="15" thickBot="1" x14ac:dyDescent="0.2">
      <c r="A2773" s="30" t="s">
        <v>11580</v>
      </c>
      <c r="B2773" s="26" t="str">
        <f t="shared" si="43"/>
        <v>300426</v>
      </c>
      <c r="C2773" s="30" t="s">
        <v>6036</v>
      </c>
      <c r="D2773" s="31">
        <v>7.08</v>
      </c>
      <c r="E2773" s="31">
        <v>2.02</v>
      </c>
      <c r="F2773" s="31">
        <v>2832000000</v>
      </c>
    </row>
    <row r="2774" spans="1:6" ht="15" thickBot="1" x14ac:dyDescent="0.2">
      <c r="A2774" s="30" t="s">
        <v>11581</v>
      </c>
      <c r="B2774" s="26" t="str">
        <f t="shared" si="43"/>
        <v>300225</v>
      </c>
      <c r="C2774" s="30" t="s">
        <v>6264</v>
      </c>
      <c r="D2774" s="31">
        <v>5.97</v>
      </c>
      <c r="E2774" s="31">
        <v>14.59</v>
      </c>
      <c r="F2774" s="31">
        <v>2831867100</v>
      </c>
    </row>
    <row r="2775" spans="1:6" ht="15" thickBot="1" x14ac:dyDescent="0.2">
      <c r="A2775" s="30" t="s">
        <v>11582</v>
      </c>
      <c r="B2775" s="26" t="str">
        <f t="shared" si="43"/>
        <v>603365</v>
      </c>
      <c r="C2775" s="30" t="s">
        <v>5623</v>
      </c>
      <c r="D2775" s="31">
        <v>10.97</v>
      </c>
      <c r="E2775" s="31">
        <v>0.74</v>
      </c>
      <c r="F2775" s="31">
        <v>2830956600</v>
      </c>
    </row>
    <row r="2776" spans="1:6" ht="15" thickBot="1" x14ac:dyDescent="0.2">
      <c r="A2776" s="30" t="s">
        <v>11583</v>
      </c>
      <c r="B2776" s="26" t="str">
        <f t="shared" si="43"/>
        <v>603758</v>
      </c>
      <c r="C2776" s="30" t="s">
        <v>5617</v>
      </c>
      <c r="D2776" s="31">
        <v>6.45</v>
      </c>
      <c r="E2776" s="31">
        <v>-0.92</v>
      </c>
      <c r="F2776" s="31">
        <v>2830241000</v>
      </c>
    </row>
    <row r="2777" spans="1:6" ht="15" thickBot="1" x14ac:dyDescent="0.2">
      <c r="A2777" s="30" t="s">
        <v>11584</v>
      </c>
      <c r="B2777" s="26" t="str">
        <f t="shared" si="43"/>
        <v>002346</v>
      </c>
      <c r="C2777" s="30" t="s">
        <v>5350</v>
      </c>
      <c r="D2777" s="31">
        <v>7.19</v>
      </c>
      <c r="E2777" s="31">
        <v>-0.55000000000000004</v>
      </c>
      <c r="F2777" s="31">
        <v>2829081700</v>
      </c>
    </row>
    <row r="2778" spans="1:6" ht="15" thickBot="1" x14ac:dyDescent="0.2">
      <c r="A2778" s="30" t="s">
        <v>11585</v>
      </c>
      <c r="B2778" s="26" t="str">
        <f t="shared" si="43"/>
        <v>002264</v>
      </c>
      <c r="C2778" s="30" t="s">
        <v>5288</v>
      </c>
      <c r="D2778" s="31">
        <v>4.32</v>
      </c>
      <c r="E2778" s="31">
        <v>-1.37</v>
      </c>
      <c r="F2778" s="31">
        <v>2827313600</v>
      </c>
    </row>
    <row r="2779" spans="1:6" ht="15" thickBot="1" x14ac:dyDescent="0.2">
      <c r="A2779" s="30" t="s">
        <v>11586</v>
      </c>
      <c r="B2779" s="26" t="str">
        <f t="shared" si="43"/>
        <v>002547</v>
      </c>
      <c r="C2779" s="30" t="s">
        <v>5467</v>
      </c>
      <c r="D2779" s="31">
        <v>2.56</v>
      </c>
      <c r="E2779" s="31">
        <v>-1.92</v>
      </c>
      <c r="F2779" s="31">
        <v>2825579900</v>
      </c>
    </row>
    <row r="2780" spans="1:6" ht="15" thickBot="1" x14ac:dyDescent="0.2">
      <c r="A2780" s="30" t="s">
        <v>11587</v>
      </c>
      <c r="B2780" s="26" t="str">
        <f t="shared" si="43"/>
        <v>601002</v>
      </c>
      <c r="C2780" s="30" t="s">
        <v>5808</v>
      </c>
      <c r="D2780" s="31">
        <v>2.96</v>
      </c>
      <c r="E2780" s="31">
        <v>0.68</v>
      </c>
      <c r="F2780" s="31">
        <v>2825144500</v>
      </c>
    </row>
    <row r="2781" spans="1:6" ht="15" thickBot="1" x14ac:dyDescent="0.2">
      <c r="A2781" s="30" t="s">
        <v>11588</v>
      </c>
      <c r="B2781" s="26" t="str">
        <f t="shared" si="43"/>
        <v>002580</v>
      </c>
      <c r="C2781" s="30" t="s">
        <v>5671</v>
      </c>
      <c r="D2781" s="31">
        <v>6.24</v>
      </c>
      <c r="E2781" s="31">
        <v>0.32</v>
      </c>
      <c r="F2781" s="31">
        <v>2822594100</v>
      </c>
    </row>
    <row r="2782" spans="1:6" ht="15" thickBot="1" x14ac:dyDescent="0.2">
      <c r="A2782" s="30" t="s">
        <v>11589</v>
      </c>
      <c r="B2782" s="26" t="str">
        <f t="shared" si="43"/>
        <v>301589</v>
      </c>
      <c r="C2782" s="30" t="s">
        <v>11590</v>
      </c>
      <c r="D2782" s="31">
        <v>152.6</v>
      </c>
      <c r="E2782" s="31">
        <v>-2.59</v>
      </c>
      <c r="F2782" s="31">
        <v>2821513000</v>
      </c>
    </row>
    <row r="2783" spans="1:6" ht="15" thickBot="1" x14ac:dyDescent="0.2">
      <c r="A2783" s="30" t="s">
        <v>11591</v>
      </c>
      <c r="B2783" s="26" t="str">
        <f t="shared" si="43"/>
        <v>600280</v>
      </c>
      <c r="C2783" s="30" t="s">
        <v>5627</v>
      </c>
      <c r="D2783" s="31">
        <v>2.5</v>
      </c>
      <c r="E2783" s="31">
        <v>-1.58</v>
      </c>
      <c r="F2783" s="31">
        <v>2820837000</v>
      </c>
    </row>
    <row r="2784" spans="1:6" ht="15" thickBot="1" x14ac:dyDescent="0.2">
      <c r="A2784" s="30" t="s">
        <v>11592</v>
      </c>
      <c r="B2784" s="26" t="str">
        <f t="shared" si="43"/>
        <v>300107</v>
      </c>
      <c r="C2784" s="30" t="s">
        <v>3873</v>
      </c>
      <c r="D2784" s="31">
        <v>8.16</v>
      </c>
      <c r="E2784" s="31">
        <v>1.75</v>
      </c>
      <c r="F2784" s="31">
        <v>2820640200</v>
      </c>
    </row>
    <row r="2785" spans="1:6" ht="15" thickBot="1" x14ac:dyDescent="0.2">
      <c r="A2785" s="30" t="s">
        <v>11593</v>
      </c>
      <c r="B2785" s="26" t="str">
        <f t="shared" si="43"/>
        <v>600503</v>
      </c>
      <c r="C2785" s="30" t="s">
        <v>5918</v>
      </c>
      <c r="D2785" s="31">
        <v>1.76</v>
      </c>
      <c r="E2785" s="31">
        <v>1.1499999999999999</v>
      </c>
      <c r="F2785" s="31">
        <v>2820030400</v>
      </c>
    </row>
    <row r="2786" spans="1:6" ht="15" thickBot="1" x14ac:dyDescent="0.2">
      <c r="A2786" s="30" t="s">
        <v>11594</v>
      </c>
      <c r="B2786" s="26" t="str">
        <f t="shared" si="43"/>
        <v>605060</v>
      </c>
      <c r="C2786" s="30" t="s">
        <v>11595</v>
      </c>
      <c r="D2786" s="31">
        <v>11.71</v>
      </c>
      <c r="E2786" s="31">
        <v>-1.76</v>
      </c>
      <c r="F2786" s="31">
        <v>2817332300</v>
      </c>
    </row>
    <row r="2787" spans="1:6" ht="15" thickBot="1" x14ac:dyDescent="0.2">
      <c r="A2787" s="30" t="s">
        <v>11596</v>
      </c>
      <c r="B2787" s="26" t="str">
        <f t="shared" si="43"/>
        <v>600668</v>
      </c>
      <c r="C2787" s="30" t="s">
        <v>5846</v>
      </c>
      <c r="D2787" s="31">
        <v>8.16</v>
      </c>
      <c r="E2787" s="31">
        <v>-1.0900000000000001</v>
      </c>
      <c r="F2787" s="31">
        <v>2807724000</v>
      </c>
    </row>
    <row r="2788" spans="1:6" ht="15" thickBot="1" x14ac:dyDescent="0.2">
      <c r="A2788" s="30" t="s">
        <v>11597</v>
      </c>
      <c r="B2788" s="26" t="str">
        <f t="shared" si="43"/>
        <v>688330</v>
      </c>
      <c r="C2788" s="30" t="s">
        <v>5667</v>
      </c>
      <c r="D2788" s="31">
        <v>20.05</v>
      </c>
      <c r="E2788" s="31">
        <v>-1.67</v>
      </c>
      <c r="F2788" s="31">
        <v>2807000000</v>
      </c>
    </row>
    <row r="2789" spans="1:6" ht="15" thickBot="1" x14ac:dyDescent="0.2">
      <c r="A2789" s="30" t="s">
        <v>11598</v>
      </c>
      <c r="B2789" s="26" t="str">
        <f t="shared" si="43"/>
        <v>002689</v>
      </c>
      <c r="C2789" s="30" t="s">
        <v>6010</v>
      </c>
      <c r="D2789" s="31">
        <v>2.69</v>
      </c>
      <c r="E2789" s="31">
        <v>3.07</v>
      </c>
      <c r="F2789" s="31">
        <v>2805432000</v>
      </c>
    </row>
    <row r="2790" spans="1:6" ht="15" thickBot="1" x14ac:dyDescent="0.2">
      <c r="A2790" s="30" t="s">
        <v>11599</v>
      </c>
      <c r="B2790" s="26" t="str">
        <f t="shared" si="43"/>
        <v>300864</v>
      </c>
      <c r="C2790" s="30" t="s">
        <v>5647</v>
      </c>
      <c r="D2790" s="31">
        <v>18.09</v>
      </c>
      <c r="E2790" s="31">
        <v>-0.17</v>
      </c>
      <c r="F2790" s="31">
        <v>2804673600</v>
      </c>
    </row>
    <row r="2791" spans="1:6" ht="15" thickBot="1" x14ac:dyDescent="0.2">
      <c r="A2791" s="30" t="s">
        <v>11600</v>
      </c>
      <c r="B2791" s="26" t="str">
        <f t="shared" si="43"/>
        <v>600318</v>
      </c>
      <c r="C2791" s="30" t="s">
        <v>5968</v>
      </c>
      <c r="D2791" s="31">
        <v>5.47</v>
      </c>
      <c r="E2791" s="31">
        <v>3.4</v>
      </c>
      <c r="F2791" s="31">
        <v>2804620100</v>
      </c>
    </row>
    <row r="2792" spans="1:6" ht="15" thickBot="1" x14ac:dyDescent="0.2">
      <c r="A2792" s="30" t="s">
        <v>11601</v>
      </c>
      <c r="B2792" s="26" t="str">
        <f t="shared" si="43"/>
        <v>688381</v>
      </c>
      <c r="C2792" s="30" t="s">
        <v>11602</v>
      </c>
      <c r="D2792" s="31">
        <v>14.89</v>
      </c>
      <c r="E2792" s="31">
        <v>-1.98</v>
      </c>
      <c r="F2792" s="31">
        <v>2802988900</v>
      </c>
    </row>
    <row r="2793" spans="1:6" ht="15" thickBot="1" x14ac:dyDescent="0.2">
      <c r="A2793" s="30" t="s">
        <v>11603</v>
      </c>
      <c r="B2793" s="26" t="str">
        <f t="shared" si="43"/>
        <v>688270</v>
      </c>
      <c r="C2793" s="30" t="s">
        <v>11604</v>
      </c>
      <c r="D2793" s="31">
        <v>19.43</v>
      </c>
      <c r="E2793" s="31">
        <v>-1.22</v>
      </c>
      <c r="F2793" s="31">
        <v>2802421900</v>
      </c>
    </row>
    <row r="2794" spans="1:6" ht="15" thickBot="1" x14ac:dyDescent="0.2">
      <c r="A2794" s="30" t="s">
        <v>11605</v>
      </c>
      <c r="B2794" s="26" t="str">
        <f t="shared" si="43"/>
        <v>002889</v>
      </c>
      <c r="C2794" s="30" t="s">
        <v>4226</v>
      </c>
      <c r="D2794" s="31">
        <v>15.99</v>
      </c>
      <c r="E2794" s="31">
        <v>5.75</v>
      </c>
      <c r="F2794" s="31">
        <v>2800632800</v>
      </c>
    </row>
    <row r="2795" spans="1:6" ht="15" thickBot="1" x14ac:dyDescent="0.2">
      <c r="A2795" s="30" t="s">
        <v>11606</v>
      </c>
      <c r="B2795" s="26" t="str">
        <f t="shared" si="43"/>
        <v>003029</v>
      </c>
      <c r="C2795" s="30" t="s">
        <v>5240</v>
      </c>
      <c r="D2795" s="31">
        <v>16.350000000000001</v>
      </c>
      <c r="E2795" s="31">
        <v>-0.79</v>
      </c>
      <c r="F2795" s="31">
        <v>2794060300</v>
      </c>
    </row>
    <row r="2796" spans="1:6" ht="15" thickBot="1" x14ac:dyDescent="0.2">
      <c r="A2796" s="30" t="s">
        <v>11607</v>
      </c>
      <c r="B2796" s="26" t="str">
        <f t="shared" si="43"/>
        <v>300231</v>
      </c>
      <c r="C2796" s="30" t="s">
        <v>5332</v>
      </c>
      <c r="D2796" s="31">
        <v>7.97</v>
      </c>
      <c r="E2796" s="31">
        <v>2.57</v>
      </c>
      <c r="F2796" s="31">
        <v>2788874400</v>
      </c>
    </row>
    <row r="2797" spans="1:6" ht="15" thickBot="1" x14ac:dyDescent="0.2">
      <c r="A2797" s="30" t="s">
        <v>11608</v>
      </c>
      <c r="B2797" s="26" t="str">
        <f t="shared" si="43"/>
        <v>688195</v>
      </c>
      <c r="C2797" s="30" t="s">
        <v>5629</v>
      </c>
      <c r="D2797" s="31">
        <v>21.55</v>
      </c>
      <c r="E2797" s="31">
        <v>1.17</v>
      </c>
      <c r="F2797" s="31">
        <v>2787492500</v>
      </c>
    </row>
    <row r="2798" spans="1:6" ht="15" thickBot="1" x14ac:dyDescent="0.2">
      <c r="A2798" s="30" t="s">
        <v>11609</v>
      </c>
      <c r="B2798" s="26" t="str">
        <f t="shared" si="43"/>
        <v>688150</v>
      </c>
      <c r="C2798" s="30" t="s">
        <v>11610</v>
      </c>
      <c r="D2798" s="31">
        <v>15.58</v>
      </c>
      <c r="E2798" s="31">
        <v>-0.56999999999999995</v>
      </c>
      <c r="F2798" s="31">
        <v>2785771400</v>
      </c>
    </row>
    <row r="2799" spans="1:6" ht="15" thickBot="1" x14ac:dyDescent="0.2">
      <c r="A2799" s="30" t="s">
        <v>11611</v>
      </c>
      <c r="B2799" s="26" t="str">
        <f t="shared" si="43"/>
        <v>300852</v>
      </c>
      <c r="C2799" s="30" t="s">
        <v>5515</v>
      </c>
      <c r="D2799" s="31">
        <v>20.350000000000001</v>
      </c>
      <c r="E2799" s="31">
        <v>-0.49</v>
      </c>
      <c r="F2799" s="31">
        <v>2785563900</v>
      </c>
    </row>
    <row r="2800" spans="1:6" ht="15" thickBot="1" x14ac:dyDescent="0.2">
      <c r="A2800" s="30" t="s">
        <v>11612</v>
      </c>
      <c r="B2800" s="26" t="str">
        <f t="shared" si="43"/>
        <v>600725</v>
      </c>
      <c r="C2800" s="30" t="s">
        <v>5754</v>
      </c>
      <c r="D2800" s="31">
        <v>2.2599999999999998</v>
      </c>
      <c r="E2800" s="31">
        <v>-1.31</v>
      </c>
      <c r="F2800" s="31">
        <v>2785382200</v>
      </c>
    </row>
    <row r="2801" spans="1:6" ht="15" thickBot="1" x14ac:dyDescent="0.2">
      <c r="A2801" s="30" t="s">
        <v>11613</v>
      </c>
      <c r="B2801" s="26" t="str">
        <f t="shared" si="43"/>
        <v>002623</v>
      </c>
      <c r="C2801" s="30" t="s">
        <v>5637</v>
      </c>
      <c r="D2801" s="31">
        <v>14.02</v>
      </c>
      <c r="E2801" s="31">
        <v>-2.44</v>
      </c>
      <c r="F2801" s="31">
        <v>2784878500</v>
      </c>
    </row>
    <row r="2802" spans="1:6" ht="15" thickBot="1" x14ac:dyDescent="0.2">
      <c r="A2802" s="30" t="s">
        <v>11614</v>
      </c>
      <c r="B2802" s="26" t="str">
        <f t="shared" si="43"/>
        <v>603208</v>
      </c>
      <c r="C2802" s="30" t="s">
        <v>5732</v>
      </c>
      <c r="D2802" s="31">
        <v>15.71</v>
      </c>
      <c r="E2802" s="31">
        <v>0.06</v>
      </c>
      <c r="F2802" s="31">
        <v>2783382700</v>
      </c>
    </row>
    <row r="2803" spans="1:6" ht="15" thickBot="1" x14ac:dyDescent="0.2">
      <c r="A2803" s="30" t="s">
        <v>11615</v>
      </c>
      <c r="B2803" s="26" t="str">
        <f t="shared" si="43"/>
        <v>002765</v>
      </c>
      <c r="C2803" s="30" t="s">
        <v>5326</v>
      </c>
      <c r="D2803" s="31">
        <v>4.67</v>
      </c>
      <c r="E2803" s="31">
        <v>-0.85</v>
      </c>
      <c r="F2803" s="31">
        <v>2782719400</v>
      </c>
    </row>
    <row r="2804" spans="1:6" ht="15" thickBot="1" x14ac:dyDescent="0.2">
      <c r="A2804" s="30" t="s">
        <v>11616</v>
      </c>
      <c r="B2804" s="26" t="str">
        <f t="shared" si="43"/>
        <v>002676</v>
      </c>
      <c r="C2804" s="30" t="s">
        <v>5681</v>
      </c>
      <c r="D2804" s="31">
        <v>3.86</v>
      </c>
      <c r="E2804" s="31">
        <v>-1.03</v>
      </c>
      <c r="F2804" s="31">
        <v>2779109100</v>
      </c>
    </row>
    <row r="2805" spans="1:6" ht="15" thickBot="1" x14ac:dyDescent="0.2">
      <c r="A2805" s="30" t="s">
        <v>11617</v>
      </c>
      <c r="B2805" s="26" t="str">
        <f t="shared" si="43"/>
        <v>300550</v>
      </c>
      <c r="C2805" s="30" t="s">
        <v>5868</v>
      </c>
      <c r="D2805" s="31">
        <v>10.59</v>
      </c>
      <c r="E2805" s="31">
        <v>-4.16</v>
      </c>
      <c r="F2805" s="31">
        <v>2777930300</v>
      </c>
    </row>
    <row r="2806" spans="1:6" ht="15" thickBot="1" x14ac:dyDescent="0.2">
      <c r="A2806" s="30" t="s">
        <v>11618</v>
      </c>
      <c r="B2806" s="26" t="str">
        <f t="shared" si="43"/>
        <v>688277</v>
      </c>
      <c r="C2806" s="30" t="s">
        <v>5577</v>
      </c>
      <c r="D2806" s="31">
        <v>6.18</v>
      </c>
      <c r="E2806" s="31">
        <v>-2.37</v>
      </c>
      <c r="F2806" s="31">
        <v>2777242200</v>
      </c>
    </row>
    <row r="2807" spans="1:6" ht="15" thickBot="1" x14ac:dyDescent="0.2">
      <c r="A2807" s="30" t="s">
        <v>11619</v>
      </c>
      <c r="B2807" s="26" t="str">
        <f t="shared" si="43"/>
        <v>688167</v>
      </c>
      <c r="C2807" s="30" t="s">
        <v>11620</v>
      </c>
      <c r="D2807" s="31">
        <v>40.36</v>
      </c>
      <c r="E2807" s="31">
        <v>0.98</v>
      </c>
      <c r="F2807" s="31">
        <v>2776028900</v>
      </c>
    </row>
    <row r="2808" spans="1:6" ht="15" thickBot="1" x14ac:dyDescent="0.2">
      <c r="A2808" s="30" t="s">
        <v>11621</v>
      </c>
      <c r="B2808" s="26" t="str">
        <f t="shared" si="43"/>
        <v>002759</v>
      </c>
      <c r="C2808" s="30" t="s">
        <v>5521</v>
      </c>
      <c r="D2808" s="31">
        <v>5.54</v>
      </c>
      <c r="E2808" s="31">
        <v>-2.4700000000000002</v>
      </c>
      <c r="F2808" s="31">
        <v>2775939400</v>
      </c>
    </row>
    <row r="2809" spans="1:6" ht="15" thickBot="1" x14ac:dyDescent="0.2">
      <c r="A2809" s="30" t="s">
        <v>11622</v>
      </c>
      <c r="B2809" s="26" t="str">
        <f t="shared" si="43"/>
        <v>000529</v>
      </c>
      <c r="C2809" s="30" t="s">
        <v>5621</v>
      </c>
      <c r="D2809" s="31">
        <v>4.87</v>
      </c>
      <c r="E2809" s="31">
        <v>-0.61</v>
      </c>
      <c r="F2809" s="31">
        <v>2775336900</v>
      </c>
    </row>
    <row r="2810" spans="1:6" ht="15" thickBot="1" x14ac:dyDescent="0.2">
      <c r="A2810" s="30" t="s">
        <v>11623</v>
      </c>
      <c r="B2810" s="26" t="str">
        <f t="shared" si="43"/>
        <v>002305</v>
      </c>
      <c r="C2810" s="30" t="s">
        <v>6184</v>
      </c>
      <c r="D2810" s="31">
        <v>1.6</v>
      </c>
      <c r="E2810" s="31">
        <v>3.9</v>
      </c>
      <c r="F2810" s="31">
        <v>2774565200</v>
      </c>
    </row>
    <row r="2811" spans="1:6" ht="15" thickBot="1" x14ac:dyDescent="0.2">
      <c r="A2811" s="30" t="s">
        <v>11624</v>
      </c>
      <c r="B2811" s="26" t="str">
        <f t="shared" si="43"/>
        <v>603967</v>
      </c>
      <c r="C2811" s="30" t="s">
        <v>5782</v>
      </c>
      <c r="D2811" s="31">
        <v>8</v>
      </c>
      <c r="E2811" s="31">
        <v>-1.24</v>
      </c>
      <c r="F2811" s="31">
        <v>2773333700</v>
      </c>
    </row>
    <row r="2812" spans="1:6" ht="15" thickBot="1" x14ac:dyDescent="0.2">
      <c r="A2812" s="30" t="s">
        <v>11625</v>
      </c>
      <c r="B2812" s="26" t="str">
        <f t="shared" si="43"/>
        <v>688136</v>
      </c>
      <c r="C2812" s="30" t="s">
        <v>5730</v>
      </c>
      <c r="D2812" s="31">
        <v>13.92</v>
      </c>
      <c r="E2812" s="31">
        <v>-1.1399999999999999</v>
      </c>
      <c r="F2812" s="31">
        <v>2772845200</v>
      </c>
    </row>
    <row r="2813" spans="1:6" ht="15" thickBot="1" x14ac:dyDescent="0.2">
      <c r="A2813" s="30" t="s">
        <v>11626</v>
      </c>
      <c r="B2813" s="26" t="str">
        <f t="shared" si="43"/>
        <v>603058</v>
      </c>
      <c r="C2813" s="30" t="s">
        <v>5722</v>
      </c>
      <c r="D2813" s="31">
        <v>6.64</v>
      </c>
      <c r="E2813" s="31">
        <v>0.3</v>
      </c>
      <c r="F2813" s="31">
        <v>2772429200</v>
      </c>
    </row>
    <row r="2814" spans="1:6" ht="15" thickBot="1" x14ac:dyDescent="0.2">
      <c r="A2814" s="30" t="s">
        <v>11627</v>
      </c>
      <c r="B2814" s="26" t="str">
        <f t="shared" si="43"/>
        <v>002695</v>
      </c>
      <c r="C2814" s="30" t="s">
        <v>4988</v>
      </c>
      <c r="D2814" s="31">
        <v>5.97</v>
      </c>
      <c r="E2814" s="31">
        <v>-1.65</v>
      </c>
      <c r="F2814" s="31">
        <v>2772190400</v>
      </c>
    </row>
    <row r="2815" spans="1:6" ht="15" thickBot="1" x14ac:dyDescent="0.2">
      <c r="A2815" s="30" t="s">
        <v>11628</v>
      </c>
      <c r="B2815" s="26" t="str">
        <f t="shared" si="43"/>
        <v>600367</v>
      </c>
      <c r="C2815" s="30" t="s">
        <v>5443</v>
      </c>
      <c r="D2815" s="31">
        <v>8.61</v>
      </c>
      <c r="E2815" s="31">
        <v>-1.04</v>
      </c>
      <c r="F2815" s="31">
        <v>2772189100</v>
      </c>
    </row>
    <row r="2816" spans="1:6" ht="15" thickBot="1" x14ac:dyDescent="0.2">
      <c r="A2816" s="30" t="s">
        <v>11629</v>
      </c>
      <c r="B2816" s="26" t="str">
        <f t="shared" si="43"/>
        <v>600135</v>
      </c>
      <c r="C2816" s="30" t="s">
        <v>5718</v>
      </c>
      <c r="D2816" s="31">
        <v>5.01</v>
      </c>
      <c r="E2816" s="31">
        <v>-3.28</v>
      </c>
      <c r="F2816" s="31">
        <v>2772068600</v>
      </c>
    </row>
    <row r="2817" spans="1:6" ht="15" thickBot="1" x14ac:dyDescent="0.2">
      <c r="A2817" s="30" t="s">
        <v>11630</v>
      </c>
      <c r="B2817" s="26" t="str">
        <f t="shared" si="43"/>
        <v>002427</v>
      </c>
      <c r="C2817" s="30" t="s">
        <v>5822</v>
      </c>
      <c r="D2817" s="31">
        <v>2.81</v>
      </c>
      <c r="E2817" s="31">
        <v>-0.36</v>
      </c>
      <c r="F2817" s="31">
        <v>2769049000</v>
      </c>
    </row>
    <row r="2818" spans="1:6" ht="15" thickBot="1" x14ac:dyDescent="0.2">
      <c r="A2818" s="30" t="s">
        <v>11631</v>
      </c>
      <c r="B2818" s="26" t="str">
        <f t="shared" si="43"/>
        <v>688372</v>
      </c>
      <c r="C2818" s="30" t="s">
        <v>11632</v>
      </c>
      <c r="D2818" s="31">
        <v>35.700000000000003</v>
      </c>
      <c r="E2818" s="31">
        <v>-3.72</v>
      </c>
      <c r="F2818" s="31">
        <v>2768833000</v>
      </c>
    </row>
    <row r="2819" spans="1:6" ht="15" thickBot="1" x14ac:dyDescent="0.2">
      <c r="A2819" s="30" t="s">
        <v>11633</v>
      </c>
      <c r="B2819" s="26" t="str">
        <f t="shared" ref="B2819:B2882" si="44">LEFT(A2819,6)</f>
        <v>603378</v>
      </c>
      <c r="C2819" s="30" t="s">
        <v>5583</v>
      </c>
      <c r="D2819" s="31">
        <v>6.46</v>
      </c>
      <c r="E2819" s="31">
        <v>-3</v>
      </c>
      <c r="F2819" s="31">
        <v>2768734300</v>
      </c>
    </row>
    <row r="2820" spans="1:6" ht="15" thickBot="1" x14ac:dyDescent="0.2">
      <c r="A2820" s="30" t="s">
        <v>11634</v>
      </c>
      <c r="B2820" s="26" t="str">
        <f t="shared" si="44"/>
        <v>002090</v>
      </c>
      <c r="C2820" s="30" t="s">
        <v>5734</v>
      </c>
      <c r="D2820" s="31">
        <v>6.99</v>
      </c>
      <c r="E2820" s="31">
        <v>-1.41</v>
      </c>
      <c r="F2820" s="31">
        <v>2768162400</v>
      </c>
    </row>
    <row r="2821" spans="1:6" ht="15" thickBot="1" x14ac:dyDescent="0.2">
      <c r="A2821" s="30" t="s">
        <v>11635</v>
      </c>
      <c r="B2821" s="26" t="str">
        <f t="shared" si="44"/>
        <v>002367</v>
      </c>
      <c r="C2821" s="30" t="s">
        <v>4214</v>
      </c>
      <c r="D2821" s="31">
        <v>5.26</v>
      </c>
      <c r="E2821" s="31">
        <v>-0.38</v>
      </c>
      <c r="F2821" s="31">
        <v>2767813900</v>
      </c>
    </row>
    <row r="2822" spans="1:6" ht="15" thickBot="1" x14ac:dyDescent="0.2">
      <c r="A2822" s="30" t="s">
        <v>11636</v>
      </c>
      <c r="B2822" s="26" t="str">
        <f t="shared" si="44"/>
        <v>688707</v>
      </c>
      <c r="C2822" s="30" t="s">
        <v>4098</v>
      </c>
      <c r="D2822" s="31">
        <v>7.93</v>
      </c>
      <c r="E2822" s="31">
        <v>-3.53</v>
      </c>
      <c r="F2822" s="31">
        <v>2767707900</v>
      </c>
    </row>
    <row r="2823" spans="1:6" ht="15" thickBot="1" x14ac:dyDescent="0.2">
      <c r="A2823" s="30" t="s">
        <v>11637</v>
      </c>
      <c r="B2823" s="26" t="str">
        <f t="shared" si="44"/>
        <v>688269</v>
      </c>
      <c r="C2823" s="30" t="s">
        <v>5714</v>
      </c>
      <c r="D2823" s="31">
        <v>21.17</v>
      </c>
      <c r="E2823" s="31">
        <v>-1.08</v>
      </c>
      <c r="F2823" s="31">
        <v>2767003700</v>
      </c>
    </row>
    <row r="2824" spans="1:6" ht="15" thickBot="1" x14ac:dyDescent="0.2">
      <c r="A2824" s="30" t="s">
        <v>11638</v>
      </c>
      <c r="B2824" s="26" t="str">
        <f t="shared" si="44"/>
        <v>300542</v>
      </c>
      <c r="C2824" s="30" t="s">
        <v>5040</v>
      </c>
      <c r="D2824" s="31">
        <v>11.23</v>
      </c>
      <c r="E2824" s="31">
        <v>0.9</v>
      </c>
      <c r="F2824" s="31">
        <v>2766906900</v>
      </c>
    </row>
    <row r="2825" spans="1:6" ht="15" thickBot="1" x14ac:dyDescent="0.2">
      <c r="A2825" s="30" t="s">
        <v>11639</v>
      </c>
      <c r="B2825" s="26" t="str">
        <f t="shared" si="44"/>
        <v>688311</v>
      </c>
      <c r="C2825" s="30" t="s">
        <v>5691</v>
      </c>
      <c r="D2825" s="31">
        <v>17.239999999999998</v>
      </c>
      <c r="E2825" s="31">
        <v>-2.21</v>
      </c>
      <c r="F2825" s="31">
        <v>2762905400</v>
      </c>
    </row>
    <row r="2826" spans="1:6" ht="15" thickBot="1" x14ac:dyDescent="0.2">
      <c r="A2826" s="30" t="s">
        <v>11640</v>
      </c>
      <c r="B2826" s="26" t="str">
        <f t="shared" si="44"/>
        <v>002548</v>
      </c>
      <c r="C2826" s="30" t="s">
        <v>5716</v>
      </c>
      <c r="D2826" s="31">
        <v>3.43</v>
      </c>
      <c r="E2826" s="31">
        <v>-2.56</v>
      </c>
      <c r="F2826" s="31">
        <v>2759337200</v>
      </c>
    </row>
    <row r="2827" spans="1:6" ht="15" thickBot="1" x14ac:dyDescent="0.2">
      <c r="A2827" s="30" t="s">
        <v>11641</v>
      </c>
      <c r="B2827" s="26" t="str">
        <f t="shared" si="44"/>
        <v>002342</v>
      </c>
      <c r="C2827" s="30" t="s">
        <v>5850</v>
      </c>
      <c r="D2827" s="31">
        <v>2.89</v>
      </c>
      <c r="E2827" s="31">
        <v>-1.37</v>
      </c>
      <c r="F2827" s="31">
        <v>2759054100</v>
      </c>
    </row>
    <row r="2828" spans="1:6" ht="15" thickBot="1" x14ac:dyDescent="0.2">
      <c r="A2828" s="30" t="s">
        <v>11642</v>
      </c>
      <c r="B2828" s="26" t="str">
        <f t="shared" si="44"/>
        <v>600520</v>
      </c>
      <c r="C2828" s="30" t="s">
        <v>5756</v>
      </c>
      <c r="D2828" s="31">
        <v>17.41</v>
      </c>
      <c r="E2828" s="31">
        <v>3.39</v>
      </c>
      <c r="F2828" s="31">
        <v>2758266300</v>
      </c>
    </row>
    <row r="2829" spans="1:6" ht="15" thickBot="1" x14ac:dyDescent="0.2">
      <c r="A2829" s="30" t="s">
        <v>11643</v>
      </c>
      <c r="B2829" s="26" t="str">
        <f t="shared" si="44"/>
        <v>002067</v>
      </c>
      <c r="C2829" s="30" t="s">
        <v>5308</v>
      </c>
      <c r="D2829" s="31">
        <v>2.61</v>
      </c>
      <c r="E2829" s="31">
        <v>-0.76</v>
      </c>
      <c r="F2829" s="31">
        <v>2758053900</v>
      </c>
    </row>
    <row r="2830" spans="1:6" ht="15" thickBot="1" x14ac:dyDescent="0.2">
      <c r="A2830" s="30" t="s">
        <v>11644</v>
      </c>
      <c r="B2830" s="26" t="str">
        <f t="shared" si="44"/>
        <v>603610</v>
      </c>
      <c r="C2830" s="30" t="s">
        <v>5774</v>
      </c>
      <c r="D2830" s="31">
        <v>7.69</v>
      </c>
      <c r="E2830" s="31">
        <v>-0.65</v>
      </c>
      <c r="F2830" s="31">
        <v>2756782300</v>
      </c>
    </row>
    <row r="2831" spans="1:6" ht="15" thickBot="1" x14ac:dyDescent="0.2">
      <c r="A2831" s="30" t="s">
        <v>11645</v>
      </c>
      <c r="B2831" s="26" t="str">
        <f t="shared" si="44"/>
        <v>000721</v>
      </c>
      <c r="C2831" s="30" t="s">
        <v>4765</v>
      </c>
      <c r="D2831" s="31">
        <v>6.3</v>
      </c>
      <c r="E2831" s="31">
        <v>-1.25</v>
      </c>
      <c r="F2831" s="31">
        <v>2756262100</v>
      </c>
    </row>
    <row r="2832" spans="1:6" ht="15" thickBot="1" x14ac:dyDescent="0.2">
      <c r="A2832" s="30" t="s">
        <v>11646</v>
      </c>
      <c r="B2832" s="26" t="str">
        <f t="shared" si="44"/>
        <v>603648</v>
      </c>
      <c r="C2832" s="30" t="s">
        <v>5910</v>
      </c>
      <c r="D2832" s="31">
        <v>7.6</v>
      </c>
      <c r="E2832" s="31">
        <v>1.2</v>
      </c>
      <c r="F2832" s="31">
        <v>2754337300</v>
      </c>
    </row>
    <row r="2833" spans="1:6" ht="15" thickBot="1" x14ac:dyDescent="0.2">
      <c r="A2833" s="30" t="s">
        <v>11647</v>
      </c>
      <c r="B2833" s="26" t="str">
        <f t="shared" si="44"/>
        <v>002161</v>
      </c>
      <c r="C2833" s="30" t="s">
        <v>5655</v>
      </c>
      <c r="D2833" s="31">
        <v>3.86</v>
      </c>
      <c r="E2833" s="31">
        <v>-0.26</v>
      </c>
      <c r="F2833" s="31">
        <v>2753952900</v>
      </c>
    </row>
    <row r="2834" spans="1:6" ht="15" thickBot="1" x14ac:dyDescent="0.2">
      <c r="A2834" s="30" t="s">
        <v>11648</v>
      </c>
      <c r="B2834" s="26" t="str">
        <f t="shared" si="44"/>
        <v>688579</v>
      </c>
      <c r="C2834" s="30" t="s">
        <v>5724</v>
      </c>
      <c r="D2834" s="31">
        <v>6.88</v>
      </c>
      <c r="E2834" s="31">
        <v>-1.99</v>
      </c>
      <c r="F2834" s="31">
        <v>2752068800</v>
      </c>
    </row>
    <row r="2835" spans="1:6" ht="15" thickBot="1" x14ac:dyDescent="0.2">
      <c r="A2835" s="30" t="s">
        <v>11649</v>
      </c>
      <c r="B2835" s="26" t="str">
        <f t="shared" si="44"/>
        <v>600439</v>
      </c>
      <c r="C2835" s="30" t="s">
        <v>6502</v>
      </c>
      <c r="D2835" s="31">
        <v>2.4300000000000002</v>
      </c>
      <c r="E2835" s="31">
        <v>1.67</v>
      </c>
      <c r="F2835" s="31">
        <v>2750724600</v>
      </c>
    </row>
    <row r="2836" spans="1:6" ht="15" thickBot="1" x14ac:dyDescent="0.2">
      <c r="A2836" s="30" t="s">
        <v>11650</v>
      </c>
      <c r="B2836" s="26" t="str">
        <f t="shared" si="44"/>
        <v>300288</v>
      </c>
      <c r="C2836" s="30" t="s">
        <v>4650</v>
      </c>
      <c r="D2836" s="31">
        <v>10.72</v>
      </c>
      <c r="E2836" s="31">
        <v>-1.74</v>
      </c>
      <c r="F2836" s="31">
        <v>2750423900</v>
      </c>
    </row>
    <row r="2837" spans="1:6" ht="15" thickBot="1" x14ac:dyDescent="0.2">
      <c r="A2837" s="30" t="s">
        <v>11651</v>
      </c>
      <c r="B2837" s="26" t="str">
        <f t="shared" si="44"/>
        <v>603535</v>
      </c>
      <c r="C2837" s="30" t="s">
        <v>5511</v>
      </c>
      <c r="D2837" s="31">
        <v>8.52</v>
      </c>
      <c r="E2837" s="31">
        <v>-1.28</v>
      </c>
      <c r="F2837" s="31">
        <v>2749939500</v>
      </c>
    </row>
    <row r="2838" spans="1:6" ht="15" thickBot="1" x14ac:dyDescent="0.2">
      <c r="A2838" s="30" t="s">
        <v>11652</v>
      </c>
      <c r="B2838" s="26" t="str">
        <f t="shared" si="44"/>
        <v>600293</v>
      </c>
      <c r="C2838" s="30" t="s">
        <v>5894</v>
      </c>
      <c r="D2838" s="31">
        <v>2.37</v>
      </c>
      <c r="E2838" s="31">
        <v>-0.84</v>
      </c>
      <c r="F2838" s="31">
        <v>2749543800</v>
      </c>
    </row>
    <row r="2839" spans="1:6" ht="15" thickBot="1" x14ac:dyDescent="0.2">
      <c r="A2839" s="30" t="s">
        <v>11653</v>
      </c>
      <c r="B2839" s="26" t="str">
        <f t="shared" si="44"/>
        <v>300052</v>
      </c>
      <c r="C2839" s="30" t="s">
        <v>5784</v>
      </c>
      <c r="D2839" s="31">
        <v>10.5</v>
      </c>
      <c r="E2839" s="31">
        <v>-5.15</v>
      </c>
      <c r="F2839" s="31">
        <v>2749437700</v>
      </c>
    </row>
    <row r="2840" spans="1:6" ht="15" thickBot="1" x14ac:dyDescent="0.2">
      <c r="A2840" s="30" t="s">
        <v>11654</v>
      </c>
      <c r="B2840" s="26" t="str">
        <f t="shared" si="44"/>
        <v>688179</v>
      </c>
      <c r="C2840" s="30" t="s">
        <v>5772</v>
      </c>
      <c r="D2840" s="31">
        <v>9.91</v>
      </c>
      <c r="E2840" s="31">
        <v>-0.9</v>
      </c>
      <c r="F2840" s="31">
        <v>2748873200</v>
      </c>
    </row>
    <row r="2841" spans="1:6" ht="15" thickBot="1" x14ac:dyDescent="0.2">
      <c r="A2841" s="30" t="s">
        <v>11655</v>
      </c>
      <c r="B2841" s="26" t="str">
        <f t="shared" si="44"/>
        <v>688588</v>
      </c>
      <c r="C2841" s="30" t="s">
        <v>5693</v>
      </c>
      <c r="D2841" s="31">
        <v>6.87</v>
      </c>
      <c r="E2841" s="31">
        <v>-2.14</v>
      </c>
      <c r="F2841" s="31">
        <v>2748068700</v>
      </c>
    </row>
    <row r="2842" spans="1:6" ht="15" thickBot="1" x14ac:dyDescent="0.2">
      <c r="A2842" s="30" t="s">
        <v>11656</v>
      </c>
      <c r="B2842" s="26" t="str">
        <f t="shared" si="44"/>
        <v>301087</v>
      </c>
      <c r="C2842" s="30" t="s">
        <v>3001</v>
      </c>
      <c r="D2842" s="31">
        <v>30.34</v>
      </c>
      <c r="E2842" s="31">
        <v>-1.65</v>
      </c>
      <c r="F2842" s="31">
        <v>2748024800</v>
      </c>
    </row>
    <row r="2843" spans="1:6" ht="15" thickBot="1" x14ac:dyDescent="0.2">
      <c r="A2843" s="30" t="s">
        <v>11657</v>
      </c>
      <c r="B2843" s="26" t="str">
        <f t="shared" si="44"/>
        <v>603266</v>
      </c>
      <c r="C2843" s="30" t="s">
        <v>5710</v>
      </c>
      <c r="D2843" s="31">
        <v>13.81</v>
      </c>
      <c r="E2843" s="31">
        <v>-0.65</v>
      </c>
      <c r="F2843" s="31">
        <v>2746626000</v>
      </c>
    </row>
    <row r="2844" spans="1:6" ht="15" thickBot="1" x14ac:dyDescent="0.2">
      <c r="A2844" s="30" t="s">
        <v>11658</v>
      </c>
      <c r="B2844" s="26" t="str">
        <f t="shared" si="44"/>
        <v>605166</v>
      </c>
      <c r="C2844" s="30" t="s">
        <v>5852</v>
      </c>
      <c r="D2844" s="31">
        <v>8.69</v>
      </c>
      <c r="E2844" s="31">
        <v>0</v>
      </c>
      <c r="F2844" s="31">
        <v>2742289400</v>
      </c>
    </row>
    <row r="2845" spans="1:6" ht="15" thickBot="1" x14ac:dyDescent="0.2">
      <c r="A2845" s="30" t="s">
        <v>11659</v>
      </c>
      <c r="B2845" s="26" t="str">
        <f t="shared" si="44"/>
        <v>600379</v>
      </c>
      <c r="C2845" s="30" t="s">
        <v>6122</v>
      </c>
      <c r="D2845" s="31">
        <v>8.3000000000000007</v>
      </c>
      <c r="E2845" s="31">
        <v>0.61</v>
      </c>
      <c r="F2845" s="31">
        <v>2740673000</v>
      </c>
    </row>
    <row r="2846" spans="1:6" ht="15" thickBot="1" x14ac:dyDescent="0.2">
      <c r="A2846" s="30" t="s">
        <v>11660</v>
      </c>
      <c r="B2846" s="26" t="str">
        <f t="shared" si="44"/>
        <v>002902</v>
      </c>
      <c r="C2846" s="30" t="s">
        <v>4062</v>
      </c>
      <c r="D2846" s="31">
        <v>17.8</v>
      </c>
      <c r="E2846" s="31">
        <v>0.56999999999999995</v>
      </c>
      <c r="F2846" s="31">
        <v>2740167400</v>
      </c>
    </row>
    <row r="2847" spans="1:6" ht="15" thickBot="1" x14ac:dyDescent="0.2">
      <c r="A2847" s="30" t="s">
        <v>11661</v>
      </c>
      <c r="B2847" s="26" t="str">
        <f t="shared" si="44"/>
        <v>688418</v>
      </c>
      <c r="C2847" s="30" t="s">
        <v>5738</v>
      </c>
      <c r="D2847" s="31">
        <v>14.15</v>
      </c>
      <c r="E2847" s="31">
        <v>-0.63</v>
      </c>
      <c r="F2847" s="31">
        <v>2739581500</v>
      </c>
    </row>
    <row r="2848" spans="1:6" ht="15" thickBot="1" x14ac:dyDescent="0.2">
      <c r="A2848" s="30" t="s">
        <v>11662</v>
      </c>
      <c r="B2848" s="26" t="str">
        <f t="shared" si="44"/>
        <v>300607</v>
      </c>
      <c r="C2848" s="30" t="s">
        <v>4282</v>
      </c>
      <c r="D2848" s="31">
        <v>9.58</v>
      </c>
      <c r="E2848" s="31">
        <v>-0.31</v>
      </c>
      <c r="F2848" s="31">
        <v>2735547900</v>
      </c>
    </row>
    <row r="2849" spans="1:6" ht="15" thickBot="1" x14ac:dyDescent="0.2">
      <c r="A2849" s="30" t="s">
        <v>11663</v>
      </c>
      <c r="B2849" s="26" t="str">
        <f t="shared" si="44"/>
        <v>000159</v>
      </c>
      <c r="C2849" s="30" t="s">
        <v>5579</v>
      </c>
      <c r="D2849" s="31">
        <v>5.69</v>
      </c>
      <c r="E2849" s="31">
        <v>-4.21</v>
      </c>
      <c r="F2849" s="31">
        <v>2735103300</v>
      </c>
    </row>
    <row r="2850" spans="1:6" ht="15" thickBot="1" x14ac:dyDescent="0.2">
      <c r="A2850" s="30" t="s">
        <v>11664</v>
      </c>
      <c r="B2850" s="26" t="str">
        <f t="shared" si="44"/>
        <v>688356</v>
      </c>
      <c r="C2850" s="30" t="s">
        <v>5661</v>
      </c>
      <c r="D2850" s="31">
        <v>45.11</v>
      </c>
      <c r="E2850" s="31">
        <v>-1.49</v>
      </c>
      <c r="F2850" s="31">
        <v>2734329100</v>
      </c>
    </row>
    <row r="2851" spans="1:6" ht="15" thickBot="1" x14ac:dyDescent="0.2">
      <c r="A2851" s="30" t="s">
        <v>11665</v>
      </c>
      <c r="B2851" s="26" t="str">
        <f t="shared" si="44"/>
        <v>600327</v>
      </c>
      <c r="C2851" s="30" t="s">
        <v>5814</v>
      </c>
      <c r="D2851" s="31">
        <v>3.09</v>
      </c>
      <c r="E2851" s="31">
        <v>-1.91</v>
      </c>
      <c r="F2851" s="31">
        <v>2733968700</v>
      </c>
    </row>
    <row r="2852" spans="1:6" ht="15" thickBot="1" x14ac:dyDescent="0.2">
      <c r="A2852" s="30" t="s">
        <v>11666</v>
      </c>
      <c r="B2852" s="26" t="str">
        <f t="shared" si="44"/>
        <v>688015</v>
      </c>
      <c r="C2852" s="30" t="s">
        <v>5796</v>
      </c>
      <c r="D2852" s="31">
        <v>14.47</v>
      </c>
      <c r="E2852" s="31">
        <v>-1.36</v>
      </c>
      <c r="F2852" s="31">
        <v>2730210300</v>
      </c>
    </row>
    <row r="2853" spans="1:6" ht="15" thickBot="1" x14ac:dyDescent="0.2">
      <c r="A2853" s="30" t="s">
        <v>11667</v>
      </c>
      <c r="B2853" s="26" t="str">
        <f t="shared" si="44"/>
        <v>002803</v>
      </c>
      <c r="C2853" s="30" t="s">
        <v>4626</v>
      </c>
      <c r="D2853" s="31">
        <v>9.52</v>
      </c>
      <c r="E2853" s="31">
        <v>-1.55</v>
      </c>
      <c r="F2853" s="31">
        <v>2730114100</v>
      </c>
    </row>
    <row r="2854" spans="1:6" ht="15" thickBot="1" x14ac:dyDescent="0.2">
      <c r="A2854" s="30" t="s">
        <v>11668</v>
      </c>
      <c r="B2854" s="26" t="str">
        <f t="shared" si="44"/>
        <v>300381</v>
      </c>
      <c r="C2854" s="30" t="s">
        <v>5824</v>
      </c>
      <c r="D2854" s="31">
        <v>5.61</v>
      </c>
      <c r="E2854" s="31">
        <v>-0.18</v>
      </c>
      <c r="F2854" s="31">
        <v>2727900000</v>
      </c>
    </row>
    <row r="2855" spans="1:6" ht="15" thickBot="1" x14ac:dyDescent="0.2">
      <c r="A2855" s="30" t="s">
        <v>11669</v>
      </c>
      <c r="B2855" s="26" t="str">
        <f t="shared" si="44"/>
        <v>001270</v>
      </c>
      <c r="C2855" s="30" t="s">
        <v>11670</v>
      </c>
      <c r="D2855" s="31">
        <v>26.87</v>
      </c>
      <c r="E2855" s="31">
        <v>-0.52</v>
      </c>
      <c r="F2855" s="31">
        <v>2724402000</v>
      </c>
    </row>
    <row r="2856" spans="1:6" ht="15" thickBot="1" x14ac:dyDescent="0.2">
      <c r="A2856" s="30" t="s">
        <v>11671</v>
      </c>
      <c r="B2856" s="26" t="str">
        <f t="shared" si="44"/>
        <v>300479</v>
      </c>
      <c r="C2856" s="30" t="s">
        <v>5607</v>
      </c>
      <c r="D2856" s="31">
        <v>13.82</v>
      </c>
      <c r="E2856" s="31">
        <v>-4.2300000000000004</v>
      </c>
      <c r="F2856" s="31">
        <v>2723104800</v>
      </c>
    </row>
    <row r="2857" spans="1:6" ht="15" thickBot="1" x14ac:dyDescent="0.2">
      <c r="A2857" s="30" t="s">
        <v>11672</v>
      </c>
      <c r="B2857" s="26" t="str">
        <f t="shared" si="44"/>
        <v>003016</v>
      </c>
      <c r="C2857" s="30" t="s">
        <v>5706</v>
      </c>
      <c r="D2857" s="31">
        <v>6.38</v>
      </c>
      <c r="E2857" s="31">
        <v>-2</v>
      </c>
      <c r="F2857" s="31">
        <v>2722859800</v>
      </c>
    </row>
    <row r="2858" spans="1:6" ht="15" thickBot="1" x14ac:dyDescent="0.2">
      <c r="A2858" s="30" t="s">
        <v>11673</v>
      </c>
      <c r="B2858" s="26" t="str">
        <f t="shared" si="44"/>
        <v>600218</v>
      </c>
      <c r="C2858" s="30" t="s">
        <v>5854</v>
      </c>
      <c r="D2858" s="31">
        <v>6.25</v>
      </c>
      <c r="E2858" s="31">
        <v>-0.95</v>
      </c>
      <c r="F2858" s="31">
        <v>2722499500</v>
      </c>
    </row>
    <row r="2859" spans="1:6" ht="15" thickBot="1" x14ac:dyDescent="0.2">
      <c r="A2859" s="30" t="s">
        <v>11674</v>
      </c>
      <c r="B2859" s="26" t="str">
        <f t="shared" si="44"/>
        <v>688378</v>
      </c>
      <c r="C2859" s="30" t="s">
        <v>5567</v>
      </c>
      <c r="D2859" s="31">
        <v>13.53</v>
      </c>
      <c r="E2859" s="31">
        <v>7.0000000000000007E-2</v>
      </c>
      <c r="F2859" s="31">
        <v>2722452200</v>
      </c>
    </row>
    <row r="2860" spans="1:6" ht="15" thickBot="1" x14ac:dyDescent="0.2">
      <c r="A2860" s="30" t="s">
        <v>11675</v>
      </c>
      <c r="B2860" s="26" t="str">
        <f t="shared" si="44"/>
        <v>002162</v>
      </c>
      <c r="C2860" s="30" t="s">
        <v>6210</v>
      </c>
      <c r="D2860" s="31">
        <v>2.96</v>
      </c>
      <c r="E2860" s="31">
        <v>-3.58</v>
      </c>
      <c r="F2860" s="31">
        <v>2721465400</v>
      </c>
    </row>
    <row r="2861" spans="1:6" ht="15" thickBot="1" x14ac:dyDescent="0.2">
      <c r="A2861" s="30" t="s">
        <v>11676</v>
      </c>
      <c r="B2861" s="26" t="str">
        <f t="shared" si="44"/>
        <v>601177</v>
      </c>
      <c r="C2861" s="30" t="s">
        <v>5776</v>
      </c>
      <c r="D2861" s="31">
        <v>6.8</v>
      </c>
      <c r="E2861" s="31">
        <v>-0.88</v>
      </c>
      <c r="F2861" s="31">
        <v>2720408000</v>
      </c>
    </row>
    <row r="2862" spans="1:6" ht="15" thickBot="1" x14ac:dyDescent="0.2">
      <c r="A2862" s="30" t="s">
        <v>11677</v>
      </c>
      <c r="B2862" s="26" t="str">
        <f t="shared" si="44"/>
        <v>002355</v>
      </c>
      <c r="C2862" s="30" t="s">
        <v>5750</v>
      </c>
      <c r="D2862" s="31">
        <v>4.4000000000000004</v>
      </c>
      <c r="E2862" s="31">
        <v>0.23</v>
      </c>
      <c r="F2862" s="31">
        <v>2719933300</v>
      </c>
    </row>
    <row r="2863" spans="1:6" ht="15" thickBot="1" x14ac:dyDescent="0.2">
      <c r="A2863" s="30" t="s">
        <v>11678</v>
      </c>
      <c r="B2863" s="26" t="str">
        <f t="shared" si="44"/>
        <v>300908</v>
      </c>
      <c r="C2863" s="30" t="s">
        <v>5080</v>
      </c>
      <c r="D2863" s="31">
        <v>22</v>
      </c>
      <c r="E2863" s="31">
        <v>-0.32</v>
      </c>
      <c r="F2863" s="31">
        <v>2718794100</v>
      </c>
    </row>
    <row r="2864" spans="1:6" ht="15" thickBot="1" x14ac:dyDescent="0.2">
      <c r="A2864" s="30" t="s">
        <v>11679</v>
      </c>
      <c r="B2864" s="26" t="str">
        <f t="shared" si="44"/>
        <v>000592</v>
      </c>
      <c r="C2864" s="30" t="s">
        <v>5701</v>
      </c>
      <c r="D2864" s="31">
        <v>1.42</v>
      </c>
      <c r="E2864" s="31">
        <v>-2.0699999999999998</v>
      </c>
      <c r="F2864" s="31">
        <v>2717790400</v>
      </c>
    </row>
    <row r="2865" spans="1:6" ht="15" thickBot="1" x14ac:dyDescent="0.2">
      <c r="A2865" s="30" t="s">
        <v>11680</v>
      </c>
      <c r="B2865" s="26" t="str">
        <f t="shared" si="44"/>
        <v>603878</v>
      </c>
      <c r="C2865" s="30" t="s">
        <v>5964</v>
      </c>
      <c r="D2865" s="31">
        <v>4.84</v>
      </c>
      <c r="E2865" s="31">
        <v>-0.41</v>
      </c>
      <c r="F2865" s="31">
        <v>2715564500</v>
      </c>
    </row>
    <row r="2866" spans="1:6" ht="15" thickBot="1" x14ac:dyDescent="0.2">
      <c r="A2866" s="30" t="s">
        <v>11681</v>
      </c>
      <c r="B2866" s="26" t="str">
        <f t="shared" si="44"/>
        <v>002022</v>
      </c>
      <c r="C2866" s="30" t="s">
        <v>5830</v>
      </c>
      <c r="D2866" s="31">
        <v>5.28</v>
      </c>
      <c r="E2866" s="31">
        <v>-0.94</v>
      </c>
      <c r="F2866" s="31">
        <v>2715209100</v>
      </c>
    </row>
    <row r="2867" spans="1:6" ht="15" thickBot="1" x14ac:dyDescent="0.2">
      <c r="A2867" s="30" t="s">
        <v>11682</v>
      </c>
      <c r="B2867" s="26" t="str">
        <f t="shared" si="44"/>
        <v>300400</v>
      </c>
      <c r="C2867" s="30" t="s">
        <v>5605</v>
      </c>
      <c r="D2867" s="31">
        <v>11.29</v>
      </c>
      <c r="E2867" s="31">
        <v>-0.53</v>
      </c>
      <c r="F2867" s="31">
        <v>2711478400</v>
      </c>
    </row>
    <row r="2868" spans="1:6" ht="15" thickBot="1" x14ac:dyDescent="0.2">
      <c r="A2868" s="30" t="s">
        <v>11683</v>
      </c>
      <c r="B2868" s="26" t="str">
        <f t="shared" si="44"/>
        <v>301127</v>
      </c>
      <c r="C2868" s="30" t="s">
        <v>11684</v>
      </c>
      <c r="D2868" s="31">
        <v>7.8</v>
      </c>
      <c r="E2868" s="31">
        <v>-1.52</v>
      </c>
      <c r="F2868" s="31">
        <v>2711130600</v>
      </c>
    </row>
    <row r="2869" spans="1:6" ht="15" thickBot="1" x14ac:dyDescent="0.2">
      <c r="A2869" s="30" t="s">
        <v>11685</v>
      </c>
      <c r="B2869" s="26" t="str">
        <f t="shared" si="44"/>
        <v>601096</v>
      </c>
      <c r="C2869" s="30" t="s">
        <v>11686</v>
      </c>
      <c r="D2869" s="31">
        <v>4.05</v>
      </c>
      <c r="E2869" s="31">
        <v>-1.7</v>
      </c>
      <c r="F2869" s="31">
        <v>2708594500</v>
      </c>
    </row>
    <row r="2870" spans="1:6" ht="15" thickBot="1" x14ac:dyDescent="0.2">
      <c r="A2870" s="30" t="s">
        <v>11687</v>
      </c>
      <c r="B2870" s="26" t="str">
        <f t="shared" si="44"/>
        <v>600560</v>
      </c>
      <c r="C2870" s="30" t="s">
        <v>6206</v>
      </c>
      <c r="D2870" s="31">
        <v>12.11</v>
      </c>
      <c r="E2870" s="31">
        <v>1.94</v>
      </c>
      <c r="F2870" s="31">
        <v>2708347000</v>
      </c>
    </row>
    <row r="2871" spans="1:6" ht="15" thickBot="1" x14ac:dyDescent="0.2">
      <c r="A2871" s="30" t="s">
        <v>11688</v>
      </c>
      <c r="B2871" s="26" t="str">
        <f t="shared" si="44"/>
        <v>600738</v>
      </c>
      <c r="C2871" s="30" t="s">
        <v>5832</v>
      </c>
      <c r="D2871" s="31">
        <v>3.56</v>
      </c>
      <c r="E2871" s="31">
        <v>0.28000000000000003</v>
      </c>
      <c r="F2871" s="31">
        <v>2707971700</v>
      </c>
    </row>
    <row r="2872" spans="1:6" ht="15" thickBot="1" x14ac:dyDescent="0.2">
      <c r="A2872" s="30" t="s">
        <v>11689</v>
      </c>
      <c r="B2872" s="26" t="str">
        <f t="shared" si="44"/>
        <v>603721</v>
      </c>
      <c r="C2872" s="30" t="s">
        <v>5996</v>
      </c>
      <c r="D2872" s="31">
        <v>20.83</v>
      </c>
      <c r="E2872" s="31">
        <v>-3.12</v>
      </c>
      <c r="F2872" s="31">
        <v>2707900000</v>
      </c>
    </row>
    <row r="2873" spans="1:6" ht="15" thickBot="1" x14ac:dyDescent="0.2">
      <c r="A2873" s="30" t="s">
        <v>11690</v>
      </c>
      <c r="B2873" s="26" t="str">
        <f t="shared" si="44"/>
        <v>603916</v>
      </c>
      <c r="C2873" s="30" t="s">
        <v>5778</v>
      </c>
      <c r="D2873" s="31">
        <v>6.44</v>
      </c>
      <c r="E2873" s="31">
        <v>0.31</v>
      </c>
      <c r="F2873" s="31">
        <v>2706815100</v>
      </c>
    </row>
    <row r="2874" spans="1:6" ht="15" thickBot="1" x14ac:dyDescent="0.2">
      <c r="A2874" s="30" t="s">
        <v>11691</v>
      </c>
      <c r="B2874" s="26" t="str">
        <f t="shared" si="44"/>
        <v>300200</v>
      </c>
      <c r="C2874" s="30" t="s">
        <v>5862</v>
      </c>
      <c r="D2874" s="31">
        <v>6.39</v>
      </c>
      <c r="E2874" s="31">
        <v>1.43</v>
      </c>
      <c r="F2874" s="31">
        <v>2705460900</v>
      </c>
    </row>
    <row r="2875" spans="1:6" ht="15" thickBot="1" x14ac:dyDescent="0.2">
      <c r="A2875" s="30" t="s">
        <v>11692</v>
      </c>
      <c r="B2875" s="26" t="str">
        <f t="shared" si="44"/>
        <v>301238</v>
      </c>
      <c r="C2875" s="30" t="s">
        <v>11693</v>
      </c>
      <c r="D2875" s="31">
        <v>12.68</v>
      </c>
      <c r="E2875" s="31">
        <v>-1.0900000000000001</v>
      </c>
      <c r="F2875" s="31">
        <v>2705066200</v>
      </c>
    </row>
    <row r="2876" spans="1:6" ht="15" thickBot="1" x14ac:dyDescent="0.2">
      <c r="A2876" s="30" t="s">
        <v>11694</v>
      </c>
      <c r="B2876" s="26" t="str">
        <f t="shared" si="44"/>
        <v>002805</v>
      </c>
      <c r="C2876" s="30" t="s">
        <v>5292</v>
      </c>
      <c r="D2876" s="31">
        <v>9.69</v>
      </c>
      <c r="E2876" s="31">
        <v>-6.92</v>
      </c>
      <c r="F2876" s="31">
        <v>2701720400</v>
      </c>
    </row>
    <row r="2877" spans="1:6" ht="15" thickBot="1" x14ac:dyDescent="0.2">
      <c r="A2877" s="30" t="s">
        <v>11695</v>
      </c>
      <c r="B2877" s="26" t="str">
        <f t="shared" si="44"/>
        <v>002431</v>
      </c>
      <c r="C2877" s="30" t="s">
        <v>5988</v>
      </c>
      <c r="D2877" s="31">
        <v>1.49</v>
      </c>
      <c r="E2877" s="31">
        <v>-1.97</v>
      </c>
      <c r="F2877" s="31">
        <v>2701096200</v>
      </c>
    </row>
    <row r="2878" spans="1:6" ht="15" thickBot="1" x14ac:dyDescent="0.2">
      <c r="A2878" s="30" t="s">
        <v>11696</v>
      </c>
      <c r="B2878" s="26" t="str">
        <f t="shared" si="44"/>
        <v>002876</v>
      </c>
      <c r="C2878" s="30" t="s">
        <v>5134</v>
      </c>
      <c r="D2878" s="31">
        <v>18.13</v>
      </c>
      <c r="E2878" s="31">
        <v>-0.82</v>
      </c>
      <c r="F2878" s="31">
        <v>2700588800</v>
      </c>
    </row>
    <row r="2879" spans="1:6" ht="15" thickBot="1" x14ac:dyDescent="0.2">
      <c r="A2879" s="30" t="s">
        <v>11697</v>
      </c>
      <c r="B2879" s="26" t="str">
        <f t="shared" si="44"/>
        <v>603777</v>
      </c>
      <c r="C2879" s="30" t="s">
        <v>5896</v>
      </c>
      <c r="D2879" s="31">
        <v>8.0500000000000007</v>
      </c>
      <c r="E2879" s="31">
        <v>0.25</v>
      </c>
      <c r="F2879" s="31">
        <v>2700452300</v>
      </c>
    </row>
    <row r="2880" spans="1:6" ht="15" thickBot="1" x14ac:dyDescent="0.2">
      <c r="A2880" s="30" t="s">
        <v>11698</v>
      </c>
      <c r="B2880" s="26" t="str">
        <f t="shared" si="44"/>
        <v>301000</v>
      </c>
      <c r="C2880" s="30" t="s">
        <v>5601</v>
      </c>
      <c r="D2880" s="31">
        <v>11.8</v>
      </c>
      <c r="E2880" s="31">
        <v>2.08</v>
      </c>
      <c r="F2880" s="31">
        <v>2696907100</v>
      </c>
    </row>
    <row r="2881" spans="1:6" ht="15" thickBot="1" x14ac:dyDescent="0.2">
      <c r="A2881" s="30" t="s">
        <v>11699</v>
      </c>
      <c r="B2881" s="26" t="str">
        <f t="shared" si="44"/>
        <v>002392</v>
      </c>
      <c r="C2881" s="30" t="s">
        <v>4825</v>
      </c>
      <c r="D2881" s="31">
        <v>2.96</v>
      </c>
      <c r="E2881" s="31">
        <v>-0.34</v>
      </c>
      <c r="F2881" s="31">
        <v>2694486100</v>
      </c>
    </row>
    <row r="2882" spans="1:6" ht="15" thickBot="1" x14ac:dyDescent="0.2">
      <c r="A2882" s="30" t="s">
        <v>11700</v>
      </c>
      <c r="B2882" s="26" t="str">
        <f t="shared" si="44"/>
        <v>300248</v>
      </c>
      <c r="C2882" s="30" t="s">
        <v>5268</v>
      </c>
      <c r="D2882" s="31">
        <v>6.58</v>
      </c>
      <c r="E2882" s="31">
        <v>-1.05</v>
      </c>
      <c r="F2882" s="31">
        <v>2692235700</v>
      </c>
    </row>
    <row r="2883" spans="1:6" ht="15" thickBot="1" x14ac:dyDescent="0.2">
      <c r="A2883" s="30" t="s">
        <v>11701</v>
      </c>
      <c r="B2883" s="26" t="str">
        <f t="shared" ref="B2883:B2946" si="45">LEFT(A2883,6)</f>
        <v>000514</v>
      </c>
      <c r="C2883" s="30" t="s">
        <v>6190</v>
      </c>
      <c r="D2883" s="31">
        <v>3.19</v>
      </c>
      <c r="E2883" s="31">
        <v>1.92</v>
      </c>
      <c r="F2883" s="31">
        <v>2691629400</v>
      </c>
    </row>
    <row r="2884" spans="1:6" ht="15" thickBot="1" x14ac:dyDescent="0.2">
      <c r="A2884" s="30" t="s">
        <v>11702</v>
      </c>
      <c r="B2884" s="26" t="str">
        <f t="shared" si="45"/>
        <v>688627</v>
      </c>
      <c r="C2884" s="30" t="s">
        <v>11703</v>
      </c>
      <c r="D2884" s="31">
        <v>37.67</v>
      </c>
      <c r="E2884" s="31">
        <v>-0.63</v>
      </c>
      <c r="F2884" s="31">
        <v>2690073800</v>
      </c>
    </row>
    <row r="2885" spans="1:6" ht="15" thickBot="1" x14ac:dyDescent="0.2">
      <c r="A2885" s="30" t="s">
        <v>11704</v>
      </c>
      <c r="B2885" s="26" t="str">
        <f t="shared" si="45"/>
        <v>300680</v>
      </c>
      <c r="C2885" s="30" t="s">
        <v>4714</v>
      </c>
      <c r="D2885" s="31">
        <v>15.53</v>
      </c>
      <c r="E2885" s="31">
        <v>-0.89</v>
      </c>
      <c r="F2885" s="31">
        <v>2690071100</v>
      </c>
    </row>
    <row r="2886" spans="1:6" ht="15" thickBot="1" x14ac:dyDescent="0.2">
      <c r="A2886" s="30" t="s">
        <v>11705</v>
      </c>
      <c r="B2886" s="26" t="str">
        <f t="shared" si="45"/>
        <v>301021</v>
      </c>
      <c r="C2886" s="30" t="s">
        <v>6204</v>
      </c>
      <c r="D2886" s="31">
        <v>17.75</v>
      </c>
      <c r="E2886" s="31">
        <v>9.43</v>
      </c>
      <c r="F2886" s="31">
        <v>2688989300</v>
      </c>
    </row>
    <row r="2887" spans="1:6" ht="15" thickBot="1" x14ac:dyDescent="0.2">
      <c r="A2887" s="30" t="s">
        <v>11706</v>
      </c>
      <c r="B2887" s="26" t="str">
        <f t="shared" si="45"/>
        <v>688733</v>
      </c>
      <c r="C2887" s="30" t="s">
        <v>5828</v>
      </c>
      <c r="D2887" s="31">
        <v>13.46</v>
      </c>
      <c r="E2887" s="31">
        <v>0.82</v>
      </c>
      <c r="F2887" s="31">
        <v>2688974100</v>
      </c>
    </row>
    <row r="2888" spans="1:6" ht="15" thickBot="1" x14ac:dyDescent="0.2">
      <c r="A2888" s="30" t="s">
        <v>11707</v>
      </c>
      <c r="B2888" s="26" t="str">
        <f t="shared" si="45"/>
        <v>603886</v>
      </c>
      <c r="C2888" s="30" t="s">
        <v>5728</v>
      </c>
      <c r="D2888" s="31">
        <v>11.2</v>
      </c>
      <c r="E2888" s="31">
        <v>-3.11</v>
      </c>
      <c r="F2888" s="31">
        <v>2688000000</v>
      </c>
    </row>
    <row r="2889" spans="1:6" ht="15" thickBot="1" x14ac:dyDescent="0.2">
      <c r="A2889" s="30" t="s">
        <v>11708</v>
      </c>
      <c r="B2889" s="26" t="str">
        <f t="shared" si="45"/>
        <v>300806</v>
      </c>
      <c r="C2889" s="30" t="s">
        <v>3627</v>
      </c>
      <c r="D2889" s="31">
        <v>9.6199999999999992</v>
      </c>
      <c r="E2889" s="31">
        <v>-1.1299999999999999</v>
      </c>
      <c r="F2889" s="31">
        <v>2687239100</v>
      </c>
    </row>
    <row r="2890" spans="1:6" ht="15" thickBot="1" x14ac:dyDescent="0.2">
      <c r="A2890" s="30" t="s">
        <v>11709</v>
      </c>
      <c r="B2890" s="26" t="str">
        <f t="shared" si="45"/>
        <v>000659</v>
      </c>
      <c r="C2890" s="30" t="s">
        <v>5858</v>
      </c>
      <c r="D2890" s="31">
        <v>2.09</v>
      </c>
      <c r="E2890" s="31">
        <v>-5.86</v>
      </c>
      <c r="F2890" s="31">
        <v>2687118300</v>
      </c>
    </row>
    <row r="2891" spans="1:6" ht="15" thickBot="1" x14ac:dyDescent="0.2">
      <c r="A2891" s="30" t="s">
        <v>11710</v>
      </c>
      <c r="B2891" s="26" t="str">
        <f t="shared" si="45"/>
        <v>603779</v>
      </c>
      <c r="C2891" s="30" t="s">
        <v>6158</v>
      </c>
      <c r="D2891" s="31">
        <v>8.09</v>
      </c>
      <c r="E2891" s="31">
        <v>0.62</v>
      </c>
      <c r="F2891" s="31">
        <v>2686549500</v>
      </c>
    </row>
    <row r="2892" spans="1:6" ht="15" thickBot="1" x14ac:dyDescent="0.2">
      <c r="A2892" s="30" t="s">
        <v>11711</v>
      </c>
      <c r="B2892" s="26" t="str">
        <f t="shared" si="45"/>
        <v>002651</v>
      </c>
      <c r="C2892" s="30" t="s">
        <v>3728</v>
      </c>
      <c r="D2892" s="31">
        <v>4.75</v>
      </c>
      <c r="E2892" s="31">
        <v>0.21</v>
      </c>
      <c r="F2892" s="31">
        <v>2685952300</v>
      </c>
    </row>
    <row r="2893" spans="1:6" ht="15" thickBot="1" x14ac:dyDescent="0.2">
      <c r="A2893" s="30" t="s">
        <v>11712</v>
      </c>
      <c r="B2893" s="26" t="str">
        <f t="shared" si="45"/>
        <v>603117</v>
      </c>
      <c r="C2893" s="30" t="s">
        <v>5908</v>
      </c>
      <c r="D2893" s="31">
        <v>4.24</v>
      </c>
      <c r="E2893" s="31">
        <v>-1.17</v>
      </c>
      <c r="F2893" s="31">
        <v>2684532700</v>
      </c>
    </row>
    <row r="2894" spans="1:6" ht="15" thickBot="1" x14ac:dyDescent="0.2">
      <c r="A2894" s="30" t="s">
        <v>11713</v>
      </c>
      <c r="B2894" s="26" t="str">
        <f t="shared" si="45"/>
        <v>002587</v>
      </c>
      <c r="C2894" s="30" t="s">
        <v>5012</v>
      </c>
      <c r="D2894" s="31">
        <v>5.21</v>
      </c>
      <c r="E2894" s="31">
        <v>-0.38</v>
      </c>
      <c r="F2894" s="31">
        <v>2684311700</v>
      </c>
    </row>
    <row r="2895" spans="1:6" ht="15" thickBot="1" x14ac:dyDescent="0.2">
      <c r="A2895" s="30" t="s">
        <v>11714</v>
      </c>
      <c r="B2895" s="26" t="str">
        <f t="shared" si="45"/>
        <v>600262</v>
      </c>
      <c r="C2895" s="30" t="s">
        <v>5994</v>
      </c>
      <c r="D2895" s="31">
        <v>15.79</v>
      </c>
      <c r="E2895" s="31">
        <v>0.51</v>
      </c>
      <c r="F2895" s="31">
        <v>2684300000</v>
      </c>
    </row>
    <row r="2896" spans="1:6" ht="15" thickBot="1" x14ac:dyDescent="0.2">
      <c r="A2896" s="30" t="s">
        <v>11715</v>
      </c>
      <c r="B2896" s="26" t="str">
        <f t="shared" si="45"/>
        <v>688103</v>
      </c>
      <c r="C2896" s="30" t="s">
        <v>11716</v>
      </c>
      <c r="D2896" s="31">
        <v>27.97</v>
      </c>
      <c r="E2896" s="31">
        <v>-1.2</v>
      </c>
      <c r="F2896" s="31">
        <v>2683302100</v>
      </c>
    </row>
    <row r="2897" spans="1:6" ht="15" thickBot="1" x14ac:dyDescent="0.2">
      <c r="A2897" s="30" t="s">
        <v>11717</v>
      </c>
      <c r="B2897" s="26" t="str">
        <f t="shared" si="45"/>
        <v>688160</v>
      </c>
      <c r="C2897" s="30" t="s">
        <v>5736</v>
      </c>
      <c r="D2897" s="31">
        <v>31.92</v>
      </c>
      <c r="E2897" s="31">
        <v>0.38</v>
      </c>
      <c r="F2897" s="31">
        <v>2681280000</v>
      </c>
    </row>
    <row r="2898" spans="1:6" ht="15" thickBot="1" x14ac:dyDescent="0.2">
      <c r="A2898" s="30" t="s">
        <v>11718</v>
      </c>
      <c r="B2898" s="26" t="str">
        <f t="shared" si="45"/>
        <v>000812</v>
      </c>
      <c r="C2898" s="30" t="s">
        <v>5926</v>
      </c>
      <c r="D2898" s="31">
        <v>3.49</v>
      </c>
      <c r="E2898" s="31">
        <v>-1.1299999999999999</v>
      </c>
      <c r="F2898" s="31">
        <v>2680881800</v>
      </c>
    </row>
    <row r="2899" spans="1:6" ht="15" thickBot="1" x14ac:dyDescent="0.2">
      <c r="A2899" s="30" t="s">
        <v>11719</v>
      </c>
      <c r="B2899" s="26" t="str">
        <f t="shared" si="45"/>
        <v>688317</v>
      </c>
      <c r="C2899" s="30" t="s">
        <v>5906</v>
      </c>
      <c r="D2899" s="31">
        <v>13.94</v>
      </c>
      <c r="E2899" s="31">
        <v>-1.83</v>
      </c>
      <c r="F2899" s="31">
        <v>2678682500</v>
      </c>
    </row>
    <row r="2900" spans="1:6" ht="15" thickBot="1" x14ac:dyDescent="0.2">
      <c r="A2900" s="30" t="s">
        <v>11720</v>
      </c>
      <c r="B2900" s="26" t="str">
        <f t="shared" si="45"/>
        <v>688252</v>
      </c>
      <c r="C2900" s="30" t="s">
        <v>11721</v>
      </c>
      <c r="D2900" s="31">
        <v>14.84</v>
      </c>
      <c r="E2900" s="31">
        <v>-0.47</v>
      </c>
      <c r="F2900" s="31">
        <v>2678537900</v>
      </c>
    </row>
    <row r="2901" spans="1:6" ht="15" thickBot="1" x14ac:dyDescent="0.2">
      <c r="A2901" s="30" t="s">
        <v>11722</v>
      </c>
      <c r="B2901" s="26" t="str">
        <f t="shared" si="45"/>
        <v>600838</v>
      </c>
      <c r="C2901" s="30" t="s">
        <v>5920</v>
      </c>
      <c r="D2901" s="31">
        <v>6.68</v>
      </c>
      <c r="E2901" s="31">
        <v>0.6</v>
      </c>
      <c r="F2901" s="31">
        <v>2677891600</v>
      </c>
    </row>
    <row r="2902" spans="1:6" ht="15" thickBot="1" x14ac:dyDescent="0.2">
      <c r="A2902" s="30" t="s">
        <v>11723</v>
      </c>
      <c r="B2902" s="26" t="str">
        <f t="shared" si="45"/>
        <v>600984</v>
      </c>
      <c r="C2902" s="30" t="s">
        <v>5916</v>
      </c>
      <c r="D2902" s="31">
        <v>2.13</v>
      </c>
      <c r="E2902" s="31">
        <v>-1.84</v>
      </c>
      <c r="F2902" s="31">
        <v>2677503600</v>
      </c>
    </row>
    <row r="2903" spans="1:6" ht="15" thickBot="1" x14ac:dyDescent="0.2">
      <c r="A2903" s="30" t="s">
        <v>11724</v>
      </c>
      <c r="B2903" s="26" t="str">
        <f t="shared" si="45"/>
        <v>000753</v>
      </c>
      <c r="C2903" s="30" t="s">
        <v>5806</v>
      </c>
      <c r="D2903" s="31">
        <v>2.7</v>
      </c>
      <c r="E2903" s="31">
        <v>-2.17</v>
      </c>
      <c r="F2903" s="31">
        <v>2676998900</v>
      </c>
    </row>
    <row r="2904" spans="1:6" ht="15" thickBot="1" x14ac:dyDescent="0.2">
      <c r="A2904" s="30" t="s">
        <v>11725</v>
      </c>
      <c r="B2904" s="26" t="str">
        <f t="shared" si="45"/>
        <v>603901</v>
      </c>
      <c r="C2904" s="30" t="s">
        <v>5689</v>
      </c>
      <c r="D2904" s="31">
        <v>5.54</v>
      </c>
      <c r="E2904" s="31">
        <v>-2.64</v>
      </c>
      <c r="F2904" s="31">
        <v>2675245800</v>
      </c>
    </row>
    <row r="2905" spans="1:6" ht="15" thickBot="1" x14ac:dyDescent="0.2">
      <c r="A2905" s="30" t="s">
        <v>11726</v>
      </c>
      <c r="B2905" s="26" t="str">
        <f t="shared" si="45"/>
        <v>002845</v>
      </c>
      <c r="C2905" s="30" t="s">
        <v>4747</v>
      </c>
      <c r="D2905" s="31">
        <v>10.69</v>
      </c>
      <c r="E2905" s="31">
        <v>-2.2000000000000002</v>
      </c>
      <c r="F2905" s="31">
        <v>2675015900</v>
      </c>
    </row>
    <row r="2906" spans="1:6" ht="15" thickBot="1" x14ac:dyDescent="0.2">
      <c r="A2906" s="30" t="s">
        <v>11727</v>
      </c>
      <c r="B2906" s="26" t="str">
        <f t="shared" si="45"/>
        <v>688456</v>
      </c>
      <c r="C2906" s="30" t="s">
        <v>5834</v>
      </c>
      <c r="D2906" s="31">
        <v>25.79</v>
      </c>
      <c r="E2906" s="31">
        <v>-2.0499999999999998</v>
      </c>
      <c r="F2906" s="31">
        <v>2673391400</v>
      </c>
    </row>
    <row r="2907" spans="1:6" ht="15" thickBot="1" x14ac:dyDescent="0.2">
      <c r="A2907" s="30" t="s">
        <v>11728</v>
      </c>
      <c r="B2907" s="26" t="str">
        <f t="shared" si="45"/>
        <v>603999</v>
      </c>
      <c r="C2907" s="30" t="s">
        <v>5928</v>
      </c>
      <c r="D2907" s="31">
        <v>4.6399999999999997</v>
      </c>
      <c r="E2907" s="31">
        <v>-2.3199999999999998</v>
      </c>
      <c r="F2907" s="31">
        <v>2672640000</v>
      </c>
    </row>
    <row r="2908" spans="1:6" ht="15" thickBot="1" x14ac:dyDescent="0.2">
      <c r="A2908" s="30" t="s">
        <v>11729</v>
      </c>
      <c r="B2908" s="26" t="str">
        <f t="shared" si="45"/>
        <v>300275</v>
      </c>
      <c r="C2908" s="30" t="s">
        <v>5312</v>
      </c>
      <c r="D2908" s="31">
        <v>10.49</v>
      </c>
      <c r="E2908" s="31">
        <v>-0.85</v>
      </c>
      <c r="F2908" s="31">
        <v>2671743300</v>
      </c>
    </row>
    <row r="2909" spans="1:6" ht="15" thickBot="1" x14ac:dyDescent="0.2">
      <c r="A2909" s="30" t="s">
        <v>11730</v>
      </c>
      <c r="B2909" s="26" t="str">
        <f t="shared" si="45"/>
        <v>600622</v>
      </c>
      <c r="C2909" s="30" t="s">
        <v>6272</v>
      </c>
      <c r="D2909" s="31">
        <v>1.78</v>
      </c>
      <c r="E2909" s="31">
        <v>2.2999999999999998</v>
      </c>
      <c r="F2909" s="31">
        <v>2669440000</v>
      </c>
    </row>
    <row r="2910" spans="1:6" ht="15" thickBot="1" x14ac:dyDescent="0.2">
      <c r="A2910" s="30" t="s">
        <v>11731</v>
      </c>
      <c r="B2910" s="26" t="str">
        <f t="shared" si="45"/>
        <v>002255</v>
      </c>
      <c r="C2910" s="30" t="s">
        <v>4871</v>
      </c>
      <c r="D2910" s="31">
        <v>4.1100000000000003</v>
      </c>
      <c r="E2910" s="31">
        <v>-1.44</v>
      </c>
      <c r="F2910" s="31">
        <v>2668878800</v>
      </c>
    </row>
    <row r="2911" spans="1:6" ht="15" thickBot="1" x14ac:dyDescent="0.2">
      <c r="A2911" s="30" t="s">
        <v>11732</v>
      </c>
      <c r="B2911" s="26" t="str">
        <f t="shared" si="45"/>
        <v>002290</v>
      </c>
      <c r="C2911" s="30" t="s">
        <v>5848</v>
      </c>
      <c r="D2911" s="31">
        <v>10.79</v>
      </c>
      <c r="E2911" s="31">
        <v>-2.35</v>
      </c>
      <c r="F2911" s="31">
        <v>2667825700</v>
      </c>
    </row>
    <row r="2912" spans="1:6" ht="15" thickBot="1" x14ac:dyDescent="0.2">
      <c r="A2912" s="30" t="s">
        <v>11733</v>
      </c>
      <c r="B2912" s="26" t="str">
        <f t="shared" si="45"/>
        <v>002788</v>
      </c>
      <c r="C2912" s="30" t="s">
        <v>5892</v>
      </c>
      <c r="D2912" s="31">
        <v>6.99</v>
      </c>
      <c r="E2912" s="31">
        <v>-0.56999999999999995</v>
      </c>
      <c r="F2912" s="31">
        <v>2667287800</v>
      </c>
    </row>
    <row r="2913" spans="1:6" ht="15" thickBot="1" x14ac:dyDescent="0.2">
      <c r="A2913" s="30" t="s">
        <v>11734</v>
      </c>
      <c r="B2913" s="26" t="str">
        <f t="shared" si="45"/>
        <v>605299</v>
      </c>
      <c r="C2913" s="30" t="s">
        <v>5870</v>
      </c>
      <c r="D2913" s="31">
        <v>6.5</v>
      </c>
      <c r="E2913" s="31">
        <v>-0.31</v>
      </c>
      <c r="F2913" s="31">
        <v>2666748500</v>
      </c>
    </row>
    <row r="2914" spans="1:6" ht="15" thickBot="1" x14ac:dyDescent="0.2">
      <c r="A2914" s="30" t="s">
        <v>11735</v>
      </c>
      <c r="B2914" s="26" t="str">
        <f t="shared" si="45"/>
        <v>002225</v>
      </c>
      <c r="C2914" s="30" t="s">
        <v>5302</v>
      </c>
      <c r="D2914" s="31">
        <v>3.23</v>
      </c>
      <c r="E2914" s="31">
        <v>3.53</v>
      </c>
      <c r="F2914" s="31">
        <v>2666380700</v>
      </c>
    </row>
    <row r="2915" spans="1:6" ht="15" thickBot="1" x14ac:dyDescent="0.2">
      <c r="A2915" s="30" t="s">
        <v>11736</v>
      </c>
      <c r="B2915" s="26" t="str">
        <f t="shared" si="45"/>
        <v>600579</v>
      </c>
      <c r="C2915" s="30" t="s">
        <v>6302</v>
      </c>
      <c r="D2915" s="31">
        <v>5.37</v>
      </c>
      <c r="E2915" s="31">
        <v>2.48</v>
      </c>
      <c r="F2915" s="31">
        <v>2666157500</v>
      </c>
    </row>
    <row r="2916" spans="1:6" ht="15" thickBot="1" x14ac:dyDescent="0.2">
      <c r="A2916" s="30" t="s">
        <v>11737</v>
      </c>
      <c r="B2916" s="26" t="str">
        <f t="shared" si="45"/>
        <v>301348</v>
      </c>
      <c r="C2916" s="30" t="s">
        <v>11738</v>
      </c>
      <c r="D2916" s="31">
        <v>19.98</v>
      </c>
      <c r="E2916" s="31">
        <v>-1.43</v>
      </c>
      <c r="F2916" s="31">
        <v>2665467600</v>
      </c>
    </row>
    <row r="2917" spans="1:6" ht="15" thickBot="1" x14ac:dyDescent="0.2">
      <c r="A2917" s="30" t="s">
        <v>11739</v>
      </c>
      <c r="B2917" s="26" t="str">
        <f t="shared" si="45"/>
        <v>300111</v>
      </c>
      <c r="C2917" s="30" t="s">
        <v>5904</v>
      </c>
      <c r="D2917" s="31">
        <v>2.0699999999999998</v>
      </c>
      <c r="E2917" s="31">
        <v>-2.82</v>
      </c>
      <c r="F2917" s="31">
        <v>2664526200</v>
      </c>
    </row>
    <row r="2918" spans="1:6" ht="15" thickBot="1" x14ac:dyDescent="0.2">
      <c r="A2918" s="30" t="s">
        <v>11740</v>
      </c>
      <c r="B2918" s="26" t="str">
        <f t="shared" si="45"/>
        <v>688793</v>
      </c>
      <c r="C2918" s="30" t="s">
        <v>5838</v>
      </c>
      <c r="D2918" s="31">
        <v>30.99</v>
      </c>
      <c r="E2918" s="31">
        <v>-3.28</v>
      </c>
      <c r="F2918" s="31">
        <v>2663448500</v>
      </c>
    </row>
    <row r="2919" spans="1:6" ht="15" thickBot="1" x14ac:dyDescent="0.2">
      <c r="A2919" s="30" t="s">
        <v>11741</v>
      </c>
      <c r="B2919" s="26" t="str">
        <f t="shared" si="45"/>
        <v>300345</v>
      </c>
      <c r="C2919" s="30" t="s">
        <v>4861</v>
      </c>
      <c r="D2919" s="31">
        <v>6.01</v>
      </c>
      <c r="E2919" s="31">
        <v>-0.99</v>
      </c>
      <c r="F2919" s="31">
        <v>2660055400</v>
      </c>
    </row>
    <row r="2920" spans="1:6" ht="15" thickBot="1" x14ac:dyDescent="0.2">
      <c r="A2920" s="30" t="s">
        <v>11742</v>
      </c>
      <c r="B2920" s="26" t="str">
        <f t="shared" si="45"/>
        <v>603165</v>
      </c>
      <c r="C2920" s="30" t="s">
        <v>5940</v>
      </c>
      <c r="D2920" s="31">
        <v>9.5500000000000007</v>
      </c>
      <c r="E2920" s="31">
        <v>-0.62</v>
      </c>
      <c r="F2920" s="31">
        <v>2659052000</v>
      </c>
    </row>
    <row r="2921" spans="1:6" ht="15" thickBot="1" x14ac:dyDescent="0.2">
      <c r="A2921" s="30" t="s">
        <v>11743</v>
      </c>
      <c r="B2921" s="26" t="str">
        <f t="shared" si="45"/>
        <v>603601</v>
      </c>
      <c r="C2921" s="30" t="s">
        <v>5922</v>
      </c>
      <c r="D2921" s="31">
        <v>2.6</v>
      </c>
      <c r="E2921" s="31">
        <v>-2.2599999999999998</v>
      </c>
      <c r="F2921" s="31">
        <v>2656290400</v>
      </c>
    </row>
    <row r="2922" spans="1:6" ht="15" thickBot="1" x14ac:dyDescent="0.2">
      <c r="A2922" s="30" t="s">
        <v>11744</v>
      </c>
      <c r="B2922" s="26" t="str">
        <f t="shared" si="45"/>
        <v>002584</v>
      </c>
      <c r="C2922" s="30" t="s">
        <v>4851</v>
      </c>
      <c r="D2922" s="31">
        <v>6.14</v>
      </c>
      <c r="E2922" s="31">
        <v>2.33</v>
      </c>
      <c r="F2922" s="31">
        <v>2655496400</v>
      </c>
    </row>
    <row r="2923" spans="1:6" ht="15" thickBot="1" x14ac:dyDescent="0.2">
      <c r="A2923" s="30" t="s">
        <v>11745</v>
      </c>
      <c r="B2923" s="26" t="str">
        <f t="shared" si="45"/>
        <v>688258</v>
      </c>
      <c r="C2923" s="30" t="s">
        <v>5884</v>
      </c>
      <c r="D2923" s="31">
        <v>21.92</v>
      </c>
      <c r="E2923" s="31">
        <v>0.64</v>
      </c>
      <c r="F2923" s="31">
        <v>2655437800</v>
      </c>
    </row>
    <row r="2924" spans="1:6" ht="15" thickBot="1" x14ac:dyDescent="0.2">
      <c r="A2924" s="30" t="s">
        <v>11746</v>
      </c>
      <c r="B2924" s="26" t="str">
        <f t="shared" si="45"/>
        <v>300286</v>
      </c>
      <c r="C2924" s="30" t="s">
        <v>5118</v>
      </c>
      <c r="D2924" s="31">
        <v>15.12</v>
      </c>
      <c r="E2924" s="31">
        <v>0.8</v>
      </c>
      <c r="F2924" s="31">
        <v>2654669800</v>
      </c>
    </row>
    <row r="2925" spans="1:6" ht="15" thickBot="1" x14ac:dyDescent="0.2">
      <c r="A2925" s="30" t="s">
        <v>11747</v>
      </c>
      <c r="B2925" s="26" t="str">
        <f t="shared" si="45"/>
        <v>002962</v>
      </c>
      <c r="C2925" s="30" t="s">
        <v>4608</v>
      </c>
      <c r="D2925" s="31">
        <v>12.68</v>
      </c>
      <c r="E2925" s="31">
        <v>1.2</v>
      </c>
      <c r="F2925" s="31">
        <v>2653304000</v>
      </c>
    </row>
    <row r="2926" spans="1:6" ht="15" thickBot="1" x14ac:dyDescent="0.2">
      <c r="A2926" s="30" t="s">
        <v>11748</v>
      </c>
      <c r="B2926" s="26" t="str">
        <f t="shared" si="45"/>
        <v>300239</v>
      </c>
      <c r="C2926" s="30" t="s">
        <v>6146</v>
      </c>
      <c r="D2926" s="31">
        <v>4.5</v>
      </c>
      <c r="E2926" s="31">
        <v>2.27</v>
      </c>
      <c r="F2926" s="31">
        <v>2653214300</v>
      </c>
    </row>
    <row r="2927" spans="1:6" ht="15" thickBot="1" x14ac:dyDescent="0.2">
      <c r="A2927" s="30" t="s">
        <v>11749</v>
      </c>
      <c r="B2927" s="26" t="str">
        <f t="shared" si="45"/>
        <v>001258</v>
      </c>
      <c r="C2927" s="30" t="s">
        <v>11750</v>
      </c>
      <c r="D2927" s="31">
        <v>5.66</v>
      </c>
      <c r="E2927" s="31">
        <v>-0.88</v>
      </c>
      <c r="F2927" s="31">
        <v>2652889700</v>
      </c>
    </row>
    <row r="2928" spans="1:6" ht="15" thickBot="1" x14ac:dyDescent="0.2">
      <c r="A2928" s="30" t="s">
        <v>11751</v>
      </c>
      <c r="B2928" s="26" t="str">
        <f t="shared" si="45"/>
        <v>300105</v>
      </c>
      <c r="C2928" s="30" t="s">
        <v>6018</v>
      </c>
      <c r="D2928" s="31">
        <v>5.16</v>
      </c>
      <c r="E2928" s="31">
        <v>-1.1499999999999999</v>
      </c>
      <c r="F2928" s="31">
        <v>2648181800</v>
      </c>
    </row>
    <row r="2929" spans="1:6" ht="15" thickBot="1" x14ac:dyDescent="0.2">
      <c r="A2929" s="30" t="s">
        <v>11752</v>
      </c>
      <c r="B2929" s="26" t="str">
        <f t="shared" si="45"/>
        <v>603011</v>
      </c>
      <c r="C2929" s="30" t="s">
        <v>5950</v>
      </c>
      <c r="D2929" s="31">
        <v>5.35</v>
      </c>
      <c r="E2929" s="31">
        <v>-0.74</v>
      </c>
      <c r="F2929" s="31">
        <v>2645117200</v>
      </c>
    </row>
    <row r="2930" spans="1:6" ht="15" thickBot="1" x14ac:dyDescent="0.2">
      <c r="A2930" s="30" t="s">
        <v>11753</v>
      </c>
      <c r="B2930" s="26" t="str">
        <f t="shared" si="45"/>
        <v>300619</v>
      </c>
      <c r="C2930" s="30" t="s">
        <v>5140</v>
      </c>
      <c r="D2930" s="31">
        <v>24.03</v>
      </c>
      <c r="E2930" s="31">
        <v>-2.99</v>
      </c>
      <c r="F2930" s="31">
        <v>2642815300</v>
      </c>
    </row>
    <row r="2931" spans="1:6" ht="15" thickBot="1" x14ac:dyDescent="0.2">
      <c r="A2931" s="30" t="s">
        <v>11754</v>
      </c>
      <c r="B2931" s="26" t="str">
        <f t="shared" si="45"/>
        <v>600784</v>
      </c>
      <c r="C2931" s="30" t="s">
        <v>5290</v>
      </c>
      <c r="D2931" s="31">
        <v>4.6500000000000004</v>
      </c>
      <c r="E2931" s="31">
        <v>0.65</v>
      </c>
      <c r="F2931" s="31">
        <v>2642027000</v>
      </c>
    </row>
    <row r="2932" spans="1:6" ht="15" thickBot="1" x14ac:dyDescent="0.2">
      <c r="A2932" s="30" t="s">
        <v>11755</v>
      </c>
      <c r="B2932" s="26" t="str">
        <f t="shared" si="45"/>
        <v>300489</v>
      </c>
      <c r="C2932" s="30" t="s">
        <v>6350</v>
      </c>
      <c r="D2932" s="31">
        <v>19.25</v>
      </c>
      <c r="E2932" s="31">
        <v>10.25</v>
      </c>
      <c r="F2932" s="31">
        <v>2640405700</v>
      </c>
    </row>
    <row r="2933" spans="1:6" ht="15" thickBot="1" x14ac:dyDescent="0.2">
      <c r="A2933" s="30" t="s">
        <v>11756</v>
      </c>
      <c r="B2933" s="26" t="str">
        <f t="shared" si="45"/>
        <v>002457</v>
      </c>
      <c r="C2933" s="30" t="s">
        <v>5687</v>
      </c>
      <c r="D2933" s="31">
        <v>7.92</v>
      </c>
      <c r="E2933" s="31">
        <v>-3.06</v>
      </c>
      <c r="F2933" s="31">
        <v>2639907500</v>
      </c>
    </row>
    <row r="2934" spans="1:6" ht="15" thickBot="1" x14ac:dyDescent="0.2">
      <c r="A2934" s="30" t="s">
        <v>11757</v>
      </c>
      <c r="B2934" s="26" t="str">
        <f t="shared" si="45"/>
        <v>603727</v>
      </c>
      <c r="C2934" s="30" t="s">
        <v>5984</v>
      </c>
      <c r="D2934" s="31">
        <v>9.3699999999999992</v>
      </c>
      <c r="E2934" s="31">
        <v>-1.78</v>
      </c>
      <c r="F2934" s="31">
        <v>2639709600</v>
      </c>
    </row>
    <row r="2935" spans="1:6" ht="15" thickBot="1" x14ac:dyDescent="0.2">
      <c r="A2935" s="30" t="s">
        <v>11758</v>
      </c>
      <c r="B2935" s="26" t="str">
        <f t="shared" si="45"/>
        <v>300099</v>
      </c>
      <c r="C2935" s="30" t="s">
        <v>4976</v>
      </c>
      <c r="D2935" s="31">
        <v>4.54</v>
      </c>
      <c r="E2935" s="31">
        <v>-1.52</v>
      </c>
      <c r="F2935" s="31">
        <v>2639611600</v>
      </c>
    </row>
    <row r="2936" spans="1:6" ht="15" thickBot="1" x14ac:dyDescent="0.2">
      <c r="A2936" s="30" t="s">
        <v>11759</v>
      </c>
      <c r="B2936" s="26" t="str">
        <f t="shared" si="45"/>
        <v>002813</v>
      </c>
      <c r="C2936" s="30" t="s">
        <v>5503</v>
      </c>
      <c r="D2936" s="31">
        <v>22.23</v>
      </c>
      <c r="E2936" s="31">
        <v>-10</v>
      </c>
      <c r="F2936" s="31">
        <v>2633426200</v>
      </c>
    </row>
    <row r="2937" spans="1:6" ht="15" thickBot="1" x14ac:dyDescent="0.2">
      <c r="A2937" s="30" t="s">
        <v>11760</v>
      </c>
      <c r="B2937" s="26" t="str">
        <f t="shared" si="45"/>
        <v>300858</v>
      </c>
      <c r="C2937" s="30" t="s">
        <v>4807</v>
      </c>
      <c r="D2937" s="31">
        <v>13.59</v>
      </c>
      <c r="E2937" s="31">
        <v>0.37</v>
      </c>
      <c r="F2937" s="31">
        <v>2633260600</v>
      </c>
    </row>
    <row r="2938" spans="1:6" ht="15" thickBot="1" x14ac:dyDescent="0.2">
      <c r="A2938" s="30" t="s">
        <v>11761</v>
      </c>
      <c r="B2938" s="26" t="str">
        <f t="shared" si="45"/>
        <v>603040</v>
      </c>
      <c r="C2938" s="30" t="s">
        <v>5974</v>
      </c>
      <c r="D2938" s="31">
        <v>19.559999999999999</v>
      </c>
      <c r="E2938" s="31">
        <v>1.03</v>
      </c>
      <c r="F2938" s="31">
        <v>2630647800</v>
      </c>
    </row>
    <row r="2939" spans="1:6" ht="15" thickBot="1" x14ac:dyDescent="0.2">
      <c r="A2939" s="30" t="s">
        <v>11762</v>
      </c>
      <c r="B2939" s="26" t="str">
        <f t="shared" si="45"/>
        <v>300540</v>
      </c>
      <c r="C2939" s="30" t="s">
        <v>5473</v>
      </c>
      <c r="D2939" s="31">
        <v>18.12</v>
      </c>
      <c r="E2939" s="31">
        <v>0</v>
      </c>
      <c r="F2939" s="31">
        <v>2629772500</v>
      </c>
    </row>
    <row r="2940" spans="1:6" ht="15" thickBot="1" x14ac:dyDescent="0.2">
      <c r="A2940" s="30" t="s">
        <v>11763</v>
      </c>
      <c r="B2940" s="26" t="str">
        <f t="shared" si="45"/>
        <v>000509</v>
      </c>
      <c r="C2940" s="30" t="s">
        <v>6072</v>
      </c>
      <c r="D2940" s="31">
        <v>2.4500000000000002</v>
      </c>
      <c r="E2940" s="31">
        <v>-0.81</v>
      </c>
      <c r="F2940" s="31">
        <v>2629155800</v>
      </c>
    </row>
    <row r="2941" spans="1:6" ht="15" thickBot="1" x14ac:dyDescent="0.2">
      <c r="A2941" s="30" t="s">
        <v>11764</v>
      </c>
      <c r="B2941" s="26" t="str">
        <f t="shared" si="45"/>
        <v>002443</v>
      </c>
      <c r="C2941" s="30" t="s">
        <v>5980</v>
      </c>
      <c r="D2941" s="31">
        <v>5.0599999999999996</v>
      </c>
      <c r="E2941" s="31">
        <v>-1.37</v>
      </c>
      <c r="F2941" s="31">
        <v>2628298500</v>
      </c>
    </row>
    <row r="2942" spans="1:6" ht="15" thickBot="1" x14ac:dyDescent="0.2">
      <c r="A2942" s="30" t="s">
        <v>11765</v>
      </c>
      <c r="B2942" s="26" t="str">
        <f t="shared" si="45"/>
        <v>600537</v>
      </c>
      <c r="C2942" s="30" t="s">
        <v>5836</v>
      </c>
      <c r="D2942" s="31">
        <v>2.2200000000000002</v>
      </c>
      <c r="E2942" s="31">
        <v>-2.63</v>
      </c>
      <c r="F2942" s="31">
        <v>2627847300</v>
      </c>
    </row>
    <row r="2943" spans="1:6" ht="15" thickBot="1" x14ac:dyDescent="0.2">
      <c r="A2943" s="30" t="s">
        <v>11766</v>
      </c>
      <c r="B2943" s="26" t="str">
        <f t="shared" si="45"/>
        <v>000793</v>
      </c>
      <c r="C2943" s="30" t="s">
        <v>6458</v>
      </c>
      <c r="D2943" s="31">
        <v>1.34</v>
      </c>
      <c r="E2943" s="31">
        <v>3.08</v>
      </c>
      <c r="F2943" s="31">
        <v>2627751500</v>
      </c>
    </row>
    <row r="2944" spans="1:6" ht="15" thickBot="1" x14ac:dyDescent="0.2">
      <c r="A2944" s="30" t="s">
        <v>11767</v>
      </c>
      <c r="B2944" s="26" t="str">
        <f t="shared" si="45"/>
        <v>002823</v>
      </c>
      <c r="C2944" s="30" t="s">
        <v>3992</v>
      </c>
      <c r="D2944" s="31">
        <v>12.14</v>
      </c>
      <c r="E2944" s="31">
        <v>-4.78</v>
      </c>
      <c r="F2944" s="31">
        <v>2627343900</v>
      </c>
    </row>
    <row r="2945" spans="1:6" ht="15" thickBot="1" x14ac:dyDescent="0.2">
      <c r="A2945" s="30" t="s">
        <v>11768</v>
      </c>
      <c r="B2945" s="26" t="str">
        <f t="shared" si="45"/>
        <v>000610</v>
      </c>
      <c r="C2945" s="30" t="s">
        <v>5972</v>
      </c>
      <c r="D2945" s="31">
        <v>11.15</v>
      </c>
      <c r="E2945" s="31">
        <v>-0.09</v>
      </c>
      <c r="F2945" s="31">
        <v>2625702300</v>
      </c>
    </row>
    <row r="2946" spans="1:6" ht="15" thickBot="1" x14ac:dyDescent="0.2">
      <c r="A2946" s="30" t="s">
        <v>11769</v>
      </c>
      <c r="B2946" s="26" t="str">
        <f t="shared" si="45"/>
        <v>300187</v>
      </c>
      <c r="C2946" s="30" t="s">
        <v>5914</v>
      </c>
      <c r="D2946" s="31">
        <v>4.07</v>
      </c>
      <c r="E2946" s="31">
        <v>-5.35</v>
      </c>
      <c r="F2946" s="31">
        <v>2624416000</v>
      </c>
    </row>
    <row r="2947" spans="1:6" ht="15" thickBot="1" x14ac:dyDescent="0.2">
      <c r="A2947" s="30" t="s">
        <v>11770</v>
      </c>
      <c r="B2947" s="26" t="str">
        <f t="shared" ref="B2947:B3010" si="46">LEFT(A2947,6)</f>
        <v>300374</v>
      </c>
      <c r="C2947" s="30" t="s">
        <v>5248</v>
      </c>
      <c r="D2947" s="31">
        <v>12.9</v>
      </c>
      <c r="E2947" s="31">
        <v>-0.08</v>
      </c>
      <c r="F2947" s="31">
        <v>2624174700</v>
      </c>
    </row>
    <row r="2948" spans="1:6" ht="15" thickBot="1" x14ac:dyDescent="0.2">
      <c r="A2948" s="30" t="s">
        <v>11771</v>
      </c>
      <c r="B2948" s="26" t="str">
        <f t="shared" si="46"/>
        <v>300238</v>
      </c>
      <c r="C2948" s="30" t="s">
        <v>6068</v>
      </c>
      <c r="D2948" s="31">
        <v>9.89</v>
      </c>
      <c r="E2948" s="31">
        <v>-5.09</v>
      </c>
      <c r="F2948" s="31">
        <v>2622176100</v>
      </c>
    </row>
    <row r="2949" spans="1:6" ht="15" thickBot="1" x14ac:dyDescent="0.2">
      <c r="A2949" s="30" t="s">
        <v>11772</v>
      </c>
      <c r="B2949" s="26" t="str">
        <f t="shared" si="46"/>
        <v>300504</v>
      </c>
      <c r="C2949" s="30" t="s">
        <v>4933</v>
      </c>
      <c r="D2949" s="31">
        <v>12.02</v>
      </c>
      <c r="E2949" s="31">
        <v>-2.2799999999999998</v>
      </c>
      <c r="F2949" s="31">
        <v>2620502400</v>
      </c>
    </row>
    <row r="2950" spans="1:6" ht="15" thickBot="1" x14ac:dyDescent="0.2">
      <c r="A2950" s="30" t="s">
        <v>11773</v>
      </c>
      <c r="B2950" s="26" t="str">
        <f t="shared" si="46"/>
        <v>688531</v>
      </c>
      <c r="C2950" s="30" t="s">
        <v>11774</v>
      </c>
      <c r="D2950" s="31">
        <v>37.950000000000003</v>
      </c>
      <c r="E2950" s="31">
        <v>2.2599999999999998</v>
      </c>
      <c r="F2950" s="31">
        <v>2618913900</v>
      </c>
    </row>
    <row r="2951" spans="1:6" ht="15" thickBot="1" x14ac:dyDescent="0.2">
      <c r="A2951" s="30" t="s">
        <v>11775</v>
      </c>
      <c r="B2951" s="26" t="str">
        <f t="shared" si="46"/>
        <v>603068</v>
      </c>
      <c r="C2951" s="30" t="s">
        <v>5966</v>
      </c>
      <c r="D2951" s="31">
        <v>17.41</v>
      </c>
      <c r="E2951" s="31">
        <v>-1.08</v>
      </c>
      <c r="F2951" s="31">
        <v>2618898700</v>
      </c>
    </row>
    <row r="2952" spans="1:6" ht="15" thickBot="1" x14ac:dyDescent="0.2">
      <c r="A2952" s="30" t="s">
        <v>11776</v>
      </c>
      <c r="B2952" s="26" t="str">
        <f t="shared" si="46"/>
        <v>605388</v>
      </c>
      <c r="C2952" s="30" t="s">
        <v>5820</v>
      </c>
      <c r="D2952" s="31">
        <v>4.3600000000000003</v>
      </c>
      <c r="E2952" s="31">
        <v>-2.02</v>
      </c>
      <c r="F2952" s="31">
        <v>2618110200</v>
      </c>
    </row>
    <row r="2953" spans="1:6" ht="15" thickBot="1" x14ac:dyDescent="0.2">
      <c r="A2953" s="30" t="s">
        <v>11777</v>
      </c>
      <c r="B2953" s="26" t="str">
        <f t="shared" si="46"/>
        <v>688433</v>
      </c>
      <c r="C2953" s="30" t="s">
        <v>11778</v>
      </c>
      <c r="D2953" s="31">
        <v>14.42</v>
      </c>
      <c r="E2953" s="31">
        <v>-0.62</v>
      </c>
      <c r="F2953" s="31">
        <v>2617190200</v>
      </c>
    </row>
    <row r="2954" spans="1:6" ht="15" thickBot="1" x14ac:dyDescent="0.2">
      <c r="A2954" s="30" t="s">
        <v>11779</v>
      </c>
      <c r="B2954" s="26" t="str">
        <f t="shared" si="46"/>
        <v>300359</v>
      </c>
      <c r="C2954" s="30" t="s">
        <v>6040</v>
      </c>
      <c r="D2954" s="31">
        <v>4.13</v>
      </c>
      <c r="E2954" s="31">
        <v>-0.48</v>
      </c>
      <c r="F2954" s="31">
        <v>2615536000</v>
      </c>
    </row>
    <row r="2955" spans="1:6" ht="15" thickBot="1" x14ac:dyDescent="0.2">
      <c r="A2955" s="30" t="s">
        <v>11780</v>
      </c>
      <c r="B2955" s="26" t="str">
        <f t="shared" si="46"/>
        <v>300430</v>
      </c>
      <c r="C2955" s="30" t="s">
        <v>5635</v>
      </c>
      <c r="D2955" s="31">
        <v>10.11</v>
      </c>
      <c r="E2955" s="31">
        <v>-0.79</v>
      </c>
      <c r="F2955" s="31">
        <v>2615192700</v>
      </c>
    </row>
    <row r="2956" spans="1:6" ht="15" thickBot="1" x14ac:dyDescent="0.2">
      <c r="A2956" s="30" t="s">
        <v>11781</v>
      </c>
      <c r="B2956" s="26" t="str">
        <f t="shared" si="46"/>
        <v>605378</v>
      </c>
      <c r="C2956" s="30" t="s">
        <v>11782</v>
      </c>
      <c r="D2956" s="31">
        <v>14</v>
      </c>
      <c r="E2956" s="31">
        <v>-2.44</v>
      </c>
      <c r="F2956" s="31">
        <v>2613464000</v>
      </c>
    </row>
    <row r="2957" spans="1:6" ht="15" thickBot="1" x14ac:dyDescent="0.2">
      <c r="A2957" s="30" t="s">
        <v>11783</v>
      </c>
      <c r="B2957" s="26" t="str">
        <f t="shared" si="46"/>
        <v>603066</v>
      </c>
      <c r="C2957" s="30" t="s">
        <v>5982</v>
      </c>
      <c r="D2957" s="31">
        <v>8.8800000000000008</v>
      </c>
      <c r="E2957" s="31">
        <v>-1.1100000000000001</v>
      </c>
      <c r="F2957" s="31">
        <v>2612319100</v>
      </c>
    </row>
    <row r="2958" spans="1:6" ht="15" thickBot="1" x14ac:dyDescent="0.2">
      <c r="A2958" s="30" t="s">
        <v>11784</v>
      </c>
      <c r="B2958" s="26" t="str">
        <f t="shared" si="46"/>
        <v>830946</v>
      </c>
      <c r="C2958" s="30" t="s">
        <v>6104</v>
      </c>
      <c r="D2958" s="31">
        <v>6.12</v>
      </c>
      <c r="E2958" s="31">
        <v>-0.81</v>
      </c>
      <c r="F2958" s="31">
        <v>2611937000</v>
      </c>
    </row>
    <row r="2959" spans="1:6" ht="15" thickBot="1" x14ac:dyDescent="0.2">
      <c r="A2959" s="30" t="s">
        <v>11785</v>
      </c>
      <c r="B2959" s="26" t="str">
        <f t="shared" si="46"/>
        <v>600731</v>
      </c>
      <c r="C2959" s="30" t="s">
        <v>6114</v>
      </c>
      <c r="D2959" s="31">
        <v>4.68</v>
      </c>
      <c r="E2959" s="31">
        <v>0</v>
      </c>
      <c r="F2959" s="31">
        <v>2611358900</v>
      </c>
    </row>
    <row r="2960" spans="1:6" ht="15" thickBot="1" x14ac:dyDescent="0.2">
      <c r="A2960" s="30" t="s">
        <v>11786</v>
      </c>
      <c r="B2960" s="26" t="str">
        <f t="shared" si="46"/>
        <v>300425</v>
      </c>
      <c r="C2960" s="30" t="s">
        <v>6088</v>
      </c>
      <c r="D2960" s="31">
        <v>3.85</v>
      </c>
      <c r="E2960" s="31">
        <v>-2.04</v>
      </c>
      <c r="F2960" s="31">
        <v>2610643100</v>
      </c>
    </row>
    <row r="2961" spans="1:6" ht="15" thickBot="1" x14ac:dyDescent="0.2">
      <c r="A2961" s="30" t="s">
        <v>11787</v>
      </c>
      <c r="B2961" s="26" t="str">
        <f t="shared" si="46"/>
        <v>002314</v>
      </c>
      <c r="C2961" s="30" t="s">
        <v>3617</v>
      </c>
      <c r="D2961" s="31">
        <v>1.95</v>
      </c>
      <c r="E2961" s="31">
        <v>-0.51</v>
      </c>
      <c r="F2961" s="31">
        <v>2609678300</v>
      </c>
    </row>
    <row r="2962" spans="1:6" ht="15" thickBot="1" x14ac:dyDescent="0.2">
      <c r="A2962" s="30" t="s">
        <v>11788</v>
      </c>
      <c r="B2962" s="26" t="str">
        <f t="shared" si="46"/>
        <v>300822</v>
      </c>
      <c r="C2962" s="30" t="s">
        <v>5569</v>
      </c>
      <c r="D2962" s="31">
        <v>9.0299999999999994</v>
      </c>
      <c r="E2962" s="31">
        <v>-0.77</v>
      </c>
      <c r="F2962" s="31">
        <v>2609507800</v>
      </c>
    </row>
    <row r="2963" spans="1:6" ht="15" thickBot="1" x14ac:dyDescent="0.2">
      <c r="A2963" s="30" t="s">
        <v>11789</v>
      </c>
      <c r="B2963" s="26" t="str">
        <f t="shared" si="46"/>
        <v>000607</v>
      </c>
      <c r="C2963" s="30" t="s">
        <v>5415</v>
      </c>
      <c r="D2963" s="31">
        <v>3</v>
      </c>
      <c r="E2963" s="31">
        <v>-0.99</v>
      </c>
      <c r="F2963" s="31">
        <v>2609338500</v>
      </c>
    </row>
    <row r="2964" spans="1:6" ht="15" thickBot="1" x14ac:dyDescent="0.2">
      <c r="A2964" s="30" t="s">
        <v>11790</v>
      </c>
      <c r="B2964" s="26" t="str">
        <f t="shared" si="46"/>
        <v>603012</v>
      </c>
      <c r="C2964" s="30" t="s">
        <v>6002</v>
      </c>
      <c r="D2964" s="31">
        <v>4.0599999999999996</v>
      </c>
      <c r="E2964" s="31">
        <v>-1.46</v>
      </c>
      <c r="F2964" s="31">
        <v>2607494400</v>
      </c>
    </row>
    <row r="2965" spans="1:6" ht="15" thickBot="1" x14ac:dyDescent="0.2">
      <c r="A2965" s="30" t="s">
        <v>11791</v>
      </c>
      <c r="B2965" s="26" t="str">
        <f t="shared" si="46"/>
        <v>300802</v>
      </c>
      <c r="C2965" s="30" t="s">
        <v>4560</v>
      </c>
      <c r="D2965" s="31">
        <v>13.4</v>
      </c>
      <c r="E2965" s="31">
        <v>-1.1100000000000001</v>
      </c>
      <c r="F2965" s="31">
        <v>2607001300</v>
      </c>
    </row>
    <row r="2966" spans="1:6" ht="15" thickBot="1" x14ac:dyDescent="0.2">
      <c r="A2966" s="30" t="s">
        <v>11792</v>
      </c>
      <c r="B2966" s="26" t="str">
        <f t="shared" si="46"/>
        <v>300424</v>
      </c>
      <c r="C2966" s="30" t="s">
        <v>6000</v>
      </c>
      <c r="D2966" s="31">
        <v>10.89</v>
      </c>
      <c r="E2966" s="31">
        <v>-1.45</v>
      </c>
      <c r="F2966" s="31">
        <v>2606276100</v>
      </c>
    </row>
    <row r="2967" spans="1:6" ht="15" thickBot="1" x14ac:dyDescent="0.2">
      <c r="A2967" s="30" t="s">
        <v>11793</v>
      </c>
      <c r="B2967" s="26" t="str">
        <f t="shared" si="46"/>
        <v>600716</v>
      </c>
      <c r="C2967" s="30" t="s">
        <v>6460</v>
      </c>
      <c r="D2967" s="31">
        <v>2.78</v>
      </c>
      <c r="E2967" s="31">
        <v>-1.07</v>
      </c>
      <c r="F2967" s="31">
        <v>2602248400</v>
      </c>
    </row>
    <row r="2968" spans="1:6" ht="15" thickBot="1" x14ac:dyDescent="0.2">
      <c r="A2968" s="30" t="s">
        <v>11794</v>
      </c>
      <c r="B2968" s="26" t="str">
        <f t="shared" si="46"/>
        <v>300403</v>
      </c>
      <c r="C2968" s="30" t="s">
        <v>4694</v>
      </c>
      <c r="D2968" s="31">
        <v>6.15</v>
      </c>
      <c r="E2968" s="31">
        <v>-0.65</v>
      </c>
      <c r="F2968" s="31">
        <v>2601078000</v>
      </c>
    </row>
    <row r="2969" spans="1:6" ht="15" thickBot="1" x14ac:dyDescent="0.2">
      <c r="A2969" s="30" t="s">
        <v>11795</v>
      </c>
      <c r="B2969" s="26" t="str">
        <f t="shared" si="46"/>
        <v>600626</v>
      </c>
      <c r="C2969" s="30" t="s">
        <v>4452</v>
      </c>
      <c r="D2969" s="31">
        <v>3.05</v>
      </c>
      <c r="E2969" s="31">
        <v>0.99</v>
      </c>
      <c r="F2969" s="31">
        <v>2599488500</v>
      </c>
    </row>
    <row r="2970" spans="1:6" ht="15" thickBot="1" x14ac:dyDescent="0.2">
      <c r="A2970" s="30" t="s">
        <v>11796</v>
      </c>
      <c r="B2970" s="26" t="str">
        <f t="shared" si="46"/>
        <v>688767</v>
      </c>
      <c r="C2970" s="30" t="s">
        <v>11797</v>
      </c>
      <c r="D2970" s="31">
        <v>24.36</v>
      </c>
      <c r="E2970" s="31">
        <v>-0.61</v>
      </c>
      <c r="F2970" s="31">
        <v>2598400000</v>
      </c>
    </row>
    <row r="2971" spans="1:6" ht="15" thickBot="1" x14ac:dyDescent="0.2">
      <c r="A2971" s="30" t="s">
        <v>11798</v>
      </c>
      <c r="B2971" s="26" t="str">
        <f t="shared" si="46"/>
        <v>002912</v>
      </c>
      <c r="C2971" s="30" t="s">
        <v>5880</v>
      </c>
      <c r="D2971" s="31">
        <v>16.010000000000002</v>
      </c>
      <c r="E2971" s="31">
        <v>-1.05</v>
      </c>
      <c r="F2971" s="31">
        <v>2597174400</v>
      </c>
    </row>
    <row r="2972" spans="1:6" ht="15" thickBot="1" x14ac:dyDescent="0.2">
      <c r="A2972" s="30" t="s">
        <v>11799</v>
      </c>
      <c r="B2972" s="26" t="str">
        <f t="shared" si="46"/>
        <v>000421</v>
      </c>
      <c r="C2972" s="30" t="s">
        <v>6156</v>
      </c>
      <c r="D2972" s="31">
        <v>4.5199999999999996</v>
      </c>
      <c r="E2972" s="31">
        <v>1.1200000000000001</v>
      </c>
      <c r="F2972" s="31">
        <v>2595666200</v>
      </c>
    </row>
    <row r="2973" spans="1:6" ht="15" thickBot="1" x14ac:dyDescent="0.2">
      <c r="A2973" s="30" t="s">
        <v>11800</v>
      </c>
      <c r="B2973" s="26" t="str">
        <f t="shared" si="46"/>
        <v>603706</v>
      </c>
      <c r="C2973" s="30" t="s">
        <v>6144</v>
      </c>
      <c r="D2973" s="31">
        <v>13.7</v>
      </c>
      <c r="E2973" s="31">
        <v>0.15</v>
      </c>
      <c r="F2973" s="31">
        <v>2594543200</v>
      </c>
    </row>
    <row r="2974" spans="1:6" ht="15" thickBot="1" x14ac:dyDescent="0.2">
      <c r="A2974" s="30" t="s">
        <v>11801</v>
      </c>
      <c r="B2974" s="26" t="str">
        <f t="shared" si="46"/>
        <v>300622</v>
      </c>
      <c r="C2974" s="30" t="s">
        <v>4150</v>
      </c>
      <c r="D2974" s="31">
        <v>22.48</v>
      </c>
      <c r="E2974" s="31">
        <v>-1.83</v>
      </c>
      <c r="F2974" s="31">
        <v>2593753300</v>
      </c>
    </row>
    <row r="2975" spans="1:6" ht="15" thickBot="1" x14ac:dyDescent="0.2">
      <c r="A2975" s="30" t="s">
        <v>11802</v>
      </c>
      <c r="B2975" s="26" t="str">
        <f t="shared" si="46"/>
        <v>301175</v>
      </c>
      <c r="C2975" s="30" t="s">
        <v>11803</v>
      </c>
      <c r="D2975" s="31">
        <v>4.2</v>
      </c>
      <c r="E2975" s="31">
        <v>-1.18</v>
      </c>
      <c r="F2975" s="31">
        <v>2592131200</v>
      </c>
    </row>
    <row r="2976" spans="1:6" ht="15" thickBot="1" x14ac:dyDescent="0.2">
      <c r="A2976" s="30" t="s">
        <v>11804</v>
      </c>
      <c r="B2976" s="26" t="str">
        <f t="shared" si="46"/>
        <v>600152</v>
      </c>
      <c r="C2976" s="30" t="s">
        <v>5792</v>
      </c>
      <c r="D2976" s="31">
        <v>4.9000000000000004</v>
      </c>
      <c r="E2976" s="31">
        <v>-2.59</v>
      </c>
      <c r="F2976" s="31">
        <v>2591882600</v>
      </c>
    </row>
    <row r="2977" spans="1:6" ht="15" thickBot="1" x14ac:dyDescent="0.2">
      <c r="A2977" s="30" t="s">
        <v>11805</v>
      </c>
      <c r="B2977" s="26" t="str">
        <f t="shared" si="46"/>
        <v>603990</v>
      </c>
      <c r="C2977" s="30" t="s">
        <v>6130</v>
      </c>
      <c r="D2977" s="31">
        <v>8.4600000000000009</v>
      </c>
      <c r="E2977" s="31">
        <v>2.2999999999999998</v>
      </c>
      <c r="F2977" s="31">
        <v>2591151900</v>
      </c>
    </row>
    <row r="2978" spans="1:6" ht="15" thickBot="1" x14ac:dyDescent="0.2">
      <c r="A2978" s="30" t="s">
        <v>11806</v>
      </c>
      <c r="B2978" s="26" t="str">
        <f t="shared" si="46"/>
        <v>300911</v>
      </c>
      <c r="C2978" s="30" t="s">
        <v>5760</v>
      </c>
      <c r="D2978" s="31">
        <v>20.059999999999999</v>
      </c>
      <c r="E2978" s="31">
        <v>-0.5</v>
      </c>
      <c r="F2978" s="31">
        <v>2591071200</v>
      </c>
    </row>
    <row r="2979" spans="1:6" ht="15" thickBot="1" x14ac:dyDescent="0.2">
      <c r="A2979" s="30" t="s">
        <v>11807</v>
      </c>
      <c r="B2979" s="26" t="str">
        <f t="shared" si="46"/>
        <v>300609</v>
      </c>
      <c r="C2979" s="30" t="s">
        <v>6078</v>
      </c>
      <c r="D2979" s="31">
        <v>21.61</v>
      </c>
      <c r="E2979" s="31">
        <v>1.31</v>
      </c>
      <c r="F2979" s="31">
        <v>2590894500</v>
      </c>
    </row>
    <row r="2980" spans="1:6" ht="15" thickBot="1" x14ac:dyDescent="0.2">
      <c r="A2980" s="30" t="s">
        <v>11808</v>
      </c>
      <c r="B2980" s="26" t="str">
        <f t="shared" si="46"/>
        <v>301216</v>
      </c>
      <c r="C2980" s="30" t="s">
        <v>11809</v>
      </c>
      <c r="D2980" s="31">
        <v>9.1</v>
      </c>
      <c r="E2980" s="31">
        <v>-2.99</v>
      </c>
      <c r="F2980" s="31">
        <v>2590741300</v>
      </c>
    </row>
    <row r="2981" spans="1:6" ht="15" thickBot="1" x14ac:dyDescent="0.2">
      <c r="A2981" s="30" t="s">
        <v>11810</v>
      </c>
      <c r="B2981" s="26" t="str">
        <f t="shared" si="46"/>
        <v>600526</v>
      </c>
      <c r="C2981" s="30" t="s">
        <v>5176</v>
      </c>
      <c r="D2981" s="31">
        <v>3.64</v>
      </c>
      <c r="E2981" s="31">
        <v>-0.82</v>
      </c>
      <c r="F2981" s="31">
        <v>2590318900</v>
      </c>
    </row>
    <row r="2982" spans="1:6" ht="15" thickBot="1" x14ac:dyDescent="0.2">
      <c r="A2982" s="30" t="s">
        <v>11811</v>
      </c>
      <c r="B2982" s="26" t="str">
        <f t="shared" si="46"/>
        <v>002522</v>
      </c>
      <c r="C2982" s="30" t="s">
        <v>5944</v>
      </c>
      <c r="D2982" s="31">
        <v>2.98</v>
      </c>
      <c r="E2982" s="31">
        <v>-0.67</v>
      </c>
      <c r="F2982" s="31">
        <v>2589446200</v>
      </c>
    </row>
    <row r="2983" spans="1:6" ht="15" thickBot="1" x14ac:dyDescent="0.2">
      <c r="A2983" s="30" t="s">
        <v>11812</v>
      </c>
      <c r="B2983" s="26" t="str">
        <f t="shared" si="46"/>
        <v>002040</v>
      </c>
      <c r="C2983" s="30" t="s">
        <v>6148</v>
      </c>
      <c r="D2983" s="31">
        <v>5.35</v>
      </c>
      <c r="E2983" s="31">
        <v>0</v>
      </c>
      <c r="F2983" s="31">
        <v>2589222400</v>
      </c>
    </row>
    <row r="2984" spans="1:6" ht="15" thickBot="1" x14ac:dyDescent="0.2">
      <c r="A2984" s="30" t="s">
        <v>11813</v>
      </c>
      <c r="B2984" s="26" t="str">
        <f t="shared" si="46"/>
        <v>603136</v>
      </c>
      <c r="C2984" s="30" t="s">
        <v>6030</v>
      </c>
      <c r="D2984" s="31">
        <v>9.58</v>
      </c>
      <c r="E2984" s="31">
        <v>-0.62</v>
      </c>
      <c r="F2984" s="31">
        <v>2587813900</v>
      </c>
    </row>
    <row r="2985" spans="1:6" ht="15" thickBot="1" x14ac:dyDescent="0.2">
      <c r="A2985" s="30" t="s">
        <v>11814</v>
      </c>
      <c r="B2985" s="26" t="str">
        <f t="shared" si="46"/>
        <v>601956</v>
      </c>
      <c r="C2985" s="30" t="s">
        <v>6106</v>
      </c>
      <c r="D2985" s="31">
        <v>4.18</v>
      </c>
      <c r="E2985" s="31">
        <v>-0.24</v>
      </c>
      <c r="F2985" s="31">
        <v>2585865200</v>
      </c>
    </row>
    <row r="2986" spans="1:6" ht="15" thickBot="1" x14ac:dyDescent="0.2">
      <c r="A2986" s="30" t="s">
        <v>11815</v>
      </c>
      <c r="B2986" s="26" t="str">
        <f t="shared" si="46"/>
        <v>600638</v>
      </c>
      <c r="C2986" s="30" t="s">
        <v>6296</v>
      </c>
      <c r="D2986" s="31">
        <v>3.84</v>
      </c>
      <c r="E2986" s="31">
        <v>2.4</v>
      </c>
      <c r="F2986" s="31">
        <v>2585843700</v>
      </c>
    </row>
    <row r="2987" spans="1:6" ht="15" thickBot="1" x14ac:dyDescent="0.2">
      <c r="A2987" s="30" t="s">
        <v>11816</v>
      </c>
      <c r="B2987" s="26" t="str">
        <f t="shared" si="46"/>
        <v>002575</v>
      </c>
      <c r="C2987" s="30" t="s">
        <v>5860</v>
      </c>
      <c r="D2987" s="31">
        <v>4.3899999999999997</v>
      </c>
      <c r="E2987" s="31">
        <v>-1.35</v>
      </c>
      <c r="F2987" s="31">
        <v>2584480800</v>
      </c>
    </row>
    <row r="2988" spans="1:6" ht="15" thickBot="1" x14ac:dyDescent="0.2">
      <c r="A2988" s="30" t="s">
        <v>11817</v>
      </c>
      <c r="B2988" s="26" t="str">
        <f t="shared" si="46"/>
        <v>300480</v>
      </c>
      <c r="C2988" s="30" t="s">
        <v>4306</v>
      </c>
      <c r="D2988" s="31">
        <v>10.92</v>
      </c>
      <c r="E2988" s="31">
        <v>-3.11</v>
      </c>
      <c r="F2988" s="31">
        <v>2583561400</v>
      </c>
    </row>
    <row r="2989" spans="1:6" ht="15" thickBot="1" x14ac:dyDescent="0.2">
      <c r="A2989" s="30" t="s">
        <v>11818</v>
      </c>
      <c r="B2989" s="26" t="str">
        <f t="shared" si="46"/>
        <v>002640</v>
      </c>
      <c r="C2989" s="30" t="s">
        <v>5501</v>
      </c>
      <c r="D2989" s="31">
        <v>1.81</v>
      </c>
      <c r="E2989" s="31">
        <v>-9.9499999999999993</v>
      </c>
      <c r="F2989" s="31">
        <v>2582685300</v>
      </c>
    </row>
    <row r="2990" spans="1:6" ht="15" thickBot="1" x14ac:dyDescent="0.2">
      <c r="A2990" s="30" t="s">
        <v>11819</v>
      </c>
      <c r="B2990" s="26" t="str">
        <f t="shared" si="46"/>
        <v>300081</v>
      </c>
      <c r="C2990" s="30" t="s">
        <v>5886</v>
      </c>
      <c r="D2990" s="31">
        <v>4.2699999999999996</v>
      </c>
      <c r="E2990" s="31">
        <v>-2.29</v>
      </c>
      <c r="F2990" s="31">
        <v>2582085400</v>
      </c>
    </row>
    <row r="2991" spans="1:6" ht="15" thickBot="1" x14ac:dyDescent="0.2">
      <c r="A2991" s="30" t="s">
        <v>11820</v>
      </c>
      <c r="B2991" s="26" t="str">
        <f t="shared" si="46"/>
        <v>600172</v>
      </c>
      <c r="C2991" s="30" t="s">
        <v>5645</v>
      </c>
      <c r="D2991" s="31">
        <v>2.02</v>
      </c>
      <c r="E2991" s="31">
        <v>-0.49</v>
      </c>
      <c r="F2991" s="31">
        <v>2578036600</v>
      </c>
    </row>
    <row r="2992" spans="1:6" ht="15" thickBot="1" x14ac:dyDescent="0.2">
      <c r="A2992" s="30" t="s">
        <v>11821</v>
      </c>
      <c r="B2992" s="26" t="str">
        <f t="shared" si="46"/>
        <v>300460</v>
      </c>
      <c r="C2992" s="30" t="s">
        <v>5826</v>
      </c>
      <c r="D2992" s="31">
        <v>9.18</v>
      </c>
      <c r="E2992" s="31">
        <v>-1.71</v>
      </c>
      <c r="F2992" s="31">
        <v>2577783000</v>
      </c>
    </row>
    <row r="2993" spans="1:6" ht="15" thickBot="1" x14ac:dyDescent="0.2">
      <c r="A2993" s="30" t="s">
        <v>11822</v>
      </c>
      <c r="B2993" s="26" t="str">
        <f t="shared" si="46"/>
        <v>601218</v>
      </c>
      <c r="C2993" s="30" t="s">
        <v>6136</v>
      </c>
      <c r="D2993" s="31">
        <v>2.64</v>
      </c>
      <c r="E2993" s="31">
        <v>-0.38</v>
      </c>
      <c r="F2993" s="31">
        <v>2576648500</v>
      </c>
    </row>
    <row r="2994" spans="1:6" ht="15" thickBot="1" x14ac:dyDescent="0.2">
      <c r="A2994" s="30" t="s">
        <v>11823</v>
      </c>
      <c r="B2994" s="26" t="str">
        <f t="shared" si="46"/>
        <v>603095</v>
      </c>
      <c r="C2994" s="30" t="s">
        <v>6082</v>
      </c>
      <c r="D2994" s="31">
        <v>13.93</v>
      </c>
      <c r="E2994" s="31">
        <v>-2.04</v>
      </c>
      <c r="F2994" s="31">
        <v>2574264000</v>
      </c>
    </row>
    <row r="2995" spans="1:6" ht="15" thickBot="1" x14ac:dyDescent="0.2">
      <c r="A2995" s="30" t="s">
        <v>11824</v>
      </c>
      <c r="B2995" s="26" t="str">
        <f t="shared" si="46"/>
        <v>300299</v>
      </c>
      <c r="C2995" s="30" t="s">
        <v>5816</v>
      </c>
      <c r="D2995" s="31">
        <v>3.73</v>
      </c>
      <c r="E2995" s="31">
        <v>-5.57</v>
      </c>
      <c r="F2995" s="31">
        <v>2573373600</v>
      </c>
    </row>
    <row r="2996" spans="1:6" ht="15" thickBot="1" x14ac:dyDescent="0.2">
      <c r="A2996" s="30" t="s">
        <v>11825</v>
      </c>
      <c r="B2996" s="26" t="str">
        <f t="shared" si="46"/>
        <v>603351</v>
      </c>
      <c r="C2996" s="30" t="s">
        <v>5946</v>
      </c>
      <c r="D2996" s="31">
        <v>19</v>
      </c>
      <c r="E2996" s="31">
        <v>-3.06</v>
      </c>
      <c r="F2996" s="31">
        <v>2573343500</v>
      </c>
    </row>
    <row r="2997" spans="1:6" ht="15" thickBot="1" x14ac:dyDescent="0.2">
      <c r="A2997" s="30" t="s">
        <v>11826</v>
      </c>
      <c r="B2997" s="26" t="str">
        <f t="shared" si="46"/>
        <v>002728</v>
      </c>
      <c r="C2997" s="30" t="s">
        <v>4809</v>
      </c>
      <c r="D2997" s="31">
        <v>6.87</v>
      </c>
      <c r="E2997" s="31">
        <v>-2.14</v>
      </c>
      <c r="F2997" s="31">
        <v>2573254200</v>
      </c>
    </row>
    <row r="2998" spans="1:6" ht="15" thickBot="1" x14ac:dyDescent="0.2">
      <c r="A2998" s="30" t="s">
        <v>11827</v>
      </c>
      <c r="B2998" s="26" t="str">
        <f t="shared" si="46"/>
        <v>605066</v>
      </c>
      <c r="C2998" s="30" t="s">
        <v>6188</v>
      </c>
      <c r="D2998" s="31">
        <v>5.12</v>
      </c>
      <c r="E2998" s="31">
        <v>1.59</v>
      </c>
      <c r="F2998" s="31">
        <v>2572457600</v>
      </c>
    </row>
    <row r="2999" spans="1:6" ht="15" thickBot="1" x14ac:dyDescent="0.2">
      <c r="A2999" s="30" t="s">
        <v>11828</v>
      </c>
      <c r="B2999" s="26" t="str">
        <f t="shared" si="46"/>
        <v>600386</v>
      </c>
      <c r="C2999" s="30" t="s">
        <v>6152</v>
      </c>
      <c r="D2999" s="31">
        <v>3.19</v>
      </c>
      <c r="E2999" s="31">
        <v>-0.93</v>
      </c>
      <c r="F2999" s="31">
        <v>2572416000</v>
      </c>
    </row>
    <row r="3000" spans="1:6" ht="15" thickBot="1" x14ac:dyDescent="0.2">
      <c r="A3000" s="30" t="s">
        <v>11829</v>
      </c>
      <c r="B3000" s="26" t="str">
        <f t="shared" si="46"/>
        <v>002952</v>
      </c>
      <c r="C3000" s="30" t="s">
        <v>5022</v>
      </c>
      <c r="D3000" s="31">
        <v>19.47</v>
      </c>
      <c r="E3000" s="31">
        <v>-2.16</v>
      </c>
      <c r="F3000" s="31">
        <v>2570916800</v>
      </c>
    </row>
    <row r="3001" spans="1:6" ht="15" thickBot="1" x14ac:dyDescent="0.2">
      <c r="A3001" s="30" t="s">
        <v>11830</v>
      </c>
      <c r="B3001" s="26" t="str">
        <f t="shared" si="46"/>
        <v>600965</v>
      </c>
      <c r="C3001" s="30" t="s">
        <v>6006</v>
      </c>
      <c r="D3001" s="31">
        <v>3.14</v>
      </c>
      <c r="E3001" s="31">
        <v>-2.79</v>
      </c>
      <c r="F3001" s="31">
        <v>2570721000</v>
      </c>
    </row>
    <row r="3002" spans="1:6" ht="15" thickBot="1" x14ac:dyDescent="0.2">
      <c r="A3002" s="30" t="s">
        <v>11831</v>
      </c>
      <c r="B3002" s="26" t="str">
        <f t="shared" si="46"/>
        <v>603390</v>
      </c>
      <c r="C3002" s="30" t="s">
        <v>5942</v>
      </c>
      <c r="D3002" s="31">
        <v>7.35</v>
      </c>
      <c r="E3002" s="31">
        <v>-1.48</v>
      </c>
      <c r="F3002" s="31">
        <v>2570701200</v>
      </c>
    </row>
    <row r="3003" spans="1:6" ht="15" thickBot="1" x14ac:dyDescent="0.2">
      <c r="A3003" s="30" t="s">
        <v>11832</v>
      </c>
      <c r="B3003" s="26" t="str">
        <f t="shared" si="46"/>
        <v>002688</v>
      </c>
      <c r="C3003" s="30" t="s">
        <v>5952</v>
      </c>
      <c r="D3003" s="31">
        <v>3.45</v>
      </c>
      <c r="E3003" s="31">
        <v>-1.71</v>
      </c>
      <c r="F3003" s="31">
        <v>2570470300</v>
      </c>
    </row>
    <row r="3004" spans="1:6" ht="15" thickBot="1" x14ac:dyDescent="0.2">
      <c r="A3004" s="30" t="s">
        <v>11833</v>
      </c>
      <c r="B3004" s="26" t="str">
        <f t="shared" si="46"/>
        <v>301525</v>
      </c>
      <c r="C3004" s="30" t="s">
        <v>11834</v>
      </c>
      <c r="D3004" s="31">
        <v>52.02</v>
      </c>
      <c r="E3004" s="31">
        <v>2.38</v>
      </c>
      <c r="F3004" s="31">
        <v>2569850300</v>
      </c>
    </row>
    <row r="3005" spans="1:6" ht="15" thickBot="1" x14ac:dyDescent="0.2">
      <c r="A3005" s="30" t="s">
        <v>11835</v>
      </c>
      <c r="B3005" s="26" t="str">
        <f t="shared" si="46"/>
        <v>603887</v>
      </c>
      <c r="C3005" s="30" t="s">
        <v>5800</v>
      </c>
      <c r="D3005" s="31">
        <v>5.7</v>
      </c>
      <c r="E3005" s="31">
        <v>0.53</v>
      </c>
      <c r="F3005" s="31">
        <v>2569334000</v>
      </c>
    </row>
    <row r="3006" spans="1:6" ht="15" thickBot="1" x14ac:dyDescent="0.2">
      <c r="A3006" s="30" t="s">
        <v>11836</v>
      </c>
      <c r="B3006" s="26" t="str">
        <f t="shared" si="46"/>
        <v>688033</v>
      </c>
      <c r="C3006" s="30" t="s">
        <v>6046</v>
      </c>
      <c r="D3006" s="31">
        <v>4.57</v>
      </c>
      <c r="E3006" s="31">
        <v>-2.35</v>
      </c>
      <c r="F3006" s="31">
        <v>2569247600</v>
      </c>
    </row>
    <row r="3007" spans="1:6" ht="15" thickBot="1" x14ac:dyDescent="0.2">
      <c r="A3007" s="30" t="s">
        <v>11837</v>
      </c>
      <c r="B3007" s="26" t="str">
        <f t="shared" si="46"/>
        <v>603109</v>
      </c>
      <c r="C3007" s="30" t="s">
        <v>6170</v>
      </c>
      <c r="D3007" s="31">
        <v>12.35</v>
      </c>
      <c r="E3007" s="31">
        <v>0.98</v>
      </c>
      <c r="F3007" s="31">
        <v>2567925000</v>
      </c>
    </row>
    <row r="3008" spans="1:6" ht="15" thickBot="1" x14ac:dyDescent="0.2">
      <c r="A3008" s="30" t="s">
        <v>11838</v>
      </c>
      <c r="B3008" s="26" t="str">
        <f t="shared" si="46"/>
        <v>603315</v>
      </c>
      <c r="C3008" s="30" t="s">
        <v>5742</v>
      </c>
      <c r="D3008" s="31">
        <v>8.36</v>
      </c>
      <c r="E3008" s="31">
        <v>-3.69</v>
      </c>
      <c r="F3008" s="31">
        <v>2566739600</v>
      </c>
    </row>
    <row r="3009" spans="1:6" ht="15" thickBot="1" x14ac:dyDescent="0.2">
      <c r="A3009" s="30" t="s">
        <v>11839</v>
      </c>
      <c r="B3009" s="26" t="str">
        <f t="shared" si="46"/>
        <v>603987</v>
      </c>
      <c r="C3009" s="30" t="s">
        <v>6016</v>
      </c>
      <c r="D3009" s="31">
        <v>5.82</v>
      </c>
      <c r="E3009" s="31">
        <v>-2.19</v>
      </c>
      <c r="F3009" s="31">
        <v>2566630400</v>
      </c>
    </row>
    <row r="3010" spans="1:6" ht="15" thickBot="1" x14ac:dyDescent="0.2">
      <c r="A3010" s="30" t="s">
        <v>11840</v>
      </c>
      <c r="B3010" s="26" t="str">
        <f t="shared" si="46"/>
        <v>603922</v>
      </c>
      <c r="C3010" s="30" t="s">
        <v>6160</v>
      </c>
      <c r="D3010" s="31">
        <v>14.31</v>
      </c>
      <c r="E3010" s="31">
        <v>1.49</v>
      </c>
      <c r="F3010" s="31">
        <v>2564352000</v>
      </c>
    </row>
    <row r="3011" spans="1:6" ht="15" thickBot="1" x14ac:dyDescent="0.2">
      <c r="A3011" s="30" t="s">
        <v>11841</v>
      </c>
      <c r="B3011" s="26" t="str">
        <f t="shared" ref="B3011:B3074" si="47">LEFT(A3011,6)</f>
        <v>688711</v>
      </c>
      <c r="C3011" s="30" t="s">
        <v>11842</v>
      </c>
      <c r="D3011" s="31">
        <v>12.04</v>
      </c>
      <c r="E3011" s="31">
        <v>-3.76</v>
      </c>
      <c r="F3011" s="31">
        <v>2563119700</v>
      </c>
    </row>
    <row r="3012" spans="1:6" ht="15" thickBot="1" x14ac:dyDescent="0.2">
      <c r="A3012" s="30" t="s">
        <v>11843</v>
      </c>
      <c r="B3012" s="26" t="str">
        <f t="shared" si="47"/>
        <v>603015</v>
      </c>
      <c r="C3012" s="30" t="s">
        <v>6008</v>
      </c>
      <c r="D3012" s="31">
        <v>6.34</v>
      </c>
      <c r="E3012" s="31">
        <v>-2.0099999999999998</v>
      </c>
      <c r="F3012" s="31">
        <v>2562748500</v>
      </c>
    </row>
    <row r="3013" spans="1:6" ht="15" thickBot="1" x14ac:dyDescent="0.2">
      <c r="A3013" s="30" t="s">
        <v>11844</v>
      </c>
      <c r="B3013" s="26" t="str">
        <f t="shared" si="47"/>
        <v>000862</v>
      </c>
      <c r="C3013" s="30" t="s">
        <v>4630</v>
      </c>
      <c r="D3013" s="31">
        <v>4.08</v>
      </c>
      <c r="E3013" s="31">
        <v>-1.21</v>
      </c>
      <c r="F3013" s="31">
        <v>2562105700</v>
      </c>
    </row>
    <row r="3014" spans="1:6" ht="15" thickBot="1" x14ac:dyDescent="0.2">
      <c r="A3014" s="30" t="s">
        <v>11845</v>
      </c>
      <c r="B3014" s="26" t="str">
        <f t="shared" si="47"/>
        <v>002565</v>
      </c>
      <c r="C3014" s="30" t="s">
        <v>6110</v>
      </c>
      <c r="D3014" s="31">
        <v>2.4300000000000002</v>
      </c>
      <c r="E3014" s="31">
        <v>-0.82</v>
      </c>
      <c r="F3014" s="31">
        <v>2561682200</v>
      </c>
    </row>
    <row r="3015" spans="1:6" ht="15" thickBot="1" x14ac:dyDescent="0.2">
      <c r="A3015" s="30" t="s">
        <v>11846</v>
      </c>
      <c r="B3015" s="26" t="str">
        <f t="shared" si="47"/>
        <v>600382</v>
      </c>
      <c r="C3015" s="30" t="s">
        <v>6242</v>
      </c>
      <c r="D3015" s="31">
        <v>3.33</v>
      </c>
      <c r="E3015" s="31">
        <v>-0.3</v>
      </c>
      <c r="F3015" s="31">
        <v>2561455200</v>
      </c>
    </row>
    <row r="3016" spans="1:6" ht="15" thickBot="1" x14ac:dyDescent="0.2">
      <c r="A3016" s="30" t="s">
        <v>11847</v>
      </c>
      <c r="B3016" s="26" t="str">
        <f t="shared" si="47"/>
        <v>603088</v>
      </c>
      <c r="C3016" s="30" t="s">
        <v>6124</v>
      </c>
      <c r="D3016" s="31">
        <v>5.88</v>
      </c>
      <c r="E3016" s="31">
        <v>0.51</v>
      </c>
      <c r="F3016" s="31">
        <v>2561287400</v>
      </c>
    </row>
    <row r="3017" spans="1:6" ht="15" thickBot="1" x14ac:dyDescent="0.2">
      <c r="A3017" s="30" t="s">
        <v>11848</v>
      </c>
      <c r="B3017" s="26" t="str">
        <f t="shared" si="47"/>
        <v>603739</v>
      </c>
      <c r="C3017" s="30" t="s">
        <v>6070</v>
      </c>
      <c r="D3017" s="31">
        <v>10.119999999999999</v>
      </c>
      <c r="E3017" s="31">
        <v>-0.98</v>
      </c>
      <c r="F3017" s="31">
        <v>2560652100</v>
      </c>
    </row>
    <row r="3018" spans="1:6" ht="15" thickBot="1" x14ac:dyDescent="0.2">
      <c r="A3018" s="30" t="s">
        <v>11849</v>
      </c>
      <c r="B3018" s="26" t="str">
        <f t="shared" si="47"/>
        <v>002886</v>
      </c>
      <c r="C3018" s="30" t="s">
        <v>5106</v>
      </c>
      <c r="D3018" s="31">
        <v>12.3</v>
      </c>
      <c r="E3018" s="31">
        <v>-0.41</v>
      </c>
      <c r="F3018" s="31">
        <v>2560468400</v>
      </c>
    </row>
    <row r="3019" spans="1:6" ht="15" thickBot="1" x14ac:dyDescent="0.2">
      <c r="A3019" s="30" t="s">
        <v>11850</v>
      </c>
      <c r="B3019" s="26" t="str">
        <f t="shared" si="47"/>
        <v>002570</v>
      </c>
      <c r="C3019" s="30" t="s">
        <v>6120</v>
      </c>
      <c r="D3019" s="31">
        <v>2.37</v>
      </c>
      <c r="E3019" s="31">
        <v>-1.25</v>
      </c>
      <c r="F3019" s="31">
        <v>2559588900</v>
      </c>
    </row>
    <row r="3020" spans="1:6" ht="15" thickBot="1" x14ac:dyDescent="0.2">
      <c r="A3020" s="30" t="s">
        <v>11851</v>
      </c>
      <c r="B3020" s="26" t="str">
        <f t="shared" si="47"/>
        <v>603217</v>
      </c>
      <c r="C3020" s="30" t="s">
        <v>6076</v>
      </c>
      <c r="D3020" s="31">
        <v>12.36</v>
      </c>
      <c r="E3020" s="31">
        <v>0</v>
      </c>
      <c r="F3020" s="31">
        <v>2557442200</v>
      </c>
    </row>
    <row r="3021" spans="1:6" ht="15" thickBot="1" x14ac:dyDescent="0.2">
      <c r="A3021" s="30" t="s">
        <v>11852</v>
      </c>
      <c r="B3021" s="26" t="str">
        <f t="shared" si="47"/>
        <v>605588</v>
      </c>
      <c r="C3021" s="30" t="s">
        <v>11853</v>
      </c>
      <c r="D3021" s="31">
        <v>34.979999999999997</v>
      </c>
      <c r="E3021" s="31">
        <v>1.72</v>
      </c>
      <c r="F3021" s="31">
        <v>2557022600</v>
      </c>
    </row>
    <row r="3022" spans="1:6" ht="15" thickBot="1" x14ac:dyDescent="0.2">
      <c r="A3022" s="30" t="s">
        <v>11854</v>
      </c>
      <c r="B3022" s="26" t="str">
        <f t="shared" si="47"/>
        <v>002173</v>
      </c>
      <c r="C3022" s="30" t="s">
        <v>5764</v>
      </c>
      <c r="D3022" s="31">
        <v>6.15</v>
      </c>
      <c r="E3022" s="31">
        <v>1.65</v>
      </c>
      <c r="F3022" s="31">
        <v>2556471800</v>
      </c>
    </row>
    <row r="3023" spans="1:6" ht="15" thickBot="1" x14ac:dyDescent="0.2">
      <c r="A3023" s="30" t="s">
        <v>11855</v>
      </c>
      <c r="B3023" s="26" t="str">
        <f t="shared" si="47"/>
        <v>300918</v>
      </c>
      <c r="C3023" s="30" t="s">
        <v>6112</v>
      </c>
      <c r="D3023" s="31">
        <v>7.1</v>
      </c>
      <c r="E3023" s="31">
        <v>-1.39</v>
      </c>
      <c r="F3023" s="31">
        <v>2556287200</v>
      </c>
    </row>
    <row r="3024" spans="1:6" ht="15" thickBot="1" x14ac:dyDescent="0.2">
      <c r="A3024" s="30" t="s">
        <v>11856</v>
      </c>
      <c r="B3024" s="26" t="str">
        <f t="shared" si="47"/>
        <v>300191</v>
      </c>
      <c r="C3024" s="30" t="s">
        <v>4686</v>
      </c>
      <c r="D3024" s="31">
        <v>11.55</v>
      </c>
      <c r="E3024" s="31">
        <v>-1.79</v>
      </c>
      <c r="F3024" s="31">
        <v>2554802300</v>
      </c>
    </row>
    <row r="3025" spans="1:6" ht="15" thickBot="1" x14ac:dyDescent="0.2">
      <c r="A3025" s="30" t="s">
        <v>11857</v>
      </c>
      <c r="B3025" s="26" t="str">
        <f t="shared" si="47"/>
        <v>300317</v>
      </c>
      <c r="C3025" s="30" t="s">
        <v>6080</v>
      </c>
      <c r="D3025" s="31">
        <v>3.08</v>
      </c>
      <c r="E3025" s="31">
        <v>-1.91</v>
      </c>
      <c r="F3025" s="31">
        <v>2553053300</v>
      </c>
    </row>
    <row r="3026" spans="1:6" ht="15" thickBot="1" x14ac:dyDescent="0.2">
      <c r="A3026" s="30" t="s">
        <v>11858</v>
      </c>
      <c r="B3026" s="26" t="str">
        <f t="shared" si="47"/>
        <v>688380</v>
      </c>
      <c r="C3026" s="30" t="s">
        <v>11859</v>
      </c>
      <c r="D3026" s="31">
        <v>17.27</v>
      </c>
      <c r="E3026" s="31">
        <v>1.83</v>
      </c>
      <c r="F3026" s="31">
        <v>2552160600</v>
      </c>
    </row>
    <row r="3027" spans="1:6" ht="15" thickBot="1" x14ac:dyDescent="0.2">
      <c r="A3027" s="30" t="s">
        <v>11860</v>
      </c>
      <c r="B3027" s="26" t="str">
        <f t="shared" si="47"/>
        <v>300719</v>
      </c>
      <c r="C3027" s="30" t="s">
        <v>4769</v>
      </c>
      <c r="D3027" s="31">
        <v>14.2</v>
      </c>
      <c r="E3027" s="31">
        <v>0.35</v>
      </c>
      <c r="F3027" s="31">
        <v>2550605900</v>
      </c>
    </row>
    <row r="3028" spans="1:6" ht="15" thickBot="1" x14ac:dyDescent="0.2">
      <c r="A3028" s="30" t="s">
        <v>11861</v>
      </c>
      <c r="B3028" s="26" t="str">
        <f t="shared" si="47"/>
        <v>300466</v>
      </c>
      <c r="C3028" s="30" t="s">
        <v>5180</v>
      </c>
      <c r="D3028" s="31">
        <v>6.07</v>
      </c>
      <c r="E3028" s="31">
        <v>0.5</v>
      </c>
      <c r="F3028" s="31">
        <v>2549316600</v>
      </c>
    </row>
    <row r="3029" spans="1:6" ht="15" thickBot="1" x14ac:dyDescent="0.2">
      <c r="A3029" s="30" t="s">
        <v>11862</v>
      </c>
      <c r="B3029" s="26" t="str">
        <f t="shared" si="47"/>
        <v>002915</v>
      </c>
      <c r="C3029" s="30" t="s">
        <v>5533</v>
      </c>
      <c r="D3029" s="31">
        <v>8.84</v>
      </c>
      <c r="E3029" s="31">
        <v>0.8</v>
      </c>
      <c r="F3029" s="31">
        <v>2548628400</v>
      </c>
    </row>
    <row r="3030" spans="1:6" ht="15" thickBot="1" x14ac:dyDescent="0.2">
      <c r="A3030" s="30" t="s">
        <v>11863</v>
      </c>
      <c r="B3030" s="26" t="str">
        <f t="shared" si="47"/>
        <v>002339</v>
      </c>
      <c r="C3030" s="30" t="s">
        <v>5978</v>
      </c>
      <c r="D3030" s="31">
        <v>5.32</v>
      </c>
      <c r="E3030" s="31">
        <v>0.19</v>
      </c>
      <c r="F3030" s="31">
        <v>2547182000</v>
      </c>
    </row>
    <row r="3031" spans="1:6" ht="15" thickBot="1" x14ac:dyDescent="0.2">
      <c r="A3031" s="30" t="s">
        <v>11864</v>
      </c>
      <c r="B3031" s="26" t="str">
        <f t="shared" si="47"/>
        <v>300667</v>
      </c>
      <c r="C3031" s="30" t="s">
        <v>5802</v>
      </c>
      <c r="D3031" s="31">
        <v>14.75</v>
      </c>
      <c r="E3031" s="31">
        <v>4.76</v>
      </c>
      <c r="F3031" s="31">
        <v>2546563300</v>
      </c>
    </row>
    <row r="3032" spans="1:6" ht="15" thickBot="1" x14ac:dyDescent="0.2">
      <c r="A3032" s="30" t="s">
        <v>11865</v>
      </c>
      <c r="B3032" s="26" t="str">
        <f t="shared" si="47"/>
        <v>300608</v>
      </c>
      <c r="C3032" s="30" t="s">
        <v>5752</v>
      </c>
      <c r="D3032" s="31">
        <v>9.25</v>
      </c>
      <c r="E3032" s="31">
        <v>1.54</v>
      </c>
      <c r="F3032" s="31">
        <v>2544399900</v>
      </c>
    </row>
    <row r="3033" spans="1:6" ht="15" thickBot="1" x14ac:dyDescent="0.2">
      <c r="A3033" s="30" t="s">
        <v>11866</v>
      </c>
      <c r="B3033" s="26" t="str">
        <f t="shared" si="47"/>
        <v>002630</v>
      </c>
      <c r="C3033" s="30" t="s">
        <v>5565</v>
      </c>
      <c r="D3033" s="31">
        <v>2.4</v>
      </c>
      <c r="E3033" s="31">
        <v>-2.04</v>
      </c>
      <c r="F3033" s="31">
        <v>2543252500</v>
      </c>
    </row>
    <row r="3034" spans="1:6" ht="15" thickBot="1" x14ac:dyDescent="0.2">
      <c r="A3034" s="30" t="s">
        <v>11867</v>
      </c>
      <c r="B3034" s="26" t="str">
        <f t="shared" si="47"/>
        <v>688591</v>
      </c>
      <c r="C3034" s="30" t="s">
        <v>11868</v>
      </c>
      <c r="D3034" s="31">
        <v>15.58</v>
      </c>
      <c r="E3034" s="31">
        <v>-0.26</v>
      </c>
      <c r="F3034" s="31">
        <v>2543147700</v>
      </c>
    </row>
    <row r="3035" spans="1:6" ht="15" thickBot="1" x14ac:dyDescent="0.2">
      <c r="A3035" s="30" t="s">
        <v>11869</v>
      </c>
      <c r="B3035" s="26" t="str">
        <f t="shared" si="47"/>
        <v>300545</v>
      </c>
      <c r="C3035" s="30" t="s">
        <v>4264</v>
      </c>
      <c r="D3035" s="31">
        <v>22.57</v>
      </c>
      <c r="E3035" s="31">
        <v>-0.53</v>
      </c>
      <c r="F3035" s="31">
        <v>2542987400</v>
      </c>
    </row>
    <row r="3036" spans="1:6" ht="15" thickBot="1" x14ac:dyDescent="0.2">
      <c r="A3036" s="30" t="s">
        <v>11870</v>
      </c>
      <c r="B3036" s="26" t="str">
        <f t="shared" si="47"/>
        <v>300809</v>
      </c>
      <c r="C3036" s="30" t="s">
        <v>3945</v>
      </c>
      <c r="D3036" s="31">
        <v>18.16</v>
      </c>
      <c r="E3036" s="31">
        <v>0.72</v>
      </c>
      <c r="F3036" s="31">
        <v>2539423600</v>
      </c>
    </row>
    <row r="3037" spans="1:6" ht="15" thickBot="1" x14ac:dyDescent="0.2">
      <c r="A3037" s="30" t="s">
        <v>11871</v>
      </c>
      <c r="B3037" s="26" t="str">
        <f t="shared" si="47"/>
        <v>300439</v>
      </c>
      <c r="C3037" s="30" t="s">
        <v>4982</v>
      </c>
      <c r="D3037" s="31">
        <v>8.6999999999999993</v>
      </c>
      <c r="E3037" s="31">
        <v>-2.36</v>
      </c>
      <c r="F3037" s="31">
        <v>2538012300</v>
      </c>
    </row>
    <row r="3038" spans="1:6" ht="15" thickBot="1" x14ac:dyDescent="0.2">
      <c r="A3038" s="30" t="s">
        <v>11872</v>
      </c>
      <c r="B3038" s="26" t="str">
        <f t="shared" si="47"/>
        <v>603115</v>
      </c>
      <c r="C3038" s="30" t="s">
        <v>6154</v>
      </c>
      <c r="D3038" s="31">
        <v>10.61</v>
      </c>
      <c r="E3038" s="31">
        <v>-0.66</v>
      </c>
      <c r="F3038" s="31">
        <v>2537912000</v>
      </c>
    </row>
    <row r="3039" spans="1:6" ht="15" thickBot="1" x14ac:dyDescent="0.2">
      <c r="A3039" s="30" t="s">
        <v>11873</v>
      </c>
      <c r="B3039" s="26" t="str">
        <f t="shared" si="47"/>
        <v>002661</v>
      </c>
      <c r="C3039" s="30" t="s">
        <v>5780</v>
      </c>
      <c r="D3039" s="31">
        <v>7.86</v>
      </c>
      <c r="E3039" s="31">
        <v>-2.6</v>
      </c>
      <c r="F3039" s="31">
        <v>2537324300</v>
      </c>
    </row>
    <row r="3040" spans="1:6" ht="15" thickBot="1" x14ac:dyDescent="0.2">
      <c r="A3040" s="30" t="s">
        <v>11874</v>
      </c>
      <c r="B3040" s="26" t="str">
        <f t="shared" si="47"/>
        <v>600769</v>
      </c>
      <c r="C3040" s="30" t="s">
        <v>6428</v>
      </c>
      <c r="D3040" s="31">
        <v>6.76</v>
      </c>
      <c r="E3040" s="31">
        <v>0.9</v>
      </c>
      <c r="F3040" s="31">
        <v>2534845900</v>
      </c>
    </row>
    <row r="3041" spans="1:6" ht="15" thickBot="1" x14ac:dyDescent="0.2">
      <c r="A3041" s="30" t="s">
        <v>11875</v>
      </c>
      <c r="B3041" s="26" t="str">
        <f t="shared" si="47"/>
        <v>300718</v>
      </c>
      <c r="C3041" s="30" t="s">
        <v>4462</v>
      </c>
      <c r="D3041" s="31">
        <v>13.07</v>
      </c>
      <c r="E3041" s="31">
        <v>-1.95</v>
      </c>
      <c r="F3041" s="31">
        <v>2533805500</v>
      </c>
    </row>
    <row r="3042" spans="1:6" ht="15" thickBot="1" x14ac:dyDescent="0.2">
      <c r="A3042" s="30" t="s">
        <v>11876</v>
      </c>
      <c r="B3042" s="26" t="str">
        <f t="shared" si="47"/>
        <v>001207</v>
      </c>
      <c r="C3042" s="30" t="s">
        <v>11877</v>
      </c>
      <c r="D3042" s="31">
        <v>12.61</v>
      </c>
      <c r="E3042" s="31">
        <v>-1.41</v>
      </c>
      <c r="F3042" s="31">
        <v>2533778200</v>
      </c>
    </row>
    <row r="3043" spans="1:6" ht="15" thickBot="1" x14ac:dyDescent="0.2">
      <c r="A3043" s="30" t="s">
        <v>11878</v>
      </c>
      <c r="B3043" s="26" t="str">
        <f t="shared" si="47"/>
        <v>002425</v>
      </c>
      <c r="C3043" s="30" t="s">
        <v>6186</v>
      </c>
      <c r="D3043" s="30" t="s">
        <v>8665</v>
      </c>
      <c r="E3043" s="30" t="s">
        <v>8665</v>
      </c>
      <c r="F3043" s="31">
        <v>2533561400</v>
      </c>
    </row>
    <row r="3044" spans="1:6" ht="15" thickBot="1" x14ac:dyDescent="0.2">
      <c r="A3044" s="30" t="s">
        <v>11879</v>
      </c>
      <c r="B3044" s="26" t="str">
        <f t="shared" si="47"/>
        <v>300636</v>
      </c>
      <c r="C3044" s="30" t="s">
        <v>5493</v>
      </c>
      <c r="D3044" s="31">
        <v>6.95</v>
      </c>
      <c r="E3044" s="31">
        <v>-0.43</v>
      </c>
      <c r="F3044" s="31">
        <v>2532706000</v>
      </c>
    </row>
    <row r="3045" spans="1:6" ht="15" thickBot="1" x14ac:dyDescent="0.2">
      <c r="A3045" s="30" t="s">
        <v>11880</v>
      </c>
      <c r="B3045" s="26" t="str">
        <f t="shared" si="47"/>
        <v>002186</v>
      </c>
      <c r="C3045" s="30" t="s">
        <v>6180</v>
      </c>
      <c r="D3045" s="31">
        <v>8.26</v>
      </c>
      <c r="E3045" s="31">
        <v>-1.31</v>
      </c>
      <c r="F3045" s="31">
        <v>2531783700</v>
      </c>
    </row>
    <row r="3046" spans="1:6" ht="15" thickBot="1" x14ac:dyDescent="0.2">
      <c r="A3046" s="30" t="s">
        <v>11881</v>
      </c>
      <c r="B3046" s="26" t="str">
        <f t="shared" si="47"/>
        <v>688590</v>
      </c>
      <c r="C3046" s="30" t="s">
        <v>6138</v>
      </c>
      <c r="D3046" s="31">
        <v>9.7100000000000009</v>
      </c>
      <c r="E3046" s="31">
        <v>-0.92</v>
      </c>
      <c r="F3046" s="31">
        <v>2531642400</v>
      </c>
    </row>
    <row r="3047" spans="1:6" ht="15" thickBot="1" x14ac:dyDescent="0.2">
      <c r="A3047" s="30" t="s">
        <v>11882</v>
      </c>
      <c r="B3047" s="26" t="str">
        <f t="shared" si="47"/>
        <v>300654</v>
      </c>
      <c r="C3047" s="30" t="s">
        <v>5613</v>
      </c>
      <c r="D3047" s="31">
        <v>7.76</v>
      </c>
      <c r="E3047" s="31">
        <v>-4.08</v>
      </c>
      <c r="F3047" s="31">
        <v>2531496900</v>
      </c>
    </row>
    <row r="3048" spans="1:6" ht="15" thickBot="1" x14ac:dyDescent="0.2">
      <c r="A3048" s="30" t="s">
        <v>11883</v>
      </c>
      <c r="B3048" s="26" t="str">
        <f t="shared" si="47"/>
        <v>603520</v>
      </c>
      <c r="C3048" s="30" t="s">
        <v>4911</v>
      </c>
      <c r="D3048" s="31">
        <v>7.39</v>
      </c>
      <c r="E3048" s="31">
        <v>-6.93</v>
      </c>
      <c r="F3048" s="31">
        <v>2531182200</v>
      </c>
    </row>
    <row r="3049" spans="1:6" ht="15" thickBot="1" x14ac:dyDescent="0.2">
      <c r="A3049" s="30" t="s">
        <v>11884</v>
      </c>
      <c r="B3049" s="26" t="str">
        <f t="shared" si="47"/>
        <v>300032</v>
      </c>
      <c r="C3049" s="30" t="s">
        <v>6062</v>
      </c>
      <c r="D3049" s="31">
        <v>3.15</v>
      </c>
      <c r="E3049" s="31">
        <v>-3.37</v>
      </c>
      <c r="F3049" s="31">
        <v>2529979500</v>
      </c>
    </row>
    <row r="3050" spans="1:6" ht="15" thickBot="1" x14ac:dyDescent="0.2">
      <c r="A3050" s="30" t="s">
        <v>11885</v>
      </c>
      <c r="B3050" s="26" t="str">
        <f t="shared" si="47"/>
        <v>600730</v>
      </c>
      <c r="C3050" s="30" t="s">
        <v>6238</v>
      </c>
      <c r="D3050" s="31">
        <v>4.3099999999999996</v>
      </c>
      <c r="E3050" s="31">
        <v>0.7</v>
      </c>
      <c r="F3050" s="31">
        <v>2528487400</v>
      </c>
    </row>
    <row r="3051" spans="1:6" ht="15" thickBot="1" x14ac:dyDescent="0.2">
      <c r="A3051" s="30" t="s">
        <v>11886</v>
      </c>
      <c r="B3051" s="26" t="str">
        <f t="shared" si="47"/>
        <v>300630</v>
      </c>
      <c r="C3051" s="30" t="s">
        <v>4905</v>
      </c>
      <c r="D3051" s="31">
        <v>7.47</v>
      </c>
      <c r="E3051" s="31">
        <v>-4.3499999999999996</v>
      </c>
      <c r="F3051" s="31">
        <v>2527046400</v>
      </c>
    </row>
    <row r="3052" spans="1:6" ht="15" thickBot="1" x14ac:dyDescent="0.2">
      <c r="A3052" s="30" t="s">
        <v>11887</v>
      </c>
      <c r="B3052" s="26" t="str">
        <f t="shared" si="47"/>
        <v>688515</v>
      </c>
      <c r="C3052" s="30" t="s">
        <v>11888</v>
      </c>
      <c r="D3052" s="31">
        <v>51.39</v>
      </c>
      <c r="E3052" s="31">
        <v>-0.98</v>
      </c>
      <c r="F3052" s="31">
        <v>2526703800</v>
      </c>
    </row>
    <row r="3053" spans="1:6" ht="15" thickBot="1" x14ac:dyDescent="0.2">
      <c r="A3053" s="30" t="s">
        <v>11889</v>
      </c>
      <c r="B3053" s="26" t="str">
        <f t="shared" si="47"/>
        <v>300603</v>
      </c>
      <c r="C3053" s="30" t="s">
        <v>5126</v>
      </c>
      <c r="D3053" s="31">
        <v>7.02</v>
      </c>
      <c r="E3053" s="31">
        <v>-0.85</v>
      </c>
      <c r="F3053" s="31">
        <v>2526148200</v>
      </c>
    </row>
    <row r="3054" spans="1:6" ht="15" thickBot="1" x14ac:dyDescent="0.2">
      <c r="A3054" s="30" t="s">
        <v>11890</v>
      </c>
      <c r="B3054" s="26" t="str">
        <f t="shared" si="47"/>
        <v>002201</v>
      </c>
      <c r="C3054" s="30" t="s">
        <v>6042</v>
      </c>
      <c r="D3054" s="31">
        <v>3.88</v>
      </c>
      <c r="E3054" s="31">
        <v>-1.27</v>
      </c>
      <c r="F3054" s="31">
        <v>2522977500</v>
      </c>
    </row>
    <row r="3055" spans="1:6" ht="15" thickBot="1" x14ac:dyDescent="0.2">
      <c r="A3055" s="30" t="s">
        <v>11891</v>
      </c>
      <c r="B3055" s="26" t="str">
        <f t="shared" si="47"/>
        <v>688057</v>
      </c>
      <c r="C3055" s="30" t="s">
        <v>6172</v>
      </c>
      <c r="D3055" s="31">
        <v>9.1300000000000008</v>
      </c>
      <c r="E3055" s="31">
        <v>-1.08</v>
      </c>
      <c r="F3055" s="31">
        <v>2519880000</v>
      </c>
    </row>
    <row r="3056" spans="1:6" ht="15" thickBot="1" x14ac:dyDescent="0.2">
      <c r="A3056" s="30" t="s">
        <v>11892</v>
      </c>
      <c r="B3056" s="26" t="str">
        <f t="shared" si="47"/>
        <v>688253</v>
      </c>
      <c r="C3056" s="30" t="s">
        <v>11893</v>
      </c>
      <c r="D3056" s="31">
        <v>36.81</v>
      </c>
      <c r="E3056" s="31">
        <v>-0.41</v>
      </c>
      <c r="F3056" s="31">
        <v>2518293600</v>
      </c>
    </row>
    <row r="3057" spans="1:6" ht="15" thickBot="1" x14ac:dyDescent="0.2">
      <c r="A3057" s="30" t="s">
        <v>11894</v>
      </c>
      <c r="B3057" s="26" t="str">
        <f t="shared" si="47"/>
        <v>688787</v>
      </c>
      <c r="C3057" s="30" t="s">
        <v>6054</v>
      </c>
      <c r="D3057" s="31">
        <v>41.73</v>
      </c>
      <c r="E3057" s="31">
        <v>-2.41</v>
      </c>
      <c r="F3057" s="31">
        <v>2517369800</v>
      </c>
    </row>
    <row r="3058" spans="1:6" ht="15" thickBot="1" x14ac:dyDescent="0.2">
      <c r="A3058" s="30" t="s">
        <v>11895</v>
      </c>
      <c r="B3058" s="26" t="str">
        <f t="shared" si="47"/>
        <v>300120</v>
      </c>
      <c r="C3058" s="30" t="s">
        <v>5609</v>
      </c>
      <c r="D3058" s="31">
        <v>5.1100000000000003</v>
      </c>
      <c r="E3058" s="31">
        <v>-4.66</v>
      </c>
      <c r="F3058" s="31">
        <v>2516353700</v>
      </c>
    </row>
    <row r="3059" spans="1:6" ht="15" thickBot="1" x14ac:dyDescent="0.2">
      <c r="A3059" s="30" t="s">
        <v>11896</v>
      </c>
      <c r="B3059" s="26" t="str">
        <f t="shared" si="47"/>
        <v>000571</v>
      </c>
      <c r="C3059" s="30" t="s">
        <v>6260</v>
      </c>
      <c r="D3059" s="31">
        <v>3.09</v>
      </c>
      <c r="E3059" s="31">
        <v>-2.52</v>
      </c>
      <c r="F3059" s="31">
        <v>2515341900</v>
      </c>
    </row>
    <row r="3060" spans="1:6" ht="15" thickBot="1" x14ac:dyDescent="0.2">
      <c r="A3060" s="30" t="s">
        <v>11897</v>
      </c>
      <c r="B3060" s="26" t="str">
        <f t="shared" si="47"/>
        <v>002350</v>
      </c>
      <c r="C3060" s="30" t="s">
        <v>6142</v>
      </c>
      <c r="D3060" s="31">
        <v>4.75</v>
      </c>
      <c r="E3060" s="31">
        <v>-0.63</v>
      </c>
      <c r="F3060" s="31">
        <v>2514551200</v>
      </c>
    </row>
    <row r="3061" spans="1:6" ht="15" thickBot="1" x14ac:dyDescent="0.2">
      <c r="A3061" s="30" t="s">
        <v>11898</v>
      </c>
      <c r="B3061" s="26" t="str">
        <f t="shared" si="47"/>
        <v>300063</v>
      </c>
      <c r="C3061" s="30" t="s">
        <v>5314</v>
      </c>
      <c r="D3061" s="31">
        <v>4.0199999999999996</v>
      </c>
      <c r="E3061" s="31">
        <v>-0.99</v>
      </c>
      <c r="F3061" s="31">
        <v>2513502100</v>
      </c>
    </row>
    <row r="3062" spans="1:6" ht="15" thickBot="1" x14ac:dyDescent="0.2">
      <c r="A3062" s="30" t="s">
        <v>11899</v>
      </c>
      <c r="B3062" s="26" t="str">
        <f t="shared" si="47"/>
        <v>603856</v>
      </c>
      <c r="C3062" s="30" t="s">
        <v>6226</v>
      </c>
      <c r="D3062" s="31">
        <v>9.8000000000000007</v>
      </c>
      <c r="E3062" s="31">
        <v>-0.81</v>
      </c>
      <c r="F3062" s="31">
        <v>2512863100</v>
      </c>
    </row>
    <row r="3063" spans="1:6" ht="15" thickBot="1" x14ac:dyDescent="0.2">
      <c r="A3063" s="30" t="s">
        <v>11900</v>
      </c>
      <c r="B3063" s="26" t="str">
        <f t="shared" si="47"/>
        <v>300933</v>
      </c>
      <c r="C3063" s="30" t="s">
        <v>6276</v>
      </c>
      <c r="D3063" s="31">
        <v>5.48</v>
      </c>
      <c r="E3063" s="31">
        <v>0.74</v>
      </c>
      <c r="F3063" s="31">
        <v>2512683600</v>
      </c>
    </row>
    <row r="3064" spans="1:6" ht="15" thickBot="1" x14ac:dyDescent="0.2">
      <c r="A3064" s="30" t="s">
        <v>11901</v>
      </c>
      <c r="B3064" s="26" t="str">
        <f t="shared" si="47"/>
        <v>300662</v>
      </c>
      <c r="C3064" s="30" t="s">
        <v>5535</v>
      </c>
      <c r="D3064" s="31">
        <v>12.8</v>
      </c>
      <c r="E3064" s="31">
        <v>-5.12</v>
      </c>
      <c r="F3064" s="31">
        <v>2512430000</v>
      </c>
    </row>
    <row r="3065" spans="1:6" ht="15" thickBot="1" x14ac:dyDescent="0.2">
      <c r="A3065" s="30" t="s">
        <v>11902</v>
      </c>
      <c r="B3065" s="26" t="str">
        <f t="shared" si="47"/>
        <v>603759</v>
      </c>
      <c r="C3065" s="30" t="s">
        <v>11903</v>
      </c>
      <c r="D3065" s="31">
        <v>5.44</v>
      </c>
      <c r="E3065" s="31">
        <v>-1.81</v>
      </c>
      <c r="F3065" s="31">
        <v>2511974400</v>
      </c>
    </row>
    <row r="3066" spans="1:6" ht="15" thickBot="1" x14ac:dyDescent="0.2">
      <c r="A3066" s="30" t="s">
        <v>11904</v>
      </c>
      <c r="B3066" s="26" t="str">
        <f t="shared" si="47"/>
        <v>002296</v>
      </c>
      <c r="C3066" s="30" t="s">
        <v>5699</v>
      </c>
      <c r="D3066" s="31">
        <v>7.23</v>
      </c>
      <c r="E3066" s="31">
        <v>-0.41</v>
      </c>
      <c r="F3066" s="31">
        <v>2511813700</v>
      </c>
    </row>
    <row r="3067" spans="1:6" ht="15" thickBot="1" x14ac:dyDescent="0.2">
      <c r="A3067" s="30" t="s">
        <v>11905</v>
      </c>
      <c r="B3067" s="26" t="str">
        <f t="shared" si="47"/>
        <v>600222</v>
      </c>
      <c r="C3067" s="30" t="s">
        <v>6336</v>
      </c>
      <c r="D3067" s="31">
        <v>4.37</v>
      </c>
      <c r="E3067" s="31">
        <v>2.34</v>
      </c>
      <c r="F3067" s="31">
        <v>2507883100</v>
      </c>
    </row>
    <row r="3068" spans="1:6" ht="15" thickBot="1" x14ac:dyDescent="0.2">
      <c r="A3068" s="30" t="s">
        <v>11906</v>
      </c>
      <c r="B3068" s="26" t="str">
        <f t="shared" si="47"/>
        <v>300277</v>
      </c>
      <c r="C3068" s="30" t="s">
        <v>6857</v>
      </c>
      <c r="D3068" s="31">
        <v>7.5</v>
      </c>
      <c r="E3068" s="31">
        <v>-0.66</v>
      </c>
      <c r="F3068" s="31">
        <v>2507792300</v>
      </c>
    </row>
    <row r="3069" spans="1:6" ht="15" thickBot="1" x14ac:dyDescent="0.2">
      <c r="A3069" s="30" t="s">
        <v>11907</v>
      </c>
      <c r="B3069" s="26" t="str">
        <f t="shared" si="47"/>
        <v>688699</v>
      </c>
      <c r="C3069" s="30" t="s">
        <v>6028</v>
      </c>
      <c r="D3069" s="31">
        <v>22.78</v>
      </c>
      <c r="E3069" s="31">
        <v>-1.98</v>
      </c>
      <c r="F3069" s="31">
        <v>2507272500</v>
      </c>
    </row>
    <row r="3070" spans="1:6" ht="15" thickBot="1" x14ac:dyDescent="0.2">
      <c r="A3070" s="30" t="s">
        <v>11908</v>
      </c>
      <c r="B3070" s="26" t="str">
        <f t="shared" si="47"/>
        <v>300499</v>
      </c>
      <c r="C3070" s="30" t="s">
        <v>5447</v>
      </c>
      <c r="D3070" s="31">
        <v>9.23</v>
      </c>
      <c r="E3070" s="31">
        <v>-3.45</v>
      </c>
      <c r="F3070" s="31">
        <v>2505099600</v>
      </c>
    </row>
    <row r="3071" spans="1:6" ht="15" thickBot="1" x14ac:dyDescent="0.2">
      <c r="A3071" s="30" t="s">
        <v>11909</v>
      </c>
      <c r="B3071" s="26" t="str">
        <f t="shared" si="47"/>
        <v>688135</v>
      </c>
      <c r="C3071" s="30" t="s">
        <v>6102</v>
      </c>
      <c r="D3071" s="31">
        <v>12.49</v>
      </c>
      <c r="E3071" s="31">
        <v>-2.19</v>
      </c>
      <c r="F3071" s="31">
        <v>2501861200</v>
      </c>
    </row>
    <row r="3072" spans="1:6" ht="15" thickBot="1" x14ac:dyDescent="0.2">
      <c r="A3072" s="30" t="s">
        <v>11910</v>
      </c>
      <c r="B3072" s="26" t="str">
        <f t="shared" si="47"/>
        <v>603607</v>
      </c>
      <c r="C3072" s="30" t="s">
        <v>6380</v>
      </c>
      <c r="D3072" s="31">
        <v>14.01</v>
      </c>
      <c r="E3072" s="31">
        <v>9.9700000000000006</v>
      </c>
      <c r="F3072" s="31">
        <v>2501020400</v>
      </c>
    </row>
    <row r="3073" spans="1:6" ht="15" thickBot="1" x14ac:dyDescent="0.2">
      <c r="A3073" s="30" t="s">
        <v>11911</v>
      </c>
      <c r="B3073" s="26" t="str">
        <f t="shared" si="47"/>
        <v>600173</v>
      </c>
      <c r="C3073" s="30" t="s">
        <v>6352</v>
      </c>
      <c r="D3073" s="31">
        <v>3.57</v>
      </c>
      <c r="E3073" s="31">
        <v>1.1299999999999999</v>
      </c>
      <c r="F3073" s="31">
        <v>2500486000</v>
      </c>
    </row>
    <row r="3074" spans="1:6" ht="15" thickBot="1" x14ac:dyDescent="0.2">
      <c r="A3074" s="30" t="s">
        <v>11912</v>
      </c>
      <c r="B3074" s="26" t="str">
        <f t="shared" si="47"/>
        <v>600960</v>
      </c>
      <c r="C3074" s="30" t="s">
        <v>6326</v>
      </c>
      <c r="D3074" s="31">
        <v>2.63</v>
      </c>
      <c r="E3074" s="31">
        <v>-0.38</v>
      </c>
      <c r="F3074" s="31">
        <v>2499855800</v>
      </c>
    </row>
    <row r="3075" spans="1:6" ht="15" thickBot="1" x14ac:dyDescent="0.2">
      <c r="A3075" s="30" t="s">
        <v>11913</v>
      </c>
      <c r="B3075" s="26" t="str">
        <f t="shared" ref="B3075:B3138" si="48">LEFT(A3075,6)</f>
        <v>001298</v>
      </c>
      <c r="C3075" s="30" t="s">
        <v>11914</v>
      </c>
      <c r="D3075" s="31">
        <v>23.75</v>
      </c>
      <c r="E3075" s="31">
        <v>-1.04</v>
      </c>
      <c r="F3075" s="31">
        <v>2498409400</v>
      </c>
    </row>
    <row r="3076" spans="1:6" ht="15" thickBot="1" x14ac:dyDescent="0.2">
      <c r="A3076" s="30" t="s">
        <v>11915</v>
      </c>
      <c r="B3076" s="26" t="str">
        <f t="shared" si="48"/>
        <v>002331</v>
      </c>
      <c r="C3076" s="30" t="s">
        <v>6084</v>
      </c>
      <c r="D3076" s="31">
        <v>6.31</v>
      </c>
      <c r="E3076" s="31">
        <v>-0.63</v>
      </c>
      <c r="F3076" s="31">
        <v>2497822400</v>
      </c>
    </row>
    <row r="3077" spans="1:6" ht="15" thickBot="1" x14ac:dyDescent="0.2">
      <c r="A3077" s="30" t="s">
        <v>11916</v>
      </c>
      <c r="B3077" s="26" t="str">
        <f t="shared" si="48"/>
        <v>603071</v>
      </c>
      <c r="C3077" s="30" t="s">
        <v>11917</v>
      </c>
      <c r="D3077" s="31">
        <v>10.5</v>
      </c>
      <c r="E3077" s="31">
        <v>0.1</v>
      </c>
      <c r="F3077" s="31">
        <v>2495690400</v>
      </c>
    </row>
    <row r="3078" spans="1:6" ht="15" thickBot="1" x14ac:dyDescent="0.2">
      <c r="A3078" s="30" t="s">
        <v>11918</v>
      </c>
      <c r="B3078" s="26" t="str">
        <f t="shared" si="48"/>
        <v>600693</v>
      </c>
      <c r="C3078" s="30" t="s">
        <v>6316</v>
      </c>
      <c r="D3078" s="31">
        <v>2.87</v>
      </c>
      <c r="E3078" s="31">
        <v>0.35</v>
      </c>
      <c r="F3078" s="31">
        <v>2493894500</v>
      </c>
    </row>
    <row r="3079" spans="1:6" ht="15" thickBot="1" x14ac:dyDescent="0.2">
      <c r="A3079" s="30" t="s">
        <v>11919</v>
      </c>
      <c r="B3079" s="26" t="str">
        <f t="shared" si="48"/>
        <v>603209</v>
      </c>
      <c r="C3079" s="30" t="s">
        <v>11920</v>
      </c>
      <c r="D3079" s="31">
        <v>13.61</v>
      </c>
      <c r="E3079" s="31">
        <v>-0.37</v>
      </c>
      <c r="F3079" s="31">
        <v>2493692300</v>
      </c>
    </row>
    <row r="3080" spans="1:6" ht="15" thickBot="1" x14ac:dyDescent="0.2">
      <c r="A3080" s="30" t="s">
        <v>11921</v>
      </c>
      <c r="B3080" s="26" t="str">
        <f t="shared" si="48"/>
        <v>603933</v>
      </c>
      <c r="C3080" s="30" t="s">
        <v>6178</v>
      </c>
      <c r="D3080" s="31">
        <v>12.01</v>
      </c>
      <c r="E3080" s="31">
        <v>-0.33</v>
      </c>
      <c r="F3080" s="31">
        <v>2492610300</v>
      </c>
    </row>
    <row r="3081" spans="1:6" ht="15" thickBot="1" x14ac:dyDescent="0.2">
      <c r="A3081" s="30" t="s">
        <v>11922</v>
      </c>
      <c r="B3081" s="26" t="str">
        <f t="shared" si="48"/>
        <v>600067</v>
      </c>
      <c r="C3081" s="30" t="s">
        <v>6346</v>
      </c>
      <c r="D3081" s="31">
        <v>1.79</v>
      </c>
      <c r="E3081" s="31">
        <v>0</v>
      </c>
      <c r="F3081" s="31">
        <v>2491087000</v>
      </c>
    </row>
    <row r="3082" spans="1:6" ht="15" thickBot="1" x14ac:dyDescent="0.2">
      <c r="A3082" s="30" t="s">
        <v>11923</v>
      </c>
      <c r="B3082" s="26" t="str">
        <f t="shared" si="48"/>
        <v>603988</v>
      </c>
      <c r="C3082" s="30" t="s">
        <v>6374</v>
      </c>
      <c r="D3082" s="31">
        <v>10.59</v>
      </c>
      <c r="E3082" s="31">
        <v>-4.7699999999999996</v>
      </c>
      <c r="F3082" s="31">
        <v>2490768000</v>
      </c>
    </row>
    <row r="3083" spans="1:6" ht="15" thickBot="1" x14ac:dyDescent="0.2">
      <c r="A3083" s="30" t="s">
        <v>11924</v>
      </c>
      <c r="B3083" s="26" t="str">
        <f t="shared" si="48"/>
        <v>605006</v>
      </c>
      <c r="C3083" s="30" t="s">
        <v>6038</v>
      </c>
      <c r="D3083" s="31">
        <v>4.1399999999999997</v>
      </c>
      <c r="E3083" s="31">
        <v>0.24</v>
      </c>
      <c r="F3083" s="31">
        <v>2484027300</v>
      </c>
    </row>
    <row r="3084" spans="1:6" ht="15" thickBot="1" x14ac:dyDescent="0.2">
      <c r="A3084" s="30" t="s">
        <v>11925</v>
      </c>
      <c r="B3084" s="26" t="str">
        <f t="shared" si="48"/>
        <v>002546</v>
      </c>
      <c r="C3084" s="30" t="s">
        <v>6164</v>
      </c>
      <c r="D3084" s="31">
        <v>3.1</v>
      </c>
      <c r="E3084" s="31">
        <v>-0.32</v>
      </c>
      <c r="F3084" s="31">
        <v>2483819500</v>
      </c>
    </row>
    <row r="3085" spans="1:6" ht="15" thickBot="1" x14ac:dyDescent="0.2">
      <c r="A3085" s="30" t="s">
        <v>11926</v>
      </c>
      <c r="B3085" s="26" t="str">
        <f t="shared" si="48"/>
        <v>605266</v>
      </c>
      <c r="C3085" s="30" t="s">
        <v>5411</v>
      </c>
      <c r="D3085" s="31">
        <v>17.649999999999999</v>
      </c>
      <c r="E3085" s="31">
        <v>-3.13</v>
      </c>
      <c r="F3085" s="31">
        <v>2483789700</v>
      </c>
    </row>
    <row r="3086" spans="1:6" ht="15" thickBot="1" x14ac:dyDescent="0.2">
      <c r="A3086" s="30" t="s">
        <v>11927</v>
      </c>
      <c r="B3086" s="26" t="str">
        <f t="shared" si="48"/>
        <v>301260</v>
      </c>
      <c r="C3086" s="30" t="s">
        <v>11928</v>
      </c>
      <c r="D3086" s="31">
        <v>11.68</v>
      </c>
      <c r="E3086" s="31">
        <v>-0.93</v>
      </c>
      <c r="F3086" s="31">
        <v>2479323800</v>
      </c>
    </row>
    <row r="3087" spans="1:6" ht="15" thickBot="1" x14ac:dyDescent="0.2">
      <c r="A3087" s="30" t="s">
        <v>11929</v>
      </c>
      <c r="B3087" s="26" t="str">
        <f t="shared" si="48"/>
        <v>300683</v>
      </c>
      <c r="C3087" s="30" t="s">
        <v>5844</v>
      </c>
      <c r="D3087" s="31">
        <v>20.29</v>
      </c>
      <c r="E3087" s="31">
        <v>-2.0299999999999998</v>
      </c>
      <c r="F3087" s="31">
        <v>2476691600</v>
      </c>
    </row>
    <row r="3088" spans="1:6" ht="15" thickBot="1" x14ac:dyDescent="0.2">
      <c r="A3088" s="30" t="s">
        <v>11930</v>
      </c>
      <c r="B3088" s="26" t="str">
        <f t="shared" si="48"/>
        <v>603788</v>
      </c>
      <c r="C3088" s="30" t="s">
        <v>6212</v>
      </c>
      <c r="D3088" s="31">
        <v>11.1</v>
      </c>
      <c r="E3088" s="31">
        <v>0</v>
      </c>
      <c r="F3088" s="31">
        <v>2476022300</v>
      </c>
    </row>
    <row r="3089" spans="1:6" ht="15" thickBot="1" x14ac:dyDescent="0.2">
      <c r="A3089" s="30" t="s">
        <v>11931</v>
      </c>
      <c r="B3089" s="26" t="str">
        <f t="shared" si="48"/>
        <v>002885</v>
      </c>
      <c r="C3089" s="30" t="s">
        <v>5547</v>
      </c>
      <c r="D3089" s="31">
        <v>10.65</v>
      </c>
      <c r="E3089" s="31">
        <v>-1.39</v>
      </c>
      <c r="F3089" s="31">
        <v>2475986800</v>
      </c>
    </row>
    <row r="3090" spans="1:6" ht="15" thickBot="1" x14ac:dyDescent="0.2">
      <c r="A3090" s="30" t="s">
        <v>11932</v>
      </c>
      <c r="B3090" s="26" t="str">
        <f t="shared" si="48"/>
        <v>300399</v>
      </c>
      <c r="C3090" s="30" t="s">
        <v>6718</v>
      </c>
      <c r="D3090" s="31">
        <v>12.53</v>
      </c>
      <c r="E3090" s="31">
        <v>-2.41</v>
      </c>
      <c r="F3090" s="31">
        <v>2475686500</v>
      </c>
    </row>
    <row r="3091" spans="1:6" ht="15" thickBot="1" x14ac:dyDescent="0.2">
      <c r="A3091" s="30" t="s">
        <v>11933</v>
      </c>
      <c r="B3091" s="26" t="str">
        <f t="shared" si="48"/>
        <v>688633</v>
      </c>
      <c r="C3091" s="30" t="s">
        <v>6132</v>
      </c>
      <c r="D3091" s="31">
        <v>17.22</v>
      </c>
      <c r="E3091" s="31">
        <v>-1.99</v>
      </c>
      <c r="F3091" s="31">
        <v>2475601700</v>
      </c>
    </row>
    <row r="3092" spans="1:6" ht="15" thickBot="1" x14ac:dyDescent="0.2">
      <c r="A3092" s="30" t="s">
        <v>11934</v>
      </c>
      <c r="B3092" s="26" t="str">
        <f t="shared" si="48"/>
        <v>301262</v>
      </c>
      <c r="C3092" s="30" t="s">
        <v>11935</v>
      </c>
      <c r="D3092" s="31">
        <v>20.27</v>
      </c>
      <c r="E3092" s="31">
        <v>-1.75</v>
      </c>
      <c r="F3092" s="31">
        <v>2474468200</v>
      </c>
    </row>
    <row r="3093" spans="1:6" ht="15" thickBot="1" x14ac:dyDescent="0.2">
      <c r="A3093" s="30" t="s">
        <v>11936</v>
      </c>
      <c r="B3093" s="26" t="str">
        <f t="shared" si="48"/>
        <v>002412</v>
      </c>
      <c r="C3093" s="30" t="s">
        <v>6192</v>
      </c>
      <c r="D3093" s="31">
        <v>4.97</v>
      </c>
      <c r="E3093" s="31">
        <v>-1.97</v>
      </c>
      <c r="F3093" s="31">
        <v>2474289700</v>
      </c>
    </row>
    <row r="3094" spans="1:6" ht="15" thickBot="1" x14ac:dyDescent="0.2">
      <c r="A3094" s="30" t="s">
        <v>11937</v>
      </c>
      <c r="B3094" s="26" t="str">
        <f t="shared" si="48"/>
        <v>002448</v>
      </c>
      <c r="C3094" s="30" t="s">
        <v>5365</v>
      </c>
      <c r="D3094" s="31">
        <v>5.08</v>
      </c>
      <c r="E3094" s="31">
        <v>-1.17</v>
      </c>
      <c r="F3094" s="31">
        <v>2473333400</v>
      </c>
    </row>
    <row r="3095" spans="1:6" ht="15" thickBot="1" x14ac:dyDescent="0.2">
      <c r="A3095" s="30" t="s">
        <v>11938</v>
      </c>
      <c r="B3095" s="26" t="str">
        <f t="shared" si="48"/>
        <v>000816</v>
      </c>
      <c r="C3095" s="30" t="s">
        <v>6202</v>
      </c>
      <c r="D3095" s="31">
        <v>1.72</v>
      </c>
      <c r="E3095" s="31">
        <v>-1.71</v>
      </c>
      <c r="F3095" s="31">
        <v>2470803900</v>
      </c>
    </row>
    <row r="3096" spans="1:6" ht="15" thickBot="1" x14ac:dyDescent="0.2">
      <c r="A3096" s="30" t="s">
        <v>11939</v>
      </c>
      <c r="B3096" s="26" t="str">
        <f t="shared" si="48"/>
        <v>003025</v>
      </c>
      <c r="C3096" s="30" t="s">
        <v>5403</v>
      </c>
      <c r="D3096" s="31">
        <v>12.42</v>
      </c>
      <c r="E3096" s="31">
        <v>-1.27</v>
      </c>
      <c r="F3096" s="31">
        <v>2468462900</v>
      </c>
    </row>
    <row r="3097" spans="1:6" ht="15" thickBot="1" x14ac:dyDescent="0.2">
      <c r="A3097" s="30" t="s">
        <v>11940</v>
      </c>
      <c r="B3097" s="26" t="str">
        <f t="shared" si="48"/>
        <v>688146</v>
      </c>
      <c r="C3097" s="30" t="s">
        <v>11941</v>
      </c>
      <c r="D3097" s="31">
        <v>25.25</v>
      </c>
      <c r="E3097" s="31">
        <v>0.28000000000000003</v>
      </c>
      <c r="F3097" s="31">
        <v>2464109300</v>
      </c>
    </row>
    <row r="3098" spans="1:6" ht="15" thickBot="1" x14ac:dyDescent="0.2">
      <c r="A3098" s="30" t="s">
        <v>11942</v>
      </c>
      <c r="B3098" s="26" t="str">
        <f t="shared" si="48"/>
        <v>300215</v>
      </c>
      <c r="C3098" s="30" t="s">
        <v>5146</v>
      </c>
      <c r="D3098" s="31">
        <v>4.38</v>
      </c>
      <c r="E3098" s="31">
        <v>0.46</v>
      </c>
      <c r="F3098" s="31">
        <v>2462332400</v>
      </c>
    </row>
    <row r="3099" spans="1:6" ht="15" thickBot="1" x14ac:dyDescent="0.2">
      <c r="A3099" s="30" t="s">
        <v>11943</v>
      </c>
      <c r="B3099" s="26" t="str">
        <f t="shared" si="48"/>
        <v>605500</v>
      </c>
      <c r="C3099" s="30" t="s">
        <v>6246</v>
      </c>
      <c r="D3099" s="31">
        <v>5.94</v>
      </c>
      <c r="E3099" s="31">
        <v>-0.84</v>
      </c>
      <c r="F3099" s="31">
        <v>2461536000</v>
      </c>
    </row>
    <row r="3100" spans="1:6" ht="15" thickBot="1" x14ac:dyDescent="0.2">
      <c r="A3100" s="30" t="s">
        <v>11944</v>
      </c>
      <c r="B3100" s="26" t="str">
        <f t="shared" si="48"/>
        <v>603948</v>
      </c>
      <c r="C3100" s="30" t="s">
        <v>6252</v>
      </c>
      <c r="D3100" s="31">
        <v>15.12</v>
      </c>
      <c r="E3100" s="31">
        <v>-1.05</v>
      </c>
      <c r="F3100" s="31">
        <v>2456836200</v>
      </c>
    </row>
    <row r="3101" spans="1:6" ht="15" thickBot="1" x14ac:dyDescent="0.2">
      <c r="A3101" s="30" t="s">
        <v>11945</v>
      </c>
      <c r="B3101" s="26" t="str">
        <f t="shared" si="48"/>
        <v>300436</v>
      </c>
      <c r="C3101" s="30" t="s">
        <v>5561</v>
      </c>
      <c r="D3101" s="31">
        <v>17.97</v>
      </c>
      <c r="E3101" s="31">
        <v>-2.5</v>
      </c>
      <c r="F3101" s="31">
        <v>2456816000</v>
      </c>
    </row>
    <row r="3102" spans="1:6" ht="15" thickBot="1" x14ac:dyDescent="0.2">
      <c r="A3102" s="30" t="s">
        <v>11946</v>
      </c>
      <c r="B3102" s="26" t="str">
        <f t="shared" si="48"/>
        <v>002631</v>
      </c>
      <c r="C3102" s="30" t="s">
        <v>6288</v>
      </c>
      <c r="D3102" s="31">
        <v>3.75</v>
      </c>
      <c r="E3102" s="31">
        <v>-2.09</v>
      </c>
      <c r="F3102" s="31">
        <v>2456042600</v>
      </c>
    </row>
    <row r="3103" spans="1:6" ht="15" thickBot="1" x14ac:dyDescent="0.2">
      <c r="A3103" s="30" t="s">
        <v>11947</v>
      </c>
      <c r="B3103" s="26" t="str">
        <f t="shared" si="48"/>
        <v>600722</v>
      </c>
      <c r="C3103" s="30" t="s">
        <v>6298</v>
      </c>
      <c r="D3103" s="31">
        <v>3.61</v>
      </c>
      <c r="E3103" s="31">
        <v>-1.1000000000000001</v>
      </c>
      <c r="F3103" s="31">
        <v>2455954000</v>
      </c>
    </row>
    <row r="3104" spans="1:6" ht="15" thickBot="1" x14ac:dyDescent="0.2">
      <c r="A3104" s="30" t="s">
        <v>11948</v>
      </c>
      <c r="B3104" s="26" t="str">
        <f t="shared" si="48"/>
        <v>002178</v>
      </c>
      <c r="C3104" s="30" t="s">
        <v>6256</v>
      </c>
      <c r="D3104" s="31">
        <v>3.45</v>
      </c>
      <c r="E3104" s="31">
        <v>-0.86</v>
      </c>
      <c r="F3104" s="31">
        <v>2455651900</v>
      </c>
    </row>
    <row r="3105" spans="1:6" ht="15" thickBot="1" x14ac:dyDescent="0.2">
      <c r="A3105" s="30" t="s">
        <v>11949</v>
      </c>
      <c r="B3105" s="26" t="str">
        <f t="shared" si="48"/>
        <v>688665</v>
      </c>
      <c r="C3105" s="30" t="s">
        <v>6416</v>
      </c>
      <c r="D3105" s="31">
        <v>24.53</v>
      </c>
      <c r="E3105" s="31">
        <v>1.78</v>
      </c>
      <c r="F3105" s="31">
        <v>2455453000</v>
      </c>
    </row>
    <row r="3106" spans="1:6" ht="15" thickBot="1" x14ac:dyDescent="0.2">
      <c r="A3106" s="30" t="s">
        <v>11950</v>
      </c>
      <c r="B3106" s="26" t="str">
        <f t="shared" si="48"/>
        <v>833819</v>
      </c>
      <c r="C3106" s="30" t="s">
        <v>5804</v>
      </c>
      <c r="D3106" s="31">
        <v>2.0299999999999998</v>
      </c>
      <c r="E3106" s="31">
        <v>-1.93</v>
      </c>
      <c r="F3106" s="31">
        <v>2452383600</v>
      </c>
    </row>
    <row r="3107" spans="1:6" ht="15" thickBot="1" x14ac:dyDescent="0.2">
      <c r="A3107" s="30" t="s">
        <v>11951</v>
      </c>
      <c r="B3107" s="26" t="str">
        <f t="shared" si="48"/>
        <v>300488</v>
      </c>
      <c r="C3107" s="30" t="s">
        <v>5407</v>
      </c>
      <c r="D3107" s="31">
        <v>17.940000000000001</v>
      </c>
      <c r="E3107" s="31">
        <v>-0.39</v>
      </c>
      <c r="F3107" s="31">
        <v>2452337400</v>
      </c>
    </row>
    <row r="3108" spans="1:6" ht="15" thickBot="1" x14ac:dyDescent="0.2">
      <c r="A3108" s="30" t="s">
        <v>11952</v>
      </c>
      <c r="B3108" s="26" t="str">
        <f t="shared" si="48"/>
        <v>300490</v>
      </c>
      <c r="C3108" s="30" t="s">
        <v>6140</v>
      </c>
      <c r="D3108" s="31">
        <v>6.26</v>
      </c>
      <c r="E3108" s="31">
        <v>-1.26</v>
      </c>
      <c r="F3108" s="31">
        <v>2448222200</v>
      </c>
    </row>
    <row r="3109" spans="1:6" ht="15" thickBot="1" x14ac:dyDescent="0.2">
      <c r="A3109" s="30" t="s">
        <v>11953</v>
      </c>
      <c r="B3109" s="26" t="str">
        <f t="shared" si="48"/>
        <v>603180</v>
      </c>
      <c r="C3109" s="30" t="s">
        <v>6342</v>
      </c>
      <c r="D3109" s="31">
        <v>15.87</v>
      </c>
      <c r="E3109" s="31">
        <v>0.51</v>
      </c>
      <c r="F3109" s="31">
        <v>2448058700</v>
      </c>
    </row>
    <row r="3110" spans="1:6" ht="15" thickBot="1" x14ac:dyDescent="0.2">
      <c r="A3110" s="30" t="s">
        <v>11954</v>
      </c>
      <c r="B3110" s="26" t="str">
        <f t="shared" si="48"/>
        <v>300583</v>
      </c>
      <c r="C3110" s="30" t="s">
        <v>6312</v>
      </c>
      <c r="D3110" s="31">
        <v>13.15</v>
      </c>
      <c r="E3110" s="31">
        <v>-0.3</v>
      </c>
      <c r="F3110" s="31">
        <v>2447858400</v>
      </c>
    </row>
    <row r="3111" spans="1:6" ht="15" thickBot="1" x14ac:dyDescent="0.2">
      <c r="A3111" s="30" t="s">
        <v>11955</v>
      </c>
      <c r="B3111" s="26" t="str">
        <f t="shared" si="48"/>
        <v>002112</v>
      </c>
      <c r="C3111" s="30" t="s">
        <v>6662</v>
      </c>
      <c r="D3111" s="31">
        <v>9.34</v>
      </c>
      <c r="E3111" s="31">
        <v>0.97</v>
      </c>
      <c r="F3111" s="31">
        <v>2447827200</v>
      </c>
    </row>
    <row r="3112" spans="1:6" ht="15" thickBot="1" x14ac:dyDescent="0.2">
      <c r="A3112" s="30" t="s">
        <v>11956</v>
      </c>
      <c r="B3112" s="26" t="str">
        <f t="shared" si="48"/>
        <v>002471</v>
      </c>
      <c r="C3112" s="30" t="s">
        <v>6048</v>
      </c>
      <c r="D3112" s="31">
        <v>1.93</v>
      </c>
      <c r="E3112" s="31">
        <v>0</v>
      </c>
      <c r="F3112" s="31">
        <v>2443037000</v>
      </c>
    </row>
    <row r="3113" spans="1:6" ht="15" thickBot="1" x14ac:dyDescent="0.2">
      <c r="A3113" s="30" t="s">
        <v>11957</v>
      </c>
      <c r="B3113" s="26" t="str">
        <f t="shared" si="48"/>
        <v>002082</v>
      </c>
      <c r="C3113" s="30" t="s">
        <v>6266</v>
      </c>
      <c r="D3113" s="31">
        <v>3.96</v>
      </c>
      <c r="E3113" s="31">
        <v>-2.2200000000000002</v>
      </c>
      <c r="F3113" s="31">
        <v>2442088700</v>
      </c>
    </row>
    <row r="3114" spans="1:6" ht="15" thickBot="1" x14ac:dyDescent="0.2">
      <c r="A3114" s="30" t="s">
        <v>11958</v>
      </c>
      <c r="B3114" s="26" t="str">
        <f t="shared" si="48"/>
        <v>600613</v>
      </c>
      <c r="C3114" s="30" t="s">
        <v>5998</v>
      </c>
      <c r="D3114" s="31">
        <v>5.09</v>
      </c>
      <c r="E3114" s="31">
        <v>-1.55</v>
      </c>
      <c r="F3114" s="31">
        <v>2439738700</v>
      </c>
    </row>
    <row r="3115" spans="1:6" ht="15" thickBot="1" x14ac:dyDescent="0.2">
      <c r="A3115" s="30" t="s">
        <v>11959</v>
      </c>
      <c r="B3115" s="26" t="str">
        <f t="shared" si="48"/>
        <v>002932</v>
      </c>
      <c r="C3115" s="30" t="s">
        <v>4725</v>
      </c>
      <c r="D3115" s="31">
        <v>15.63</v>
      </c>
      <c r="E3115" s="31">
        <v>-0.26</v>
      </c>
      <c r="F3115" s="31">
        <v>2439611100</v>
      </c>
    </row>
    <row r="3116" spans="1:6" ht="15" thickBot="1" x14ac:dyDescent="0.2">
      <c r="A3116" s="30" t="s">
        <v>11960</v>
      </c>
      <c r="B3116" s="26" t="str">
        <f t="shared" si="48"/>
        <v>603633</v>
      </c>
      <c r="C3116" s="30" t="s">
        <v>6162</v>
      </c>
      <c r="D3116" s="31">
        <v>5.71</v>
      </c>
      <c r="E3116" s="31">
        <v>-3.06</v>
      </c>
      <c r="F3116" s="31">
        <v>2437089800</v>
      </c>
    </row>
    <row r="3117" spans="1:6" ht="15" thickBot="1" x14ac:dyDescent="0.2">
      <c r="A3117" s="30" t="s">
        <v>11961</v>
      </c>
      <c r="B3117" s="26" t="str">
        <f t="shared" si="48"/>
        <v>002441</v>
      </c>
      <c r="C3117" s="30" t="s">
        <v>5064</v>
      </c>
      <c r="D3117" s="31">
        <v>6.1</v>
      </c>
      <c r="E3117" s="31">
        <v>-0.97</v>
      </c>
      <c r="F3117" s="31">
        <v>2434386300</v>
      </c>
    </row>
    <row r="3118" spans="1:6" ht="15" thickBot="1" x14ac:dyDescent="0.2">
      <c r="A3118" s="30" t="s">
        <v>11962</v>
      </c>
      <c r="B3118" s="26" t="str">
        <f t="shared" si="48"/>
        <v>002098</v>
      </c>
      <c r="C3118" s="30" t="s">
        <v>6314</v>
      </c>
      <c r="D3118" s="31">
        <v>6.79</v>
      </c>
      <c r="E3118" s="31">
        <v>1.34</v>
      </c>
      <c r="F3118" s="31">
        <v>2430820000</v>
      </c>
    </row>
    <row r="3119" spans="1:6" ht="15" thickBot="1" x14ac:dyDescent="0.2">
      <c r="A3119" s="30" t="s">
        <v>11963</v>
      </c>
      <c r="B3119" s="26" t="str">
        <f t="shared" si="48"/>
        <v>688059</v>
      </c>
      <c r="C3119" s="30" t="s">
        <v>6248</v>
      </c>
      <c r="D3119" s="31">
        <v>39.29</v>
      </c>
      <c r="E3119" s="31">
        <v>-0.53</v>
      </c>
      <c r="F3119" s="31">
        <v>2430062600</v>
      </c>
    </row>
    <row r="3120" spans="1:6" ht="15" thickBot="1" x14ac:dyDescent="0.2">
      <c r="A3120" s="30" t="s">
        <v>11964</v>
      </c>
      <c r="B3120" s="26" t="str">
        <f t="shared" si="48"/>
        <v>301206</v>
      </c>
      <c r="C3120" s="30" t="s">
        <v>11965</v>
      </c>
      <c r="D3120" s="31">
        <v>23.45</v>
      </c>
      <c r="E3120" s="31">
        <v>-1.88</v>
      </c>
      <c r="F3120" s="31">
        <v>2428125400</v>
      </c>
    </row>
    <row r="3121" spans="1:6" ht="15" thickBot="1" x14ac:dyDescent="0.2">
      <c r="A3121" s="30" t="s">
        <v>11966</v>
      </c>
      <c r="B3121" s="26" t="str">
        <f t="shared" si="48"/>
        <v>300578</v>
      </c>
      <c r="C3121" s="30" t="s">
        <v>6092</v>
      </c>
      <c r="D3121" s="31">
        <v>12.51</v>
      </c>
      <c r="E3121" s="31">
        <v>-2.4900000000000002</v>
      </c>
      <c r="F3121" s="31">
        <v>2427683800</v>
      </c>
    </row>
    <row r="3122" spans="1:6" ht="15" thickBot="1" x14ac:dyDescent="0.2">
      <c r="A3122" s="30" t="s">
        <v>11967</v>
      </c>
      <c r="B3122" s="26" t="str">
        <f t="shared" si="48"/>
        <v>300996</v>
      </c>
      <c r="C3122" s="30" t="s">
        <v>5204</v>
      </c>
      <c r="D3122" s="31">
        <v>14.37</v>
      </c>
      <c r="E3122" s="31">
        <v>-9.4499999999999993</v>
      </c>
      <c r="F3122" s="31">
        <v>2426065200</v>
      </c>
    </row>
    <row r="3123" spans="1:6" ht="15" thickBot="1" x14ac:dyDescent="0.2">
      <c r="A3123" s="30" t="s">
        <v>11968</v>
      </c>
      <c r="B3123" s="26" t="str">
        <f t="shared" si="48"/>
        <v>002991</v>
      </c>
      <c r="C3123" s="30" t="s">
        <v>3829</v>
      </c>
      <c r="D3123" s="31">
        <v>48.8</v>
      </c>
      <c r="E3123" s="31">
        <v>-1.1599999999999999</v>
      </c>
      <c r="F3123" s="31">
        <v>2424653900</v>
      </c>
    </row>
    <row r="3124" spans="1:6" ht="15" thickBot="1" x14ac:dyDescent="0.2">
      <c r="A3124" s="30" t="s">
        <v>11969</v>
      </c>
      <c r="B3124" s="26" t="str">
        <f t="shared" si="48"/>
        <v>688295</v>
      </c>
      <c r="C3124" s="30" t="s">
        <v>11970</v>
      </c>
      <c r="D3124" s="31">
        <v>16.739999999999998</v>
      </c>
      <c r="E3124" s="31">
        <v>1.7</v>
      </c>
      <c r="F3124" s="31">
        <v>2421450300</v>
      </c>
    </row>
    <row r="3125" spans="1:6" ht="15" thickBot="1" x14ac:dyDescent="0.2">
      <c r="A3125" s="30" t="s">
        <v>11971</v>
      </c>
      <c r="B3125" s="26" t="str">
        <f t="shared" si="48"/>
        <v>688079</v>
      </c>
      <c r="C3125" s="30" t="s">
        <v>6268</v>
      </c>
      <c r="D3125" s="31">
        <v>6.03</v>
      </c>
      <c r="E3125" s="31">
        <v>-0.17</v>
      </c>
      <c r="F3125" s="31">
        <v>2420040000</v>
      </c>
    </row>
    <row r="3126" spans="1:6" ht="15" thickBot="1" x14ac:dyDescent="0.2">
      <c r="A3126" s="30" t="s">
        <v>11972</v>
      </c>
      <c r="B3126" s="26" t="str">
        <f t="shared" si="48"/>
        <v>603016</v>
      </c>
      <c r="C3126" s="30" t="s">
        <v>6895</v>
      </c>
      <c r="D3126" s="31">
        <v>16.329999999999998</v>
      </c>
      <c r="E3126" s="31">
        <v>-6.53</v>
      </c>
      <c r="F3126" s="31">
        <v>2419452800</v>
      </c>
    </row>
    <row r="3127" spans="1:6" ht="15" thickBot="1" x14ac:dyDescent="0.2">
      <c r="A3127" s="30" t="s">
        <v>11973</v>
      </c>
      <c r="B3127" s="26" t="str">
        <f t="shared" si="48"/>
        <v>600653</v>
      </c>
      <c r="C3127" s="30" t="s">
        <v>6468</v>
      </c>
      <c r="D3127" s="31">
        <v>1.24</v>
      </c>
      <c r="E3127" s="31">
        <v>-1.59</v>
      </c>
      <c r="F3127" s="31">
        <v>2413511600</v>
      </c>
    </row>
    <row r="3128" spans="1:6" ht="15" thickBot="1" x14ac:dyDescent="0.2">
      <c r="A3128" s="30" t="s">
        <v>11974</v>
      </c>
      <c r="B3128" s="26" t="str">
        <f t="shared" si="48"/>
        <v>605162</v>
      </c>
      <c r="C3128" s="30" t="s">
        <v>11975</v>
      </c>
      <c r="D3128" s="31">
        <v>6.02</v>
      </c>
      <c r="E3128" s="31">
        <v>0.67</v>
      </c>
      <c r="F3128" s="31">
        <v>2411041300</v>
      </c>
    </row>
    <row r="3129" spans="1:6" ht="15" thickBot="1" x14ac:dyDescent="0.2">
      <c r="A3129" s="30" t="s">
        <v>11976</v>
      </c>
      <c r="B3129" s="26" t="str">
        <f t="shared" si="48"/>
        <v>300695</v>
      </c>
      <c r="C3129" s="30" t="s">
        <v>6404</v>
      </c>
      <c r="D3129" s="31">
        <v>33.99</v>
      </c>
      <c r="E3129" s="31">
        <v>1.49</v>
      </c>
      <c r="F3129" s="31">
        <v>2410906300</v>
      </c>
    </row>
    <row r="3130" spans="1:6" ht="15" thickBot="1" x14ac:dyDescent="0.2">
      <c r="A3130" s="30" t="s">
        <v>11977</v>
      </c>
      <c r="B3130" s="26" t="str">
        <f t="shared" si="48"/>
        <v>301268</v>
      </c>
      <c r="C3130" s="30" t="s">
        <v>11978</v>
      </c>
      <c r="D3130" s="31">
        <v>13.36</v>
      </c>
      <c r="E3130" s="31">
        <v>-1.84</v>
      </c>
      <c r="F3130" s="31">
        <v>2404876400</v>
      </c>
    </row>
    <row r="3131" spans="1:6" ht="15" thickBot="1" x14ac:dyDescent="0.2">
      <c r="A3131" s="30" t="s">
        <v>11979</v>
      </c>
      <c r="B3131" s="26" t="str">
        <f t="shared" si="48"/>
        <v>603817</v>
      </c>
      <c r="C3131" s="30" t="s">
        <v>6382</v>
      </c>
      <c r="D3131" s="31">
        <v>4.5</v>
      </c>
      <c r="E3131" s="31">
        <v>-1.53</v>
      </c>
      <c r="F3131" s="31">
        <v>2404611000</v>
      </c>
    </row>
    <row r="3132" spans="1:6" ht="15" thickBot="1" x14ac:dyDescent="0.2">
      <c r="A3132" s="30" t="s">
        <v>11980</v>
      </c>
      <c r="B3132" s="26" t="str">
        <f t="shared" si="48"/>
        <v>002783</v>
      </c>
      <c r="C3132" s="30" t="s">
        <v>4962</v>
      </c>
      <c r="D3132" s="31">
        <v>6.99</v>
      </c>
      <c r="E3132" s="31">
        <v>-0.56999999999999995</v>
      </c>
      <c r="F3132" s="31">
        <v>2403405100</v>
      </c>
    </row>
    <row r="3133" spans="1:6" ht="15" thickBot="1" x14ac:dyDescent="0.2">
      <c r="A3133" s="30" t="s">
        <v>11981</v>
      </c>
      <c r="B3133" s="26" t="str">
        <f t="shared" si="48"/>
        <v>688089</v>
      </c>
      <c r="C3133" s="30" t="s">
        <v>6222</v>
      </c>
      <c r="D3133" s="31">
        <v>14.27</v>
      </c>
      <c r="E3133" s="31">
        <v>-2.19</v>
      </c>
      <c r="F3133" s="31">
        <v>2401771100</v>
      </c>
    </row>
    <row r="3134" spans="1:6" ht="15" thickBot="1" x14ac:dyDescent="0.2">
      <c r="A3134" s="30" t="s">
        <v>11982</v>
      </c>
      <c r="B3134" s="26" t="str">
        <f t="shared" si="48"/>
        <v>000570</v>
      </c>
      <c r="C3134" s="30" t="s">
        <v>6032</v>
      </c>
      <c r="D3134" s="31">
        <v>4.32</v>
      </c>
      <c r="E3134" s="31">
        <v>1.41</v>
      </c>
      <c r="F3134" s="31">
        <v>2400591600</v>
      </c>
    </row>
    <row r="3135" spans="1:6" ht="15" thickBot="1" x14ac:dyDescent="0.2">
      <c r="A3135" s="30" t="s">
        <v>11983</v>
      </c>
      <c r="B3135" s="26" t="str">
        <f t="shared" si="48"/>
        <v>688661</v>
      </c>
      <c r="C3135" s="30" t="s">
        <v>6258</v>
      </c>
      <c r="D3135" s="31">
        <v>20.56</v>
      </c>
      <c r="E3135" s="31">
        <v>-1.34</v>
      </c>
      <c r="F3135" s="31">
        <v>2398390300</v>
      </c>
    </row>
    <row r="3136" spans="1:6" ht="15" thickBot="1" x14ac:dyDescent="0.2">
      <c r="A3136" s="30" t="s">
        <v>11984</v>
      </c>
      <c r="B3136" s="26" t="str">
        <f t="shared" si="48"/>
        <v>600684</v>
      </c>
      <c r="C3136" s="30" t="s">
        <v>6450</v>
      </c>
      <c r="D3136" s="31">
        <v>2.81</v>
      </c>
      <c r="E3136" s="31">
        <v>1.08</v>
      </c>
      <c r="F3136" s="31">
        <v>2398224600</v>
      </c>
    </row>
    <row r="3137" spans="1:6" ht="15" thickBot="1" x14ac:dyDescent="0.2">
      <c r="A3137" s="30" t="s">
        <v>11985</v>
      </c>
      <c r="B3137" s="26" t="str">
        <f t="shared" si="48"/>
        <v>000716</v>
      </c>
      <c r="C3137" s="30" t="s">
        <v>6074</v>
      </c>
      <c r="D3137" s="31">
        <v>3.42</v>
      </c>
      <c r="E3137" s="31">
        <v>-1.1599999999999999</v>
      </c>
      <c r="F3137" s="31">
        <v>2396365700</v>
      </c>
    </row>
    <row r="3138" spans="1:6" ht="15" thickBot="1" x14ac:dyDescent="0.2">
      <c r="A3138" s="30" t="s">
        <v>11986</v>
      </c>
      <c r="B3138" s="26" t="str">
        <f t="shared" si="48"/>
        <v>000639</v>
      </c>
      <c r="C3138" s="30" t="s">
        <v>6396</v>
      </c>
      <c r="D3138" s="31">
        <v>2.2200000000000002</v>
      </c>
      <c r="E3138" s="31">
        <v>-1.33</v>
      </c>
      <c r="F3138" s="31">
        <v>2396327400</v>
      </c>
    </row>
    <row r="3139" spans="1:6" ht="15" thickBot="1" x14ac:dyDescent="0.2">
      <c r="A3139" s="30" t="s">
        <v>11987</v>
      </c>
      <c r="B3139" s="26" t="str">
        <f t="shared" ref="B3139:B3202" si="49">LEFT(A3139,6)</f>
        <v>688133</v>
      </c>
      <c r="C3139" s="30" t="s">
        <v>6166</v>
      </c>
      <c r="D3139" s="31">
        <v>14.56</v>
      </c>
      <c r="E3139" s="31">
        <v>-3.7</v>
      </c>
      <c r="F3139" s="31">
        <v>2394202400</v>
      </c>
    </row>
    <row r="3140" spans="1:6" ht="15" thickBot="1" x14ac:dyDescent="0.2">
      <c r="A3140" s="30" t="s">
        <v>11988</v>
      </c>
      <c r="B3140" s="26" t="str">
        <f t="shared" si="49"/>
        <v>605058</v>
      </c>
      <c r="C3140" s="30" t="s">
        <v>6306</v>
      </c>
      <c r="D3140" s="31">
        <v>16.75</v>
      </c>
      <c r="E3140" s="31">
        <v>-1.1200000000000001</v>
      </c>
      <c r="F3140" s="31">
        <v>2393976200</v>
      </c>
    </row>
    <row r="3141" spans="1:6" ht="15" thickBot="1" x14ac:dyDescent="0.2">
      <c r="A3141" s="30" t="s">
        <v>11989</v>
      </c>
      <c r="B3141" s="26" t="str">
        <f t="shared" si="49"/>
        <v>688486</v>
      </c>
      <c r="C3141" s="30" t="s">
        <v>11990</v>
      </c>
      <c r="D3141" s="31">
        <v>42.81</v>
      </c>
      <c r="E3141" s="31">
        <v>4.1100000000000003</v>
      </c>
      <c r="F3141" s="31">
        <v>2393616300</v>
      </c>
    </row>
    <row r="3142" spans="1:6" ht="15" thickBot="1" x14ac:dyDescent="0.2">
      <c r="A3142" s="30" t="s">
        <v>11991</v>
      </c>
      <c r="B3142" s="26" t="str">
        <f t="shared" si="49"/>
        <v>002328</v>
      </c>
      <c r="C3142" s="30" t="s">
        <v>5144</v>
      </c>
      <c r="D3142" s="31">
        <v>4.1900000000000004</v>
      </c>
      <c r="E3142" s="31">
        <v>-0.24</v>
      </c>
      <c r="F3142" s="31">
        <v>2392663400</v>
      </c>
    </row>
    <row r="3143" spans="1:6" ht="15" thickBot="1" x14ac:dyDescent="0.2">
      <c r="A3143" s="30" t="s">
        <v>11992</v>
      </c>
      <c r="B3143" s="26" t="str">
        <f t="shared" si="49"/>
        <v>300055</v>
      </c>
      <c r="C3143" s="30" t="s">
        <v>5286</v>
      </c>
      <c r="D3143" s="31">
        <v>3.78</v>
      </c>
      <c r="E3143" s="31">
        <v>-2.33</v>
      </c>
      <c r="F3143" s="31">
        <v>2391610300</v>
      </c>
    </row>
    <row r="3144" spans="1:6" ht="15" thickBot="1" x14ac:dyDescent="0.2">
      <c r="A3144" s="30" t="s">
        <v>11993</v>
      </c>
      <c r="B3144" s="26" t="str">
        <f t="shared" si="49"/>
        <v>300149</v>
      </c>
      <c r="C3144" s="30" t="s">
        <v>6540</v>
      </c>
      <c r="D3144" s="31">
        <v>4.79</v>
      </c>
      <c r="E3144" s="31">
        <v>-1.03</v>
      </c>
      <c r="F3144" s="31">
        <v>2389711900</v>
      </c>
    </row>
    <row r="3145" spans="1:6" ht="15" thickBot="1" x14ac:dyDescent="0.2">
      <c r="A3145" s="30" t="s">
        <v>11994</v>
      </c>
      <c r="B3145" s="26" t="str">
        <f t="shared" si="49"/>
        <v>600215</v>
      </c>
      <c r="C3145" s="30" t="s">
        <v>6280</v>
      </c>
      <c r="D3145" s="31">
        <v>5.23</v>
      </c>
      <c r="E3145" s="31">
        <v>-0.95</v>
      </c>
      <c r="F3145" s="31">
        <v>2389497500</v>
      </c>
    </row>
    <row r="3146" spans="1:6" ht="15" thickBot="1" x14ac:dyDescent="0.2">
      <c r="A3146" s="30" t="s">
        <v>11995</v>
      </c>
      <c r="B3146" s="26" t="str">
        <f t="shared" si="49"/>
        <v>603602</v>
      </c>
      <c r="C3146" s="30" t="s">
        <v>6274</v>
      </c>
      <c r="D3146" s="31">
        <v>11.61</v>
      </c>
      <c r="E3146" s="31">
        <v>-3.89</v>
      </c>
      <c r="F3146" s="31">
        <v>2388604100</v>
      </c>
    </row>
    <row r="3147" spans="1:6" ht="15" thickBot="1" x14ac:dyDescent="0.2">
      <c r="A3147" s="30" t="s">
        <v>11996</v>
      </c>
      <c r="B3147" s="26" t="str">
        <f t="shared" si="49"/>
        <v>300016</v>
      </c>
      <c r="C3147" s="30" t="s">
        <v>6368</v>
      </c>
      <c r="D3147" s="31">
        <v>4.8600000000000003</v>
      </c>
      <c r="E3147" s="31">
        <v>-3.57</v>
      </c>
      <c r="F3147" s="31">
        <v>2387116600</v>
      </c>
    </row>
    <row r="3148" spans="1:6" ht="15" thickBot="1" x14ac:dyDescent="0.2">
      <c r="A3148" s="30" t="s">
        <v>11997</v>
      </c>
      <c r="B3148" s="26" t="str">
        <f t="shared" si="49"/>
        <v>605398</v>
      </c>
      <c r="C3148" s="30" t="s">
        <v>6262</v>
      </c>
      <c r="D3148" s="31">
        <v>14.65</v>
      </c>
      <c r="E3148" s="31">
        <v>-0.54</v>
      </c>
      <c r="F3148" s="31">
        <v>2383795000</v>
      </c>
    </row>
    <row r="3149" spans="1:6" ht="15" thickBot="1" x14ac:dyDescent="0.2">
      <c r="A3149" s="30" t="s">
        <v>11998</v>
      </c>
      <c r="B3149" s="26" t="str">
        <f t="shared" si="49"/>
        <v>000042</v>
      </c>
      <c r="C3149" s="30" t="s">
        <v>6488</v>
      </c>
      <c r="D3149" s="31">
        <v>3.59</v>
      </c>
      <c r="E3149" s="31">
        <v>0.56000000000000005</v>
      </c>
      <c r="F3149" s="31">
        <v>2383622500</v>
      </c>
    </row>
    <row r="3150" spans="1:6" ht="15" thickBot="1" x14ac:dyDescent="0.2">
      <c r="A3150" s="30" t="s">
        <v>11999</v>
      </c>
      <c r="B3150" s="26" t="str">
        <f t="shared" si="49"/>
        <v>688359</v>
      </c>
      <c r="C3150" s="30" t="s">
        <v>6118</v>
      </c>
      <c r="D3150" s="31">
        <v>25.62</v>
      </c>
      <c r="E3150" s="31">
        <v>-3.58</v>
      </c>
      <c r="F3150" s="31">
        <v>2382516500</v>
      </c>
    </row>
    <row r="3151" spans="1:6" ht="15" thickBot="1" x14ac:dyDescent="0.2">
      <c r="A3151" s="30" t="s">
        <v>12000</v>
      </c>
      <c r="B3151" s="26" t="str">
        <f t="shared" si="49"/>
        <v>300179</v>
      </c>
      <c r="C3151" s="30" t="s">
        <v>5278</v>
      </c>
      <c r="D3151" s="31">
        <v>6.33</v>
      </c>
      <c r="E3151" s="31">
        <v>-0.94</v>
      </c>
      <c r="F3151" s="31">
        <v>2380379600</v>
      </c>
    </row>
    <row r="3152" spans="1:6" ht="15" thickBot="1" x14ac:dyDescent="0.2">
      <c r="A3152" s="30" t="s">
        <v>12001</v>
      </c>
      <c r="B3152" s="26" t="str">
        <f t="shared" si="49"/>
        <v>300547</v>
      </c>
      <c r="C3152" s="30" t="s">
        <v>5487</v>
      </c>
      <c r="D3152" s="31">
        <v>13.35</v>
      </c>
      <c r="E3152" s="31">
        <v>-1.1100000000000001</v>
      </c>
      <c r="F3152" s="31">
        <v>2379285000</v>
      </c>
    </row>
    <row r="3153" spans="1:6" ht="15" thickBot="1" x14ac:dyDescent="0.2">
      <c r="A3153" s="30" t="s">
        <v>12002</v>
      </c>
      <c r="B3153" s="26" t="str">
        <f t="shared" si="49"/>
        <v>600545</v>
      </c>
      <c r="C3153" s="30" t="s">
        <v>6322</v>
      </c>
      <c r="D3153" s="31">
        <v>1.33</v>
      </c>
      <c r="E3153" s="31">
        <v>-3.62</v>
      </c>
      <c r="F3153" s="31">
        <v>2377923300</v>
      </c>
    </row>
    <row r="3154" spans="1:6" ht="15" thickBot="1" x14ac:dyDescent="0.2">
      <c r="A3154" s="30" t="s">
        <v>12003</v>
      </c>
      <c r="B3154" s="26" t="str">
        <f t="shared" si="49"/>
        <v>603096</v>
      </c>
      <c r="C3154" s="30" t="s">
        <v>6364</v>
      </c>
      <c r="D3154" s="31">
        <v>14.63</v>
      </c>
      <c r="E3154" s="31">
        <v>-1.61</v>
      </c>
      <c r="F3154" s="31">
        <v>2377427400</v>
      </c>
    </row>
    <row r="3155" spans="1:6" ht="15" thickBot="1" x14ac:dyDescent="0.2">
      <c r="A3155" s="30" t="s">
        <v>12004</v>
      </c>
      <c r="B3155" s="26" t="str">
        <f t="shared" si="49"/>
        <v>300249</v>
      </c>
      <c r="C3155" s="30" t="s">
        <v>5593</v>
      </c>
      <c r="D3155" s="31">
        <v>6.36</v>
      </c>
      <c r="E3155" s="31">
        <v>-0.94</v>
      </c>
      <c r="F3155" s="31">
        <v>2376076400</v>
      </c>
    </row>
    <row r="3156" spans="1:6" ht="15" thickBot="1" x14ac:dyDescent="0.2">
      <c r="A3156" s="30" t="s">
        <v>12005</v>
      </c>
      <c r="B3156" s="26" t="str">
        <f t="shared" si="49"/>
        <v>600594</v>
      </c>
      <c r="C3156" s="30" t="s">
        <v>6446</v>
      </c>
      <c r="D3156" s="31">
        <v>3</v>
      </c>
      <c r="E3156" s="31">
        <v>-2.91</v>
      </c>
      <c r="F3156" s="31">
        <v>2375782200</v>
      </c>
    </row>
    <row r="3157" spans="1:6" ht="15" thickBot="1" x14ac:dyDescent="0.2">
      <c r="A3157" s="30" t="s">
        <v>12006</v>
      </c>
      <c r="B3157" s="26" t="str">
        <f t="shared" si="49"/>
        <v>603232</v>
      </c>
      <c r="C3157" s="30" t="s">
        <v>6434</v>
      </c>
      <c r="D3157" s="31">
        <v>10.18</v>
      </c>
      <c r="E3157" s="31">
        <v>1.0900000000000001</v>
      </c>
      <c r="F3157" s="31">
        <v>2375143600</v>
      </c>
    </row>
    <row r="3158" spans="1:6" ht="15" thickBot="1" x14ac:dyDescent="0.2">
      <c r="A3158" s="30" t="s">
        <v>12007</v>
      </c>
      <c r="B3158" s="26" t="str">
        <f t="shared" si="49"/>
        <v>600354</v>
      </c>
      <c r="C3158" s="30" t="s">
        <v>6432</v>
      </c>
      <c r="D3158" s="31">
        <v>4.5</v>
      </c>
      <c r="E3158" s="31">
        <v>-1.53</v>
      </c>
      <c r="F3158" s="31">
        <v>2375109400</v>
      </c>
    </row>
    <row r="3159" spans="1:6" ht="15" thickBot="1" x14ac:dyDescent="0.2">
      <c r="A3159" s="30" t="s">
        <v>12008</v>
      </c>
      <c r="B3159" s="26" t="str">
        <f t="shared" si="49"/>
        <v>300589</v>
      </c>
      <c r="C3159" s="30" t="s">
        <v>4516</v>
      </c>
      <c r="D3159" s="31">
        <v>10.25</v>
      </c>
      <c r="E3159" s="31">
        <v>-1.35</v>
      </c>
      <c r="F3159" s="31">
        <v>2373971900</v>
      </c>
    </row>
    <row r="3160" spans="1:6" ht="15" thickBot="1" x14ac:dyDescent="0.2">
      <c r="A3160" s="30" t="s">
        <v>12009</v>
      </c>
      <c r="B3160" s="26" t="str">
        <f t="shared" si="49"/>
        <v>300173</v>
      </c>
      <c r="C3160" s="30" t="s">
        <v>6324</v>
      </c>
      <c r="D3160" s="31">
        <v>3.23</v>
      </c>
      <c r="E3160" s="31">
        <v>-1.52</v>
      </c>
      <c r="F3160" s="31">
        <v>2373164000</v>
      </c>
    </row>
    <row r="3161" spans="1:6" ht="15" thickBot="1" x14ac:dyDescent="0.2">
      <c r="A3161" s="30" t="s">
        <v>12010</v>
      </c>
      <c r="B3161" s="26" t="str">
        <f t="shared" si="49"/>
        <v>300473</v>
      </c>
      <c r="C3161" s="30" t="s">
        <v>5936</v>
      </c>
      <c r="D3161" s="31">
        <v>15.82</v>
      </c>
      <c r="E3161" s="31">
        <v>-0.82</v>
      </c>
      <c r="F3161" s="31">
        <v>2372208800</v>
      </c>
    </row>
    <row r="3162" spans="1:6" ht="15" thickBot="1" x14ac:dyDescent="0.2">
      <c r="A3162" s="30" t="s">
        <v>12011</v>
      </c>
      <c r="B3162" s="26" t="str">
        <f t="shared" si="49"/>
        <v>838402</v>
      </c>
      <c r="C3162" s="30" t="s">
        <v>12012</v>
      </c>
      <c r="D3162" s="31">
        <v>5.62</v>
      </c>
      <c r="E3162" s="31">
        <v>-2.4300000000000002</v>
      </c>
      <c r="F3162" s="31">
        <v>2371977600</v>
      </c>
    </row>
    <row r="3163" spans="1:6" ht="15" thickBot="1" x14ac:dyDescent="0.2">
      <c r="A3163" s="30" t="s">
        <v>12013</v>
      </c>
      <c r="B3163" s="26" t="str">
        <f t="shared" si="49"/>
        <v>600130</v>
      </c>
      <c r="C3163" s="30" t="s">
        <v>6476</v>
      </c>
      <c r="D3163" s="31">
        <v>3.16</v>
      </c>
      <c r="E3163" s="31">
        <v>-1.86</v>
      </c>
      <c r="F3163" s="31">
        <v>2370000000</v>
      </c>
    </row>
    <row r="3164" spans="1:6" ht="15" thickBot="1" x14ac:dyDescent="0.2">
      <c r="A3164" s="30" t="s">
        <v>12014</v>
      </c>
      <c r="B3164" s="26" t="str">
        <f t="shared" si="49"/>
        <v>002343</v>
      </c>
      <c r="C3164" s="30" t="s">
        <v>6390</v>
      </c>
      <c r="D3164" s="31">
        <v>4.99</v>
      </c>
      <c r="E3164" s="31">
        <v>-1.58</v>
      </c>
      <c r="F3164" s="31">
        <v>2369998900</v>
      </c>
    </row>
    <row r="3165" spans="1:6" ht="15" thickBot="1" x14ac:dyDescent="0.2">
      <c r="A3165" s="30" t="s">
        <v>12015</v>
      </c>
      <c r="B3165" s="26" t="str">
        <f t="shared" si="49"/>
        <v>300559</v>
      </c>
      <c r="C3165" s="30" t="s">
        <v>5346</v>
      </c>
      <c r="D3165" s="31">
        <v>7.61</v>
      </c>
      <c r="E3165" s="31">
        <v>-3.43</v>
      </c>
      <c r="F3165" s="31">
        <v>2367751300</v>
      </c>
    </row>
    <row r="3166" spans="1:6" ht="15" thickBot="1" x14ac:dyDescent="0.2">
      <c r="A3166" s="30" t="s">
        <v>12016</v>
      </c>
      <c r="B3166" s="26" t="str">
        <f t="shared" si="49"/>
        <v>603519</v>
      </c>
      <c r="C3166" s="30" t="s">
        <v>6400</v>
      </c>
      <c r="D3166" s="31">
        <v>8.89</v>
      </c>
      <c r="E3166" s="31">
        <v>0.34</v>
      </c>
      <c r="F3166" s="31">
        <v>2367654500</v>
      </c>
    </row>
    <row r="3167" spans="1:6" ht="15" thickBot="1" x14ac:dyDescent="0.2">
      <c r="A3167" s="30" t="s">
        <v>12017</v>
      </c>
      <c r="B3167" s="26" t="str">
        <f t="shared" si="49"/>
        <v>688233</v>
      </c>
      <c r="C3167" s="30" t="s">
        <v>6318</v>
      </c>
      <c r="D3167" s="31">
        <v>13.9</v>
      </c>
      <c r="E3167" s="31">
        <v>-0.71</v>
      </c>
      <c r="F3167" s="31">
        <v>2367249700</v>
      </c>
    </row>
    <row r="3168" spans="1:6" ht="15" thickBot="1" x14ac:dyDescent="0.2">
      <c r="A3168" s="30" t="s">
        <v>12018</v>
      </c>
      <c r="B3168" s="26" t="str">
        <f t="shared" si="49"/>
        <v>301062</v>
      </c>
      <c r="C3168" s="30" t="s">
        <v>12019</v>
      </c>
      <c r="D3168" s="31">
        <v>8.5</v>
      </c>
      <c r="E3168" s="31">
        <v>0</v>
      </c>
      <c r="F3168" s="31">
        <v>2365323900</v>
      </c>
    </row>
    <row r="3169" spans="1:6" ht="15" thickBot="1" x14ac:dyDescent="0.2">
      <c r="A3169" s="30" t="s">
        <v>12020</v>
      </c>
      <c r="B3169" s="26" t="str">
        <f t="shared" si="49"/>
        <v>002971</v>
      </c>
      <c r="C3169" s="30" t="s">
        <v>5399</v>
      </c>
      <c r="D3169" s="31">
        <v>14.57</v>
      </c>
      <c r="E3169" s="31">
        <v>0.62</v>
      </c>
      <c r="F3169" s="31">
        <v>2363556200</v>
      </c>
    </row>
    <row r="3170" spans="1:6" ht="15" thickBot="1" x14ac:dyDescent="0.2">
      <c r="A3170" s="30" t="s">
        <v>12021</v>
      </c>
      <c r="B3170" s="26" t="str">
        <f t="shared" si="49"/>
        <v>002647</v>
      </c>
      <c r="C3170" s="30" t="s">
        <v>6328</v>
      </c>
      <c r="D3170" s="31">
        <v>4.22</v>
      </c>
      <c r="E3170" s="31">
        <v>1.44</v>
      </c>
      <c r="F3170" s="31">
        <v>2362932700</v>
      </c>
    </row>
    <row r="3171" spans="1:6" ht="15" thickBot="1" x14ac:dyDescent="0.2">
      <c r="A3171" s="30" t="s">
        <v>12022</v>
      </c>
      <c r="B3171" s="26" t="str">
        <f t="shared" si="49"/>
        <v>300434</v>
      </c>
      <c r="C3171" s="30" t="s">
        <v>5798</v>
      </c>
      <c r="D3171" s="31">
        <v>6.9</v>
      </c>
      <c r="E3171" s="31">
        <v>-5.09</v>
      </c>
      <c r="F3171" s="31">
        <v>2360635500</v>
      </c>
    </row>
    <row r="3172" spans="1:6" ht="15" thickBot="1" x14ac:dyDescent="0.2">
      <c r="A3172" s="30" t="s">
        <v>12023</v>
      </c>
      <c r="B3172" s="26" t="str">
        <f t="shared" si="49"/>
        <v>603966</v>
      </c>
      <c r="C3172" s="30" t="s">
        <v>6412</v>
      </c>
      <c r="D3172" s="31">
        <v>6.57</v>
      </c>
      <c r="E3172" s="31">
        <v>0</v>
      </c>
      <c r="F3172" s="31">
        <v>2356623900</v>
      </c>
    </row>
    <row r="3173" spans="1:6" ht="15" thickBot="1" x14ac:dyDescent="0.2">
      <c r="A3173" s="30" t="s">
        <v>12024</v>
      </c>
      <c r="B3173" s="26" t="str">
        <f t="shared" si="49"/>
        <v>600527</v>
      </c>
      <c r="C3173" s="30" t="s">
        <v>6524</v>
      </c>
      <c r="D3173" s="31">
        <v>1.36</v>
      </c>
      <c r="E3173" s="31">
        <v>0</v>
      </c>
      <c r="F3173" s="31">
        <v>2355194800</v>
      </c>
    </row>
    <row r="3174" spans="1:6" ht="15" thickBot="1" x14ac:dyDescent="0.2">
      <c r="A3174" s="30" t="s">
        <v>12025</v>
      </c>
      <c r="B3174" s="26" t="str">
        <f t="shared" si="49"/>
        <v>300697</v>
      </c>
      <c r="C3174" s="30" t="s">
        <v>5427</v>
      </c>
      <c r="D3174" s="31">
        <v>9.24</v>
      </c>
      <c r="E3174" s="31">
        <v>-0.32</v>
      </c>
      <c r="F3174" s="31">
        <v>2354352000</v>
      </c>
    </row>
    <row r="3175" spans="1:6" ht="15" thickBot="1" x14ac:dyDescent="0.2">
      <c r="A3175" s="30" t="s">
        <v>12026</v>
      </c>
      <c r="B3175" s="26" t="str">
        <f t="shared" si="49"/>
        <v>688048</v>
      </c>
      <c r="C3175" s="30" t="s">
        <v>12027</v>
      </c>
      <c r="D3175" s="31">
        <v>23.63</v>
      </c>
      <c r="E3175" s="31">
        <v>-1.79</v>
      </c>
      <c r="F3175" s="31">
        <v>2354149100</v>
      </c>
    </row>
    <row r="3176" spans="1:6" ht="15" thickBot="1" x14ac:dyDescent="0.2">
      <c r="A3176" s="30" t="s">
        <v>12028</v>
      </c>
      <c r="B3176" s="26" t="str">
        <f t="shared" si="49"/>
        <v>002542</v>
      </c>
      <c r="C3176" s="30" t="s">
        <v>6134</v>
      </c>
      <c r="D3176" s="31">
        <v>1.47</v>
      </c>
      <c r="E3176" s="31">
        <v>-2.65</v>
      </c>
      <c r="F3176" s="31">
        <v>2353837000</v>
      </c>
    </row>
    <row r="3177" spans="1:6" ht="15" thickBot="1" x14ac:dyDescent="0.2">
      <c r="A3177" s="30" t="s">
        <v>12029</v>
      </c>
      <c r="B3177" s="26" t="str">
        <f t="shared" si="49"/>
        <v>603660</v>
      </c>
      <c r="C3177" s="30" t="s">
        <v>6340</v>
      </c>
      <c r="D3177" s="31">
        <v>4.76</v>
      </c>
      <c r="E3177" s="31">
        <v>-2.06</v>
      </c>
      <c r="F3177" s="31">
        <v>2352973300</v>
      </c>
    </row>
    <row r="3178" spans="1:6" ht="15" thickBot="1" x14ac:dyDescent="0.2">
      <c r="A3178" s="30" t="s">
        <v>12030</v>
      </c>
      <c r="B3178" s="26" t="str">
        <f t="shared" si="49"/>
        <v>002686</v>
      </c>
      <c r="C3178" s="30" t="s">
        <v>6570</v>
      </c>
      <c r="D3178" s="31">
        <v>4.5</v>
      </c>
      <c r="E3178" s="31">
        <v>10.02</v>
      </c>
      <c r="F3178" s="31">
        <v>2352296700</v>
      </c>
    </row>
    <row r="3179" spans="1:6" ht="15" thickBot="1" x14ac:dyDescent="0.2">
      <c r="A3179" s="30" t="s">
        <v>12031</v>
      </c>
      <c r="B3179" s="26" t="str">
        <f t="shared" si="49"/>
        <v>000037</v>
      </c>
      <c r="C3179" s="30" t="s">
        <v>6012</v>
      </c>
      <c r="D3179" s="31">
        <v>6.94</v>
      </c>
      <c r="E3179" s="31">
        <v>2.21</v>
      </c>
      <c r="F3179" s="31">
        <v>2351932400</v>
      </c>
    </row>
    <row r="3180" spans="1:6" ht="15" thickBot="1" x14ac:dyDescent="0.2">
      <c r="A3180" s="30" t="s">
        <v>12032</v>
      </c>
      <c r="B3180" s="26" t="str">
        <f t="shared" si="49"/>
        <v>601007</v>
      </c>
      <c r="C3180" s="30" t="s">
        <v>6480</v>
      </c>
      <c r="D3180" s="31">
        <v>6.03</v>
      </c>
      <c r="E3180" s="31">
        <v>-1.63</v>
      </c>
      <c r="F3180" s="31">
        <v>2351700000</v>
      </c>
    </row>
    <row r="3181" spans="1:6" ht="15" thickBot="1" x14ac:dyDescent="0.2">
      <c r="A3181" s="30" t="s">
        <v>12033</v>
      </c>
      <c r="B3181" s="26" t="str">
        <f t="shared" si="49"/>
        <v>601086</v>
      </c>
      <c r="C3181" s="30" t="s">
        <v>6378</v>
      </c>
      <c r="D3181" s="31">
        <v>3.53</v>
      </c>
      <c r="E3181" s="31">
        <v>-1.1200000000000001</v>
      </c>
      <c r="F3181" s="31">
        <v>2350980000</v>
      </c>
    </row>
    <row r="3182" spans="1:6" ht="15" thickBot="1" x14ac:dyDescent="0.2">
      <c r="A3182" s="30" t="s">
        <v>12034</v>
      </c>
      <c r="B3182" s="26" t="str">
        <f t="shared" si="49"/>
        <v>002363</v>
      </c>
      <c r="C3182" s="30" t="s">
        <v>6388</v>
      </c>
      <c r="D3182" s="31">
        <v>5.65</v>
      </c>
      <c r="E3182" s="31">
        <v>-0.18</v>
      </c>
      <c r="F3182" s="31">
        <v>2349033600</v>
      </c>
    </row>
    <row r="3183" spans="1:6" ht="15" thickBot="1" x14ac:dyDescent="0.2">
      <c r="A3183" s="30" t="s">
        <v>12035</v>
      </c>
      <c r="B3183" s="26" t="str">
        <f t="shared" si="49"/>
        <v>301017</v>
      </c>
      <c r="C3183" s="30" t="s">
        <v>4238</v>
      </c>
      <c r="D3183" s="31">
        <v>9.65</v>
      </c>
      <c r="E3183" s="31">
        <v>0.73</v>
      </c>
      <c r="F3183" s="31">
        <v>2348234600</v>
      </c>
    </row>
    <row r="3184" spans="1:6" ht="15" thickBot="1" x14ac:dyDescent="0.2">
      <c r="A3184" s="30" t="s">
        <v>12036</v>
      </c>
      <c r="B3184" s="26" t="str">
        <f t="shared" si="49"/>
        <v>002692</v>
      </c>
      <c r="C3184" s="30" t="s">
        <v>6384</v>
      </c>
      <c r="D3184" s="31">
        <v>3.27</v>
      </c>
      <c r="E3184" s="31">
        <v>-1.21</v>
      </c>
      <c r="F3184" s="31">
        <v>2347418500</v>
      </c>
    </row>
    <row r="3185" spans="1:6" ht="15" thickBot="1" x14ac:dyDescent="0.2">
      <c r="A3185" s="30" t="s">
        <v>12037</v>
      </c>
      <c r="B3185" s="26" t="str">
        <f t="shared" si="49"/>
        <v>603061</v>
      </c>
      <c r="C3185" s="30" t="s">
        <v>12038</v>
      </c>
      <c r="D3185" s="31">
        <v>56.08</v>
      </c>
      <c r="E3185" s="31">
        <v>-0.92</v>
      </c>
      <c r="F3185" s="31">
        <v>2345620800</v>
      </c>
    </row>
    <row r="3186" spans="1:6" ht="15" thickBot="1" x14ac:dyDescent="0.2">
      <c r="A3186" s="30" t="s">
        <v>12039</v>
      </c>
      <c r="B3186" s="26" t="str">
        <f t="shared" si="49"/>
        <v>300040</v>
      </c>
      <c r="C3186" s="30" t="s">
        <v>5441</v>
      </c>
      <c r="D3186" s="31">
        <v>5.09</v>
      </c>
      <c r="E3186" s="31">
        <v>1.39</v>
      </c>
      <c r="F3186" s="31">
        <v>2345144500</v>
      </c>
    </row>
    <row r="3187" spans="1:6" ht="15" thickBot="1" x14ac:dyDescent="0.2">
      <c r="A3187" s="30" t="s">
        <v>12040</v>
      </c>
      <c r="B3187" s="26" t="str">
        <f t="shared" si="49"/>
        <v>301096</v>
      </c>
      <c r="C3187" s="30" t="s">
        <v>4582</v>
      </c>
      <c r="D3187" s="31">
        <v>33.909999999999997</v>
      </c>
      <c r="E3187" s="31">
        <v>-1.02</v>
      </c>
      <c r="F3187" s="31">
        <v>2343925000</v>
      </c>
    </row>
    <row r="3188" spans="1:6" ht="15" thickBot="1" x14ac:dyDescent="0.2">
      <c r="A3188" s="30" t="s">
        <v>12041</v>
      </c>
      <c r="B3188" s="26" t="str">
        <f t="shared" si="49"/>
        <v>002165</v>
      </c>
      <c r="C3188" s="30" t="s">
        <v>6440</v>
      </c>
      <c r="D3188" s="31">
        <v>3.22</v>
      </c>
      <c r="E3188" s="31">
        <v>0.31</v>
      </c>
      <c r="F3188" s="31">
        <v>2342967000</v>
      </c>
    </row>
    <row r="3189" spans="1:6" ht="15" thickBot="1" x14ac:dyDescent="0.2">
      <c r="A3189" s="30" t="s">
        <v>12042</v>
      </c>
      <c r="B3189" s="26" t="str">
        <f t="shared" si="49"/>
        <v>000419</v>
      </c>
      <c r="C3189" s="30" t="s">
        <v>6532</v>
      </c>
      <c r="D3189" s="31">
        <v>4.3099999999999996</v>
      </c>
      <c r="E3189" s="31">
        <v>-0.69</v>
      </c>
      <c r="F3189" s="31">
        <v>2342841200</v>
      </c>
    </row>
    <row r="3190" spans="1:6" ht="15" thickBot="1" x14ac:dyDescent="0.2">
      <c r="A3190" s="30" t="s">
        <v>12043</v>
      </c>
      <c r="B3190" s="26" t="str">
        <f t="shared" si="49"/>
        <v>603106</v>
      </c>
      <c r="C3190" s="30" t="s">
        <v>6510</v>
      </c>
      <c r="D3190" s="31">
        <v>4.5</v>
      </c>
      <c r="E3190" s="31">
        <v>-1.75</v>
      </c>
      <c r="F3190" s="31">
        <v>2342340000</v>
      </c>
    </row>
    <row r="3191" spans="1:6" ht="15" thickBot="1" x14ac:dyDescent="0.2">
      <c r="A3191" s="30" t="s">
        <v>12044</v>
      </c>
      <c r="B3191" s="26" t="str">
        <f t="shared" si="49"/>
        <v>002361</v>
      </c>
      <c r="C3191" s="30" t="s">
        <v>5794</v>
      </c>
      <c r="D3191" s="31">
        <v>2.92</v>
      </c>
      <c r="E3191" s="31">
        <v>-0.68</v>
      </c>
      <c r="F3191" s="31">
        <v>2341615100</v>
      </c>
    </row>
    <row r="3192" spans="1:6" ht="15" thickBot="1" x14ac:dyDescent="0.2">
      <c r="A3192" s="30" t="s">
        <v>12045</v>
      </c>
      <c r="B3192" s="26" t="str">
        <f t="shared" si="49"/>
        <v>600833</v>
      </c>
      <c r="C3192" s="30" t="s">
        <v>6426</v>
      </c>
      <c r="D3192" s="31">
        <v>10.49</v>
      </c>
      <c r="E3192" s="31">
        <v>-1.78</v>
      </c>
      <c r="F3192" s="31">
        <v>2340175800</v>
      </c>
    </row>
    <row r="3193" spans="1:6" ht="15" thickBot="1" x14ac:dyDescent="0.2">
      <c r="A3193" s="30" t="s">
        <v>12046</v>
      </c>
      <c r="B3193" s="26" t="str">
        <f t="shared" si="49"/>
        <v>300565</v>
      </c>
      <c r="C3193" s="30" t="s">
        <v>6168</v>
      </c>
      <c r="D3193" s="31">
        <v>10.28</v>
      </c>
      <c r="E3193" s="31">
        <v>-1.72</v>
      </c>
      <c r="F3193" s="31">
        <v>2339810400</v>
      </c>
    </row>
    <row r="3194" spans="1:6" ht="15" thickBot="1" x14ac:dyDescent="0.2">
      <c r="A3194" s="30" t="s">
        <v>12047</v>
      </c>
      <c r="B3194" s="26" t="str">
        <f t="shared" si="49"/>
        <v>002496</v>
      </c>
      <c r="C3194" s="30" t="s">
        <v>5485</v>
      </c>
      <c r="D3194" s="31">
        <v>1.98</v>
      </c>
      <c r="E3194" s="31">
        <v>0</v>
      </c>
      <c r="F3194" s="31">
        <v>2339145400</v>
      </c>
    </row>
    <row r="3195" spans="1:6" ht="15" thickBot="1" x14ac:dyDescent="0.2">
      <c r="A3195" s="30" t="s">
        <v>12048</v>
      </c>
      <c r="B3195" s="26" t="str">
        <f t="shared" si="49"/>
        <v>000019</v>
      </c>
      <c r="C3195" s="30" t="s">
        <v>3040</v>
      </c>
      <c r="D3195" s="31">
        <v>5.62</v>
      </c>
      <c r="E3195" s="31">
        <v>-1.58</v>
      </c>
      <c r="F3195" s="31">
        <v>2339136200</v>
      </c>
    </row>
    <row r="3196" spans="1:6" ht="15" thickBot="1" x14ac:dyDescent="0.2">
      <c r="A3196" s="30" t="s">
        <v>12049</v>
      </c>
      <c r="B3196" s="26" t="str">
        <f t="shared" si="49"/>
        <v>600719</v>
      </c>
      <c r="C3196" s="30" t="s">
        <v>7177</v>
      </c>
      <c r="D3196" s="31">
        <v>5.78</v>
      </c>
      <c r="E3196" s="31">
        <v>10.1</v>
      </c>
      <c r="F3196" s="31">
        <v>2338585700</v>
      </c>
    </row>
    <row r="3197" spans="1:6" ht="15" thickBot="1" x14ac:dyDescent="0.2">
      <c r="A3197" s="30" t="s">
        <v>12050</v>
      </c>
      <c r="B3197" s="26" t="str">
        <f t="shared" si="49"/>
        <v>603020</v>
      </c>
      <c r="C3197" s="30" t="s">
        <v>6420</v>
      </c>
      <c r="D3197" s="31">
        <v>6.1</v>
      </c>
      <c r="E3197" s="31">
        <v>-1.1399999999999999</v>
      </c>
      <c r="F3197" s="31">
        <v>2337750400</v>
      </c>
    </row>
    <row r="3198" spans="1:6" ht="15" thickBot="1" x14ac:dyDescent="0.2">
      <c r="A3198" s="30" t="s">
        <v>12051</v>
      </c>
      <c r="B3198" s="26" t="str">
        <f t="shared" si="49"/>
        <v>003002</v>
      </c>
      <c r="C3198" s="30" t="s">
        <v>6278</v>
      </c>
      <c r="D3198" s="31">
        <v>12.78</v>
      </c>
      <c r="E3198" s="31">
        <v>2.65</v>
      </c>
      <c r="F3198" s="31">
        <v>2337136100</v>
      </c>
    </row>
    <row r="3199" spans="1:6" ht="15" thickBot="1" x14ac:dyDescent="0.2">
      <c r="A3199" s="30" t="s">
        <v>12052</v>
      </c>
      <c r="B3199" s="26" t="str">
        <f t="shared" si="49"/>
        <v>301486</v>
      </c>
      <c r="C3199" s="30" t="s">
        <v>12053</v>
      </c>
      <c r="D3199" s="31">
        <v>32.43</v>
      </c>
      <c r="E3199" s="31">
        <v>-1.19</v>
      </c>
      <c r="F3199" s="31">
        <v>2334734800</v>
      </c>
    </row>
    <row r="3200" spans="1:6" ht="15" thickBot="1" x14ac:dyDescent="0.2">
      <c r="A3200" s="30" t="s">
        <v>12054</v>
      </c>
      <c r="B3200" s="26" t="str">
        <f t="shared" si="49"/>
        <v>600119</v>
      </c>
      <c r="C3200" s="30" t="s">
        <v>6708</v>
      </c>
      <c r="D3200" s="31">
        <v>6.39</v>
      </c>
      <c r="E3200" s="31">
        <v>3.07</v>
      </c>
      <c r="F3200" s="31">
        <v>2334077700</v>
      </c>
    </row>
    <row r="3201" spans="1:6" ht="15" thickBot="1" x14ac:dyDescent="0.2">
      <c r="A3201" s="30" t="s">
        <v>12055</v>
      </c>
      <c r="B3201" s="26" t="str">
        <f t="shared" si="49"/>
        <v>002724</v>
      </c>
      <c r="C3201" s="30" t="s">
        <v>5234</v>
      </c>
      <c r="D3201" s="31">
        <v>4.08</v>
      </c>
      <c r="E3201" s="31">
        <v>-1.45</v>
      </c>
      <c r="F3201" s="31">
        <v>2332803700</v>
      </c>
    </row>
    <row r="3202" spans="1:6" ht="15" thickBot="1" x14ac:dyDescent="0.2">
      <c r="A3202" s="30" t="s">
        <v>12056</v>
      </c>
      <c r="B3202" s="26" t="str">
        <f t="shared" si="49"/>
        <v>301020</v>
      </c>
      <c r="C3202" s="30" t="s">
        <v>12057</v>
      </c>
      <c r="D3202" s="31">
        <v>15.92</v>
      </c>
      <c r="E3202" s="31">
        <v>-0.13</v>
      </c>
      <c r="F3202" s="31">
        <v>2330688000</v>
      </c>
    </row>
    <row r="3203" spans="1:6" ht="15" thickBot="1" x14ac:dyDescent="0.2">
      <c r="A3203" s="30" t="s">
        <v>12058</v>
      </c>
      <c r="B3203" s="26" t="str">
        <f t="shared" ref="B3203:B3266" si="50">LEFT(A3203,6)</f>
        <v>300530</v>
      </c>
      <c r="C3203" s="30" t="s">
        <v>5930</v>
      </c>
      <c r="D3203" s="31">
        <v>14.72</v>
      </c>
      <c r="E3203" s="31">
        <v>-1.74</v>
      </c>
      <c r="F3203" s="31">
        <v>2329803800</v>
      </c>
    </row>
    <row r="3204" spans="1:6" ht="15" thickBot="1" x14ac:dyDescent="0.2">
      <c r="A3204" s="30" t="s">
        <v>12059</v>
      </c>
      <c r="B3204" s="26" t="str">
        <f t="shared" si="50"/>
        <v>300093</v>
      </c>
      <c r="C3204" s="30" t="s">
        <v>6194</v>
      </c>
      <c r="D3204" s="31">
        <v>10.81</v>
      </c>
      <c r="E3204" s="31">
        <v>-3.57</v>
      </c>
      <c r="F3204" s="31">
        <v>2328598300</v>
      </c>
    </row>
    <row r="3205" spans="1:6" ht="15" thickBot="1" x14ac:dyDescent="0.2">
      <c r="A3205" s="30" t="s">
        <v>12060</v>
      </c>
      <c r="B3205" s="26" t="str">
        <f t="shared" si="50"/>
        <v>002535</v>
      </c>
      <c r="C3205" s="30" t="s">
        <v>6228</v>
      </c>
      <c r="D3205" s="31">
        <v>3.12</v>
      </c>
      <c r="E3205" s="31">
        <v>-0.95</v>
      </c>
      <c r="F3205" s="31">
        <v>2328576100</v>
      </c>
    </row>
    <row r="3206" spans="1:6" ht="15" thickBot="1" x14ac:dyDescent="0.2">
      <c r="A3206" s="30" t="s">
        <v>12061</v>
      </c>
      <c r="B3206" s="26" t="str">
        <f t="shared" si="50"/>
        <v>688261</v>
      </c>
      <c r="C3206" s="30" t="s">
        <v>12062</v>
      </c>
      <c r="D3206" s="31">
        <v>28.21</v>
      </c>
      <c r="E3206" s="31">
        <v>-2.0499999999999998</v>
      </c>
      <c r="F3206" s="31">
        <v>2327764600</v>
      </c>
    </row>
    <row r="3207" spans="1:6" ht="15" thickBot="1" x14ac:dyDescent="0.2">
      <c r="A3207" s="30" t="s">
        <v>12063</v>
      </c>
      <c r="B3207" s="26" t="str">
        <f t="shared" si="50"/>
        <v>002298</v>
      </c>
      <c r="C3207" s="30" t="s">
        <v>5962</v>
      </c>
      <c r="D3207" s="31">
        <v>3.56</v>
      </c>
      <c r="E3207" s="31">
        <v>-2.4700000000000002</v>
      </c>
      <c r="F3207" s="31">
        <v>2327048900</v>
      </c>
    </row>
    <row r="3208" spans="1:6" ht="15" thickBot="1" x14ac:dyDescent="0.2">
      <c r="A3208" s="30" t="s">
        <v>12064</v>
      </c>
      <c r="B3208" s="26" t="str">
        <f t="shared" si="50"/>
        <v>688031</v>
      </c>
      <c r="C3208" s="30" t="s">
        <v>12065</v>
      </c>
      <c r="D3208" s="31">
        <v>25.16</v>
      </c>
      <c r="E3208" s="31">
        <v>-0.79</v>
      </c>
      <c r="F3208" s="31">
        <v>2326552000</v>
      </c>
    </row>
    <row r="3209" spans="1:6" ht="15" thickBot="1" x14ac:dyDescent="0.2">
      <c r="A3209" s="30" t="s">
        <v>12066</v>
      </c>
      <c r="B3209" s="26" t="str">
        <f t="shared" si="50"/>
        <v>300051</v>
      </c>
      <c r="C3209" s="30" t="s">
        <v>6244</v>
      </c>
      <c r="D3209" s="31">
        <v>6.36</v>
      </c>
      <c r="E3209" s="31">
        <v>-2.6</v>
      </c>
      <c r="F3209" s="31">
        <v>2325644800</v>
      </c>
    </row>
    <row r="3210" spans="1:6" ht="15" thickBot="1" x14ac:dyDescent="0.2">
      <c r="A3210" s="30" t="s">
        <v>12067</v>
      </c>
      <c r="B3210" s="26" t="str">
        <f t="shared" si="50"/>
        <v>300528</v>
      </c>
      <c r="C3210" s="30" t="s">
        <v>6442</v>
      </c>
      <c r="D3210" s="31">
        <v>6.24</v>
      </c>
      <c r="E3210" s="31">
        <v>-0.95</v>
      </c>
      <c r="F3210" s="31">
        <v>2325074300</v>
      </c>
    </row>
    <row r="3211" spans="1:6" ht="15" thickBot="1" x14ac:dyDescent="0.2">
      <c r="A3211" s="30" t="s">
        <v>12068</v>
      </c>
      <c r="B3211" s="26" t="str">
        <f t="shared" si="50"/>
        <v>002160</v>
      </c>
      <c r="C3211" s="30" t="s">
        <v>5463</v>
      </c>
      <c r="D3211" s="31">
        <v>2.93</v>
      </c>
      <c r="E3211" s="31">
        <v>-0.34</v>
      </c>
      <c r="F3211" s="31">
        <v>2325043800</v>
      </c>
    </row>
    <row r="3212" spans="1:6" ht="15" thickBot="1" x14ac:dyDescent="0.2">
      <c r="A3212" s="30" t="s">
        <v>12069</v>
      </c>
      <c r="B3212" s="26" t="str">
        <f t="shared" si="50"/>
        <v>300890</v>
      </c>
      <c r="C3212" s="30" t="s">
        <v>5625</v>
      </c>
      <c r="D3212" s="31">
        <v>23.86</v>
      </c>
      <c r="E3212" s="31">
        <v>-1.2</v>
      </c>
      <c r="F3212" s="31">
        <v>2322827300</v>
      </c>
    </row>
    <row r="3213" spans="1:6" ht="15" thickBot="1" x14ac:dyDescent="0.2">
      <c r="A3213" s="30" t="s">
        <v>12070</v>
      </c>
      <c r="B3213" s="26" t="str">
        <f t="shared" si="50"/>
        <v>603697</v>
      </c>
      <c r="C3213" s="30" t="s">
        <v>6448</v>
      </c>
      <c r="D3213" s="31">
        <v>5.43</v>
      </c>
      <c r="E3213" s="31">
        <v>-0.91</v>
      </c>
      <c r="F3213" s="31">
        <v>2322368100</v>
      </c>
    </row>
    <row r="3214" spans="1:6" ht="15" thickBot="1" x14ac:dyDescent="0.2">
      <c r="A3214" s="30" t="s">
        <v>12071</v>
      </c>
      <c r="B3214" s="26" t="str">
        <f t="shared" si="50"/>
        <v>688226</v>
      </c>
      <c r="C3214" s="30" t="s">
        <v>12072</v>
      </c>
      <c r="D3214" s="31">
        <v>14.83</v>
      </c>
      <c r="E3214" s="31">
        <v>-0.27</v>
      </c>
      <c r="F3214" s="31">
        <v>2320991100</v>
      </c>
    </row>
    <row r="3215" spans="1:6" ht="15" thickBot="1" x14ac:dyDescent="0.2">
      <c r="A3215" s="30" t="s">
        <v>12073</v>
      </c>
      <c r="B3215" s="26" t="str">
        <f t="shared" si="50"/>
        <v>000407</v>
      </c>
      <c r="C3215" s="30" t="s">
        <v>6580</v>
      </c>
      <c r="D3215" s="31">
        <v>2.65</v>
      </c>
      <c r="E3215" s="31">
        <v>-1.85</v>
      </c>
      <c r="F3215" s="31">
        <v>2320781700</v>
      </c>
    </row>
    <row r="3216" spans="1:6" ht="15" thickBot="1" x14ac:dyDescent="0.2">
      <c r="A3216" s="30" t="s">
        <v>12074</v>
      </c>
      <c r="B3216" s="26" t="str">
        <f t="shared" si="50"/>
        <v>002256</v>
      </c>
      <c r="C3216" s="30" t="s">
        <v>5172</v>
      </c>
      <c r="D3216" s="31">
        <v>1.61</v>
      </c>
      <c r="E3216" s="31">
        <v>-3.59</v>
      </c>
      <c r="F3216" s="31">
        <v>2319181700</v>
      </c>
    </row>
    <row r="3217" spans="1:6" ht="15" thickBot="1" x14ac:dyDescent="0.2">
      <c r="A3217" s="30" t="s">
        <v>12075</v>
      </c>
      <c r="B3217" s="26" t="str">
        <f t="shared" si="50"/>
        <v>688308</v>
      </c>
      <c r="C3217" s="30" t="s">
        <v>6422</v>
      </c>
      <c r="D3217" s="31">
        <v>14.6</v>
      </c>
      <c r="E3217" s="31">
        <v>-0.88</v>
      </c>
      <c r="F3217" s="31">
        <v>2318212900</v>
      </c>
    </row>
    <row r="3218" spans="1:6" ht="15" thickBot="1" x14ac:dyDescent="0.2">
      <c r="A3218" s="30" t="s">
        <v>12076</v>
      </c>
      <c r="B3218" s="26" t="str">
        <f t="shared" si="50"/>
        <v>603726</v>
      </c>
      <c r="C3218" s="30" t="s">
        <v>6414</v>
      </c>
      <c r="D3218" s="31">
        <v>12.48</v>
      </c>
      <c r="E3218" s="31">
        <v>0.73</v>
      </c>
      <c r="F3218" s="31">
        <v>2316927000</v>
      </c>
    </row>
    <row r="3219" spans="1:6" ht="15" thickBot="1" x14ac:dyDescent="0.2">
      <c r="A3219" s="30" t="s">
        <v>12077</v>
      </c>
      <c r="B3219" s="26" t="str">
        <f t="shared" si="50"/>
        <v>605389</v>
      </c>
      <c r="C3219" s="30" t="s">
        <v>12078</v>
      </c>
      <c r="D3219" s="31">
        <v>17</v>
      </c>
      <c r="E3219" s="31">
        <v>-0.88</v>
      </c>
      <c r="F3219" s="31">
        <v>2316534900</v>
      </c>
    </row>
    <row r="3220" spans="1:6" ht="15" thickBot="1" x14ac:dyDescent="0.2">
      <c r="A3220" s="30" t="s">
        <v>12079</v>
      </c>
      <c r="B3220" s="26" t="str">
        <f t="shared" si="50"/>
        <v>605186</v>
      </c>
      <c r="C3220" s="30" t="s">
        <v>6332</v>
      </c>
      <c r="D3220" s="31">
        <v>17.03</v>
      </c>
      <c r="E3220" s="31">
        <v>-1.9</v>
      </c>
      <c r="F3220" s="31">
        <v>2316080000</v>
      </c>
    </row>
    <row r="3221" spans="1:6" ht="15" thickBot="1" x14ac:dyDescent="0.2">
      <c r="A3221" s="30" t="s">
        <v>12080</v>
      </c>
      <c r="B3221" s="26" t="str">
        <f t="shared" si="50"/>
        <v>002614</v>
      </c>
      <c r="C3221" s="30" t="s">
        <v>5128</v>
      </c>
      <c r="D3221" s="31">
        <v>5.25</v>
      </c>
      <c r="E3221" s="31">
        <v>-0.76</v>
      </c>
      <c r="F3221" s="31">
        <v>2315314600</v>
      </c>
    </row>
    <row r="3222" spans="1:6" ht="15" thickBot="1" x14ac:dyDescent="0.2">
      <c r="A3222" s="30" t="s">
        <v>12081</v>
      </c>
      <c r="B3222" s="26" t="str">
        <f t="shared" si="50"/>
        <v>301327</v>
      </c>
      <c r="C3222" s="30" t="s">
        <v>12082</v>
      </c>
      <c r="D3222" s="31">
        <v>66.84</v>
      </c>
      <c r="E3222" s="31">
        <v>-1.53</v>
      </c>
      <c r="F3222" s="31">
        <v>2314947700</v>
      </c>
    </row>
    <row r="3223" spans="1:6" ht="15" thickBot="1" x14ac:dyDescent="0.2">
      <c r="A3223" s="30" t="s">
        <v>12083</v>
      </c>
      <c r="B3223" s="26" t="str">
        <f t="shared" si="50"/>
        <v>688196</v>
      </c>
      <c r="C3223" s="30" t="s">
        <v>6410</v>
      </c>
      <c r="D3223" s="31">
        <v>19.260000000000002</v>
      </c>
      <c r="E3223" s="31">
        <v>-3.12</v>
      </c>
      <c r="F3223" s="31">
        <v>2311200000</v>
      </c>
    </row>
    <row r="3224" spans="1:6" ht="15" thickBot="1" x14ac:dyDescent="0.2">
      <c r="A3224" s="30" t="s">
        <v>12084</v>
      </c>
      <c r="B3224" s="26" t="str">
        <f t="shared" si="50"/>
        <v>002866</v>
      </c>
      <c r="C3224" s="30" t="s">
        <v>4855</v>
      </c>
      <c r="D3224" s="31">
        <v>12.75</v>
      </c>
      <c r="E3224" s="31">
        <v>-3.19</v>
      </c>
      <c r="F3224" s="31">
        <v>2311148000</v>
      </c>
    </row>
    <row r="3225" spans="1:6" ht="15" thickBot="1" x14ac:dyDescent="0.2">
      <c r="A3225" s="30" t="s">
        <v>12085</v>
      </c>
      <c r="B3225" s="26" t="str">
        <f t="shared" si="50"/>
        <v>300420</v>
      </c>
      <c r="C3225" s="30" t="s">
        <v>6514</v>
      </c>
      <c r="D3225" s="31">
        <v>2.0699999999999998</v>
      </c>
      <c r="E3225" s="31">
        <v>-0.96</v>
      </c>
      <c r="F3225" s="31">
        <v>2310873600</v>
      </c>
    </row>
    <row r="3226" spans="1:6" ht="15" thickBot="1" x14ac:dyDescent="0.2">
      <c r="A3226" s="30" t="s">
        <v>12086</v>
      </c>
      <c r="B3226" s="26" t="str">
        <f t="shared" si="50"/>
        <v>002404</v>
      </c>
      <c r="C3226" s="30" t="s">
        <v>5659</v>
      </c>
      <c r="D3226" s="31">
        <v>5.07</v>
      </c>
      <c r="E3226" s="31">
        <v>-0.2</v>
      </c>
      <c r="F3226" s="31">
        <v>2310848200</v>
      </c>
    </row>
    <row r="3227" spans="1:6" ht="15" thickBot="1" x14ac:dyDescent="0.2">
      <c r="A3227" s="30" t="s">
        <v>12087</v>
      </c>
      <c r="B3227" s="26" t="str">
        <f t="shared" si="50"/>
        <v>002669</v>
      </c>
      <c r="C3227" s="30" t="s">
        <v>6456</v>
      </c>
      <c r="D3227" s="31">
        <v>7.66</v>
      </c>
      <c r="E3227" s="31">
        <v>0.13</v>
      </c>
      <c r="F3227" s="31">
        <v>2310449000</v>
      </c>
    </row>
    <row r="3228" spans="1:6" ht="15" thickBot="1" x14ac:dyDescent="0.2">
      <c r="A3228" s="30" t="s">
        <v>12088</v>
      </c>
      <c r="B3228" s="26" t="str">
        <f t="shared" si="50"/>
        <v>002451</v>
      </c>
      <c r="C3228" s="30" t="s">
        <v>6714</v>
      </c>
      <c r="D3228" s="31">
        <v>5.26</v>
      </c>
      <c r="E3228" s="31">
        <v>4.78</v>
      </c>
      <c r="F3228" s="31">
        <v>2309923700</v>
      </c>
    </row>
    <row r="3229" spans="1:6" ht="15" thickBot="1" x14ac:dyDescent="0.2">
      <c r="A3229" s="30" t="s">
        <v>12089</v>
      </c>
      <c r="B3229" s="26" t="str">
        <f t="shared" si="50"/>
        <v>000838</v>
      </c>
      <c r="C3229" s="30" t="s">
        <v>6526</v>
      </c>
      <c r="D3229" s="31">
        <v>2.19</v>
      </c>
      <c r="E3229" s="31">
        <v>0.92</v>
      </c>
      <c r="F3229" s="31">
        <v>2307747200</v>
      </c>
    </row>
    <row r="3230" spans="1:6" ht="15" thickBot="1" x14ac:dyDescent="0.2">
      <c r="A3230" s="30" t="s">
        <v>12090</v>
      </c>
      <c r="B3230" s="26" t="str">
        <f t="shared" si="50"/>
        <v>300727</v>
      </c>
      <c r="C3230" s="30" t="s">
        <v>6024</v>
      </c>
      <c r="D3230" s="31">
        <v>20.260000000000002</v>
      </c>
      <c r="E3230" s="31">
        <v>0.05</v>
      </c>
      <c r="F3230" s="31">
        <v>2307290800</v>
      </c>
    </row>
    <row r="3231" spans="1:6" ht="15" thickBot="1" x14ac:dyDescent="0.2">
      <c r="A3231" s="30" t="s">
        <v>12091</v>
      </c>
      <c r="B3231" s="26" t="str">
        <f t="shared" si="50"/>
        <v>600865</v>
      </c>
      <c r="C3231" s="30" t="s">
        <v>6598</v>
      </c>
      <c r="D3231" s="31">
        <v>6.13</v>
      </c>
      <c r="E3231" s="31">
        <v>0.16</v>
      </c>
      <c r="F3231" s="31">
        <v>2306353100</v>
      </c>
    </row>
    <row r="3232" spans="1:6" ht="15" thickBot="1" x14ac:dyDescent="0.2">
      <c r="A3232" s="30" t="s">
        <v>12092</v>
      </c>
      <c r="B3232" s="26" t="str">
        <f t="shared" si="50"/>
        <v>300370</v>
      </c>
      <c r="C3232" s="30" t="s">
        <v>5954</v>
      </c>
      <c r="D3232" s="31">
        <v>1.74</v>
      </c>
      <c r="E3232" s="31">
        <v>-4.4000000000000004</v>
      </c>
      <c r="F3232" s="31">
        <v>2305234200</v>
      </c>
    </row>
    <row r="3233" spans="1:6" ht="15" thickBot="1" x14ac:dyDescent="0.2">
      <c r="A3233" s="30" t="s">
        <v>12093</v>
      </c>
      <c r="B3233" s="26" t="str">
        <f t="shared" si="50"/>
        <v>000576</v>
      </c>
      <c r="C3233" s="30" t="s">
        <v>6478</v>
      </c>
      <c r="D3233" s="31">
        <v>5.31</v>
      </c>
      <c r="E3233" s="31">
        <v>-1.48</v>
      </c>
      <c r="F3233" s="31">
        <v>2303756200</v>
      </c>
    </row>
    <row r="3234" spans="1:6" ht="15" thickBot="1" x14ac:dyDescent="0.2">
      <c r="A3234" s="30" t="s">
        <v>12094</v>
      </c>
      <c r="B3234" s="26" t="str">
        <f t="shared" si="50"/>
        <v>600212</v>
      </c>
      <c r="C3234" s="30" t="s">
        <v>5250</v>
      </c>
      <c r="D3234" s="31">
        <v>4.5</v>
      </c>
      <c r="E3234" s="31">
        <v>-0.44</v>
      </c>
      <c r="F3234" s="31">
        <v>2302637500</v>
      </c>
    </row>
    <row r="3235" spans="1:6" ht="15" thickBot="1" x14ac:dyDescent="0.2">
      <c r="A3235" s="30" t="s">
        <v>12095</v>
      </c>
      <c r="B3235" s="26" t="str">
        <f t="shared" si="50"/>
        <v>688320</v>
      </c>
      <c r="C3235" s="30" t="s">
        <v>12096</v>
      </c>
      <c r="D3235" s="31">
        <v>21.8</v>
      </c>
      <c r="E3235" s="31">
        <v>5.57</v>
      </c>
      <c r="F3235" s="31">
        <v>2301659400</v>
      </c>
    </row>
    <row r="3236" spans="1:6" ht="15" thickBot="1" x14ac:dyDescent="0.2">
      <c r="A3236" s="30" t="s">
        <v>12097</v>
      </c>
      <c r="B3236" s="26" t="str">
        <f t="shared" si="50"/>
        <v>688663</v>
      </c>
      <c r="C3236" s="30" t="s">
        <v>6430</v>
      </c>
      <c r="D3236" s="31">
        <v>16.440000000000001</v>
      </c>
      <c r="E3236" s="31">
        <v>-1.1399999999999999</v>
      </c>
      <c r="F3236" s="31">
        <v>2300778000</v>
      </c>
    </row>
    <row r="3237" spans="1:6" ht="15" thickBot="1" x14ac:dyDescent="0.2">
      <c r="A3237" s="30" t="s">
        <v>12098</v>
      </c>
      <c r="B3237" s="26" t="str">
        <f t="shared" si="50"/>
        <v>605089</v>
      </c>
      <c r="C3237" s="30" t="s">
        <v>12099</v>
      </c>
      <c r="D3237" s="31">
        <v>16.66</v>
      </c>
      <c r="E3237" s="31">
        <v>-2.86</v>
      </c>
      <c r="F3237" s="31">
        <v>2299080000</v>
      </c>
    </row>
    <row r="3238" spans="1:6" ht="15" thickBot="1" x14ac:dyDescent="0.2">
      <c r="A3238" s="30" t="s">
        <v>12100</v>
      </c>
      <c r="B3238" s="26" t="str">
        <f t="shared" si="50"/>
        <v>835368</v>
      </c>
      <c r="C3238" s="30" t="s">
        <v>4216</v>
      </c>
      <c r="D3238" s="31">
        <v>18.03</v>
      </c>
      <c r="E3238" s="31">
        <v>-2.44</v>
      </c>
      <c r="F3238" s="31">
        <v>2298138700</v>
      </c>
    </row>
    <row r="3239" spans="1:6" ht="15" thickBot="1" x14ac:dyDescent="0.2">
      <c r="A3239" s="30" t="s">
        <v>12101</v>
      </c>
      <c r="B3239" s="26" t="str">
        <f t="shared" si="50"/>
        <v>605577</v>
      </c>
      <c r="C3239" s="30" t="s">
        <v>12102</v>
      </c>
      <c r="D3239" s="31">
        <v>12.2</v>
      </c>
      <c r="E3239" s="31">
        <v>-1.22</v>
      </c>
      <c r="F3239" s="31">
        <v>2298046200</v>
      </c>
    </row>
    <row r="3240" spans="1:6" ht="15" thickBot="1" x14ac:dyDescent="0.2">
      <c r="A3240" s="30" t="s">
        <v>12103</v>
      </c>
      <c r="B3240" s="26" t="str">
        <f t="shared" si="50"/>
        <v>000520</v>
      </c>
      <c r="C3240" s="30" t="s">
        <v>6971</v>
      </c>
      <c r="D3240" s="31">
        <v>2.27</v>
      </c>
      <c r="E3240" s="31">
        <v>5.09</v>
      </c>
      <c r="F3240" s="31">
        <v>2297429400</v>
      </c>
    </row>
    <row r="3241" spans="1:6" ht="15" thickBot="1" x14ac:dyDescent="0.2">
      <c r="A3241" s="30" t="s">
        <v>12104</v>
      </c>
      <c r="B3241" s="26" t="str">
        <f t="shared" si="50"/>
        <v>600749</v>
      </c>
      <c r="C3241" s="30" t="s">
        <v>6560</v>
      </c>
      <c r="D3241" s="31">
        <v>10.119999999999999</v>
      </c>
      <c r="E3241" s="31">
        <v>1</v>
      </c>
      <c r="F3241" s="31">
        <v>2296891000</v>
      </c>
    </row>
    <row r="3242" spans="1:6" ht="15" thickBot="1" x14ac:dyDescent="0.2">
      <c r="A3242" s="30" t="s">
        <v>12105</v>
      </c>
      <c r="B3242" s="26" t="str">
        <f t="shared" si="50"/>
        <v>300860</v>
      </c>
      <c r="C3242" s="30" t="s">
        <v>4312</v>
      </c>
      <c r="D3242" s="31">
        <v>20.52</v>
      </c>
      <c r="E3242" s="31">
        <v>-1.58</v>
      </c>
      <c r="F3242" s="31">
        <v>2296137300</v>
      </c>
    </row>
    <row r="3243" spans="1:6" ht="15" thickBot="1" x14ac:dyDescent="0.2">
      <c r="A3243" s="30" t="s">
        <v>12106</v>
      </c>
      <c r="B3243" s="26" t="str">
        <f t="shared" si="50"/>
        <v>002824</v>
      </c>
      <c r="C3243" s="30" t="s">
        <v>4781</v>
      </c>
      <c r="D3243" s="31">
        <v>12.13</v>
      </c>
      <c r="E3243" s="31">
        <v>-3.27</v>
      </c>
      <c r="F3243" s="31">
        <v>2294450200</v>
      </c>
    </row>
    <row r="3244" spans="1:6" ht="15" thickBot="1" x14ac:dyDescent="0.2">
      <c r="A3244" s="30" t="s">
        <v>12107</v>
      </c>
      <c r="B3244" s="26" t="str">
        <f t="shared" si="50"/>
        <v>002956</v>
      </c>
      <c r="C3244" s="30" t="s">
        <v>6490</v>
      </c>
      <c r="D3244" s="31">
        <v>10.27</v>
      </c>
      <c r="E3244" s="31">
        <v>-1.25</v>
      </c>
      <c r="F3244" s="31">
        <v>2292513600</v>
      </c>
    </row>
    <row r="3245" spans="1:6" ht="15" thickBot="1" x14ac:dyDescent="0.2">
      <c r="A3245" s="30" t="s">
        <v>12108</v>
      </c>
      <c r="B3245" s="26" t="str">
        <f t="shared" si="50"/>
        <v>003026</v>
      </c>
      <c r="C3245" s="30" t="s">
        <v>4410</v>
      </c>
      <c r="D3245" s="31">
        <v>28.54</v>
      </c>
      <c r="E3245" s="31">
        <v>-0.97</v>
      </c>
      <c r="F3245" s="31">
        <v>2292226700</v>
      </c>
    </row>
    <row r="3246" spans="1:6" ht="15" thickBot="1" x14ac:dyDescent="0.2">
      <c r="A3246" s="30" t="s">
        <v>12109</v>
      </c>
      <c r="B3246" s="26" t="str">
        <f t="shared" si="50"/>
        <v>003020</v>
      </c>
      <c r="C3246" s="30" t="s">
        <v>5120</v>
      </c>
      <c r="D3246" s="31">
        <v>16.71</v>
      </c>
      <c r="E3246" s="31">
        <v>-0.12</v>
      </c>
      <c r="F3246" s="31">
        <v>2291083100</v>
      </c>
    </row>
    <row r="3247" spans="1:6" ht="15" thickBot="1" x14ac:dyDescent="0.2">
      <c r="A3247" s="30" t="s">
        <v>12110</v>
      </c>
      <c r="B3247" s="26" t="str">
        <f t="shared" si="50"/>
        <v>688365</v>
      </c>
      <c r="C3247" s="30" t="s">
        <v>6470</v>
      </c>
      <c r="D3247" s="31">
        <v>5.38</v>
      </c>
      <c r="E3247" s="31">
        <v>-2.71</v>
      </c>
      <c r="F3247" s="31">
        <v>2290936800</v>
      </c>
    </row>
    <row r="3248" spans="1:6" ht="15" thickBot="1" x14ac:dyDescent="0.2">
      <c r="A3248" s="30" t="s">
        <v>12111</v>
      </c>
      <c r="B3248" s="26" t="str">
        <f t="shared" si="50"/>
        <v>002323</v>
      </c>
      <c r="C3248" s="30" t="s">
        <v>6678</v>
      </c>
      <c r="D3248" s="31">
        <v>1.08</v>
      </c>
      <c r="E3248" s="31">
        <v>0.94</v>
      </c>
      <c r="F3248" s="31">
        <v>2290038300</v>
      </c>
    </row>
    <row r="3249" spans="1:6" ht="15" thickBot="1" x14ac:dyDescent="0.2">
      <c r="A3249" s="30" t="s">
        <v>12112</v>
      </c>
      <c r="B3249" s="26" t="str">
        <f t="shared" si="50"/>
        <v>002638</v>
      </c>
      <c r="C3249" s="30" t="s">
        <v>6356</v>
      </c>
      <c r="D3249" s="31">
        <v>1.7</v>
      </c>
      <c r="E3249" s="31">
        <v>-2.2999999999999998</v>
      </c>
      <c r="F3249" s="31">
        <v>2289997300</v>
      </c>
    </row>
    <row r="3250" spans="1:6" ht="15" thickBot="1" x14ac:dyDescent="0.2">
      <c r="A3250" s="30" t="s">
        <v>12113</v>
      </c>
      <c r="B3250" s="26" t="str">
        <f t="shared" si="50"/>
        <v>601616</v>
      </c>
      <c r="C3250" s="30" t="s">
        <v>6588</v>
      </c>
      <c r="D3250" s="31">
        <v>2.68</v>
      </c>
      <c r="E3250" s="31">
        <v>-0.37</v>
      </c>
      <c r="F3250" s="31">
        <v>2287849900</v>
      </c>
    </row>
    <row r="3251" spans="1:6" ht="15" thickBot="1" x14ac:dyDescent="0.2">
      <c r="A3251" s="30" t="s">
        <v>12114</v>
      </c>
      <c r="B3251" s="26" t="str">
        <f t="shared" si="50"/>
        <v>002560</v>
      </c>
      <c r="C3251" s="30" t="s">
        <v>5976</v>
      </c>
      <c r="D3251" s="31">
        <v>5.05</v>
      </c>
      <c r="E3251" s="31">
        <v>-0.98</v>
      </c>
      <c r="F3251" s="31">
        <v>2287257100</v>
      </c>
    </row>
    <row r="3252" spans="1:6" ht="15" thickBot="1" x14ac:dyDescent="0.2">
      <c r="A3252" s="30" t="s">
        <v>12115</v>
      </c>
      <c r="B3252" s="26" t="str">
        <f t="shared" si="50"/>
        <v>300354</v>
      </c>
      <c r="C3252" s="30" t="s">
        <v>4388</v>
      </c>
      <c r="D3252" s="31">
        <v>28.16</v>
      </c>
      <c r="E3252" s="31">
        <v>-0.42</v>
      </c>
      <c r="F3252" s="31">
        <v>2286594100</v>
      </c>
    </row>
    <row r="3253" spans="1:6" ht="15" thickBot="1" x14ac:dyDescent="0.2">
      <c r="A3253" s="30" t="s">
        <v>12116</v>
      </c>
      <c r="B3253" s="26" t="str">
        <f t="shared" si="50"/>
        <v>600333</v>
      </c>
      <c r="C3253" s="30" t="s">
        <v>6672</v>
      </c>
      <c r="D3253" s="31">
        <v>3.75</v>
      </c>
      <c r="E3253" s="31">
        <v>-0.27</v>
      </c>
      <c r="F3253" s="31">
        <v>2283865100</v>
      </c>
    </row>
    <row r="3254" spans="1:6" ht="15" thickBot="1" x14ac:dyDescent="0.2">
      <c r="A3254" s="30" t="s">
        <v>12117</v>
      </c>
      <c r="B3254" s="26" t="str">
        <f t="shared" si="50"/>
        <v>002514</v>
      </c>
      <c r="C3254" s="30" t="s">
        <v>5158</v>
      </c>
      <c r="D3254" s="31">
        <v>4.12</v>
      </c>
      <c r="E3254" s="31">
        <v>-2.83</v>
      </c>
      <c r="F3254" s="31">
        <v>2282621200</v>
      </c>
    </row>
    <row r="3255" spans="1:6" ht="15" thickBot="1" x14ac:dyDescent="0.2">
      <c r="A3255" s="30" t="s">
        <v>12118</v>
      </c>
      <c r="B3255" s="26" t="str">
        <f t="shared" si="50"/>
        <v>002474</v>
      </c>
      <c r="C3255" s="30" t="s">
        <v>5956</v>
      </c>
      <c r="D3255" s="31">
        <v>4.3</v>
      </c>
      <c r="E3255" s="31">
        <v>-2.4900000000000002</v>
      </c>
      <c r="F3255" s="31">
        <v>2282293600</v>
      </c>
    </row>
    <row r="3256" spans="1:6" ht="15" thickBot="1" x14ac:dyDescent="0.2">
      <c r="A3256" s="30" t="s">
        <v>12119</v>
      </c>
      <c r="B3256" s="26" t="str">
        <f t="shared" si="50"/>
        <v>002990</v>
      </c>
      <c r="C3256" s="30" t="s">
        <v>4002</v>
      </c>
      <c r="D3256" s="31">
        <v>17.059999999999999</v>
      </c>
      <c r="E3256" s="31">
        <v>-1.56</v>
      </c>
      <c r="F3256" s="31">
        <v>2282253100</v>
      </c>
    </row>
    <row r="3257" spans="1:6" ht="15" thickBot="1" x14ac:dyDescent="0.2">
      <c r="A3257" s="30" t="s">
        <v>12120</v>
      </c>
      <c r="B3257" s="26" t="str">
        <f t="shared" si="50"/>
        <v>300221</v>
      </c>
      <c r="C3257" s="30" t="s">
        <v>6466</v>
      </c>
      <c r="D3257" s="31">
        <v>5.04</v>
      </c>
      <c r="E3257" s="31">
        <v>-2.33</v>
      </c>
      <c r="F3257" s="31">
        <v>2280998500</v>
      </c>
    </row>
    <row r="3258" spans="1:6" ht="15" thickBot="1" x14ac:dyDescent="0.2">
      <c r="A3258" s="30" t="s">
        <v>12121</v>
      </c>
      <c r="B3258" s="26" t="str">
        <f t="shared" si="50"/>
        <v>688206</v>
      </c>
      <c r="C3258" s="30" t="s">
        <v>12122</v>
      </c>
      <c r="D3258" s="31">
        <v>12.87</v>
      </c>
      <c r="E3258" s="31">
        <v>-0.23</v>
      </c>
      <c r="F3258" s="31">
        <v>2278758300</v>
      </c>
    </row>
    <row r="3259" spans="1:6" ht="15" thickBot="1" x14ac:dyDescent="0.2">
      <c r="A3259" s="30" t="s">
        <v>12123</v>
      </c>
      <c r="B3259" s="26" t="str">
        <f t="shared" si="50"/>
        <v>605136</v>
      </c>
      <c r="C3259" s="30" t="s">
        <v>6498</v>
      </c>
      <c r="D3259" s="31">
        <v>5.69</v>
      </c>
      <c r="E3259" s="31">
        <v>-1.73</v>
      </c>
      <c r="F3259" s="31">
        <v>2278608900</v>
      </c>
    </row>
    <row r="3260" spans="1:6" ht="15" thickBot="1" x14ac:dyDescent="0.2">
      <c r="A3260" s="30" t="s">
        <v>12124</v>
      </c>
      <c r="B3260" s="26" t="str">
        <f t="shared" si="50"/>
        <v>603119</v>
      </c>
      <c r="C3260" s="30" t="s">
        <v>12125</v>
      </c>
      <c r="D3260" s="31">
        <v>12.87</v>
      </c>
      <c r="E3260" s="31">
        <v>-2.87</v>
      </c>
      <c r="F3260" s="31">
        <v>2278199500</v>
      </c>
    </row>
    <row r="3261" spans="1:6" ht="15" thickBot="1" x14ac:dyDescent="0.2">
      <c r="A3261" s="30" t="s">
        <v>12126</v>
      </c>
      <c r="B3261" s="26" t="str">
        <f t="shared" si="50"/>
        <v>603116</v>
      </c>
      <c r="C3261" s="30" t="s">
        <v>6602</v>
      </c>
      <c r="D3261" s="31">
        <v>3.95</v>
      </c>
      <c r="E3261" s="31">
        <v>-0.5</v>
      </c>
      <c r="F3261" s="31">
        <v>2275993200</v>
      </c>
    </row>
    <row r="3262" spans="1:6" ht="15" thickBot="1" x14ac:dyDescent="0.2">
      <c r="A3262" s="30" t="s">
        <v>12127</v>
      </c>
      <c r="B3262" s="26" t="str">
        <f t="shared" si="50"/>
        <v>688046</v>
      </c>
      <c r="C3262" s="30" t="s">
        <v>12128</v>
      </c>
      <c r="D3262" s="31">
        <v>11.16</v>
      </c>
      <c r="E3262" s="31">
        <v>-0.27</v>
      </c>
      <c r="F3262" s="31">
        <v>2275870300</v>
      </c>
    </row>
    <row r="3263" spans="1:6" ht="15" thickBot="1" x14ac:dyDescent="0.2">
      <c r="A3263" s="30" t="s">
        <v>12129</v>
      </c>
      <c r="B3263" s="26" t="str">
        <f t="shared" si="50"/>
        <v>300522</v>
      </c>
      <c r="C3263" s="30" t="s">
        <v>5340</v>
      </c>
      <c r="D3263" s="31">
        <v>9.33</v>
      </c>
      <c r="E3263" s="31">
        <v>-0.11</v>
      </c>
      <c r="F3263" s="31">
        <v>2275586600</v>
      </c>
    </row>
    <row r="3264" spans="1:6" ht="15" thickBot="1" x14ac:dyDescent="0.2">
      <c r="A3264" s="30" t="s">
        <v>12130</v>
      </c>
      <c r="B3264" s="26" t="str">
        <f t="shared" si="50"/>
        <v>002908</v>
      </c>
      <c r="C3264" s="30" t="s">
        <v>5356</v>
      </c>
      <c r="D3264" s="31">
        <v>7.37</v>
      </c>
      <c r="E3264" s="31">
        <v>-0.27</v>
      </c>
      <c r="F3264" s="31">
        <v>2273818400</v>
      </c>
    </row>
    <row r="3265" spans="1:6" ht="15" thickBot="1" x14ac:dyDescent="0.2">
      <c r="A3265" s="30" t="s">
        <v>12131</v>
      </c>
      <c r="B3265" s="26" t="str">
        <f t="shared" si="50"/>
        <v>301038</v>
      </c>
      <c r="C3265" s="30" t="s">
        <v>12132</v>
      </c>
      <c r="D3265" s="31">
        <v>13.25</v>
      </c>
      <c r="E3265" s="31">
        <v>-2.72</v>
      </c>
      <c r="F3265" s="31">
        <v>2273700000</v>
      </c>
    </row>
    <row r="3266" spans="1:6" ht="15" thickBot="1" x14ac:dyDescent="0.2">
      <c r="A3266" s="30" t="s">
        <v>12133</v>
      </c>
      <c r="B3266" s="26" t="str">
        <f t="shared" si="50"/>
        <v>603586</v>
      </c>
      <c r="C3266" s="30" t="s">
        <v>6756</v>
      </c>
      <c r="D3266" s="31">
        <v>11.59</v>
      </c>
      <c r="E3266" s="31">
        <v>0.87</v>
      </c>
      <c r="F3266" s="31">
        <v>2272251700</v>
      </c>
    </row>
    <row r="3267" spans="1:6" ht="15" thickBot="1" x14ac:dyDescent="0.2">
      <c r="A3267" s="30" t="s">
        <v>12134</v>
      </c>
      <c r="B3267" s="26" t="str">
        <f t="shared" ref="B3267:B3330" si="51">LEFT(A3267,6)</f>
        <v>002940</v>
      </c>
      <c r="C3267" s="30" t="s">
        <v>6126</v>
      </c>
      <c r="D3267" s="31">
        <v>12.26</v>
      </c>
      <c r="E3267" s="31">
        <v>-2.78</v>
      </c>
      <c r="F3267" s="31">
        <v>2271477200</v>
      </c>
    </row>
    <row r="3268" spans="1:6" ht="15" thickBot="1" x14ac:dyDescent="0.2">
      <c r="A3268" s="30" t="s">
        <v>12135</v>
      </c>
      <c r="B3268" s="26" t="str">
        <f t="shared" si="51"/>
        <v>002878</v>
      </c>
      <c r="C3268" s="30" t="s">
        <v>5970</v>
      </c>
      <c r="D3268" s="31">
        <v>9.7200000000000006</v>
      </c>
      <c r="E3268" s="31">
        <v>-3.76</v>
      </c>
      <c r="F3268" s="31">
        <v>2270828200</v>
      </c>
    </row>
    <row r="3269" spans="1:6" ht="15" thickBot="1" x14ac:dyDescent="0.2">
      <c r="A3269" s="30" t="s">
        <v>12136</v>
      </c>
      <c r="B3269" s="26" t="str">
        <f t="shared" si="51"/>
        <v>002235</v>
      </c>
      <c r="C3269" s="30" t="s">
        <v>6418</v>
      </c>
      <c r="D3269" s="31">
        <v>4.0999999999999996</v>
      </c>
      <c r="E3269" s="31">
        <v>-2.38</v>
      </c>
      <c r="F3269" s="31">
        <v>2269671000</v>
      </c>
    </row>
    <row r="3270" spans="1:6" ht="15" thickBot="1" x14ac:dyDescent="0.2">
      <c r="A3270" s="30" t="s">
        <v>12137</v>
      </c>
      <c r="B3270" s="26" t="str">
        <f t="shared" si="51"/>
        <v>688788</v>
      </c>
      <c r="C3270" s="30" t="s">
        <v>6566</v>
      </c>
      <c r="D3270" s="31">
        <v>21.46</v>
      </c>
      <c r="E3270" s="31">
        <v>-0.88</v>
      </c>
      <c r="F3270" s="31">
        <v>2269350500</v>
      </c>
    </row>
    <row r="3271" spans="1:6" ht="15" thickBot="1" x14ac:dyDescent="0.2">
      <c r="A3271" s="30" t="s">
        <v>12138</v>
      </c>
      <c r="B3271" s="26" t="str">
        <f t="shared" si="51"/>
        <v>002772</v>
      </c>
      <c r="C3271" s="30" t="s">
        <v>6568</v>
      </c>
      <c r="D3271" s="31">
        <v>5.84</v>
      </c>
      <c r="E3271" s="31">
        <v>-2.34</v>
      </c>
      <c r="F3271" s="31">
        <v>2266448400</v>
      </c>
    </row>
    <row r="3272" spans="1:6" ht="15" thickBot="1" x14ac:dyDescent="0.2">
      <c r="A3272" s="30" t="s">
        <v>12139</v>
      </c>
      <c r="B3272" s="26" t="str">
        <f t="shared" si="51"/>
        <v>603030</v>
      </c>
      <c r="C3272" s="30" t="s">
        <v>6702</v>
      </c>
      <c r="D3272" s="31">
        <v>1.72</v>
      </c>
      <c r="E3272" s="31">
        <v>1.18</v>
      </c>
      <c r="F3272" s="31">
        <v>2265125700</v>
      </c>
    </row>
    <row r="3273" spans="1:6" ht="15" thickBot="1" x14ac:dyDescent="0.2">
      <c r="A3273" s="30" t="s">
        <v>12140</v>
      </c>
      <c r="B3273" s="26" t="str">
        <f t="shared" si="51"/>
        <v>300505</v>
      </c>
      <c r="C3273" s="30" t="s">
        <v>5423</v>
      </c>
      <c r="D3273" s="31">
        <v>10.42</v>
      </c>
      <c r="E3273" s="31">
        <v>-2.71</v>
      </c>
      <c r="F3273" s="31">
        <v>2264903900</v>
      </c>
    </row>
    <row r="3274" spans="1:6" ht="15" thickBot="1" x14ac:dyDescent="0.2">
      <c r="A3274" s="30" t="s">
        <v>12141</v>
      </c>
      <c r="B3274" s="26" t="str">
        <f t="shared" si="51"/>
        <v>603121</v>
      </c>
      <c r="C3274" s="30" t="s">
        <v>6612</v>
      </c>
      <c r="D3274" s="31">
        <v>6.69</v>
      </c>
      <c r="E3274" s="31">
        <v>0.3</v>
      </c>
      <c r="F3274" s="31">
        <v>2264790600</v>
      </c>
    </row>
    <row r="3275" spans="1:6" ht="15" thickBot="1" x14ac:dyDescent="0.2">
      <c r="A3275" s="30" t="s">
        <v>12142</v>
      </c>
      <c r="B3275" s="26" t="str">
        <f t="shared" si="51"/>
        <v>300196</v>
      </c>
      <c r="C3275" s="30" t="s">
        <v>4668</v>
      </c>
      <c r="D3275" s="31">
        <v>9.19</v>
      </c>
      <c r="E3275" s="31">
        <v>0.77</v>
      </c>
      <c r="F3275" s="31">
        <v>2263656300</v>
      </c>
    </row>
    <row r="3276" spans="1:6" ht="15" thickBot="1" x14ac:dyDescent="0.2">
      <c r="A3276" s="30" t="s">
        <v>12143</v>
      </c>
      <c r="B3276" s="26" t="str">
        <f t="shared" si="51"/>
        <v>002799</v>
      </c>
      <c r="C3276" s="30" t="s">
        <v>7015</v>
      </c>
      <c r="D3276" s="31">
        <v>7.07</v>
      </c>
      <c r="E3276" s="31">
        <v>4.9000000000000004</v>
      </c>
      <c r="F3276" s="31">
        <v>2262653100</v>
      </c>
    </row>
    <row r="3277" spans="1:6" ht="15" thickBot="1" x14ac:dyDescent="0.2">
      <c r="A3277" s="30" t="s">
        <v>12144</v>
      </c>
      <c r="B3277" s="26" t="str">
        <f t="shared" si="51"/>
        <v>688191</v>
      </c>
      <c r="C3277" s="30" t="s">
        <v>6600</v>
      </c>
      <c r="D3277" s="31">
        <v>14.72</v>
      </c>
      <c r="E3277" s="31">
        <v>-2.9</v>
      </c>
      <c r="F3277" s="31">
        <v>2259704700</v>
      </c>
    </row>
    <row r="3278" spans="1:6" ht="15" thickBot="1" x14ac:dyDescent="0.2">
      <c r="A3278" s="30" t="s">
        <v>12145</v>
      </c>
      <c r="B3278" s="26" t="str">
        <f t="shared" si="51"/>
        <v>688401</v>
      </c>
      <c r="C3278" s="30" t="s">
        <v>12146</v>
      </c>
      <c r="D3278" s="31">
        <v>19.5</v>
      </c>
      <c r="E3278" s="31">
        <v>3.12</v>
      </c>
      <c r="F3278" s="31">
        <v>2256390200</v>
      </c>
    </row>
    <row r="3279" spans="1:6" ht="15" thickBot="1" x14ac:dyDescent="0.2">
      <c r="A3279" s="30" t="s">
        <v>12147</v>
      </c>
      <c r="B3279" s="26" t="str">
        <f t="shared" si="51"/>
        <v>300643</v>
      </c>
      <c r="C3279" s="30" t="s">
        <v>6562</v>
      </c>
      <c r="D3279" s="31">
        <v>9.8000000000000007</v>
      </c>
      <c r="E3279" s="31">
        <v>-0.1</v>
      </c>
      <c r="F3279" s="31">
        <v>2256195300</v>
      </c>
    </row>
    <row r="3280" spans="1:6" ht="15" thickBot="1" x14ac:dyDescent="0.2">
      <c r="A3280" s="30" t="s">
        <v>12148</v>
      </c>
      <c r="B3280" s="26" t="str">
        <f t="shared" si="51"/>
        <v>600191</v>
      </c>
      <c r="C3280" s="30" t="s">
        <v>6634</v>
      </c>
      <c r="D3280" s="31">
        <v>4.6500000000000004</v>
      </c>
      <c r="E3280" s="31">
        <v>-0.22</v>
      </c>
      <c r="F3280" s="31">
        <v>2254933800</v>
      </c>
    </row>
    <row r="3281" spans="1:6" ht="15" thickBot="1" x14ac:dyDescent="0.2">
      <c r="A3281" s="30" t="s">
        <v>12149</v>
      </c>
      <c r="B3281" s="26" t="str">
        <f t="shared" si="51"/>
        <v>300380</v>
      </c>
      <c r="C3281" s="30" t="s">
        <v>6512</v>
      </c>
      <c r="D3281" s="31">
        <v>17.7</v>
      </c>
      <c r="E3281" s="31">
        <v>5.42</v>
      </c>
      <c r="F3281" s="31">
        <v>2254511700</v>
      </c>
    </row>
    <row r="3282" spans="1:6" ht="15" thickBot="1" x14ac:dyDescent="0.2">
      <c r="A3282" s="30" t="s">
        <v>12150</v>
      </c>
      <c r="B3282" s="26" t="str">
        <f t="shared" si="51"/>
        <v>300891</v>
      </c>
      <c r="C3282" s="30" t="s">
        <v>5712</v>
      </c>
      <c r="D3282" s="31">
        <v>6.78</v>
      </c>
      <c r="E3282" s="31">
        <v>-3.28</v>
      </c>
      <c r="F3282" s="31">
        <v>2253757500</v>
      </c>
    </row>
    <row r="3283" spans="1:6" ht="15" thickBot="1" x14ac:dyDescent="0.2">
      <c r="A3283" s="30" t="s">
        <v>12151</v>
      </c>
      <c r="B3283" s="26" t="str">
        <f t="shared" si="51"/>
        <v>002674</v>
      </c>
      <c r="C3283" s="30" t="s">
        <v>6604</v>
      </c>
      <c r="D3283" s="31">
        <v>7.8</v>
      </c>
      <c r="E3283" s="31">
        <v>-1.02</v>
      </c>
      <c r="F3283" s="31">
        <v>2253230100</v>
      </c>
    </row>
    <row r="3284" spans="1:6" ht="15" thickBot="1" x14ac:dyDescent="0.2">
      <c r="A3284" s="30" t="s">
        <v>12152</v>
      </c>
      <c r="B3284" s="26" t="str">
        <f t="shared" si="51"/>
        <v>600513</v>
      </c>
      <c r="C3284" s="30" t="s">
        <v>6592</v>
      </c>
      <c r="D3284" s="31">
        <v>7.89</v>
      </c>
      <c r="E3284" s="31">
        <v>-1</v>
      </c>
      <c r="F3284" s="31">
        <v>2252250000</v>
      </c>
    </row>
    <row r="3285" spans="1:6" ht="15" thickBot="1" x14ac:dyDescent="0.2">
      <c r="A3285" s="30" t="s">
        <v>12153</v>
      </c>
      <c r="B3285" s="26" t="str">
        <f t="shared" si="51"/>
        <v>002562</v>
      </c>
      <c r="C3285" s="30" t="s">
        <v>4909</v>
      </c>
      <c r="D3285" s="31">
        <v>3.21</v>
      </c>
      <c r="E3285" s="31">
        <v>-1.84</v>
      </c>
      <c r="F3285" s="31">
        <v>2251907400</v>
      </c>
    </row>
    <row r="3286" spans="1:6" ht="15" thickBot="1" x14ac:dyDescent="0.2">
      <c r="A3286" s="30" t="s">
        <v>12154</v>
      </c>
      <c r="B3286" s="26" t="str">
        <f t="shared" si="51"/>
        <v>603825</v>
      </c>
      <c r="C3286" s="30" t="s">
        <v>6636</v>
      </c>
      <c r="D3286" s="31">
        <v>8.8800000000000008</v>
      </c>
      <c r="E3286" s="31">
        <v>-1.1100000000000001</v>
      </c>
      <c r="F3286" s="31">
        <v>2249628600</v>
      </c>
    </row>
    <row r="3287" spans="1:6" ht="15" thickBot="1" x14ac:dyDescent="0.2">
      <c r="A3287" s="30" t="s">
        <v>12155</v>
      </c>
      <c r="B3287" s="26" t="str">
        <f t="shared" si="51"/>
        <v>603076</v>
      </c>
      <c r="C3287" s="30" t="s">
        <v>6464</v>
      </c>
      <c r="D3287" s="31">
        <v>18.62</v>
      </c>
      <c r="E3287" s="31">
        <v>-2.21</v>
      </c>
      <c r="F3287" s="31">
        <v>2247459000</v>
      </c>
    </row>
    <row r="3288" spans="1:6" ht="15" thickBot="1" x14ac:dyDescent="0.2">
      <c r="A3288" s="30" t="s">
        <v>12156</v>
      </c>
      <c r="B3288" s="26" t="str">
        <f t="shared" si="51"/>
        <v>603768</v>
      </c>
      <c r="C3288" s="30" t="s">
        <v>5643</v>
      </c>
      <c r="D3288" s="31">
        <v>11.01</v>
      </c>
      <c r="E3288" s="31">
        <v>-3.51</v>
      </c>
      <c r="F3288" s="31">
        <v>2246040000</v>
      </c>
    </row>
    <row r="3289" spans="1:6" ht="15" thickBot="1" x14ac:dyDescent="0.2">
      <c r="A3289" s="30" t="s">
        <v>12157</v>
      </c>
      <c r="B3289" s="26" t="str">
        <f t="shared" si="51"/>
        <v>300669</v>
      </c>
      <c r="C3289" s="30" t="s">
        <v>6462</v>
      </c>
      <c r="D3289" s="31">
        <v>12.33</v>
      </c>
      <c r="E3289" s="31">
        <v>-0.96</v>
      </c>
      <c r="F3289" s="31">
        <v>2245170500</v>
      </c>
    </row>
    <row r="3290" spans="1:6" ht="15" thickBot="1" x14ac:dyDescent="0.2">
      <c r="A3290" s="30" t="s">
        <v>12158</v>
      </c>
      <c r="B3290" s="26" t="str">
        <f t="shared" si="51"/>
        <v>300078</v>
      </c>
      <c r="C3290" s="30" t="s">
        <v>6452</v>
      </c>
      <c r="D3290" s="31">
        <v>2.29</v>
      </c>
      <c r="E3290" s="31">
        <v>-1.29</v>
      </c>
      <c r="F3290" s="31">
        <v>2244649800</v>
      </c>
    </row>
    <row r="3291" spans="1:6" ht="15" thickBot="1" x14ac:dyDescent="0.2">
      <c r="A3291" s="30" t="s">
        <v>12159</v>
      </c>
      <c r="B3291" s="26" t="str">
        <f t="shared" si="51"/>
        <v>002659</v>
      </c>
      <c r="C3291" s="30" t="s">
        <v>6654</v>
      </c>
      <c r="D3291" s="31">
        <v>3.75</v>
      </c>
      <c r="E3291" s="31">
        <v>-3.85</v>
      </c>
      <c r="F3291" s="31">
        <v>2243551400</v>
      </c>
    </row>
    <row r="3292" spans="1:6" ht="15" thickBot="1" x14ac:dyDescent="0.2">
      <c r="A3292" s="30" t="s">
        <v>12160</v>
      </c>
      <c r="B3292" s="26" t="str">
        <f t="shared" si="51"/>
        <v>688500</v>
      </c>
      <c r="C3292" s="30" t="s">
        <v>6394</v>
      </c>
      <c r="D3292" s="31">
        <v>30.2</v>
      </c>
      <c r="E3292" s="31">
        <v>-2.86</v>
      </c>
      <c r="F3292" s="31">
        <v>2243090200</v>
      </c>
    </row>
    <row r="3293" spans="1:6" ht="15" thickBot="1" x14ac:dyDescent="0.2">
      <c r="A3293" s="30" t="s">
        <v>12161</v>
      </c>
      <c r="B3293" s="26" t="str">
        <f t="shared" si="51"/>
        <v>002927</v>
      </c>
      <c r="C3293" s="30" t="s">
        <v>6492</v>
      </c>
      <c r="D3293" s="31">
        <v>10.16</v>
      </c>
      <c r="E3293" s="31">
        <v>-1.17</v>
      </c>
      <c r="F3293" s="31">
        <v>2241728800</v>
      </c>
    </row>
    <row r="3294" spans="1:6" ht="15" thickBot="1" x14ac:dyDescent="0.2">
      <c r="A3294" s="30" t="s">
        <v>12162</v>
      </c>
      <c r="B3294" s="26" t="str">
        <f t="shared" si="51"/>
        <v>000014</v>
      </c>
      <c r="C3294" s="30" t="s">
        <v>7199</v>
      </c>
      <c r="D3294" s="31">
        <v>9.25</v>
      </c>
      <c r="E3294" s="31">
        <v>8.82</v>
      </c>
      <c r="F3294" s="31">
        <v>2238927600</v>
      </c>
    </row>
    <row r="3295" spans="1:6" ht="15" thickBot="1" x14ac:dyDescent="0.2">
      <c r="A3295" s="30" t="s">
        <v>12163</v>
      </c>
      <c r="B3295" s="26" t="str">
        <f t="shared" si="51"/>
        <v>300656</v>
      </c>
      <c r="C3295" s="30" t="s">
        <v>5471</v>
      </c>
      <c r="D3295" s="31">
        <v>17.86</v>
      </c>
      <c r="E3295" s="31">
        <v>2.23</v>
      </c>
      <c r="F3295" s="31">
        <v>2235335100</v>
      </c>
    </row>
    <row r="3296" spans="1:6" ht="15" thickBot="1" x14ac:dyDescent="0.2">
      <c r="A3296" s="30" t="s">
        <v>12164</v>
      </c>
      <c r="B3296" s="26" t="str">
        <f t="shared" si="51"/>
        <v>600467</v>
      </c>
      <c r="C3296" s="30" t="s">
        <v>6582</v>
      </c>
      <c r="D3296" s="31">
        <v>1.53</v>
      </c>
      <c r="E3296" s="31">
        <v>-3.17</v>
      </c>
      <c r="F3296" s="31">
        <v>2235321300</v>
      </c>
    </row>
    <row r="3297" spans="1:6" ht="15" thickBot="1" x14ac:dyDescent="0.2">
      <c r="A3297" s="30" t="s">
        <v>12165</v>
      </c>
      <c r="B3297" s="26" t="str">
        <f t="shared" si="51"/>
        <v>000798</v>
      </c>
      <c r="C3297" s="30" t="s">
        <v>6762</v>
      </c>
      <c r="D3297" s="31">
        <v>6.1</v>
      </c>
      <c r="E3297" s="31">
        <v>-0.65</v>
      </c>
      <c r="F3297" s="31">
        <v>2231555100</v>
      </c>
    </row>
    <row r="3298" spans="1:6" ht="15" thickBot="1" x14ac:dyDescent="0.2">
      <c r="A3298" s="30" t="s">
        <v>12166</v>
      </c>
      <c r="B3298" s="26" t="str">
        <f t="shared" si="51"/>
        <v>600980</v>
      </c>
      <c r="C3298" s="30" t="s">
        <v>6362</v>
      </c>
      <c r="D3298" s="31">
        <v>12.7</v>
      </c>
      <c r="E3298" s="31">
        <v>-0.47</v>
      </c>
      <c r="F3298" s="31">
        <v>2231100500</v>
      </c>
    </row>
    <row r="3299" spans="1:6" ht="15" thickBot="1" x14ac:dyDescent="0.2">
      <c r="A3299" s="30" t="s">
        <v>12167</v>
      </c>
      <c r="B3299" s="26" t="str">
        <f t="shared" si="51"/>
        <v>300135</v>
      </c>
      <c r="C3299" s="30" t="s">
        <v>6632</v>
      </c>
      <c r="D3299" s="31">
        <v>2.42</v>
      </c>
      <c r="E3299" s="31">
        <v>-1.23</v>
      </c>
      <c r="F3299" s="31">
        <v>2230272000</v>
      </c>
    </row>
    <row r="3300" spans="1:6" ht="15" thickBot="1" x14ac:dyDescent="0.2">
      <c r="A3300" s="30" t="s">
        <v>12168</v>
      </c>
      <c r="B3300" s="26" t="str">
        <f t="shared" si="51"/>
        <v>000020</v>
      </c>
      <c r="C3300" s="30" t="s">
        <v>6360</v>
      </c>
      <c r="D3300" s="31">
        <v>12.31</v>
      </c>
      <c r="E3300" s="31">
        <v>3.62</v>
      </c>
      <c r="F3300" s="31">
        <v>2230146000</v>
      </c>
    </row>
    <row r="3301" spans="1:6" ht="15" thickBot="1" x14ac:dyDescent="0.2">
      <c r="A3301" s="30" t="s">
        <v>12169</v>
      </c>
      <c r="B3301" s="26" t="str">
        <f t="shared" si="51"/>
        <v>603787</v>
      </c>
      <c r="C3301" s="30" t="s">
        <v>6652</v>
      </c>
      <c r="D3301" s="31">
        <v>9.69</v>
      </c>
      <c r="E3301" s="31">
        <v>0</v>
      </c>
      <c r="F3301" s="31">
        <v>2230093300</v>
      </c>
    </row>
    <row r="3302" spans="1:6" ht="15" thickBot="1" x14ac:dyDescent="0.2">
      <c r="A3302" s="30" t="s">
        <v>12170</v>
      </c>
      <c r="B3302" s="26" t="str">
        <f t="shared" si="51"/>
        <v>002330</v>
      </c>
      <c r="C3302" s="30" t="s">
        <v>6622</v>
      </c>
      <c r="D3302" s="31">
        <v>3.51</v>
      </c>
      <c r="E3302" s="31">
        <v>-1.41</v>
      </c>
      <c r="F3302" s="31">
        <v>2229477300</v>
      </c>
    </row>
    <row r="3303" spans="1:6" ht="15" thickBot="1" x14ac:dyDescent="0.2">
      <c r="A3303" s="30" t="s">
        <v>12171</v>
      </c>
      <c r="B3303" s="26" t="str">
        <f t="shared" si="51"/>
        <v>603580</v>
      </c>
      <c r="C3303" s="30" t="s">
        <v>6530</v>
      </c>
      <c r="D3303" s="31">
        <v>17.059999999999999</v>
      </c>
      <c r="E3303" s="31">
        <v>0.35</v>
      </c>
      <c r="F3303" s="31">
        <v>2229284800</v>
      </c>
    </row>
    <row r="3304" spans="1:6" ht="15" thickBot="1" x14ac:dyDescent="0.2">
      <c r="A3304" s="30" t="s">
        <v>12172</v>
      </c>
      <c r="B3304" s="26" t="str">
        <f t="shared" si="51"/>
        <v>002337</v>
      </c>
      <c r="C3304" s="30" t="s">
        <v>6646</v>
      </c>
      <c r="D3304" s="31">
        <v>3.79</v>
      </c>
      <c r="E3304" s="31">
        <v>-1.3</v>
      </c>
      <c r="F3304" s="31">
        <v>2228506900</v>
      </c>
    </row>
    <row r="3305" spans="1:6" ht="15" thickBot="1" x14ac:dyDescent="0.2">
      <c r="A3305" s="30" t="s">
        <v>12173</v>
      </c>
      <c r="B3305" s="26" t="str">
        <f t="shared" si="51"/>
        <v>300647</v>
      </c>
      <c r="C3305" s="30" t="s">
        <v>6520</v>
      </c>
      <c r="D3305" s="31">
        <v>4.88</v>
      </c>
      <c r="E3305" s="31">
        <v>-4.3099999999999996</v>
      </c>
      <c r="F3305" s="31">
        <v>2228413700</v>
      </c>
    </row>
    <row r="3306" spans="1:6" ht="15" thickBot="1" x14ac:dyDescent="0.2">
      <c r="A3306" s="30" t="s">
        <v>12174</v>
      </c>
      <c r="B3306" s="26" t="str">
        <f t="shared" si="51"/>
        <v>300873</v>
      </c>
      <c r="C3306" s="30" t="s">
        <v>5352</v>
      </c>
      <c r="D3306" s="31">
        <v>13.16</v>
      </c>
      <c r="E3306" s="31">
        <v>-1.28</v>
      </c>
      <c r="F3306" s="31">
        <v>2227194300</v>
      </c>
    </row>
    <row r="3307" spans="1:6" ht="15" thickBot="1" x14ac:dyDescent="0.2">
      <c r="A3307" s="30" t="s">
        <v>12175</v>
      </c>
      <c r="B3307" s="26" t="str">
        <f t="shared" si="51"/>
        <v>301207</v>
      </c>
      <c r="C3307" s="30" t="s">
        <v>12176</v>
      </c>
      <c r="D3307" s="31">
        <v>15.7</v>
      </c>
      <c r="E3307" s="31">
        <v>-3.56</v>
      </c>
      <c r="F3307" s="31">
        <v>2223881300</v>
      </c>
    </row>
    <row r="3308" spans="1:6" ht="15" thickBot="1" x14ac:dyDescent="0.2">
      <c r="A3308" s="30" t="s">
        <v>12177</v>
      </c>
      <c r="B3308" s="26" t="str">
        <f t="shared" si="51"/>
        <v>002369</v>
      </c>
      <c r="C3308" s="30" t="s">
        <v>6348</v>
      </c>
      <c r="D3308" s="31">
        <v>3.93</v>
      </c>
      <c r="E3308" s="31">
        <v>-2</v>
      </c>
      <c r="F3308" s="31">
        <v>2223006900</v>
      </c>
    </row>
    <row r="3309" spans="1:6" ht="15" thickBot="1" x14ac:dyDescent="0.2">
      <c r="A3309" s="30" t="s">
        <v>12178</v>
      </c>
      <c r="B3309" s="26" t="str">
        <f t="shared" si="51"/>
        <v>688606</v>
      </c>
      <c r="C3309" s="30" t="s">
        <v>3990</v>
      </c>
      <c r="D3309" s="31">
        <v>56.17</v>
      </c>
      <c r="E3309" s="31">
        <v>-2.67</v>
      </c>
      <c r="F3309" s="31">
        <v>2221537800</v>
      </c>
    </row>
    <row r="3310" spans="1:6" ht="15" thickBot="1" x14ac:dyDescent="0.2">
      <c r="A3310" s="30" t="s">
        <v>12179</v>
      </c>
      <c r="B3310" s="26" t="str">
        <f t="shared" si="51"/>
        <v>300289</v>
      </c>
      <c r="C3310" s="30" t="s">
        <v>6748</v>
      </c>
      <c r="D3310" s="31">
        <v>4.09</v>
      </c>
      <c r="E3310" s="31">
        <v>-4.22</v>
      </c>
      <c r="F3310" s="31">
        <v>2221510000</v>
      </c>
    </row>
    <row r="3311" spans="1:6" ht="15" thickBot="1" x14ac:dyDescent="0.2">
      <c r="A3311" s="30" t="s">
        <v>12180</v>
      </c>
      <c r="B3311" s="26" t="str">
        <f t="shared" si="51"/>
        <v>300440</v>
      </c>
      <c r="C3311" s="30" t="s">
        <v>6642</v>
      </c>
      <c r="D3311" s="31">
        <v>5.01</v>
      </c>
      <c r="E3311" s="31">
        <v>-2.72</v>
      </c>
      <c r="F3311" s="31">
        <v>2220962900</v>
      </c>
    </row>
    <row r="3312" spans="1:6" ht="15" thickBot="1" x14ac:dyDescent="0.2">
      <c r="A3312" s="30" t="s">
        <v>12181</v>
      </c>
      <c r="B3312" s="26" t="str">
        <f t="shared" si="51"/>
        <v>300879</v>
      </c>
      <c r="C3312" s="30" t="s">
        <v>6536</v>
      </c>
      <c r="D3312" s="31">
        <v>12.62</v>
      </c>
      <c r="E3312" s="31">
        <v>-4.83</v>
      </c>
      <c r="F3312" s="31">
        <v>2220110100</v>
      </c>
    </row>
    <row r="3313" spans="1:6" ht="15" thickBot="1" x14ac:dyDescent="0.2">
      <c r="A3313" s="30" t="s">
        <v>12182</v>
      </c>
      <c r="B3313" s="26" t="str">
        <f t="shared" si="51"/>
        <v>002213</v>
      </c>
      <c r="C3313" s="30" t="s">
        <v>6578</v>
      </c>
      <c r="D3313" s="31">
        <v>9.4</v>
      </c>
      <c r="E3313" s="31">
        <v>-1.98</v>
      </c>
      <c r="F3313" s="31">
        <v>2218400000</v>
      </c>
    </row>
    <row r="3314" spans="1:6" ht="15" thickBot="1" x14ac:dyDescent="0.2">
      <c r="A3314" s="30" t="s">
        <v>12183</v>
      </c>
      <c r="B3314" s="26" t="str">
        <f t="shared" si="51"/>
        <v>002981</v>
      </c>
      <c r="C3314" s="30" t="s">
        <v>6254</v>
      </c>
      <c r="D3314" s="31">
        <v>18.61</v>
      </c>
      <c r="E3314" s="31">
        <v>2.0299999999999998</v>
      </c>
      <c r="F3314" s="31">
        <v>2217417200</v>
      </c>
    </row>
    <row r="3315" spans="1:6" ht="15" thickBot="1" x14ac:dyDescent="0.2">
      <c r="A3315" s="30" t="s">
        <v>12184</v>
      </c>
      <c r="B3315" s="26" t="str">
        <f t="shared" si="51"/>
        <v>000153</v>
      </c>
      <c r="C3315" s="30" t="s">
        <v>6494</v>
      </c>
      <c r="D3315" s="31">
        <v>4.96</v>
      </c>
      <c r="E3315" s="31">
        <v>-2.17</v>
      </c>
      <c r="F3315" s="31">
        <v>2216196600</v>
      </c>
    </row>
    <row r="3316" spans="1:6" ht="15" thickBot="1" x14ac:dyDescent="0.2">
      <c r="A3316" s="30" t="s">
        <v>12185</v>
      </c>
      <c r="B3316" s="26" t="str">
        <f t="shared" si="51"/>
        <v>603803</v>
      </c>
      <c r="C3316" s="30" t="s">
        <v>6586</v>
      </c>
      <c r="D3316" s="31">
        <v>5.21</v>
      </c>
      <c r="E3316" s="31">
        <v>-1.7</v>
      </c>
      <c r="F3316" s="31">
        <v>2213643300</v>
      </c>
    </row>
    <row r="3317" spans="1:6" ht="15" thickBot="1" x14ac:dyDescent="0.2">
      <c r="A3317" s="30" t="s">
        <v>12186</v>
      </c>
      <c r="B3317" s="26" t="str">
        <f t="shared" si="51"/>
        <v>688786</v>
      </c>
      <c r="C3317" s="30" t="s">
        <v>6472</v>
      </c>
      <c r="D3317" s="31">
        <v>18.47</v>
      </c>
      <c r="E3317" s="31">
        <v>-3.35</v>
      </c>
      <c r="F3317" s="31">
        <v>2213321700</v>
      </c>
    </row>
    <row r="3318" spans="1:6" ht="15" thickBot="1" x14ac:dyDescent="0.2">
      <c r="A3318" s="30" t="s">
        <v>12187</v>
      </c>
      <c r="B3318" s="26" t="str">
        <f t="shared" si="51"/>
        <v>300824</v>
      </c>
      <c r="C3318" s="30" t="s">
        <v>6508</v>
      </c>
      <c r="D3318" s="31">
        <v>7</v>
      </c>
      <c r="E3318" s="31">
        <v>-0.43</v>
      </c>
      <c r="F3318" s="31">
        <v>2212317100</v>
      </c>
    </row>
    <row r="3319" spans="1:6" ht="15" thickBot="1" x14ac:dyDescent="0.2">
      <c r="A3319" s="30" t="s">
        <v>12188</v>
      </c>
      <c r="B3319" s="26" t="str">
        <f t="shared" si="51"/>
        <v>001323</v>
      </c>
      <c r="C3319" s="30" t="s">
        <v>12189</v>
      </c>
      <c r="D3319" s="31">
        <v>28.35</v>
      </c>
      <c r="E3319" s="31">
        <v>-1.01</v>
      </c>
      <c r="F3319" s="31">
        <v>2209457300</v>
      </c>
    </row>
    <row r="3320" spans="1:6" ht="15" thickBot="1" x14ac:dyDescent="0.2">
      <c r="A3320" s="30" t="s">
        <v>12190</v>
      </c>
      <c r="B3320" s="26" t="str">
        <f t="shared" si="51"/>
        <v>600892</v>
      </c>
      <c r="C3320" s="30" t="s">
        <v>6616</v>
      </c>
      <c r="D3320" s="31">
        <v>3.95</v>
      </c>
      <c r="E3320" s="31">
        <v>-1</v>
      </c>
      <c r="F3320" s="31">
        <v>2209312200</v>
      </c>
    </row>
    <row r="3321" spans="1:6" ht="15" thickBot="1" x14ac:dyDescent="0.2">
      <c r="A3321" s="30" t="s">
        <v>12191</v>
      </c>
      <c r="B3321" s="26" t="str">
        <f t="shared" si="51"/>
        <v>688049</v>
      </c>
      <c r="C3321" s="30" t="s">
        <v>12192</v>
      </c>
      <c r="D3321" s="31">
        <v>20.3</v>
      </c>
      <c r="E3321" s="31">
        <v>1.4</v>
      </c>
      <c r="F3321" s="31">
        <v>2208617300</v>
      </c>
    </row>
    <row r="3322" spans="1:6" ht="15" thickBot="1" x14ac:dyDescent="0.2">
      <c r="A3322" s="30" t="s">
        <v>12193</v>
      </c>
      <c r="B3322" s="26" t="str">
        <f t="shared" si="51"/>
        <v>600800</v>
      </c>
      <c r="C3322" s="30" t="s">
        <v>6740</v>
      </c>
      <c r="D3322" s="31">
        <v>1.99</v>
      </c>
      <c r="E3322" s="31">
        <v>-0.5</v>
      </c>
      <c r="F3322" s="31">
        <v>2208363100</v>
      </c>
    </row>
    <row r="3323" spans="1:6" ht="15" thickBot="1" x14ac:dyDescent="0.2">
      <c r="A3323" s="30" t="s">
        <v>12194</v>
      </c>
      <c r="B3323" s="26" t="str">
        <f t="shared" si="51"/>
        <v>688351</v>
      </c>
      <c r="C3323" s="30" t="s">
        <v>12195</v>
      </c>
      <c r="D3323" s="31">
        <v>17.68</v>
      </c>
      <c r="E3323" s="31">
        <v>-2.91</v>
      </c>
      <c r="F3323" s="31">
        <v>2207522700</v>
      </c>
    </row>
    <row r="3324" spans="1:6" ht="15" thickBot="1" x14ac:dyDescent="0.2">
      <c r="A3324" s="30" t="s">
        <v>12196</v>
      </c>
      <c r="B3324" s="26" t="str">
        <f t="shared" si="51"/>
        <v>600573</v>
      </c>
      <c r="C3324" s="30" t="s">
        <v>6644</v>
      </c>
      <c r="D3324" s="31">
        <v>8.83</v>
      </c>
      <c r="E3324" s="31">
        <v>-1.78</v>
      </c>
      <c r="F3324" s="31">
        <v>2207500000</v>
      </c>
    </row>
    <row r="3325" spans="1:6" ht="15" thickBot="1" x14ac:dyDescent="0.2">
      <c r="A3325" s="30" t="s">
        <v>12197</v>
      </c>
      <c r="B3325" s="26" t="str">
        <f t="shared" si="51"/>
        <v>301333</v>
      </c>
      <c r="C3325" s="30" t="s">
        <v>12198</v>
      </c>
      <c r="D3325" s="31">
        <v>38.909999999999997</v>
      </c>
      <c r="E3325" s="31">
        <v>0.7</v>
      </c>
      <c r="F3325" s="31">
        <v>2207411000</v>
      </c>
    </row>
    <row r="3326" spans="1:6" ht="15" thickBot="1" x14ac:dyDescent="0.2">
      <c r="A3326" s="30" t="s">
        <v>12199</v>
      </c>
      <c r="B3326" s="26" t="str">
        <f t="shared" si="51"/>
        <v>603006</v>
      </c>
      <c r="C3326" s="30" t="s">
        <v>6668</v>
      </c>
      <c r="D3326" s="31">
        <v>8.68</v>
      </c>
      <c r="E3326" s="31">
        <v>0.23</v>
      </c>
      <c r="F3326" s="31">
        <v>2206926900</v>
      </c>
    </row>
    <row r="3327" spans="1:6" ht="15" thickBot="1" x14ac:dyDescent="0.2">
      <c r="A3327" s="30" t="s">
        <v>12200</v>
      </c>
      <c r="B3327" s="26" t="str">
        <f t="shared" si="51"/>
        <v>002829</v>
      </c>
      <c r="C3327" s="30" t="s">
        <v>5070</v>
      </c>
      <c r="D3327" s="31">
        <v>15.41</v>
      </c>
      <c r="E3327" s="31">
        <v>-1.0900000000000001</v>
      </c>
      <c r="F3327" s="31">
        <v>2206014700</v>
      </c>
    </row>
    <row r="3328" spans="1:6" ht="15" thickBot="1" x14ac:dyDescent="0.2">
      <c r="A3328" s="30" t="s">
        <v>12201</v>
      </c>
      <c r="B3328" s="26" t="str">
        <f t="shared" si="51"/>
        <v>300172</v>
      </c>
      <c r="C3328" s="30" t="s">
        <v>5563</v>
      </c>
      <c r="D3328" s="31">
        <v>4.21</v>
      </c>
      <c r="E3328" s="31">
        <v>-2.3199999999999998</v>
      </c>
      <c r="F3328" s="31">
        <v>2203987100</v>
      </c>
    </row>
    <row r="3329" spans="1:6" ht="15" thickBot="1" x14ac:dyDescent="0.2">
      <c r="A3329" s="30" t="s">
        <v>12202</v>
      </c>
      <c r="B3329" s="26" t="str">
        <f t="shared" si="51"/>
        <v>688589</v>
      </c>
      <c r="C3329" s="30" t="s">
        <v>6640</v>
      </c>
      <c r="D3329" s="31">
        <v>18.239999999999998</v>
      </c>
      <c r="E3329" s="31">
        <v>-0.49</v>
      </c>
      <c r="F3329" s="31">
        <v>2200791700</v>
      </c>
    </row>
    <row r="3330" spans="1:6" ht="15" thickBot="1" x14ac:dyDescent="0.2">
      <c r="A3330" s="30" t="s">
        <v>12203</v>
      </c>
      <c r="B3330" s="26" t="str">
        <f t="shared" si="51"/>
        <v>300365</v>
      </c>
      <c r="C3330" s="30" t="s">
        <v>5740</v>
      </c>
      <c r="D3330" s="31">
        <v>4.55</v>
      </c>
      <c r="E3330" s="31">
        <v>-2.99</v>
      </c>
      <c r="F3330" s="31">
        <v>2200627400</v>
      </c>
    </row>
    <row r="3331" spans="1:6" ht="15" thickBot="1" x14ac:dyDescent="0.2">
      <c r="A3331" s="30" t="s">
        <v>12204</v>
      </c>
      <c r="B3331" s="26" t="str">
        <f t="shared" ref="B3331:B3394" si="52">LEFT(A3331,6)</f>
        <v>000710</v>
      </c>
      <c r="C3331" s="30" t="s">
        <v>6232</v>
      </c>
      <c r="D3331" s="31">
        <v>6.89</v>
      </c>
      <c r="E3331" s="31">
        <v>-1.71</v>
      </c>
      <c r="F3331" s="31">
        <v>2192801700</v>
      </c>
    </row>
    <row r="3332" spans="1:6" ht="15" thickBot="1" x14ac:dyDescent="0.2">
      <c r="A3332" s="30" t="s">
        <v>12205</v>
      </c>
      <c r="B3332" s="26" t="str">
        <f t="shared" si="52"/>
        <v>300681</v>
      </c>
      <c r="C3332" s="30" t="s">
        <v>5074</v>
      </c>
      <c r="D3332" s="31">
        <v>12.67</v>
      </c>
      <c r="E3332" s="31">
        <v>-0.86</v>
      </c>
      <c r="F3332" s="31">
        <v>2192065600</v>
      </c>
    </row>
    <row r="3333" spans="1:6" ht="15" thickBot="1" x14ac:dyDescent="0.2">
      <c r="A3333" s="30" t="s">
        <v>12206</v>
      </c>
      <c r="B3333" s="26" t="str">
        <f t="shared" si="52"/>
        <v>300241</v>
      </c>
      <c r="C3333" s="30" t="s">
        <v>5912</v>
      </c>
      <c r="D3333" s="31">
        <v>3.83</v>
      </c>
      <c r="E3333" s="31">
        <v>-1.29</v>
      </c>
      <c r="F3333" s="31">
        <v>2190088300</v>
      </c>
    </row>
    <row r="3334" spans="1:6" ht="15" thickBot="1" x14ac:dyDescent="0.2">
      <c r="A3334" s="30" t="s">
        <v>12207</v>
      </c>
      <c r="B3334" s="26" t="str">
        <f t="shared" si="52"/>
        <v>603488</v>
      </c>
      <c r="C3334" s="30" t="s">
        <v>6630</v>
      </c>
      <c r="D3334" s="31">
        <v>7.49</v>
      </c>
      <c r="E3334" s="31">
        <v>-3.6</v>
      </c>
      <c r="F3334" s="31">
        <v>2187008400</v>
      </c>
    </row>
    <row r="3335" spans="1:6" ht="15" thickBot="1" x14ac:dyDescent="0.2">
      <c r="A3335" s="30" t="s">
        <v>12208</v>
      </c>
      <c r="B3335" s="26" t="str">
        <f t="shared" si="52"/>
        <v>002717</v>
      </c>
      <c r="C3335" s="30" t="s">
        <v>6863</v>
      </c>
      <c r="D3335" s="31">
        <v>1.42</v>
      </c>
      <c r="E3335" s="31">
        <v>-4.7</v>
      </c>
      <c r="F3335" s="31">
        <v>2184993900</v>
      </c>
    </row>
    <row r="3336" spans="1:6" ht="15" thickBot="1" x14ac:dyDescent="0.2">
      <c r="A3336" s="30" t="s">
        <v>12209</v>
      </c>
      <c r="B3336" s="26" t="str">
        <f t="shared" si="52"/>
        <v>000695</v>
      </c>
      <c r="C3336" s="30" t="s">
        <v>6742</v>
      </c>
      <c r="D3336" s="31">
        <v>9.85</v>
      </c>
      <c r="E3336" s="31">
        <v>-4.37</v>
      </c>
      <c r="F3336" s="31">
        <v>2183945600</v>
      </c>
    </row>
    <row r="3337" spans="1:6" ht="15" thickBot="1" x14ac:dyDescent="0.2">
      <c r="A3337" s="30" t="s">
        <v>12210</v>
      </c>
      <c r="B3337" s="26" t="str">
        <f t="shared" si="52"/>
        <v>300071</v>
      </c>
      <c r="C3337" s="30" t="s">
        <v>6610</v>
      </c>
      <c r="D3337" s="31">
        <v>2.36</v>
      </c>
      <c r="E3337" s="31">
        <v>-5.6</v>
      </c>
      <c r="F3337" s="31">
        <v>2183689500</v>
      </c>
    </row>
    <row r="3338" spans="1:6" ht="15" thickBot="1" x14ac:dyDescent="0.2">
      <c r="A3338" s="30" t="s">
        <v>12211</v>
      </c>
      <c r="B3338" s="26" t="str">
        <f t="shared" si="52"/>
        <v>000833</v>
      </c>
      <c r="C3338" s="30" t="s">
        <v>4496</v>
      </c>
      <c r="D3338" s="31">
        <v>4.8099999999999996</v>
      </c>
      <c r="E3338" s="31">
        <v>-1.64</v>
      </c>
      <c r="F3338" s="31">
        <v>2182306700</v>
      </c>
    </row>
    <row r="3339" spans="1:6" ht="15" thickBot="1" x14ac:dyDescent="0.2">
      <c r="A3339" s="30" t="s">
        <v>12212</v>
      </c>
      <c r="B3339" s="26" t="str">
        <f t="shared" si="52"/>
        <v>002418</v>
      </c>
      <c r="C3339" s="30" t="s">
        <v>6656</v>
      </c>
      <c r="D3339" s="31">
        <v>1.92</v>
      </c>
      <c r="E3339" s="31">
        <v>-1.54</v>
      </c>
      <c r="F3339" s="31">
        <v>2181888000</v>
      </c>
    </row>
    <row r="3340" spans="1:6" ht="15" thickBot="1" x14ac:dyDescent="0.2">
      <c r="A3340" s="30" t="s">
        <v>12213</v>
      </c>
      <c r="B3340" s="26" t="str">
        <f t="shared" si="52"/>
        <v>603538</v>
      </c>
      <c r="C3340" s="30" t="s">
        <v>6454</v>
      </c>
      <c r="D3340" s="31">
        <v>10.27</v>
      </c>
      <c r="E3340" s="31">
        <v>-3.3</v>
      </c>
      <c r="F3340" s="31">
        <v>2179892200</v>
      </c>
    </row>
    <row r="3341" spans="1:6" ht="15" thickBot="1" x14ac:dyDescent="0.2">
      <c r="A3341" s="30" t="s">
        <v>12214</v>
      </c>
      <c r="B3341" s="26" t="str">
        <f t="shared" si="52"/>
        <v>603836</v>
      </c>
      <c r="C3341" s="30" t="s">
        <v>12215</v>
      </c>
      <c r="D3341" s="31">
        <v>10.62</v>
      </c>
      <c r="E3341" s="31">
        <v>-1.21</v>
      </c>
      <c r="F3341" s="31">
        <v>2179598200</v>
      </c>
    </row>
    <row r="3342" spans="1:6" ht="15" thickBot="1" x14ac:dyDescent="0.2">
      <c r="A3342" s="30" t="s">
        <v>12216</v>
      </c>
      <c r="B3342" s="26" t="str">
        <f t="shared" si="52"/>
        <v>603980</v>
      </c>
      <c r="C3342" s="30" t="s">
        <v>6696</v>
      </c>
      <c r="D3342" s="31">
        <v>3.22</v>
      </c>
      <c r="E3342" s="31">
        <v>-1.53</v>
      </c>
      <c r="F3342" s="31">
        <v>2179403400</v>
      </c>
    </row>
    <row r="3343" spans="1:6" ht="15" thickBot="1" x14ac:dyDescent="0.2">
      <c r="A3343" s="30" t="s">
        <v>12217</v>
      </c>
      <c r="B3343" s="26" t="str">
        <f t="shared" si="52"/>
        <v>603898</v>
      </c>
      <c r="C3343" s="30" t="s">
        <v>6724</v>
      </c>
      <c r="D3343" s="31">
        <v>7</v>
      </c>
      <c r="E3343" s="31">
        <v>0.43</v>
      </c>
      <c r="F3343" s="31">
        <v>2178986700</v>
      </c>
    </row>
    <row r="3344" spans="1:6" ht="15" thickBot="1" x14ac:dyDescent="0.2">
      <c r="A3344" s="30" t="s">
        <v>12218</v>
      </c>
      <c r="B3344" s="26" t="str">
        <f t="shared" si="52"/>
        <v>002983</v>
      </c>
      <c r="C3344" s="30" t="s">
        <v>4731</v>
      </c>
      <c r="D3344" s="31">
        <v>17.010000000000002</v>
      </c>
      <c r="E3344" s="31">
        <v>-0.28999999999999998</v>
      </c>
      <c r="F3344" s="31">
        <v>2178965300</v>
      </c>
    </row>
    <row r="3345" spans="1:6" ht="15" thickBot="1" x14ac:dyDescent="0.2">
      <c r="A3345" s="30" t="s">
        <v>12219</v>
      </c>
      <c r="B3345" s="26" t="str">
        <f t="shared" si="52"/>
        <v>000677</v>
      </c>
      <c r="C3345" s="30" t="s">
        <v>6925</v>
      </c>
      <c r="D3345" s="31">
        <v>2.52</v>
      </c>
      <c r="E3345" s="31">
        <v>-4.91</v>
      </c>
      <c r="F3345" s="31">
        <v>2177224400</v>
      </c>
    </row>
    <row r="3346" spans="1:6" ht="15" thickBot="1" x14ac:dyDescent="0.2">
      <c r="A3346" s="30" t="s">
        <v>12220</v>
      </c>
      <c r="B3346" s="26" t="str">
        <f t="shared" si="52"/>
        <v>300266</v>
      </c>
      <c r="C3346" s="30" t="s">
        <v>6865</v>
      </c>
      <c r="D3346" s="31">
        <v>1.4</v>
      </c>
      <c r="E3346" s="31">
        <v>-5.41</v>
      </c>
      <c r="F3346" s="31">
        <v>2174536200</v>
      </c>
    </row>
    <row r="3347" spans="1:6" ht="15" thickBot="1" x14ac:dyDescent="0.2">
      <c r="A3347" s="30" t="s">
        <v>12221</v>
      </c>
      <c r="B3347" s="26" t="str">
        <f t="shared" si="52"/>
        <v>836077</v>
      </c>
      <c r="C3347" s="30" t="s">
        <v>12222</v>
      </c>
      <c r="D3347" s="31">
        <v>6.86</v>
      </c>
      <c r="E3347" s="31">
        <v>-3.38</v>
      </c>
      <c r="F3347" s="31">
        <v>2174323800</v>
      </c>
    </row>
    <row r="3348" spans="1:6" ht="15" thickBot="1" x14ac:dyDescent="0.2">
      <c r="A3348" s="30" t="s">
        <v>12223</v>
      </c>
      <c r="B3348" s="26" t="str">
        <f t="shared" si="52"/>
        <v>600419</v>
      </c>
      <c r="C3348" s="30" t="s">
        <v>6682</v>
      </c>
      <c r="D3348" s="31">
        <v>6.79</v>
      </c>
      <c r="E3348" s="31">
        <v>-1.45</v>
      </c>
      <c r="F3348" s="31">
        <v>2174091800</v>
      </c>
    </row>
    <row r="3349" spans="1:6" ht="15" thickBot="1" x14ac:dyDescent="0.2">
      <c r="A3349" s="30" t="s">
        <v>12224</v>
      </c>
      <c r="B3349" s="26" t="str">
        <f t="shared" si="52"/>
        <v>603755</v>
      </c>
      <c r="C3349" s="30" t="s">
        <v>6660</v>
      </c>
      <c r="D3349" s="31">
        <v>22</v>
      </c>
      <c r="E3349" s="31">
        <v>-2.66</v>
      </c>
      <c r="F3349" s="31">
        <v>2169501000</v>
      </c>
    </row>
    <row r="3350" spans="1:6" ht="15" thickBot="1" x14ac:dyDescent="0.2">
      <c r="A3350" s="30" t="s">
        <v>12225</v>
      </c>
      <c r="B3350" s="26" t="str">
        <f t="shared" si="52"/>
        <v>000055</v>
      </c>
      <c r="C3350" s="30" t="s">
        <v>5924</v>
      </c>
      <c r="D3350" s="31">
        <v>3.21</v>
      </c>
      <c r="E3350" s="31">
        <v>-1.84</v>
      </c>
      <c r="F3350" s="31">
        <v>2169492700</v>
      </c>
    </row>
    <row r="3351" spans="1:6" ht="15" thickBot="1" x14ac:dyDescent="0.2">
      <c r="A3351" s="30" t="s">
        <v>12226</v>
      </c>
      <c r="B3351" s="26" t="str">
        <f t="shared" si="52"/>
        <v>002177</v>
      </c>
      <c r="C3351" s="30" t="s">
        <v>6334</v>
      </c>
      <c r="D3351" s="31">
        <v>3.24</v>
      </c>
      <c r="E3351" s="31">
        <v>0.62</v>
      </c>
      <c r="F3351" s="31">
        <v>2168240800</v>
      </c>
    </row>
    <row r="3352" spans="1:6" ht="15" thickBot="1" x14ac:dyDescent="0.2">
      <c r="A3352" s="30" t="s">
        <v>12227</v>
      </c>
      <c r="B3352" s="26" t="str">
        <f t="shared" si="52"/>
        <v>300696</v>
      </c>
      <c r="C3352" s="30" t="s">
        <v>4903</v>
      </c>
      <c r="D3352" s="31">
        <v>11.63</v>
      </c>
      <c r="E3352" s="31">
        <v>-0.85</v>
      </c>
      <c r="F3352" s="31">
        <v>2168161100</v>
      </c>
    </row>
    <row r="3353" spans="1:6" ht="15" thickBot="1" x14ac:dyDescent="0.2">
      <c r="A3353" s="30" t="s">
        <v>12228</v>
      </c>
      <c r="B3353" s="26" t="str">
        <f t="shared" si="52"/>
        <v>300386</v>
      </c>
      <c r="C3353" s="30" t="s">
        <v>4602</v>
      </c>
      <c r="D3353" s="31">
        <v>8.73</v>
      </c>
      <c r="E3353" s="31">
        <v>1.87</v>
      </c>
      <c r="F3353" s="31">
        <v>2166918300</v>
      </c>
    </row>
    <row r="3354" spans="1:6" ht="15" thickBot="1" x14ac:dyDescent="0.2">
      <c r="A3354" s="30" t="s">
        <v>12229</v>
      </c>
      <c r="B3354" s="26" t="str">
        <f t="shared" si="52"/>
        <v>002735</v>
      </c>
      <c r="C3354" s="30" t="s">
        <v>5294</v>
      </c>
      <c r="D3354" s="31">
        <v>7.72</v>
      </c>
      <c r="E3354" s="31">
        <v>-2.0299999999999998</v>
      </c>
      <c r="F3354" s="31">
        <v>2166199700</v>
      </c>
    </row>
    <row r="3355" spans="1:6" ht="15" thickBot="1" x14ac:dyDescent="0.2">
      <c r="A3355" s="30" t="s">
        <v>12230</v>
      </c>
      <c r="B3355" s="26" t="str">
        <f t="shared" si="52"/>
        <v>300190</v>
      </c>
      <c r="C3355" s="30" t="s">
        <v>6783</v>
      </c>
      <c r="D3355" s="31">
        <v>2.79</v>
      </c>
      <c r="E3355" s="31">
        <v>-3.46</v>
      </c>
      <c r="F3355" s="31">
        <v>2165513000</v>
      </c>
    </row>
    <row r="3356" spans="1:6" ht="15" thickBot="1" x14ac:dyDescent="0.2">
      <c r="A3356" s="30" t="s">
        <v>12231</v>
      </c>
      <c r="B3356" s="26" t="str">
        <f t="shared" si="52"/>
        <v>000504</v>
      </c>
      <c r="C3356" s="30" t="s">
        <v>6182</v>
      </c>
      <c r="D3356" s="31">
        <v>6.97</v>
      </c>
      <c r="E3356" s="31">
        <v>-4.3899999999999997</v>
      </c>
      <c r="F3356" s="31">
        <v>2165360800</v>
      </c>
    </row>
    <row r="3357" spans="1:6" ht="15" thickBot="1" x14ac:dyDescent="0.2">
      <c r="A3357" s="30" t="s">
        <v>12232</v>
      </c>
      <c r="B3357" s="26" t="str">
        <f t="shared" si="52"/>
        <v>300513</v>
      </c>
      <c r="C3357" s="30" t="s">
        <v>6522</v>
      </c>
      <c r="D3357" s="31">
        <v>7.69</v>
      </c>
      <c r="E3357" s="31">
        <v>3.36</v>
      </c>
      <c r="F3357" s="31">
        <v>2164249000</v>
      </c>
    </row>
    <row r="3358" spans="1:6" ht="15" thickBot="1" x14ac:dyDescent="0.2">
      <c r="A3358" s="30" t="s">
        <v>12233</v>
      </c>
      <c r="B3358" s="26" t="str">
        <f t="shared" si="52"/>
        <v>002234</v>
      </c>
      <c r="C3358" s="30" t="s">
        <v>6098</v>
      </c>
      <c r="D3358" s="31">
        <v>7.18</v>
      </c>
      <c r="E3358" s="31">
        <v>-3.5</v>
      </c>
      <c r="F3358" s="31">
        <v>2164114000</v>
      </c>
    </row>
    <row r="3359" spans="1:6" ht="15" thickBot="1" x14ac:dyDescent="0.2">
      <c r="A3359" s="30" t="s">
        <v>12234</v>
      </c>
      <c r="B3359" s="26" t="str">
        <f t="shared" si="52"/>
        <v>003032</v>
      </c>
      <c r="C3359" s="30" t="s">
        <v>5246</v>
      </c>
      <c r="D3359" s="31">
        <v>7.91</v>
      </c>
      <c r="E3359" s="31">
        <v>-1.37</v>
      </c>
      <c r="F3359" s="31">
        <v>2163135300</v>
      </c>
    </row>
    <row r="3360" spans="1:6" ht="15" thickBot="1" x14ac:dyDescent="0.2">
      <c r="A3360" s="30" t="s">
        <v>12235</v>
      </c>
      <c r="B3360" s="26" t="str">
        <f t="shared" si="52"/>
        <v>603037</v>
      </c>
      <c r="C3360" s="30" t="s">
        <v>6680</v>
      </c>
      <c r="D3360" s="31">
        <v>11.37</v>
      </c>
      <c r="E3360" s="31">
        <v>-0.18</v>
      </c>
      <c r="F3360" s="31">
        <v>2161867000</v>
      </c>
    </row>
    <row r="3361" spans="1:6" ht="15" thickBot="1" x14ac:dyDescent="0.2">
      <c r="A3361" s="30" t="s">
        <v>12236</v>
      </c>
      <c r="B3361" s="26" t="str">
        <f t="shared" si="52"/>
        <v>300571</v>
      </c>
      <c r="C3361" s="30" t="s">
        <v>5876</v>
      </c>
      <c r="D3361" s="31">
        <v>18.690000000000001</v>
      </c>
      <c r="E3361" s="31">
        <v>-2.1</v>
      </c>
      <c r="F3361" s="31">
        <v>2160786300</v>
      </c>
    </row>
    <row r="3362" spans="1:6" ht="15" thickBot="1" x14ac:dyDescent="0.2">
      <c r="A3362" s="30" t="s">
        <v>12237</v>
      </c>
      <c r="B3362" s="26" t="str">
        <f t="shared" si="52"/>
        <v>688259</v>
      </c>
      <c r="C3362" s="30" t="s">
        <v>12238</v>
      </c>
      <c r="D3362" s="31">
        <v>26.76</v>
      </c>
      <c r="E3362" s="31">
        <v>-1.8</v>
      </c>
      <c r="F3362" s="31">
        <v>2160718000</v>
      </c>
    </row>
    <row r="3363" spans="1:6" ht="15" thickBot="1" x14ac:dyDescent="0.2">
      <c r="A3363" s="30" t="s">
        <v>12239</v>
      </c>
      <c r="B3363" s="26" t="str">
        <f t="shared" si="52"/>
        <v>600359</v>
      </c>
      <c r="C3363" s="30" t="s">
        <v>6825</v>
      </c>
      <c r="D3363" s="31">
        <v>5.66</v>
      </c>
      <c r="E3363" s="31">
        <v>-2.92</v>
      </c>
      <c r="F3363" s="31">
        <v>2159362600</v>
      </c>
    </row>
    <row r="3364" spans="1:6" ht="15" thickBot="1" x14ac:dyDescent="0.2">
      <c r="A3364" s="30" t="s">
        <v>12240</v>
      </c>
      <c r="B3364" s="26" t="str">
        <f t="shared" si="52"/>
        <v>603956</v>
      </c>
      <c r="C3364" s="30" t="s">
        <v>6574</v>
      </c>
      <c r="D3364" s="31">
        <v>4.26</v>
      </c>
      <c r="E3364" s="31">
        <v>-3.84</v>
      </c>
      <c r="F3364" s="31">
        <v>2158541000</v>
      </c>
    </row>
    <row r="3365" spans="1:6" ht="15" thickBot="1" x14ac:dyDescent="0.2">
      <c r="A3365" s="30" t="s">
        <v>12241</v>
      </c>
      <c r="B3365" s="26" t="str">
        <f t="shared" si="52"/>
        <v>300448</v>
      </c>
      <c r="C3365" s="30" t="s">
        <v>5457</v>
      </c>
      <c r="D3365" s="31">
        <v>4.3899999999999997</v>
      </c>
      <c r="E3365" s="31">
        <v>-2.0099999999999998</v>
      </c>
      <c r="F3365" s="31">
        <v>2158419100</v>
      </c>
    </row>
    <row r="3366" spans="1:6" ht="15" thickBot="1" x14ac:dyDescent="0.2">
      <c r="A3366" s="30" t="s">
        <v>12242</v>
      </c>
      <c r="B3366" s="26" t="str">
        <f t="shared" si="52"/>
        <v>300453</v>
      </c>
      <c r="C3366" s="30" t="s">
        <v>5280</v>
      </c>
      <c r="D3366" s="31">
        <v>6.08</v>
      </c>
      <c r="E3366" s="31">
        <v>0.33</v>
      </c>
      <c r="F3366" s="31">
        <v>2157895500</v>
      </c>
    </row>
    <row r="3367" spans="1:6" ht="15" thickBot="1" x14ac:dyDescent="0.2">
      <c r="A3367" s="30" t="s">
        <v>12243</v>
      </c>
      <c r="B3367" s="26" t="str">
        <f t="shared" si="52"/>
        <v>002175</v>
      </c>
      <c r="C3367" s="30" t="s">
        <v>6799</v>
      </c>
      <c r="D3367" s="31">
        <v>1.69</v>
      </c>
      <c r="E3367" s="31">
        <v>-2.87</v>
      </c>
      <c r="F3367" s="31">
        <v>2157746800</v>
      </c>
    </row>
    <row r="3368" spans="1:6" ht="15" thickBot="1" x14ac:dyDescent="0.2">
      <c r="A3368" s="30" t="s">
        <v>12244</v>
      </c>
      <c r="B3368" s="26" t="str">
        <f t="shared" si="52"/>
        <v>002380</v>
      </c>
      <c r="C3368" s="30" t="s">
        <v>4767</v>
      </c>
      <c r="D3368" s="31">
        <v>15.17</v>
      </c>
      <c r="E3368" s="31">
        <v>0.13</v>
      </c>
      <c r="F3368" s="31">
        <v>2157234500</v>
      </c>
    </row>
    <row r="3369" spans="1:6" ht="15" thickBot="1" x14ac:dyDescent="0.2">
      <c r="A3369" s="30" t="s">
        <v>12245</v>
      </c>
      <c r="B3369" s="26" t="str">
        <f t="shared" si="52"/>
        <v>600624</v>
      </c>
      <c r="C3369" s="30" t="s">
        <v>6710</v>
      </c>
      <c r="D3369" s="31">
        <v>3.15</v>
      </c>
      <c r="E3369" s="31">
        <v>-2.17</v>
      </c>
      <c r="F3369" s="31">
        <v>2156842800</v>
      </c>
    </row>
    <row r="3370" spans="1:6" ht="15" thickBot="1" x14ac:dyDescent="0.2">
      <c r="A3370" s="30" t="s">
        <v>12246</v>
      </c>
      <c r="B3370" s="26" t="str">
        <f t="shared" si="52"/>
        <v>301259</v>
      </c>
      <c r="C3370" s="30" t="s">
        <v>12247</v>
      </c>
      <c r="D3370" s="31">
        <v>26.5</v>
      </c>
      <c r="E3370" s="31">
        <v>-2.82</v>
      </c>
      <c r="F3370" s="31">
        <v>2156299400</v>
      </c>
    </row>
    <row r="3371" spans="1:6" ht="15" thickBot="1" x14ac:dyDescent="0.2">
      <c r="A3371" s="30" t="s">
        <v>12248</v>
      </c>
      <c r="B3371" s="26" t="str">
        <f t="shared" si="52"/>
        <v>301332</v>
      </c>
      <c r="C3371" s="30" t="s">
        <v>12249</v>
      </c>
      <c r="D3371" s="31">
        <v>8.14</v>
      </c>
      <c r="E3371" s="31">
        <v>-0.73</v>
      </c>
      <c r="F3371" s="31">
        <v>2156265700</v>
      </c>
    </row>
    <row r="3372" spans="1:6" ht="15" thickBot="1" x14ac:dyDescent="0.2">
      <c r="A3372" s="30" t="s">
        <v>12250</v>
      </c>
      <c r="B3372" s="26" t="str">
        <f t="shared" si="52"/>
        <v>300887</v>
      </c>
      <c r="C3372" s="30" t="s">
        <v>5090</v>
      </c>
      <c r="D3372" s="31">
        <v>5.95</v>
      </c>
      <c r="E3372" s="31">
        <v>-1.65</v>
      </c>
      <c r="F3372" s="31">
        <v>2154903100</v>
      </c>
    </row>
    <row r="3373" spans="1:6" ht="15" thickBot="1" x14ac:dyDescent="0.2">
      <c r="A3373" s="30" t="s">
        <v>12251</v>
      </c>
      <c r="B3373" s="26" t="str">
        <f t="shared" si="52"/>
        <v>688020</v>
      </c>
      <c r="C3373" s="30" t="s">
        <v>6658</v>
      </c>
      <c r="D3373" s="31">
        <v>26.7</v>
      </c>
      <c r="E3373" s="31">
        <v>-1.26</v>
      </c>
      <c r="F3373" s="31">
        <v>2153875300</v>
      </c>
    </row>
    <row r="3374" spans="1:6" ht="15" thickBot="1" x14ac:dyDescent="0.2">
      <c r="A3374" s="30" t="s">
        <v>12252</v>
      </c>
      <c r="B3374" s="26" t="str">
        <f t="shared" si="52"/>
        <v>688499</v>
      </c>
      <c r="C3374" s="30" t="s">
        <v>6542</v>
      </c>
      <c r="D3374" s="31">
        <v>17.41</v>
      </c>
      <c r="E3374" s="31">
        <v>-2.2999999999999998</v>
      </c>
      <c r="F3374" s="31">
        <v>2152334400</v>
      </c>
    </row>
    <row r="3375" spans="1:6" ht="15" thickBot="1" x14ac:dyDescent="0.2">
      <c r="A3375" s="30" t="s">
        <v>12253</v>
      </c>
      <c r="B3375" s="26" t="str">
        <f t="shared" si="52"/>
        <v>603808</v>
      </c>
      <c r="C3375" s="30" t="s">
        <v>6726</v>
      </c>
      <c r="D3375" s="31">
        <v>5.83</v>
      </c>
      <c r="E3375" s="31">
        <v>-1.19</v>
      </c>
      <c r="F3375" s="31">
        <v>2151811500</v>
      </c>
    </row>
    <row r="3376" spans="1:6" ht="15" thickBot="1" x14ac:dyDescent="0.2">
      <c r="A3376" s="30" t="s">
        <v>12254</v>
      </c>
      <c r="B3376" s="26" t="str">
        <f t="shared" si="52"/>
        <v>603527</v>
      </c>
      <c r="C3376" s="30" t="s">
        <v>6746</v>
      </c>
      <c r="D3376" s="31">
        <v>6.78</v>
      </c>
      <c r="E3376" s="31">
        <v>-1.02</v>
      </c>
      <c r="F3376" s="31">
        <v>2149064700</v>
      </c>
    </row>
    <row r="3377" spans="1:6" ht="15" thickBot="1" x14ac:dyDescent="0.2">
      <c r="A3377" s="30" t="s">
        <v>12255</v>
      </c>
      <c r="B3377" s="26" t="str">
        <f t="shared" si="52"/>
        <v>002313</v>
      </c>
      <c r="C3377" s="30" t="s">
        <v>6738</v>
      </c>
      <c r="D3377" s="31">
        <v>5.74</v>
      </c>
      <c r="E3377" s="31">
        <v>-2.5499999999999998</v>
      </c>
      <c r="F3377" s="31">
        <v>2149034000</v>
      </c>
    </row>
    <row r="3378" spans="1:6" ht="15" thickBot="1" x14ac:dyDescent="0.2">
      <c r="A3378" s="30" t="s">
        <v>12256</v>
      </c>
      <c r="B3378" s="26" t="str">
        <f t="shared" si="52"/>
        <v>688039</v>
      </c>
      <c r="C3378" s="30" t="s">
        <v>6608</v>
      </c>
      <c r="D3378" s="31">
        <v>19.2</v>
      </c>
      <c r="E3378" s="31">
        <v>-4.9000000000000004</v>
      </c>
      <c r="F3378" s="31">
        <v>2148804600</v>
      </c>
    </row>
    <row r="3379" spans="1:6" ht="15" thickBot="1" x14ac:dyDescent="0.2">
      <c r="A3379" s="30" t="s">
        <v>12257</v>
      </c>
      <c r="B3379" s="26" t="str">
        <f t="shared" si="52"/>
        <v>605555</v>
      </c>
      <c r="C3379" s="30" t="s">
        <v>12258</v>
      </c>
      <c r="D3379" s="31">
        <v>15.83</v>
      </c>
      <c r="E3379" s="31">
        <v>-0.13</v>
      </c>
      <c r="F3379" s="31">
        <v>2148105900</v>
      </c>
    </row>
    <row r="3380" spans="1:6" ht="15" thickBot="1" x14ac:dyDescent="0.2">
      <c r="A3380" s="30" t="s">
        <v>12259</v>
      </c>
      <c r="B3380" s="26" t="str">
        <f t="shared" si="52"/>
        <v>600250</v>
      </c>
      <c r="C3380" s="30" t="s">
        <v>6548</v>
      </c>
      <c r="D3380" s="31">
        <v>7.56</v>
      </c>
      <c r="E3380" s="31">
        <v>-0.53</v>
      </c>
      <c r="F3380" s="31">
        <v>2147962600</v>
      </c>
    </row>
    <row r="3381" spans="1:6" ht="15" thickBot="1" x14ac:dyDescent="0.2">
      <c r="A3381" s="30" t="s">
        <v>12260</v>
      </c>
      <c r="B3381" s="26" t="str">
        <f t="shared" si="52"/>
        <v>688293</v>
      </c>
      <c r="C3381" s="30" t="s">
        <v>12261</v>
      </c>
      <c r="D3381" s="31">
        <v>27.3</v>
      </c>
      <c r="E3381" s="31">
        <v>5.57</v>
      </c>
      <c r="F3381" s="31">
        <v>2146681300</v>
      </c>
    </row>
    <row r="3382" spans="1:6" ht="15" thickBot="1" x14ac:dyDescent="0.2">
      <c r="A3382" s="30" t="s">
        <v>12262</v>
      </c>
      <c r="B3382" s="26" t="str">
        <f t="shared" si="52"/>
        <v>300533</v>
      </c>
      <c r="C3382" s="30" t="s">
        <v>5252</v>
      </c>
      <c r="D3382" s="31">
        <v>13.03</v>
      </c>
      <c r="E3382" s="31">
        <v>-2.1800000000000002</v>
      </c>
      <c r="F3382" s="31">
        <v>2146530400</v>
      </c>
    </row>
    <row r="3383" spans="1:6" ht="15" thickBot="1" x14ac:dyDescent="0.2">
      <c r="A3383" s="30" t="s">
        <v>12263</v>
      </c>
      <c r="B3383" s="26" t="str">
        <f t="shared" si="52"/>
        <v>301061</v>
      </c>
      <c r="C3383" s="30" t="s">
        <v>12264</v>
      </c>
      <c r="D3383" s="31">
        <v>51.56</v>
      </c>
      <c r="E3383" s="31">
        <v>0.64</v>
      </c>
      <c r="F3383" s="31">
        <v>2144896000</v>
      </c>
    </row>
    <row r="3384" spans="1:6" ht="15" thickBot="1" x14ac:dyDescent="0.2">
      <c r="A3384" s="30" t="s">
        <v>12265</v>
      </c>
      <c r="B3384" s="26" t="str">
        <f t="shared" si="52"/>
        <v>000782</v>
      </c>
      <c r="C3384" s="30" t="s">
        <v>5762</v>
      </c>
      <c r="D3384" s="31">
        <v>4.0599999999999996</v>
      </c>
      <c r="E3384" s="31">
        <v>0</v>
      </c>
      <c r="F3384" s="31">
        <v>2144246900</v>
      </c>
    </row>
    <row r="3385" spans="1:6" ht="15" thickBot="1" x14ac:dyDescent="0.2">
      <c r="A3385" s="30" t="s">
        <v>12266</v>
      </c>
      <c r="B3385" s="26" t="str">
        <f t="shared" si="52"/>
        <v>002734</v>
      </c>
      <c r="C3385" s="30" t="s">
        <v>6150</v>
      </c>
      <c r="D3385" s="31">
        <v>6.6</v>
      </c>
      <c r="E3385" s="31">
        <v>-2.2200000000000002</v>
      </c>
      <c r="F3385" s="31">
        <v>2143818700</v>
      </c>
    </row>
    <row r="3386" spans="1:6" ht="15" thickBot="1" x14ac:dyDescent="0.2">
      <c r="A3386" s="30" t="s">
        <v>12267</v>
      </c>
      <c r="B3386" s="26" t="str">
        <f t="shared" si="52"/>
        <v>002286</v>
      </c>
      <c r="C3386" s="30" t="s">
        <v>6712</v>
      </c>
      <c r="D3386" s="31">
        <v>5.8</v>
      </c>
      <c r="E3386" s="31">
        <v>-0.69</v>
      </c>
      <c r="F3386" s="31">
        <v>2143628000</v>
      </c>
    </row>
    <row r="3387" spans="1:6" ht="15" thickBot="1" x14ac:dyDescent="0.2">
      <c r="A3387" s="30" t="s">
        <v>12268</v>
      </c>
      <c r="B3387" s="26" t="str">
        <f t="shared" si="52"/>
        <v>002875</v>
      </c>
      <c r="C3387" s="30" t="s">
        <v>6358</v>
      </c>
      <c r="D3387" s="31">
        <v>11.75</v>
      </c>
      <c r="E3387" s="31">
        <v>0.43</v>
      </c>
      <c r="F3387" s="31">
        <v>2143437000</v>
      </c>
    </row>
    <row r="3388" spans="1:6" ht="15" thickBot="1" x14ac:dyDescent="0.2">
      <c r="A3388" s="30" t="s">
        <v>12269</v>
      </c>
      <c r="B3388" s="26" t="str">
        <f t="shared" si="52"/>
        <v>600721</v>
      </c>
      <c r="C3388" s="30" t="s">
        <v>6793</v>
      </c>
      <c r="D3388" s="31">
        <v>5.61</v>
      </c>
      <c r="E3388" s="31">
        <v>-2.09</v>
      </c>
      <c r="F3388" s="31">
        <v>2142982200</v>
      </c>
    </row>
    <row r="3389" spans="1:6" ht="15" thickBot="1" x14ac:dyDescent="0.2">
      <c r="A3389" s="30" t="s">
        <v>12270</v>
      </c>
      <c r="B3389" s="26" t="str">
        <f t="shared" si="52"/>
        <v>300477</v>
      </c>
      <c r="C3389" s="30" t="s">
        <v>6116</v>
      </c>
      <c r="D3389" s="31">
        <v>2.29</v>
      </c>
      <c r="E3389" s="31">
        <v>-2.5499999999999998</v>
      </c>
      <c r="F3389" s="31">
        <v>2142244900</v>
      </c>
    </row>
    <row r="3390" spans="1:6" ht="15" thickBot="1" x14ac:dyDescent="0.2">
      <c r="A3390" s="30" t="s">
        <v>12271</v>
      </c>
      <c r="B3390" s="26" t="str">
        <f t="shared" si="52"/>
        <v>603776</v>
      </c>
      <c r="C3390" s="30" t="s">
        <v>6736</v>
      </c>
      <c r="D3390" s="31">
        <v>9.33</v>
      </c>
      <c r="E3390" s="31">
        <v>-0.43</v>
      </c>
      <c r="F3390" s="31">
        <v>2141013200</v>
      </c>
    </row>
    <row r="3391" spans="1:6" ht="15" thickBot="1" x14ac:dyDescent="0.2">
      <c r="A3391" s="30" t="s">
        <v>12272</v>
      </c>
      <c r="B3391" s="26" t="str">
        <f t="shared" si="52"/>
        <v>688678</v>
      </c>
      <c r="C3391" s="30" t="s">
        <v>6791</v>
      </c>
      <c r="D3391" s="31">
        <v>8.8000000000000007</v>
      </c>
      <c r="E3391" s="31">
        <v>-2.0099999999999998</v>
      </c>
      <c r="F3391" s="31">
        <v>2139843700</v>
      </c>
    </row>
    <row r="3392" spans="1:6" ht="15" thickBot="1" x14ac:dyDescent="0.2">
      <c r="A3392" s="30" t="s">
        <v>12273</v>
      </c>
      <c r="B3392" s="26" t="str">
        <f t="shared" si="52"/>
        <v>301028</v>
      </c>
      <c r="C3392" s="30" t="s">
        <v>5096</v>
      </c>
      <c r="D3392" s="31">
        <v>8.69</v>
      </c>
      <c r="E3392" s="31">
        <v>0.12</v>
      </c>
      <c r="F3392" s="31">
        <v>2139337800</v>
      </c>
    </row>
    <row r="3393" spans="1:6" ht="15" thickBot="1" x14ac:dyDescent="0.2">
      <c r="A3393" s="30" t="s">
        <v>12274</v>
      </c>
      <c r="B3393" s="26" t="str">
        <f t="shared" si="52"/>
        <v>000533</v>
      </c>
      <c r="C3393" s="30" t="s">
        <v>6797</v>
      </c>
      <c r="D3393" s="31">
        <v>3.12</v>
      </c>
      <c r="E3393" s="31">
        <v>-0.32</v>
      </c>
      <c r="F3393" s="31">
        <v>2136895500</v>
      </c>
    </row>
    <row r="3394" spans="1:6" ht="15" thickBot="1" x14ac:dyDescent="0.2">
      <c r="A3394" s="30" t="s">
        <v>12275</v>
      </c>
      <c r="B3394" s="26" t="str">
        <f t="shared" si="52"/>
        <v>605580</v>
      </c>
      <c r="C3394" s="30" t="s">
        <v>12276</v>
      </c>
      <c r="D3394" s="31">
        <v>7.63</v>
      </c>
      <c r="E3394" s="31">
        <v>0.66</v>
      </c>
      <c r="F3394" s="31">
        <v>2136400000</v>
      </c>
    </row>
    <row r="3395" spans="1:6" ht="15" thickBot="1" x14ac:dyDescent="0.2">
      <c r="A3395" s="30" t="s">
        <v>12277</v>
      </c>
      <c r="B3395" s="26" t="str">
        <f t="shared" ref="B3395:B3458" si="53">LEFT(A3395,6)</f>
        <v>688338</v>
      </c>
      <c r="C3395" s="30" t="s">
        <v>6758</v>
      </c>
      <c r="D3395" s="31">
        <v>20.12</v>
      </c>
      <c r="E3395" s="31">
        <v>0.05</v>
      </c>
      <c r="F3395" s="31">
        <v>2135585100</v>
      </c>
    </row>
    <row r="3396" spans="1:6" ht="15" thickBot="1" x14ac:dyDescent="0.2">
      <c r="A3396" s="30" t="s">
        <v>12278</v>
      </c>
      <c r="B3396" s="26" t="str">
        <f t="shared" si="53"/>
        <v>300192</v>
      </c>
      <c r="C3396" s="30" t="s">
        <v>4966</v>
      </c>
      <c r="D3396" s="31">
        <v>10.16</v>
      </c>
      <c r="E3396" s="31">
        <v>0.2</v>
      </c>
      <c r="F3396" s="31">
        <v>2135335600</v>
      </c>
    </row>
    <row r="3397" spans="1:6" ht="15" thickBot="1" x14ac:dyDescent="0.2">
      <c r="A3397" s="30" t="s">
        <v>12279</v>
      </c>
      <c r="B3397" s="26" t="str">
        <f t="shared" si="53"/>
        <v>301368</v>
      </c>
      <c r="C3397" s="30" t="s">
        <v>12280</v>
      </c>
      <c r="D3397" s="31">
        <v>33.29</v>
      </c>
      <c r="E3397" s="31">
        <v>0.79</v>
      </c>
      <c r="F3397" s="31">
        <v>2134602700</v>
      </c>
    </row>
    <row r="3398" spans="1:6" ht="15" thickBot="1" x14ac:dyDescent="0.2">
      <c r="A3398" s="30" t="s">
        <v>12281</v>
      </c>
      <c r="B3398" s="26" t="str">
        <f t="shared" si="53"/>
        <v>301033</v>
      </c>
      <c r="C3398" s="30" t="s">
        <v>6058</v>
      </c>
      <c r="D3398" s="31">
        <v>38.35</v>
      </c>
      <c r="E3398" s="31">
        <v>-0.08</v>
      </c>
      <c r="F3398" s="31">
        <v>2134217800</v>
      </c>
    </row>
    <row r="3399" spans="1:6" ht="15" thickBot="1" x14ac:dyDescent="0.2">
      <c r="A3399" s="30" t="s">
        <v>12282</v>
      </c>
      <c r="B3399" s="26" t="str">
        <f t="shared" si="53"/>
        <v>300272</v>
      </c>
      <c r="C3399" s="30" t="s">
        <v>5631</v>
      </c>
      <c r="D3399" s="31">
        <v>4.95</v>
      </c>
      <c r="E3399" s="31">
        <v>-3.88</v>
      </c>
      <c r="F3399" s="31">
        <v>2134046200</v>
      </c>
    </row>
    <row r="3400" spans="1:6" ht="15" thickBot="1" x14ac:dyDescent="0.2">
      <c r="A3400" s="30" t="s">
        <v>12283</v>
      </c>
      <c r="B3400" s="26" t="str">
        <f t="shared" si="53"/>
        <v>001201</v>
      </c>
      <c r="C3400" s="30" t="s">
        <v>12284</v>
      </c>
      <c r="D3400" s="31">
        <v>13.67</v>
      </c>
      <c r="E3400" s="31">
        <v>-3.12</v>
      </c>
      <c r="F3400" s="31">
        <v>2133249800</v>
      </c>
    </row>
    <row r="3401" spans="1:6" ht="15" thickBot="1" x14ac:dyDescent="0.2">
      <c r="A3401" s="30" t="s">
        <v>12285</v>
      </c>
      <c r="B3401" s="26" t="str">
        <f t="shared" si="53"/>
        <v>000678</v>
      </c>
      <c r="C3401" s="30" t="s">
        <v>6991</v>
      </c>
      <c r="D3401" s="31">
        <v>4.6399999999999997</v>
      </c>
      <c r="E3401" s="31">
        <v>-4.53</v>
      </c>
      <c r="F3401" s="31">
        <v>2132598700</v>
      </c>
    </row>
    <row r="3402" spans="1:6" ht="15" thickBot="1" x14ac:dyDescent="0.2">
      <c r="A3402" s="30" t="s">
        <v>12286</v>
      </c>
      <c r="B3402" s="26" t="str">
        <f t="shared" si="53"/>
        <v>000701</v>
      </c>
      <c r="C3402" s="30" t="s">
        <v>6628</v>
      </c>
      <c r="D3402" s="31">
        <v>3.33</v>
      </c>
      <c r="E3402" s="31">
        <v>-1.48</v>
      </c>
      <c r="F3402" s="31">
        <v>2132248600</v>
      </c>
    </row>
    <row r="3403" spans="1:6" ht="15" thickBot="1" x14ac:dyDescent="0.2">
      <c r="A3403" s="30" t="s">
        <v>12287</v>
      </c>
      <c r="B3403" s="26" t="str">
        <f t="shared" si="53"/>
        <v>688478</v>
      </c>
      <c r="C3403" s="30" t="s">
        <v>12288</v>
      </c>
      <c r="D3403" s="31">
        <v>21.8</v>
      </c>
      <c r="E3403" s="31">
        <v>1.58</v>
      </c>
      <c r="F3403" s="31">
        <v>2132241300</v>
      </c>
    </row>
    <row r="3404" spans="1:6" ht="15" thickBot="1" x14ac:dyDescent="0.2">
      <c r="A3404" s="30" t="s">
        <v>12289</v>
      </c>
      <c r="B3404" s="26" t="str">
        <f t="shared" si="53"/>
        <v>002187</v>
      </c>
      <c r="C3404" s="30" t="s">
        <v>5587</v>
      </c>
      <c r="D3404" s="31">
        <v>4.12</v>
      </c>
      <c r="E3404" s="31">
        <v>-1.44</v>
      </c>
      <c r="F3404" s="31">
        <v>2130497200</v>
      </c>
    </row>
    <row r="3405" spans="1:6" ht="15" thickBot="1" x14ac:dyDescent="0.2">
      <c r="A3405" s="30" t="s">
        <v>12290</v>
      </c>
      <c r="B3405" s="26" t="str">
        <f t="shared" si="53"/>
        <v>688468</v>
      </c>
      <c r="C3405" s="30" t="s">
        <v>6694</v>
      </c>
      <c r="D3405" s="31">
        <v>5.31</v>
      </c>
      <c r="E3405" s="31">
        <v>-3.8</v>
      </c>
      <c r="F3405" s="31">
        <v>2129883500</v>
      </c>
    </row>
    <row r="3406" spans="1:6" ht="15" thickBot="1" x14ac:dyDescent="0.2">
      <c r="A3406" s="30" t="s">
        <v>12291</v>
      </c>
      <c r="B3406" s="26" t="str">
        <f t="shared" si="53"/>
        <v>688358</v>
      </c>
      <c r="C3406" s="30" t="s">
        <v>6670</v>
      </c>
      <c r="D3406" s="31">
        <v>18.989999999999998</v>
      </c>
      <c r="E3406" s="31">
        <v>-1.96</v>
      </c>
      <c r="F3406" s="31">
        <v>2129245000</v>
      </c>
    </row>
    <row r="3407" spans="1:6" ht="15" thickBot="1" x14ac:dyDescent="0.2">
      <c r="A3407" s="30" t="s">
        <v>12292</v>
      </c>
      <c r="B3407" s="26" t="str">
        <f t="shared" si="53"/>
        <v>603289</v>
      </c>
      <c r="C3407" s="30" t="s">
        <v>6722</v>
      </c>
      <c r="D3407" s="31">
        <v>7.26</v>
      </c>
      <c r="E3407" s="31">
        <v>-0.41</v>
      </c>
      <c r="F3407" s="31">
        <v>2128785900</v>
      </c>
    </row>
    <row r="3408" spans="1:6" ht="15" thickBot="1" x14ac:dyDescent="0.2">
      <c r="A3408" s="30" t="s">
        <v>12293</v>
      </c>
      <c r="B3408" s="26" t="str">
        <f t="shared" si="53"/>
        <v>688068</v>
      </c>
      <c r="C3408" s="30" t="s">
        <v>6754</v>
      </c>
      <c r="D3408" s="31">
        <v>23.02</v>
      </c>
      <c r="E3408" s="31">
        <v>-2.54</v>
      </c>
      <c r="F3408" s="31">
        <v>2128767400</v>
      </c>
    </row>
    <row r="3409" spans="1:6" ht="15" thickBot="1" x14ac:dyDescent="0.2">
      <c r="A3409" s="30" t="s">
        <v>12294</v>
      </c>
      <c r="B3409" s="26" t="str">
        <f t="shared" si="53"/>
        <v>603153</v>
      </c>
      <c r="C3409" s="30" t="s">
        <v>12295</v>
      </c>
      <c r="D3409" s="31">
        <v>15.76</v>
      </c>
      <c r="E3409" s="31">
        <v>1.29</v>
      </c>
      <c r="F3409" s="31">
        <v>2127600000</v>
      </c>
    </row>
    <row r="3410" spans="1:6" ht="15" thickBot="1" x14ac:dyDescent="0.2">
      <c r="A3410" s="30" t="s">
        <v>12296</v>
      </c>
      <c r="B3410" s="26" t="str">
        <f t="shared" si="53"/>
        <v>000530</v>
      </c>
      <c r="C3410" s="30" t="s">
        <v>6308</v>
      </c>
      <c r="D3410" s="31">
        <v>3.54</v>
      </c>
      <c r="E3410" s="31">
        <v>-0.84</v>
      </c>
      <c r="F3410" s="31">
        <v>2124064900</v>
      </c>
    </row>
    <row r="3411" spans="1:6" ht="15" thickBot="1" x14ac:dyDescent="0.2">
      <c r="A3411" s="30" t="s">
        <v>12297</v>
      </c>
      <c r="B3411" s="26" t="str">
        <f t="shared" si="53"/>
        <v>301080</v>
      </c>
      <c r="C3411" s="30" t="s">
        <v>4438</v>
      </c>
      <c r="D3411" s="31">
        <v>31.64</v>
      </c>
      <c r="E3411" s="31">
        <v>-1.49</v>
      </c>
      <c r="F3411" s="31">
        <v>2120794300</v>
      </c>
    </row>
    <row r="3412" spans="1:6" ht="15" thickBot="1" x14ac:dyDescent="0.2">
      <c r="A3412" s="30" t="s">
        <v>12298</v>
      </c>
      <c r="B3412" s="26" t="str">
        <f t="shared" si="53"/>
        <v>600080</v>
      </c>
      <c r="C3412" s="30" t="s">
        <v>6817</v>
      </c>
      <c r="D3412" s="31">
        <v>5.68</v>
      </c>
      <c r="E3412" s="31">
        <v>-0.7</v>
      </c>
      <c r="F3412" s="31">
        <v>2120175200</v>
      </c>
    </row>
    <row r="3413" spans="1:6" ht="15" thickBot="1" x14ac:dyDescent="0.2">
      <c r="A3413" s="30" t="s">
        <v>12299</v>
      </c>
      <c r="B3413" s="26" t="str">
        <f t="shared" si="53"/>
        <v>002553</v>
      </c>
      <c r="C3413" s="30" t="s">
        <v>5397</v>
      </c>
      <c r="D3413" s="31">
        <v>8.4499999999999993</v>
      </c>
      <c r="E3413" s="31">
        <v>-1.29</v>
      </c>
      <c r="F3413" s="31">
        <v>2119260000</v>
      </c>
    </row>
    <row r="3414" spans="1:6" ht="15" thickBot="1" x14ac:dyDescent="0.2">
      <c r="A3414" s="30" t="s">
        <v>12300</v>
      </c>
      <c r="B3414" s="26" t="str">
        <f t="shared" si="53"/>
        <v>002863</v>
      </c>
      <c r="C3414" s="30" t="s">
        <v>6730</v>
      </c>
      <c r="D3414" s="31">
        <v>3.54</v>
      </c>
      <c r="E3414" s="31">
        <v>-2.48</v>
      </c>
      <c r="F3414" s="31">
        <v>2119238300</v>
      </c>
    </row>
    <row r="3415" spans="1:6" ht="15" thickBot="1" x14ac:dyDescent="0.2">
      <c r="A3415" s="30" t="s">
        <v>12301</v>
      </c>
      <c r="B3415" s="26" t="str">
        <f t="shared" si="53"/>
        <v>300867</v>
      </c>
      <c r="C3415" s="30" t="s">
        <v>5405</v>
      </c>
      <c r="D3415" s="31">
        <v>11.05</v>
      </c>
      <c r="E3415" s="31">
        <v>-1.78</v>
      </c>
      <c r="F3415" s="31">
        <v>2117487400</v>
      </c>
    </row>
    <row r="3416" spans="1:6" ht="15" thickBot="1" x14ac:dyDescent="0.2">
      <c r="A3416" s="30" t="s">
        <v>12302</v>
      </c>
      <c r="B3416" s="26" t="str">
        <f t="shared" si="53"/>
        <v>300148</v>
      </c>
      <c r="C3416" s="30" t="s">
        <v>6584</v>
      </c>
      <c r="D3416" s="31">
        <v>2.64</v>
      </c>
      <c r="E3416" s="31">
        <v>-2.2200000000000002</v>
      </c>
      <c r="F3416" s="31">
        <v>2116301400</v>
      </c>
    </row>
    <row r="3417" spans="1:6" ht="15" thickBot="1" x14ac:dyDescent="0.2">
      <c r="A3417" s="30" t="s">
        <v>12303</v>
      </c>
      <c r="B3417" s="26" t="str">
        <f t="shared" si="53"/>
        <v>300344</v>
      </c>
      <c r="C3417" s="30" t="s">
        <v>6618</v>
      </c>
      <c r="D3417" s="31">
        <v>3.31</v>
      </c>
      <c r="E3417" s="31">
        <v>-12.43</v>
      </c>
      <c r="F3417" s="31">
        <v>2115789700</v>
      </c>
    </row>
    <row r="3418" spans="1:6" ht="15" thickBot="1" x14ac:dyDescent="0.2">
      <c r="A3418" s="30" t="s">
        <v>12304</v>
      </c>
      <c r="B3418" s="26" t="str">
        <f t="shared" si="53"/>
        <v>688636</v>
      </c>
      <c r="C3418" s="30" t="s">
        <v>6859</v>
      </c>
      <c r="D3418" s="31">
        <v>18.8</v>
      </c>
      <c r="E3418" s="31">
        <v>1.84</v>
      </c>
      <c r="F3418" s="31">
        <v>2115030300</v>
      </c>
    </row>
    <row r="3419" spans="1:6" ht="15" thickBot="1" x14ac:dyDescent="0.2">
      <c r="A3419" s="30" t="s">
        <v>12305</v>
      </c>
      <c r="B3419" s="26" t="str">
        <f t="shared" si="53"/>
        <v>002801</v>
      </c>
      <c r="C3419" s="30" t="s">
        <v>3901</v>
      </c>
      <c r="D3419" s="31">
        <v>18.25</v>
      </c>
      <c r="E3419" s="31">
        <v>-4.95</v>
      </c>
      <c r="F3419" s="31">
        <v>2113399300</v>
      </c>
    </row>
    <row r="3420" spans="1:6" ht="15" thickBot="1" x14ac:dyDescent="0.2">
      <c r="A3420" s="30" t="s">
        <v>12306</v>
      </c>
      <c r="B3420" s="26" t="str">
        <f t="shared" si="53"/>
        <v>300746</v>
      </c>
      <c r="C3420" s="30" t="s">
        <v>7423</v>
      </c>
      <c r="D3420" s="31">
        <v>9.51</v>
      </c>
      <c r="E3420" s="31">
        <v>-16.510000000000002</v>
      </c>
      <c r="F3420" s="31">
        <v>2110118900</v>
      </c>
    </row>
    <row r="3421" spans="1:6" ht="15" thickBot="1" x14ac:dyDescent="0.2">
      <c r="A3421" s="30" t="s">
        <v>12307</v>
      </c>
      <c r="B3421" s="26" t="str">
        <f t="shared" si="53"/>
        <v>000911</v>
      </c>
      <c r="C3421" s="30" t="s">
        <v>6176</v>
      </c>
      <c r="D3421" s="31">
        <v>6.51</v>
      </c>
      <c r="E3421" s="31">
        <v>1.4</v>
      </c>
      <c r="F3421" s="31">
        <v>2109766900</v>
      </c>
    </row>
    <row r="3422" spans="1:6" ht="15" thickBot="1" x14ac:dyDescent="0.2">
      <c r="A3422" s="30" t="s">
        <v>12308</v>
      </c>
      <c r="B3422" s="26" t="str">
        <f t="shared" si="53"/>
        <v>300021</v>
      </c>
      <c r="C3422" s="30" t="s">
        <v>5938</v>
      </c>
      <c r="D3422" s="31">
        <v>3.01</v>
      </c>
      <c r="E3422" s="31">
        <v>-6.23</v>
      </c>
      <c r="F3422" s="31">
        <v>2109061300</v>
      </c>
    </row>
    <row r="3423" spans="1:6" ht="15" thickBot="1" x14ac:dyDescent="0.2">
      <c r="A3423" s="30" t="s">
        <v>12309</v>
      </c>
      <c r="B3423" s="26" t="str">
        <f t="shared" si="53"/>
        <v>600227</v>
      </c>
      <c r="C3423" s="30" t="s">
        <v>5726</v>
      </c>
      <c r="D3423" s="31">
        <v>1.65</v>
      </c>
      <c r="E3423" s="31">
        <v>-5.17</v>
      </c>
      <c r="F3423" s="31">
        <v>2108996300</v>
      </c>
    </row>
    <row r="3424" spans="1:6" ht="15" thickBot="1" x14ac:dyDescent="0.2">
      <c r="A3424" s="30" t="s">
        <v>12310</v>
      </c>
      <c r="B3424" s="26" t="str">
        <f t="shared" si="53"/>
        <v>001215</v>
      </c>
      <c r="C3424" s="30" t="s">
        <v>12311</v>
      </c>
      <c r="D3424" s="31">
        <v>21.42</v>
      </c>
      <c r="E3424" s="31">
        <v>-2.46</v>
      </c>
      <c r="F3424" s="31">
        <v>2107266800</v>
      </c>
    </row>
    <row r="3425" spans="1:6" ht="15" thickBot="1" x14ac:dyDescent="0.2">
      <c r="A3425" s="30" t="s">
        <v>12312</v>
      </c>
      <c r="B3425" s="26" t="str">
        <f t="shared" si="53"/>
        <v>300631</v>
      </c>
      <c r="C3425" s="30" t="s">
        <v>6937</v>
      </c>
      <c r="D3425" s="31">
        <v>17.66</v>
      </c>
      <c r="E3425" s="31">
        <v>1.1499999999999999</v>
      </c>
      <c r="F3425" s="31">
        <v>2106231500</v>
      </c>
    </row>
    <row r="3426" spans="1:6" ht="15" thickBot="1" x14ac:dyDescent="0.2">
      <c r="A3426" s="30" t="s">
        <v>12313</v>
      </c>
      <c r="B3426" s="26" t="str">
        <f t="shared" si="53"/>
        <v>603665</v>
      </c>
      <c r="C3426" s="30" t="s">
        <v>6690</v>
      </c>
      <c r="D3426" s="31">
        <v>13.15</v>
      </c>
      <c r="E3426" s="31">
        <v>-1.2</v>
      </c>
      <c r="F3426" s="31">
        <v>2106205300</v>
      </c>
    </row>
    <row r="3427" spans="1:6" ht="15" thickBot="1" x14ac:dyDescent="0.2">
      <c r="A3427" s="30" t="s">
        <v>12314</v>
      </c>
      <c r="B3427" s="26" t="str">
        <f t="shared" si="53"/>
        <v>603318</v>
      </c>
      <c r="C3427" s="30" t="s">
        <v>6234</v>
      </c>
      <c r="D3427" s="31">
        <v>5.49</v>
      </c>
      <c r="E3427" s="31">
        <v>-1.96</v>
      </c>
      <c r="F3427" s="31">
        <v>2105659800</v>
      </c>
    </row>
    <row r="3428" spans="1:6" ht="15" thickBot="1" x14ac:dyDescent="0.2">
      <c r="A3428" s="30" t="s">
        <v>12315</v>
      </c>
      <c r="B3428" s="26" t="str">
        <f t="shared" si="53"/>
        <v>301011</v>
      </c>
      <c r="C3428" s="30" t="s">
        <v>12316</v>
      </c>
      <c r="D3428" s="31">
        <v>14.63</v>
      </c>
      <c r="E3428" s="31">
        <v>-7.0000000000000007E-2</v>
      </c>
      <c r="F3428" s="31">
        <v>2103917400</v>
      </c>
    </row>
    <row r="3429" spans="1:6" ht="15" thickBot="1" x14ac:dyDescent="0.2">
      <c r="A3429" s="30" t="s">
        <v>12317</v>
      </c>
      <c r="B3429" s="26" t="str">
        <f t="shared" si="53"/>
        <v>605258</v>
      </c>
      <c r="C3429" s="30" t="s">
        <v>6789</v>
      </c>
      <c r="D3429" s="31">
        <v>23.88</v>
      </c>
      <c r="E3429" s="31">
        <v>-1.77</v>
      </c>
      <c r="F3429" s="31">
        <v>2101440000</v>
      </c>
    </row>
    <row r="3430" spans="1:6" ht="15" thickBot="1" x14ac:dyDescent="0.2">
      <c r="A3430" s="30" t="s">
        <v>12318</v>
      </c>
      <c r="B3430" s="26" t="str">
        <f t="shared" si="53"/>
        <v>603518</v>
      </c>
      <c r="C3430" s="30" t="s">
        <v>6803</v>
      </c>
      <c r="D3430" s="31">
        <v>6.12</v>
      </c>
      <c r="E3430" s="31">
        <v>-0.81</v>
      </c>
      <c r="F3430" s="31">
        <v>2101157500</v>
      </c>
    </row>
    <row r="3431" spans="1:6" ht="15" thickBot="1" x14ac:dyDescent="0.2">
      <c r="A3431" s="30" t="s">
        <v>12319</v>
      </c>
      <c r="B3431" s="26" t="str">
        <f t="shared" si="53"/>
        <v>002730</v>
      </c>
      <c r="C3431" s="30" t="s">
        <v>6700</v>
      </c>
      <c r="D3431" s="31">
        <v>6.07</v>
      </c>
      <c r="E3431" s="31">
        <v>-0.49</v>
      </c>
      <c r="F3431" s="31">
        <v>2100401400</v>
      </c>
    </row>
    <row r="3432" spans="1:6" ht="15" thickBot="1" x14ac:dyDescent="0.2">
      <c r="A3432" s="30" t="s">
        <v>12320</v>
      </c>
      <c r="B3432" s="26" t="str">
        <f t="shared" si="53"/>
        <v>301165</v>
      </c>
      <c r="C3432" s="30" t="s">
        <v>12321</v>
      </c>
      <c r="D3432" s="31">
        <v>30.79</v>
      </c>
      <c r="E3432" s="31">
        <v>-0.65</v>
      </c>
      <c r="F3432" s="31">
        <v>2099318200</v>
      </c>
    </row>
    <row r="3433" spans="1:6" ht="15" thickBot="1" x14ac:dyDescent="0.2">
      <c r="A3433" s="30" t="s">
        <v>12322</v>
      </c>
      <c r="B3433" s="26" t="str">
        <f t="shared" si="53"/>
        <v>300534</v>
      </c>
      <c r="C3433" s="30" t="s">
        <v>6843</v>
      </c>
      <c r="D3433" s="31">
        <v>6.94</v>
      </c>
      <c r="E3433" s="31">
        <v>-2.5299999999999998</v>
      </c>
      <c r="F3433" s="31">
        <v>2096237300</v>
      </c>
    </row>
    <row r="3434" spans="1:6" ht="15" thickBot="1" x14ac:dyDescent="0.2">
      <c r="A3434" s="30" t="s">
        <v>12323</v>
      </c>
      <c r="B3434" s="26" t="str">
        <f t="shared" si="53"/>
        <v>688205</v>
      </c>
      <c r="C3434" s="30" t="s">
        <v>12324</v>
      </c>
      <c r="D3434" s="31">
        <v>30.89</v>
      </c>
      <c r="E3434" s="31">
        <v>-3.77</v>
      </c>
      <c r="F3434" s="31">
        <v>2096034600</v>
      </c>
    </row>
    <row r="3435" spans="1:6" ht="15" thickBot="1" x14ac:dyDescent="0.2">
      <c r="A3435" s="30" t="s">
        <v>12325</v>
      </c>
      <c r="B3435" s="26" t="str">
        <f t="shared" si="53"/>
        <v>300818</v>
      </c>
      <c r="C3435" s="30" t="s">
        <v>5150</v>
      </c>
      <c r="D3435" s="31">
        <v>22.33</v>
      </c>
      <c r="E3435" s="31">
        <v>1.18</v>
      </c>
      <c r="F3435" s="31">
        <v>2096001500</v>
      </c>
    </row>
    <row r="3436" spans="1:6" ht="15" thickBot="1" x14ac:dyDescent="0.2">
      <c r="A3436" s="30" t="s">
        <v>12326</v>
      </c>
      <c r="B3436" s="26" t="str">
        <f t="shared" si="53"/>
        <v>000826</v>
      </c>
      <c r="C3436" s="30" t="s">
        <v>6889</v>
      </c>
      <c r="D3436" s="31">
        <v>1.47</v>
      </c>
      <c r="E3436" s="31">
        <v>-2.65</v>
      </c>
      <c r="F3436" s="31">
        <v>2094894000</v>
      </c>
    </row>
    <row r="3437" spans="1:6" ht="15" thickBot="1" x14ac:dyDescent="0.2">
      <c r="A3437" s="30" t="s">
        <v>12327</v>
      </c>
      <c r="B3437" s="26" t="str">
        <f t="shared" si="53"/>
        <v>688443</v>
      </c>
      <c r="C3437" s="30" t="s">
        <v>12328</v>
      </c>
      <c r="D3437" s="31">
        <v>23.52</v>
      </c>
      <c r="E3437" s="31">
        <v>3.39</v>
      </c>
      <c r="F3437" s="31">
        <v>2094222800</v>
      </c>
    </row>
    <row r="3438" spans="1:6" ht="15" thickBot="1" x14ac:dyDescent="0.2">
      <c r="A3438" s="30" t="s">
        <v>12329</v>
      </c>
      <c r="B3438" s="26" t="str">
        <f t="shared" si="53"/>
        <v>688560</v>
      </c>
      <c r="C3438" s="30" t="s">
        <v>6881</v>
      </c>
      <c r="D3438" s="31">
        <v>10.4</v>
      </c>
      <c r="E3438" s="31">
        <v>0.19</v>
      </c>
      <c r="F3438" s="31">
        <v>2093539900</v>
      </c>
    </row>
    <row r="3439" spans="1:6" ht="15" thickBot="1" x14ac:dyDescent="0.2">
      <c r="A3439" s="30" t="s">
        <v>12330</v>
      </c>
      <c r="B3439" s="26" t="str">
        <f t="shared" si="53"/>
        <v>600807</v>
      </c>
      <c r="C3439" s="30" t="s">
        <v>6596</v>
      </c>
      <c r="D3439" s="31">
        <v>2.66</v>
      </c>
      <c r="E3439" s="31">
        <v>1.1399999999999999</v>
      </c>
      <c r="F3439" s="31">
        <v>2093469100</v>
      </c>
    </row>
    <row r="3440" spans="1:6" ht="15" thickBot="1" x14ac:dyDescent="0.2">
      <c r="A3440" s="30" t="s">
        <v>12331</v>
      </c>
      <c r="B3440" s="26" t="str">
        <f t="shared" si="53"/>
        <v>603191</v>
      </c>
      <c r="C3440" s="30" t="s">
        <v>12332</v>
      </c>
      <c r="D3440" s="31">
        <v>11.21</v>
      </c>
      <c r="E3440" s="31">
        <v>0.45</v>
      </c>
      <c r="F3440" s="31">
        <v>2092972800</v>
      </c>
    </row>
    <row r="3441" spans="1:6" ht="15" thickBot="1" x14ac:dyDescent="0.2">
      <c r="A3441" s="30" t="s">
        <v>12333</v>
      </c>
      <c r="B3441" s="26" t="str">
        <f t="shared" si="53"/>
        <v>605151</v>
      </c>
      <c r="C3441" s="30" t="s">
        <v>7063</v>
      </c>
      <c r="D3441" s="31">
        <v>15.55</v>
      </c>
      <c r="E3441" s="31">
        <v>2.91</v>
      </c>
      <c r="F3441" s="31">
        <v>2092318200</v>
      </c>
    </row>
    <row r="3442" spans="1:6" ht="15" thickBot="1" x14ac:dyDescent="0.2">
      <c r="A3442" s="30" t="s">
        <v>12334</v>
      </c>
      <c r="B3442" s="26" t="str">
        <f t="shared" si="53"/>
        <v>300720</v>
      </c>
      <c r="C3442" s="30" t="s">
        <v>6406</v>
      </c>
      <c r="D3442" s="31">
        <v>12.07</v>
      </c>
      <c r="E3442" s="31">
        <v>0.42</v>
      </c>
      <c r="F3442" s="31">
        <v>2091755800</v>
      </c>
    </row>
    <row r="3443" spans="1:6" ht="15" thickBot="1" x14ac:dyDescent="0.2">
      <c r="A3443" s="30" t="s">
        <v>12335</v>
      </c>
      <c r="B3443" s="26" t="str">
        <f t="shared" si="53"/>
        <v>688225</v>
      </c>
      <c r="C3443" s="30" t="s">
        <v>4166</v>
      </c>
      <c r="D3443" s="31">
        <v>10.94</v>
      </c>
      <c r="E3443" s="31">
        <v>-1.17</v>
      </c>
      <c r="F3443" s="31">
        <v>2090013200</v>
      </c>
    </row>
    <row r="3444" spans="1:6" ht="15" thickBot="1" x14ac:dyDescent="0.2">
      <c r="A3444" s="30" t="s">
        <v>12336</v>
      </c>
      <c r="B3444" s="26" t="str">
        <f t="shared" si="53"/>
        <v>301376</v>
      </c>
      <c r="C3444" s="30" t="s">
        <v>12337</v>
      </c>
      <c r="D3444" s="31">
        <v>16.36</v>
      </c>
      <c r="E3444" s="31">
        <v>-1.51</v>
      </c>
      <c r="F3444" s="31">
        <v>2086957300</v>
      </c>
    </row>
    <row r="3445" spans="1:6" ht="15" thickBot="1" x14ac:dyDescent="0.2">
      <c r="A3445" s="30" t="s">
        <v>12338</v>
      </c>
      <c r="B3445" s="26" t="str">
        <f t="shared" si="53"/>
        <v>001339</v>
      </c>
      <c r="C3445" s="30" t="s">
        <v>12339</v>
      </c>
      <c r="D3445" s="31">
        <v>28.67</v>
      </c>
      <c r="E3445" s="31">
        <v>1.74</v>
      </c>
      <c r="F3445" s="31">
        <v>2086952100</v>
      </c>
    </row>
    <row r="3446" spans="1:6" ht="15" thickBot="1" x14ac:dyDescent="0.2">
      <c r="A3446" s="30" t="s">
        <v>12340</v>
      </c>
      <c r="B3446" s="26" t="str">
        <f t="shared" si="53"/>
        <v>688159</v>
      </c>
      <c r="C3446" s="30" t="s">
        <v>6666</v>
      </c>
      <c r="D3446" s="31">
        <v>22.74</v>
      </c>
      <c r="E3446" s="31">
        <v>-2.2799999999999998</v>
      </c>
      <c r="F3446" s="31">
        <v>2084791700</v>
      </c>
    </row>
    <row r="3447" spans="1:6" ht="15" thickBot="1" x14ac:dyDescent="0.2">
      <c r="A3447" s="30" t="s">
        <v>12341</v>
      </c>
      <c r="B3447" s="26" t="str">
        <f t="shared" si="53"/>
        <v>002732</v>
      </c>
      <c r="C3447" s="30" t="s">
        <v>6853</v>
      </c>
      <c r="D3447" s="31">
        <v>13.31</v>
      </c>
      <c r="E3447" s="31">
        <v>-1.1100000000000001</v>
      </c>
      <c r="F3447" s="31">
        <v>2083895700</v>
      </c>
    </row>
    <row r="3448" spans="1:6" ht="15" thickBot="1" x14ac:dyDescent="0.2">
      <c r="A3448" s="30" t="s">
        <v>12342</v>
      </c>
      <c r="B3448" s="26" t="str">
        <f t="shared" si="53"/>
        <v>603829</v>
      </c>
      <c r="C3448" s="30" t="s">
        <v>6847</v>
      </c>
      <c r="D3448" s="31">
        <v>13.01</v>
      </c>
      <c r="E3448" s="31">
        <v>-0.76</v>
      </c>
      <c r="F3448" s="31">
        <v>2081600000</v>
      </c>
    </row>
    <row r="3449" spans="1:6" ht="15" thickBot="1" x14ac:dyDescent="0.2">
      <c r="A3449" s="30" t="s">
        <v>12343</v>
      </c>
      <c r="B3449" s="26" t="str">
        <f t="shared" si="53"/>
        <v>300947</v>
      </c>
      <c r="C3449" s="30" t="s">
        <v>7007</v>
      </c>
      <c r="D3449" s="31">
        <v>13.55</v>
      </c>
      <c r="E3449" s="31">
        <v>5.04</v>
      </c>
      <c r="F3449" s="31">
        <v>2080668600</v>
      </c>
    </row>
    <row r="3450" spans="1:6" ht="15" thickBot="1" x14ac:dyDescent="0.2">
      <c r="A3450" s="30" t="s">
        <v>12344</v>
      </c>
      <c r="B3450" s="26" t="str">
        <f t="shared" si="53"/>
        <v>300050</v>
      </c>
      <c r="C3450" s="30" t="s">
        <v>6801</v>
      </c>
      <c r="D3450" s="31">
        <v>3.82</v>
      </c>
      <c r="E3450" s="31">
        <v>0.53</v>
      </c>
      <c r="F3450" s="31">
        <v>2080045600</v>
      </c>
    </row>
    <row r="3451" spans="1:6" ht="15" thickBot="1" x14ac:dyDescent="0.2">
      <c r="A3451" s="30" t="s">
        <v>12345</v>
      </c>
      <c r="B3451" s="26" t="str">
        <f t="shared" si="53"/>
        <v>000790</v>
      </c>
      <c r="C3451" s="30" t="s">
        <v>6907</v>
      </c>
      <c r="D3451" s="31">
        <v>3.34</v>
      </c>
      <c r="E3451" s="31">
        <v>-1.18</v>
      </c>
      <c r="F3451" s="31">
        <v>2080023800</v>
      </c>
    </row>
    <row r="3452" spans="1:6" ht="15" thickBot="1" x14ac:dyDescent="0.2">
      <c r="A3452" s="30" t="s">
        <v>12346</v>
      </c>
      <c r="B3452" s="26" t="str">
        <f t="shared" si="53"/>
        <v>688010</v>
      </c>
      <c r="C3452" s="30" t="s">
        <v>6775</v>
      </c>
      <c r="D3452" s="31">
        <v>12.95</v>
      </c>
      <c r="E3452" s="31">
        <v>-2.85</v>
      </c>
      <c r="F3452" s="31">
        <v>2079272400</v>
      </c>
    </row>
    <row r="3453" spans="1:6" ht="15" thickBot="1" x14ac:dyDescent="0.2">
      <c r="A3453" s="30" t="s">
        <v>12347</v>
      </c>
      <c r="B3453" s="26" t="str">
        <f t="shared" si="53"/>
        <v>300176</v>
      </c>
      <c r="C3453" s="30" t="s">
        <v>7131</v>
      </c>
      <c r="D3453" s="31">
        <v>5.36</v>
      </c>
      <c r="E3453" s="31">
        <v>-2.72</v>
      </c>
      <c r="F3453" s="31">
        <v>2075825100</v>
      </c>
    </row>
    <row r="3454" spans="1:6" ht="15" thickBot="1" x14ac:dyDescent="0.2">
      <c r="A3454" s="30" t="s">
        <v>12348</v>
      </c>
      <c r="B3454" s="26" t="str">
        <f t="shared" si="53"/>
        <v>300447</v>
      </c>
      <c r="C3454" s="30" t="s">
        <v>5136</v>
      </c>
      <c r="D3454" s="31">
        <v>10.31</v>
      </c>
      <c r="E3454" s="31">
        <v>-0.96</v>
      </c>
      <c r="F3454" s="31">
        <v>2075726600</v>
      </c>
    </row>
    <row r="3455" spans="1:6" ht="15" thickBot="1" x14ac:dyDescent="0.2">
      <c r="A3455" s="30" t="s">
        <v>12349</v>
      </c>
      <c r="B3455" s="26" t="str">
        <f t="shared" si="53"/>
        <v>600182</v>
      </c>
      <c r="C3455" s="30" t="s">
        <v>4210</v>
      </c>
      <c r="D3455" s="31">
        <v>12.21</v>
      </c>
      <c r="E3455" s="31">
        <v>-1.29</v>
      </c>
      <c r="F3455" s="31">
        <v>2075700000</v>
      </c>
    </row>
    <row r="3456" spans="1:6" ht="15" thickBot="1" x14ac:dyDescent="0.2">
      <c r="A3456" s="30" t="s">
        <v>12350</v>
      </c>
      <c r="B3456" s="26" t="str">
        <f t="shared" si="53"/>
        <v>600593</v>
      </c>
      <c r="C3456" s="30" t="s">
        <v>6969</v>
      </c>
      <c r="D3456" s="31">
        <v>16.11</v>
      </c>
      <c r="E3456" s="31">
        <v>0.19</v>
      </c>
      <c r="F3456" s="31">
        <v>2074968000</v>
      </c>
    </row>
    <row r="3457" spans="1:6" ht="15" thickBot="1" x14ac:dyDescent="0.2">
      <c r="A3457" s="30" t="s">
        <v>12351</v>
      </c>
      <c r="B3457" s="26" t="str">
        <f t="shared" si="53"/>
        <v>002476</v>
      </c>
      <c r="C3457" s="30" t="s">
        <v>6891</v>
      </c>
      <c r="D3457" s="31">
        <v>3.39</v>
      </c>
      <c r="E3457" s="31">
        <v>-2.59</v>
      </c>
      <c r="F3457" s="31">
        <v>2074513700</v>
      </c>
    </row>
    <row r="3458" spans="1:6" ht="15" thickBot="1" x14ac:dyDescent="0.2">
      <c r="A3458" s="30" t="s">
        <v>12352</v>
      </c>
      <c r="B3458" s="26" t="str">
        <f t="shared" si="53"/>
        <v>002722</v>
      </c>
      <c r="C3458" s="30" t="s">
        <v>6594</v>
      </c>
      <c r="D3458" s="31">
        <v>11.82</v>
      </c>
      <c r="E3458" s="31">
        <v>3.32</v>
      </c>
      <c r="F3458" s="31">
        <v>2074300700</v>
      </c>
    </row>
    <row r="3459" spans="1:6" ht="15" thickBot="1" x14ac:dyDescent="0.2">
      <c r="A3459" s="30" t="s">
        <v>12353</v>
      </c>
      <c r="B3459" s="26" t="str">
        <f t="shared" ref="B3459:B3522" si="54">LEFT(A3459,6)</f>
        <v>000698</v>
      </c>
      <c r="C3459" s="30" t="s">
        <v>6965</v>
      </c>
      <c r="D3459" s="31">
        <v>2.64</v>
      </c>
      <c r="E3459" s="31">
        <v>2.72</v>
      </c>
      <c r="F3459" s="31">
        <v>2074275600</v>
      </c>
    </row>
    <row r="3460" spans="1:6" ht="15" thickBot="1" x14ac:dyDescent="0.2">
      <c r="A3460" s="30" t="s">
        <v>12354</v>
      </c>
      <c r="B3460" s="26" t="str">
        <f t="shared" si="54"/>
        <v>688181</v>
      </c>
      <c r="C3460" s="30" t="s">
        <v>6867</v>
      </c>
      <c r="D3460" s="31">
        <v>15.42</v>
      </c>
      <c r="E3460" s="31">
        <v>0.78</v>
      </c>
      <c r="F3460" s="31">
        <v>2073705400</v>
      </c>
    </row>
    <row r="3461" spans="1:6" ht="15" thickBot="1" x14ac:dyDescent="0.2">
      <c r="A3461" s="30" t="s">
        <v>12355</v>
      </c>
      <c r="B3461" s="26" t="str">
        <f t="shared" si="54"/>
        <v>603196</v>
      </c>
      <c r="C3461" s="30" t="s">
        <v>6975</v>
      </c>
      <c r="D3461" s="31">
        <v>8.7799999999999994</v>
      </c>
      <c r="E3461" s="31">
        <v>3.17</v>
      </c>
      <c r="F3461" s="31">
        <v>2073671900</v>
      </c>
    </row>
    <row r="3462" spans="1:6" ht="15" thickBot="1" x14ac:dyDescent="0.2">
      <c r="A3462" s="30" t="s">
        <v>12356</v>
      </c>
      <c r="B3462" s="26" t="str">
        <f t="shared" si="54"/>
        <v>688168</v>
      </c>
      <c r="C3462" s="30" t="s">
        <v>6829</v>
      </c>
      <c r="D3462" s="31">
        <v>27.1</v>
      </c>
      <c r="E3462" s="31">
        <v>-2.9</v>
      </c>
      <c r="F3462" s="31">
        <v>2073526900</v>
      </c>
    </row>
    <row r="3463" spans="1:6" ht="15" thickBot="1" x14ac:dyDescent="0.2">
      <c r="A3463" s="30" t="s">
        <v>12357</v>
      </c>
      <c r="B3463" s="26" t="str">
        <f t="shared" si="54"/>
        <v>301089</v>
      </c>
      <c r="C3463" s="30" t="s">
        <v>12358</v>
      </c>
      <c r="D3463" s="31">
        <v>26.22</v>
      </c>
      <c r="E3463" s="31">
        <v>-2.89</v>
      </c>
      <c r="F3463" s="31">
        <v>2073233900</v>
      </c>
    </row>
    <row r="3464" spans="1:6" ht="15" thickBot="1" x14ac:dyDescent="0.2">
      <c r="A3464" s="30" t="s">
        <v>12359</v>
      </c>
      <c r="B3464" s="26" t="str">
        <f t="shared" si="54"/>
        <v>605259</v>
      </c>
      <c r="C3464" s="30" t="s">
        <v>6845</v>
      </c>
      <c r="D3464" s="31">
        <v>12.02</v>
      </c>
      <c r="E3464" s="31">
        <v>-1.07</v>
      </c>
      <c r="F3464" s="31">
        <v>2073209600</v>
      </c>
    </row>
    <row r="3465" spans="1:6" ht="15" thickBot="1" x14ac:dyDescent="0.2">
      <c r="A3465" s="30" t="s">
        <v>12360</v>
      </c>
      <c r="B3465" s="26" t="str">
        <f t="shared" si="54"/>
        <v>301012</v>
      </c>
      <c r="C3465" s="30" t="s">
        <v>6026</v>
      </c>
      <c r="D3465" s="31">
        <v>18.21</v>
      </c>
      <c r="E3465" s="31">
        <v>-0.27</v>
      </c>
      <c r="F3465" s="31">
        <v>2072756700</v>
      </c>
    </row>
    <row r="3466" spans="1:6" ht="15" thickBot="1" x14ac:dyDescent="0.2">
      <c r="A3466" s="30" t="s">
        <v>12361</v>
      </c>
      <c r="B3466" s="26" t="str">
        <f t="shared" si="54"/>
        <v>688577</v>
      </c>
      <c r="C3466" s="30" t="s">
        <v>6861</v>
      </c>
      <c r="D3466" s="31">
        <v>27.3</v>
      </c>
      <c r="E3466" s="31">
        <v>-0.69</v>
      </c>
      <c r="F3466" s="31">
        <v>2071776900</v>
      </c>
    </row>
    <row r="3467" spans="1:6" ht="15" thickBot="1" x14ac:dyDescent="0.2">
      <c r="A3467" s="30" t="s">
        <v>12362</v>
      </c>
      <c r="B3467" s="26" t="str">
        <f t="shared" si="54"/>
        <v>002196</v>
      </c>
      <c r="C3467" s="30" t="s">
        <v>6813</v>
      </c>
      <c r="D3467" s="31">
        <v>4.2300000000000004</v>
      </c>
      <c r="E3467" s="31">
        <v>-1.17</v>
      </c>
      <c r="F3467" s="31">
        <v>2071367600</v>
      </c>
    </row>
    <row r="3468" spans="1:6" ht="15" thickBot="1" x14ac:dyDescent="0.2">
      <c r="A3468" s="30" t="s">
        <v>12363</v>
      </c>
      <c r="B3468" s="26" t="str">
        <f t="shared" si="54"/>
        <v>600470</v>
      </c>
      <c r="C3468" s="30" t="s">
        <v>6841</v>
      </c>
      <c r="D3468" s="31">
        <v>3.97</v>
      </c>
      <c r="E3468" s="31">
        <v>-1.49</v>
      </c>
      <c r="F3468" s="31">
        <v>2070752000</v>
      </c>
    </row>
    <row r="3469" spans="1:6" ht="15" thickBot="1" x14ac:dyDescent="0.2">
      <c r="A3469" s="30" t="s">
        <v>12364</v>
      </c>
      <c r="B3469" s="26" t="str">
        <f t="shared" si="54"/>
        <v>002615</v>
      </c>
      <c r="C3469" s="30" t="s">
        <v>5336</v>
      </c>
      <c r="D3469" s="31">
        <v>6.81</v>
      </c>
      <c r="E3469" s="31">
        <v>2.1</v>
      </c>
      <c r="F3469" s="31">
        <v>2069973100</v>
      </c>
    </row>
    <row r="3470" spans="1:6" ht="15" thickBot="1" x14ac:dyDescent="0.2">
      <c r="A3470" s="30" t="s">
        <v>12365</v>
      </c>
      <c r="B3470" s="26" t="str">
        <f t="shared" si="54"/>
        <v>300942</v>
      </c>
      <c r="C3470" s="30" t="s">
        <v>6128</v>
      </c>
      <c r="D3470" s="31">
        <v>6.28</v>
      </c>
      <c r="E3470" s="31">
        <v>-2.64</v>
      </c>
      <c r="F3470" s="31">
        <v>2069458500</v>
      </c>
    </row>
    <row r="3471" spans="1:6" ht="15" thickBot="1" x14ac:dyDescent="0.2">
      <c r="A3471" s="30" t="s">
        <v>12366</v>
      </c>
      <c r="B3471" s="26" t="str">
        <f t="shared" si="54"/>
        <v>605318</v>
      </c>
      <c r="C3471" s="30" t="s">
        <v>6957</v>
      </c>
      <c r="D3471" s="31">
        <v>16.010000000000002</v>
      </c>
      <c r="E3471" s="31">
        <v>0.19</v>
      </c>
      <c r="F3471" s="31">
        <v>2068030100</v>
      </c>
    </row>
    <row r="3472" spans="1:6" ht="15" thickBot="1" x14ac:dyDescent="0.2">
      <c r="A3472" s="30" t="s">
        <v>12367</v>
      </c>
      <c r="B3472" s="26" t="str">
        <f t="shared" si="54"/>
        <v>002227</v>
      </c>
      <c r="C3472" s="30" t="s">
        <v>6728</v>
      </c>
      <c r="D3472" s="31">
        <v>8.35</v>
      </c>
      <c r="E3472" s="31">
        <v>-1.3</v>
      </c>
      <c r="F3472" s="31">
        <v>2067783400</v>
      </c>
    </row>
    <row r="3473" spans="1:6" ht="15" thickBot="1" x14ac:dyDescent="0.2">
      <c r="A3473" s="30" t="s">
        <v>12368</v>
      </c>
      <c r="B3473" s="26" t="str">
        <f t="shared" si="54"/>
        <v>688070</v>
      </c>
      <c r="C3473" s="30" t="s">
        <v>6851</v>
      </c>
      <c r="D3473" s="31">
        <v>23.6</v>
      </c>
      <c r="E3473" s="31">
        <v>-1.05</v>
      </c>
      <c r="F3473" s="31">
        <v>2066888000</v>
      </c>
    </row>
    <row r="3474" spans="1:6" ht="15" thickBot="1" x14ac:dyDescent="0.2">
      <c r="A3474" s="30" t="s">
        <v>12369</v>
      </c>
      <c r="B3474" s="26" t="str">
        <f t="shared" si="54"/>
        <v>603579</v>
      </c>
      <c r="C3474" s="30" t="s">
        <v>6943</v>
      </c>
      <c r="D3474" s="31">
        <v>11.51</v>
      </c>
      <c r="E3474" s="31">
        <v>1.32</v>
      </c>
      <c r="F3474" s="31">
        <v>2064632000</v>
      </c>
    </row>
    <row r="3475" spans="1:6" ht="15" thickBot="1" x14ac:dyDescent="0.2">
      <c r="A3475" s="30" t="s">
        <v>12370</v>
      </c>
      <c r="B3475" s="26" t="str">
        <f t="shared" si="54"/>
        <v>600257</v>
      </c>
      <c r="C3475" s="30" t="s">
        <v>7013</v>
      </c>
      <c r="D3475" s="31">
        <v>4.29</v>
      </c>
      <c r="E3475" s="31">
        <v>3.62</v>
      </c>
      <c r="F3475" s="31">
        <v>2064507500</v>
      </c>
    </row>
    <row r="3476" spans="1:6" ht="15" thickBot="1" x14ac:dyDescent="0.2">
      <c r="A3476" s="30" t="s">
        <v>12371</v>
      </c>
      <c r="B3476" s="26" t="str">
        <f t="shared" si="54"/>
        <v>301025</v>
      </c>
      <c r="C3476" s="30" t="s">
        <v>12372</v>
      </c>
      <c r="D3476" s="31">
        <v>7.93</v>
      </c>
      <c r="E3476" s="31">
        <v>-1.49</v>
      </c>
      <c r="F3476" s="31">
        <v>2063849900</v>
      </c>
    </row>
    <row r="3477" spans="1:6" ht="15" thickBot="1" x14ac:dyDescent="0.2">
      <c r="A3477" s="30" t="s">
        <v>12373</v>
      </c>
      <c r="B3477" s="26" t="str">
        <f t="shared" si="54"/>
        <v>600249</v>
      </c>
      <c r="C3477" s="30" t="s">
        <v>6983</v>
      </c>
      <c r="D3477" s="31">
        <v>3.75</v>
      </c>
      <c r="E3477" s="31">
        <v>-1.83</v>
      </c>
      <c r="F3477" s="31">
        <v>2062500000</v>
      </c>
    </row>
    <row r="3478" spans="1:6" ht="15" thickBot="1" x14ac:dyDescent="0.2">
      <c r="A3478" s="30" t="s">
        <v>12374</v>
      </c>
      <c r="B3478" s="26" t="str">
        <f t="shared" si="54"/>
        <v>688689</v>
      </c>
      <c r="C3478" s="30" t="s">
        <v>6805</v>
      </c>
      <c r="D3478" s="31">
        <v>16</v>
      </c>
      <c r="E3478" s="31">
        <v>-2.2000000000000002</v>
      </c>
      <c r="F3478" s="31">
        <v>2062447700</v>
      </c>
    </row>
    <row r="3479" spans="1:6" ht="15" thickBot="1" x14ac:dyDescent="0.2">
      <c r="A3479" s="30" t="s">
        <v>12375</v>
      </c>
      <c r="B3479" s="26" t="str">
        <f t="shared" si="54"/>
        <v>002168</v>
      </c>
      <c r="C3479" s="30" t="s">
        <v>6905</v>
      </c>
      <c r="D3479" s="30" t="s">
        <v>8665</v>
      </c>
      <c r="E3479" s="30" t="s">
        <v>8665</v>
      </c>
      <c r="F3479" s="31">
        <v>2062349700</v>
      </c>
    </row>
    <row r="3480" spans="1:6" ht="15" thickBot="1" x14ac:dyDescent="0.2">
      <c r="A3480" s="30" t="s">
        <v>12376</v>
      </c>
      <c r="B3480" s="26" t="str">
        <f t="shared" si="54"/>
        <v>688535</v>
      </c>
      <c r="C3480" s="30" t="s">
        <v>12377</v>
      </c>
      <c r="D3480" s="31">
        <v>48.17</v>
      </c>
      <c r="E3480" s="31">
        <v>0.92</v>
      </c>
      <c r="F3480" s="31">
        <v>2059977900</v>
      </c>
    </row>
    <row r="3481" spans="1:6" ht="15" thickBot="1" x14ac:dyDescent="0.2">
      <c r="A3481" s="30" t="s">
        <v>12378</v>
      </c>
      <c r="B3481" s="26" t="str">
        <f t="shared" si="54"/>
        <v>002578</v>
      </c>
      <c r="C3481" s="30" t="s">
        <v>6698</v>
      </c>
      <c r="D3481" s="31">
        <v>2.39</v>
      </c>
      <c r="E3481" s="31">
        <v>-0.83</v>
      </c>
      <c r="F3481" s="31">
        <v>2058178500</v>
      </c>
    </row>
    <row r="3482" spans="1:6" ht="15" thickBot="1" x14ac:dyDescent="0.2">
      <c r="A3482" s="30" t="s">
        <v>12379</v>
      </c>
      <c r="B3482" s="26" t="str">
        <f t="shared" si="54"/>
        <v>300537</v>
      </c>
      <c r="C3482" s="30" t="s">
        <v>5541</v>
      </c>
      <c r="D3482" s="31">
        <v>14.33</v>
      </c>
      <c r="E3482" s="31">
        <v>2.36</v>
      </c>
      <c r="F3482" s="31">
        <v>2057959100</v>
      </c>
    </row>
    <row r="3483" spans="1:6" ht="15" thickBot="1" x14ac:dyDescent="0.2">
      <c r="A3483" s="30" t="s">
        <v>12380</v>
      </c>
      <c r="B3483" s="26" t="str">
        <f t="shared" si="54"/>
        <v>002923</v>
      </c>
      <c r="C3483" s="30" t="s">
        <v>5890</v>
      </c>
      <c r="D3483" s="31">
        <v>7.97</v>
      </c>
      <c r="E3483" s="31">
        <v>-1.36</v>
      </c>
      <c r="F3483" s="31">
        <v>2056936100</v>
      </c>
    </row>
    <row r="3484" spans="1:6" ht="15" thickBot="1" x14ac:dyDescent="0.2">
      <c r="A3484" s="30" t="s">
        <v>12381</v>
      </c>
      <c r="B3484" s="26" t="str">
        <f t="shared" si="54"/>
        <v>600665</v>
      </c>
      <c r="C3484" s="30" t="s">
        <v>7035</v>
      </c>
      <c r="D3484" s="31">
        <v>2.38</v>
      </c>
      <c r="E3484" s="31">
        <v>0.85</v>
      </c>
      <c r="F3484" s="31">
        <v>2056611600</v>
      </c>
    </row>
    <row r="3485" spans="1:6" ht="15" thickBot="1" x14ac:dyDescent="0.2">
      <c r="A3485" s="30" t="s">
        <v>12382</v>
      </c>
      <c r="B3485" s="26" t="str">
        <f t="shared" si="54"/>
        <v>603811</v>
      </c>
      <c r="C3485" s="30" t="s">
        <v>6921</v>
      </c>
      <c r="D3485" s="31">
        <v>6.28</v>
      </c>
      <c r="E3485" s="31">
        <v>1.1299999999999999</v>
      </c>
      <c r="F3485" s="31">
        <v>2055471100</v>
      </c>
    </row>
    <row r="3486" spans="1:6" ht="15" thickBot="1" x14ac:dyDescent="0.2">
      <c r="A3486" s="30" t="s">
        <v>12383</v>
      </c>
      <c r="B3486" s="26" t="str">
        <f t="shared" si="54"/>
        <v>603162</v>
      </c>
      <c r="C3486" s="30" t="s">
        <v>12384</v>
      </c>
      <c r="D3486" s="31">
        <v>7.94</v>
      </c>
      <c r="E3486" s="31">
        <v>0.76</v>
      </c>
      <c r="F3486" s="31">
        <v>2055163800</v>
      </c>
    </row>
    <row r="3487" spans="1:6" ht="15" thickBot="1" x14ac:dyDescent="0.2">
      <c r="A3487" s="30" t="s">
        <v>12385</v>
      </c>
      <c r="B3487" s="26" t="str">
        <f t="shared" si="54"/>
        <v>300227</v>
      </c>
      <c r="C3487" s="30" t="s">
        <v>6220</v>
      </c>
      <c r="D3487" s="31">
        <v>4.9800000000000004</v>
      </c>
      <c r="E3487" s="31">
        <v>-1.19</v>
      </c>
      <c r="F3487" s="31">
        <v>2054719300</v>
      </c>
    </row>
    <row r="3488" spans="1:6" ht="15" thickBot="1" x14ac:dyDescent="0.2">
      <c r="A3488" s="30" t="s">
        <v>12386</v>
      </c>
      <c r="B3488" s="26" t="str">
        <f t="shared" si="54"/>
        <v>002943</v>
      </c>
      <c r="C3488" s="30" t="s">
        <v>4799</v>
      </c>
      <c r="D3488" s="31">
        <v>16.97</v>
      </c>
      <c r="E3488" s="31">
        <v>-3.47</v>
      </c>
      <c r="F3488" s="31">
        <v>2054568500</v>
      </c>
    </row>
    <row r="3489" spans="1:6" ht="15" thickBot="1" x14ac:dyDescent="0.2">
      <c r="A3489" s="30" t="s">
        <v>12387</v>
      </c>
      <c r="B3489" s="26" t="str">
        <f t="shared" si="54"/>
        <v>600192</v>
      </c>
      <c r="C3489" s="30" t="s">
        <v>7103</v>
      </c>
      <c r="D3489" s="31">
        <v>4.6500000000000004</v>
      </c>
      <c r="E3489" s="31">
        <v>-1.9</v>
      </c>
      <c r="F3489" s="31">
        <v>2054128200</v>
      </c>
    </row>
    <row r="3490" spans="1:6" ht="15" thickBot="1" x14ac:dyDescent="0.2">
      <c r="A3490" s="30" t="s">
        <v>12388</v>
      </c>
      <c r="B3490" s="26" t="str">
        <f t="shared" si="54"/>
        <v>300606</v>
      </c>
      <c r="C3490" s="30" t="s">
        <v>6240</v>
      </c>
      <c r="D3490" s="31">
        <v>17.21</v>
      </c>
      <c r="E3490" s="31">
        <v>-1.32</v>
      </c>
      <c r="F3490" s="31">
        <v>2053607900</v>
      </c>
    </row>
    <row r="3491" spans="1:6" ht="15" thickBot="1" x14ac:dyDescent="0.2">
      <c r="A3491" s="30" t="s">
        <v>12389</v>
      </c>
      <c r="B3491" s="26" t="str">
        <f t="shared" si="54"/>
        <v>605288</v>
      </c>
      <c r="C3491" s="30" t="s">
        <v>6901</v>
      </c>
      <c r="D3491" s="31">
        <v>29.23</v>
      </c>
      <c r="E3491" s="31">
        <v>-1.58</v>
      </c>
      <c r="F3491" s="31">
        <v>2051914200</v>
      </c>
    </row>
    <row r="3492" spans="1:6" ht="15" thickBot="1" x14ac:dyDescent="0.2">
      <c r="A3492" s="30" t="s">
        <v>12390</v>
      </c>
      <c r="B3492" s="26" t="str">
        <f t="shared" si="54"/>
        <v>603630</v>
      </c>
      <c r="C3492" s="30" t="s">
        <v>6875</v>
      </c>
      <c r="D3492" s="31">
        <v>9.1</v>
      </c>
      <c r="E3492" s="31">
        <v>-1.3</v>
      </c>
      <c r="F3492" s="31">
        <v>2049361700</v>
      </c>
    </row>
    <row r="3493" spans="1:6" ht="15" thickBot="1" x14ac:dyDescent="0.2">
      <c r="A3493" s="30" t="s">
        <v>12391</v>
      </c>
      <c r="B3493" s="26" t="str">
        <f t="shared" si="54"/>
        <v>600148</v>
      </c>
      <c r="C3493" s="30" t="s">
        <v>7119</v>
      </c>
      <c r="D3493" s="31">
        <v>14.47</v>
      </c>
      <c r="E3493" s="31">
        <v>4.4000000000000004</v>
      </c>
      <c r="F3493" s="31">
        <v>2047743000</v>
      </c>
    </row>
    <row r="3494" spans="1:6" ht="15" thickBot="1" x14ac:dyDescent="0.2">
      <c r="A3494" s="30" t="s">
        <v>12392</v>
      </c>
      <c r="B3494" s="26" t="str">
        <f t="shared" si="54"/>
        <v>300733</v>
      </c>
      <c r="C3494" s="30" t="s">
        <v>5679</v>
      </c>
      <c r="D3494" s="31">
        <v>9.08</v>
      </c>
      <c r="E3494" s="31">
        <v>-0.77</v>
      </c>
      <c r="F3494" s="31">
        <v>2047701500</v>
      </c>
    </row>
    <row r="3495" spans="1:6" ht="15" thickBot="1" x14ac:dyDescent="0.2">
      <c r="A3495" s="30" t="s">
        <v>12393</v>
      </c>
      <c r="B3495" s="26" t="str">
        <f t="shared" si="54"/>
        <v>300903</v>
      </c>
      <c r="C3495" s="30" t="s">
        <v>5960</v>
      </c>
      <c r="D3495" s="31">
        <v>6.21</v>
      </c>
      <c r="E3495" s="31">
        <v>-1.9</v>
      </c>
      <c r="F3495" s="31">
        <v>2047232500</v>
      </c>
    </row>
    <row r="3496" spans="1:6" ht="15" thickBot="1" x14ac:dyDescent="0.2">
      <c r="A3496" s="30" t="s">
        <v>12394</v>
      </c>
      <c r="B3496" s="26" t="str">
        <f t="shared" si="54"/>
        <v>688035</v>
      </c>
      <c r="C3496" s="30" t="s">
        <v>12395</v>
      </c>
      <c r="D3496" s="31">
        <v>23.37</v>
      </c>
      <c r="E3496" s="31">
        <v>-0.98</v>
      </c>
      <c r="F3496" s="31">
        <v>2045264500</v>
      </c>
    </row>
    <row r="3497" spans="1:6" ht="15" thickBot="1" x14ac:dyDescent="0.2">
      <c r="A3497" s="30" t="s">
        <v>12396</v>
      </c>
      <c r="B3497" s="26" t="str">
        <f t="shared" si="54"/>
        <v>001338</v>
      </c>
      <c r="C3497" s="30" t="s">
        <v>12397</v>
      </c>
      <c r="D3497" s="31">
        <v>8.66</v>
      </c>
      <c r="E3497" s="31">
        <v>-1.48</v>
      </c>
      <c r="F3497" s="31">
        <v>2043365800</v>
      </c>
    </row>
    <row r="3498" spans="1:6" ht="15" thickBot="1" x14ac:dyDescent="0.2">
      <c r="A3498" s="30" t="s">
        <v>12398</v>
      </c>
      <c r="B3498" s="26" t="str">
        <f t="shared" si="54"/>
        <v>000626</v>
      </c>
      <c r="C3498" s="30" t="s">
        <v>6931</v>
      </c>
      <c r="D3498" s="31">
        <v>4.07</v>
      </c>
      <c r="E3498" s="31">
        <v>-0.97</v>
      </c>
      <c r="F3498" s="31">
        <v>2043233800</v>
      </c>
    </row>
    <row r="3499" spans="1:6" ht="15" thickBot="1" x14ac:dyDescent="0.2">
      <c r="A3499" s="30" t="s">
        <v>12399</v>
      </c>
      <c r="B3499" s="26" t="str">
        <f t="shared" si="54"/>
        <v>688377</v>
      </c>
      <c r="C3499" s="30" t="s">
        <v>7089</v>
      </c>
      <c r="D3499" s="31">
        <v>10.6</v>
      </c>
      <c r="E3499" s="31">
        <v>4.74</v>
      </c>
      <c r="F3499" s="31">
        <v>2042834500</v>
      </c>
    </row>
    <row r="3500" spans="1:6" ht="15" thickBot="1" x14ac:dyDescent="0.2">
      <c r="A3500" s="30" t="s">
        <v>12400</v>
      </c>
      <c r="B3500" s="26" t="str">
        <f t="shared" si="54"/>
        <v>300389</v>
      </c>
      <c r="C3500" s="30" t="s">
        <v>5054</v>
      </c>
      <c r="D3500" s="31">
        <v>8.77</v>
      </c>
      <c r="E3500" s="31">
        <v>-1.02</v>
      </c>
      <c r="F3500" s="31">
        <v>2041809600</v>
      </c>
    </row>
    <row r="3501" spans="1:6" ht="15" thickBot="1" x14ac:dyDescent="0.2">
      <c r="A3501" s="30" t="s">
        <v>12401</v>
      </c>
      <c r="B3501" s="26" t="str">
        <f t="shared" si="54"/>
        <v>688562</v>
      </c>
      <c r="C3501" s="30" t="s">
        <v>12402</v>
      </c>
      <c r="D3501" s="31">
        <v>12.08</v>
      </c>
      <c r="E3501" s="31">
        <v>-1.47</v>
      </c>
      <c r="F3501" s="31">
        <v>2041761600</v>
      </c>
    </row>
    <row r="3502" spans="1:6" ht="15" thickBot="1" x14ac:dyDescent="0.2">
      <c r="A3502" s="30" t="s">
        <v>12403</v>
      </c>
      <c r="B3502" s="26" t="str">
        <f t="shared" si="54"/>
        <v>300572</v>
      </c>
      <c r="C3502" s="30" t="s">
        <v>5902</v>
      </c>
      <c r="D3502" s="31">
        <v>11.12</v>
      </c>
      <c r="E3502" s="31">
        <v>-3.81</v>
      </c>
      <c r="F3502" s="31">
        <v>2041593800</v>
      </c>
    </row>
    <row r="3503" spans="1:6" ht="15" thickBot="1" x14ac:dyDescent="0.2">
      <c r="A3503" s="30" t="s">
        <v>12404</v>
      </c>
      <c r="B3503" s="26" t="str">
        <f t="shared" si="54"/>
        <v>603101</v>
      </c>
      <c r="C3503" s="30" t="s">
        <v>6849</v>
      </c>
      <c r="D3503" s="31">
        <v>4.34</v>
      </c>
      <c r="E3503" s="31">
        <v>-2.0299999999999998</v>
      </c>
      <c r="F3503" s="31">
        <v>2041536000</v>
      </c>
    </row>
    <row r="3504" spans="1:6" ht="15" thickBot="1" x14ac:dyDescent="0.2">
      <c r="A3504" s="30" t="s">
        <v>12405</v>
      </c>
      <c r="B3504" s="26" t="str">
        <f t="shared" si="54"/>
        <v>301239</v>
      </c>
      <c r="C3504" s="30" t="s">
        <v>3998</v>
      </c>
      <c r="D3504" s="31">
        <v>28.83</v>
      </c>
      <c r="E3504" s="31">
        <v>-0.93</v>
      </c>
      <c r="F3504" s="31">
        <v>2040860200</v>
      </c>
    </row>
    <row r="3505" spans="1:6" ht="15" thickBot="1" x14ac:dyDescent="0.2">
      <c r="A3505" s="30" t="s">
        <v>12406</v>
      </c>
      <c r="B3505" s="26" t="str">
        <f t="shared" si="54"/>
        <v>300994</v>
      </c>
      <c r="C3505" s="30" t="s">
        <v>12407</v>
      </c>
      <c r="D3505" s="31">
        <v>8.75</v>
      </c>
      <c r="E3505" s="31">
        <v>-1.58</v>
      </c>
      <c r="F3505" s="31">
        <v>2039520000</v>
      </c>
    </row>
    <row r="3506" spans="1:6" ht="15" thickBot="1" x14ac:dyDescent="0.2">
      <c r="A3506" s="30" t="s">
        <v>12408</v>
      </c>
      <c r="B3506" s="26" t="str">
        <f t="shared" si="54"/>
        <v>603976</v>
      </c>
      <c r="C3506" s="30" t="s">
        <v>6897</v>
      </c>
      <c r="D3506" s="31">
        <v>13.45</v>
      </c>
      <c r="E3506" s="31">
        <v>-1.54</v>
      </c>
      <c r="F3506" s="31">
        <v>2033667400</v>
      </c>
    </row>
    <row r="3507" spans="1:6" ht="15" thickBot="1" x14ac:dyDescent="0.2">
      <c r="A3507" s="30" t="s">
        <v>12409</v>
      </c>
      <c r="B3507" s="26" t="str">
        <f t="shared" si="54"/>
        <v>300831</v>
      </c>
      <c r="C3507" s="30" t="s">
        <v>4867</v>
      </c>
      <c r="D3507" s="31">
        <v>11.02</v>
      </c>
      <c r="E3507" s="31">
        <v>-0.99</v>
      </c>
      <c r="F3507" s="31">
        <v>2033016300</v>
      </c>
    </row>
    <row r="3508" spans="1:6" ht="15" thickBot="1" x14ac:dyDescent="0.2">
      <c r="A3508" s="30" t="s">
        <v>12410</v>
      </c>
      <c r="B3508" s="26" t="str">
        <f t="shared" si="54"/>
        <v>300560</v>
      </c>
      <c r="C3508" s="30" t="s">
        <v>5990</v>
      </c>
      <c r="D3508" s="31">
        <v>10.86</v>
      </c>
      <c r="E3508" s="31">
        <v>-2.16</v>
      </c>
      <c r="F3508" s="31">
        <v>2030343700</v>
      </c>
    </row>
    <row r="3509" spans="1:6" ht="15" thickBot="1" x14ac:dyDescent="0.2">
      <c r="A3509" s="30" t="s">
        <v>12411</v>
      </c>
      <c r="B3509" s="26" t="str">
        <f t="shared" si="54"/>
        <v>300091</v>
      </c>
      <c r="C3509" s="30" t="s">
        <v>6706</v>
      </c>
      <c r="D3509" s="31">
        <v>1.52</v>
      </c>
      <c r="E3509" s="31">
        <v>-3.19</v>
      </c>
      <c r="F3509" s="31">
        <v>2029181400</v>
      </c>
    </row>
    <row r="3510" spans="1:6" ht="15" thickBot="1" x14ac:dyDescent="0.2">
      <c r="A3510" s="30" t="s">
        <v>12412</v>
      </c>
      <c r="B3510" s="26" t="str">
        <f t="shared" si="54"/>
        <v>301339</v>
      </c>
      <c r="C3510" s="30" t="s">
        <v>12413</v>
      </c>
      <c r="D3510" s="31">
        <v>16.89</v>
      </c>
      <c r="E3510" s="31">
        <v>-1.69</v>
      </c>
      <c r="F3510" s="31">
        <v>2027534300</v>
      </c>
    </row>
    <row r="3511" spans="1:6" ht="15" thickBot="1" x14ac:dyDescent="0.2">
      <c r="A3511" s="30" t="s">
        <v>12414</v>
      </c>
      <c r="B3511" s="26" t="str">
        <f t="shared" si="54"/>
        <v>002574</v>
      </c>
      <c r="C3511" s="30" t="s">
        <v>6953</v>
      </c>
      <c r="D3511" s="31">
        <v>3.84</v>
      </c>
      <c r="E3511" s="31">
        <v>-1.79</v>
      </c>
      <c r="F3511" s="31">
        <v>2027520000</v>
      </c>
    </row>
    <row r="3512" spans="1:6" ht="15" thickBot="1" x14ac:dyDescent="0.2">
      <c r="A3512" s="30" t="s">
        <v>12415</v>
      </c>
      <c r="B3512" s="26" t="str">
        <f t="shared" si="54"/>
        <v>300491</v>
      </c>
      <c r="C3512" s="30" t="s">
        <v>6372</v>
      </c>
      <c r="D3512" s="31">
        <v>13.07</v>
      </c>
      <c r="E3512" s="31">
        <v>-1.36</v>
      </c>
      <c r="F3512" s="31">
        <v>2027223600</v>
      </c>
    </row>
    <row r="3513" spans="1:6" ht="15" thickBot="1" x14ac:dyDescent="0.2">
      <c r="A3513" s="30" t="s">
        <v>12416</v>
      </c>
      <c r="B3513" s="26" t="str">
        <f t="shared" si="54"/>
        <v>688392</v>
      </c>
      <c r="C3513" s="30" t="s">
        <v>12417</v>
      </c>
      <c r="D3513" s="31">
        <v>29.5</v>
      </c>
      <c r="E3513" s="31">
        <v>-1.99</v>
      </c>
      <c r="F3513" s="31">
        <v>2025787400</v>
      </c>
    </row>
    <row r="3514" spans="1:6" ht="15" thickBot="1" x14ac:dyDescent="0.2">
      <c r="A3514" s="30" t="s">
        <v>12418</v>
      </c>
      <c r="B3514" s="26" t="str">
        <f t="shared" si="54"/>
        <v>002303</v>
      </c>
      <c r="C3514" s="30" t="s">
        <v>4102</v>
      </c>
      <c r="D3514" s="31">
        <v>2.5499999999999998</v>
      </c>
      <c r="E3514" s="31">
        <v>-1.92</v>
      </c>
      <c r="F3514" s="31">
        <v>2024420600</v>
      </c>
    </row>
    <row r="3515" spans="1:6" ht="15" thickBot="1" x14ac:dyDescent="0.2">
      <c r="A3515" s="30" t="s">
        <v>12419</v>
      </c>
      <c r="B3515" s="26" t="str">
        <f t="shared" si="54"/>
        <v>688680</v>
      </c>
      <c r="C3515" s="30" t="s">
        <v>6887</v>
      </c>
      <c r="D3515" s="31">
        <v>24.09</v>
      </c>
      <c r="E3515" s="31">
        <v>-1.23</v>
      </c>
      <c r="F3515" s="31">
        <v>2024046900</v>
      </c>
    </row>
    <row r="3516" spans="1:6" ht="15" thickBot="1" x14ac:dyDescent="0.2">
      <c r="A3516" s="30" t="s">
        <v>12420</v>
      </c>
      <c r="B3516" s="26" t="str">
        <f t="shared" si="54"/>
        <v>688558</v>
      </c>
      <c r="C3516" s="30" t="s">
        <v>6935</v>
      </c>
      <c r="D3516" s="31">
        <v>15.3</v>
      </c>
      <c r="E3516" s="31">
        <v>-1.29</v>
      </c>
      <c r="F3516" s="31">
        <v>2019600000</v>
      </c>
    </row>
    <row r="3517" spans="1:6" ht="15" thickBot="1" x14ac:dyDescent="0.2">
      <c r="A3517" s="30" t="s">
        <v>12421</v>
      </c>
      <c r="B3517" s="26" t="str">
        <f t="shared" si="54"/>
        <v>002391</v>
      </c>
      <c r="C3517" s="30" t="s">
        <v>5685</v>
      </c>
      <c r="D3517" s="31">
        <v>4.3499999999999996</v>
      </c>
      <c r="E3517" s="31">
        <v>-0.91</v>
      </c>
      <c r="F3517" s="31">
        <v>2018925500</v>
      </c>
    </row>
    <row r="3518" spans="1:6" ht="15" thickBot="1" x14ac:dyDescent="0.2">
      <c r="A3518" s="30" t="s">
        <v>12422</v>
      </c>
      <c r="B3518" s="26" t="str">
        <f t="shared" si="54"/>
        <v>000518</v>
      </c>
      <c r="C3518" s="30" t="s">
        <v>6899</v>
      </c>
      <c r="D3518" s="31">
        <v>1.96</v>
      </c>
      <c r="E3518" s="31">
        <v>-2.97</v>
      </c>
      <c r="F3518" s="31">
        <v>2017890000</v>
      </c>
    </row>
    <row r="3519" spans="1:6" ht="15" thickBot="1" x14ac:dyDescent="0.2">
      <c r="A3519" s="30" t="s">
        <v>12423</v>
      </c>
      <c r="B3519" s="26" t="str">
        <f t="shared" si="54"/>
        <v>300407</v>
      </c>
      <c r="C3519" s="30" t="s">
        <v>6292</v>
      </c>
      <c r="D3519" s="31">
        <v>8.26</v>
      </c>
      <c r="E3519" s="31">
        <v>5.22</v>
      </c>
      <c r="F3519" s="31">
        <v>2017588200</v>
      </c>
    </row>
    <row r="3520" spans="1:6" ht="15" thickBot="1" x14ac:dyDescent="0.2">
      <c r="A3520" s="30" t="s">
        <v>12424</v>
      </c>
      <c r="B3520" s="26" t="str">
        <f t="shared" si="54"/>
        <v>600706</v>
      </c>
      <c r="C3520" s="30" t="s">
        <v>6919</v>
      </c>
      <c r="D3520" s="31">
        <v>7.94</v>
      </c>
      <c r="E3520" s="31">
        <v>-1.61</v>
      </c>
      <c r="F3520" s="31">
        <v>2016999700</v>
      </c>
    </row>
    <row r="3521" spans="1:6" ht="15" thickBot="1" x14ac:dyDescent="0.2">
      <c r="A3521" s="30" t="s">
        <v>12425</v>
      </c>
      <c r="B3521" s="26" t="str">
        <f t="shared" si="54"/>
        <v>300909</v>
      </c>
      <c r="C3521" s="30" t="s">
        <v>5224</v>
      </c>
      <c r="D3521" s="31">
        <v>17.64</v>
      </c>
      <c r="E3521" s="31">
        <v>-1.95</v>
      </c>
      <c r="F3521" s="31">
        <v>2015205300</v>
      </c>
    </row>
    <row r="3522" spans="1:6" ht="15" thickBot="1" x14ac:dyDescent="0.2">
      <c r="A3522" s="30" t="s">
        <v>12426</v>
      </c>
      <c r="B3522" s="26" t="str">
        <f t="shared" si="54"/>
        <v>301036</v>
      </c>
      <c r="C3522" s="30" t="s">
        <v>12427</v>
      </c>
      <c r="D3522" s="31">
        <v>28.59</v>
      </c>
      <c r="E3522" s="31">
        <v>2.14</v>
      </c>
      <c r="F3522" s="31">
        <v>2013754800</v>
      </c>
    </row>
    <row r="3523" spans="1:6" ht="15" thickBot="1" x14ac:dyDescent="0.2">
      <c r="A3523" s="30" t="s">
        <v>12428</v>
      </c>
      <c r="B3523" s="26" t="str">
        <f t="shared" ref="B3523:B3586" si="55">LEFT(A3523,6)</f>
        <v>300350</v>
      </c>
      <c r="C3523" s="30" t="s">
        <v>6338</v>
      </c>
      <c r="D3523" s="31">
        <v>4.2699999999999996</v>
      </c>
      <c r="E3523" s="31">
        <v>-0.7</v>
      </c>
      <c r="F3523" s="31">
        <v>2013584300</v>
      </c>
    </row>
    <row r="3524" spans="1:6" ht="15" thickBot="1" x14ac:dyDescent="0.2">
      <c r="A3524" s="30" t="s">
        <v>12429</v>
      </c>
      <c r="B3524" s="26" t="str">
        <f t="shared" si="55"/>
        <v>002453</v>
      </c>
      <c r="C3524" s="30" t="s">
        <v>5818</v>
      </c>
      <c r="D3524" s="31">
        <v>3.29</v>
      </c>
      <c r="E3524" s="31">
        <v>-0.9</v>
      </c>
      <c r="F3524" s="31">
        <v>2009789500</v>
      </c>
    </row>
    <row r="3525" spans="1:6" ht="15" thickBot="1" x14ac:dyDescent="0.2">
      <c r="A3525" s="30" t="s">
        <v>12430</v>
      </c>
      <c r="B3525" s="26" t="str">
        <f t="shared" si="55"/>
        <v>603017</v>
      </c>
      <c r="C3525" s="30" t="s">
        <v>6985</v>
      </c>
      <c r="D3525" s="31">
        <v>7.27</v>
      </c>
      <c r="E3525" s="31">
        <v>-0.95</v>
      </c>
      <c r="F3525" s="31">
        <v>2005835000</v>
      </c>
    </row>
    <row r="3526" spans="1:6" ht="15" thickBot="1" x14ac:dyDescent="0.2">
      <c r="A3526" s="30" t="s">
        <v>12431</v>
      </c>
      <c r="B3526" s="26" t="str">
        <f t="shared" si="55"/>
        <v>300467</v>
      </c>
      <c r="C3526" s="30" t="s">
        <v>6230</v>
      </c>
      <c r="D3526" s="31">
        <v>11.9</v>
      </c>
      <c r="E3526" s="31">
        <v>-1.41</v>
      </c>
      <c r="F3526" s="31">
        <v>2005831600</v>
      </c>
    </row>
    <row r="3527" spans="1:6" ht="15" thickBot="1" x14ac:dyDescent="0.2">
      <c r="A3527" s="30" t="s">
        <v>12432</v>
      </c>
      <c r="B3527" s="26" t="str">
        <f t="shared" si="55"/>
        <v>605488</v>
      </c>
      <c r="C3527" s="30" t="s">
        <v>12433</v>
      </c>
      <c r="D3527" s="31">
        <v>10.8</v>
      </c>
      <c r="E3527" s="31">
        <v>-3.74</v>
      </c>
      <c r="F3527" s="31">
        <v>2005446800</v>
      </c>
    </row>
    <row r="3528" spans="1:6" ht="15" thickBot="1" x14ac:dyDescent="0.2">
      <c r="A3528" s="30" t="s">
        <v>12434</v>
      </c>
      <c r="B3528" s="26" t="str">
        <f t="shared" si="55"/>
        <v>002107</v>
      </c>
      <c r="C3528" s="30" t="s">
        <v>6879</v>
      </c>
      <c r="D3528" s="31">
        <v>3.52</v>
      </c>
      <c r="E3528" s="31">
        <v>-2.4900000000000002</v>
      </c>
      <c r="F3528" s="31">
        <v>2005050600</v>
      </c>
    </row>
    <row r="3529" spans="1:6" ht="15" thickBot="1" x14ac:dyDescent="0.2">
      <c r="A3529" s="30" t="s">
        <v>12435</v>
      </c>
      <c r="B3529" s="26" t="str">
        <f t="shared" si="55"/>
        <v>003038</v>
      </c>
      <c r="C3529" s="30" t="s">
        <v>12436</v>
      </c>
      <c r="D3529" s="31">
        <v>11.85</v>
      </c>
      <c r="E3529" s="31">
        <v>-1.17</v>
      </c>
      <c r="F3529" s="31">
        <v>2004876700</v>
      </c>
    </row>
    <row r="3530" spans="1:6" ht="15" thickBot="1" x14ac:dyDescent="0.2">
      <c r="A3530" s="30" t="s">
        <v>12437</v>
      </c>
      <c r="B3530" s="26" t="str">
        <f t="shared" si="55"/>
        <v>300612</v>
      </c>
      <c r="C3530" s="30" t="s">
        <v>6402</v>
      </c>
      <c r="D3530" s="31">
        <v>12.61</v>
      </c>
      <c r="E3530" s="31">
        <v>-2.85</v>
      </c>
      <c r="F3530" s="31">
        <v>2002656800</v>
      </c>
    </row>
    <row r="3531" spans="1:6" ht="15" thickBot="1" x14ac:dyDescent="0.2">
      <c r="A3531" s="30" t="s">
        <v>12438</v>
      </c>
      <c r="B3531" s="26" t="str">
        <f t="shared" si="55"/>
        <v>600476</v>
      </c>
      <c r="C3531" s="30" t="s">
        <v>7109</v>
      </c>
      <c r="D3531" s="31">
        <v>12.41</v>
      </c>
      <c r="E3531" s="31">
        <v>-0.32</v>
      </c>
      <c r="F3531" s="31">
        <v>1998878700</v>
      </c>
    </row>
    <row r="3532" spans="1:6" ht="15" thickBot="1" x14ac:dyDescent="0.2">
      <c r="A3532" s="30" t="s">
        <v>12439</v>
      </c>
      <c r="B3532" s="26" t="str">
        <f t="shared" si="55"/>
        <v>300250</v>
      </c>
      <c r="C3532" s="30" t="s">
        <v>6050</v>
      </c>
      <c r="D3532" s="31">
        <v>12.68</v>
      </c>
      <c r="E3532" s="31">
        <v>5.49</v>
      </c>
      <c r="F3532" s="31">
        <v>1998577500</v>
      </c>
    </row>
    <row r="3533" spans="1:6" ht="15" thickBot="1" x14ac:dyDescent="0.2">
      <c r="A3533" s="30" t="s">
        <v>12440</v>
      </c>
      <c r="B3533" s="26" t="str">
        <f t="shared" si="55"/>
        <v>603135</v>
      </c>
      <c r="C3533" s="30" t="s">
        <v>12441</v>
      </c>
      <c r="D3533" s="31">
        <v>7.91</v>
      </c>
      <c r="E3533" s="31">
        <v>-0.75</v>
      </c>
      <c r="F3533" s="31">
        <v>1998518100</v>
      </c>
    </row>
    <row r="3534" spans="1:6" ht="15" thickBot="1" x14ac:dyDescent="0.2">
      <c r="A3534" s="30" t="s">
        <v>12442</v>
      </c>
      <c r="B3534" s="26" t="str">
        <f t="shared" si="55"/>
        <v>300987</v>
      </c>
      <c r="C3534" s="30" t="s">
        <v>6951</v>
      </c>
      <c r="D3534" s="31">
        <v>11.52</v>
      </c>
      <c r="E3534" s="31">
        <v>-2.7</v>
      </c>
      <c r="F3534" s="31">
        <v>1997199400</v>
      </c>
    </row>
    <row r="3535" spans="1:6" ht="15" thickBot="1" x14ac:dyDescent="0.2">
      <c r="A3535" s="30" t="s">
        <v>12443</v>
      </c>
      <c r="B3535" s="26" t="str">
        <f t="shared" si="55"/>
        <v>605080</v>
      </c>
      <c r="C3535" s="30" t="s">
        <v>12444</v>
      </c>
      <c r="D3535" s="31">
        <v>14.1</v>
      </c>
      <c r="E3535" s="31">
        <v>-2.76</v>
      </c>
      <c r="F3535" s="31">
        <v>1996179900</v>
      </c>
    </row>
    <row r="3536" spans="1:6" ht="15" thickBot="1" x14ac:dyDescent="0.2">
      <c r="A3536" s="30" t="s">
        <v>12445</v>
      </c>
      <c r="B3536" s="26" t="str">
        <f t="shared" si="55"/>
        <v>603038</v>
      </c>
      <c r="C3536" s="30" t="s">
        <v>7031</v>
      </c>
      <c r="D3536" s="31">
        <v>7.42</v>
      </c>
      <c r="E3536" s="31">
        <v>0.82</v>
      </c>
      <c r="F3536" s="31">
        <v>1993584100</v>
      </c>
    </row>
    <row r="3537" spans="1:6" ht="15" thickBot="1" x14ac:dyDescent="0.2">
      <c r="A3537" s="30" t="s">
        <v>12446</v>
      </c>
      <c r="B3537" s="26" t="str">
        <f t="shared" si="55"/>
        <v>002348</v>
      </c>
      <c r="C3537" s="30" t="s">
        <v>6809</v>
      </c>
      <c r="D3537" s="31">
        <v>2.2400000000000002</v>
      </c>
      <c r="E3537" s="31">
        <v>-3.45</v>
      </c>
      <c r="F3537" s="31">
        <v>1991308100</v>
      </c>
    </row>
    <row r="3538" spans="1:6" ht="15" thickBot="1" x14ac:dyDescent="0.2">
      <c r="A3538" s="30" t="s">
        <v>12447</v>
      </c>
      <c r="B3538" s="26" t="str">
        <f t="shared" si="55"/>
        <v>688109</v>
      </c>
      <c r="C3538" s="30" t="s">
        <v>12448</v>
      </c>
      <c r="D3538" s="31">
        <v>25.25</v>
      </c>
      <c r="E3538" s="31">
        <v>-2.4</v>
      </c>
      <c r="F3538" s="31">
        <v>1990768100</v>
      </c>
    </row>
    <row r="3539" spans="1:6" ht="15" thickBot="1" x14ac:dyDescent="0.2">
      <c r="A3539" s="30" t="s">
        <v>12449</v>
      </c>
      <c r="B3539" s="26" t="str">
        <f t="shared" si="55"/>
        <v>300800</v>
      </c>
      <c r="C3539" s="30" t="s">
        <v>6973</v>
      </c>
      <c r="D3539" s="31">
        <v>8.4600000000000009</v>
      </c>
      <c r="E3539" s="31">
        <v>-1.63</v>
      </c>
      <c r="F3539" s="31">
        <v>1982867500</v>
      </c>
    </row>
    <row r="3540" spans="1:6" ht="15" thickBot="1" x14ac:dyDescent="0.2">
      <c r="A3540" s="30" t="s">
        <v>12450</v>
      </c>
      <c r="B3540" s="26" t="str">
        <f t="shared" si="55"/>
        <v>688580</v>
      </c>
      <c r="C3540" s="30" t="s">
        <v>6939</v>
      </c>
      <c r="D3540" s="31">
        <v>20.7</v>
      </c>
      <c r="E3540" s="31">
        <v>-1</v>
      </c>
      <c r="F3540" s="31">
        <v>1982465700</v>
      </c>
    </row>
    <row r="3541" spans="1:6" ht="15" thickBot="1" x14ac:dyDescent="0.2">
      <c r="A3541" s="30" t="s">
        <v>12451</v>
      </c>
      <c r="B3541" s="26" t="str">
        <f t="shared" si="55"/>
        <v>688551</v>
      </c>
      <c r="C3541" s="30" t="s">
        <v>6819</v>
      </c>
      <c r="D3541" s="31">
        <v>23.59</v>
      </c>
      <c r="E3541" s="31">
        <v>-1.95</v>
      </c>
      <c r="F3541" s="31">
        <v>1982125400</v>
      </c>
    </row>
    <row r="3542" spans="1:6" ht="15" thickBot="1" x14ac:dyDescent="0.2">
      <c r="A3542" s="30" t="s">
        <v>12452</v>
      </c>
      <c r="B3542" s="26" t="str">
        <f t="shared" si="55"/>
        <v>300175</v>
      </c>
      <c r="C3542" s="30" t="s">
        <v>6504</v>
      </c>
      <c r="D3542" s="31">
        <v>4.21</v>
      </c>
      <c r="E3542" s="31">
        <v>-18.73</v>
      </c>
      <c r="F3542" s="31">
        <v>1982068000</v>
      </c>
    </row>
    <row r="3543" spans="1:6" ht="15" thickBot="1" x14ac:dyDescent="0.2">
      <c r="A3543" s="30" t="s">
        <v>12453</v>
      </c>
      <c r="B3543" s="26" t="str">
        <f t="shared" si="55"/>
        <v>688585</v>
      </c>
      <c r="C3543" s="30" t="s">
        <v>7019</v>
      </c>
      <c r="D3543" s="31">
        <v>4.91</v>
      </c>
      <c r="E3543" s="31">
        <v>-1.21</v>
      </c>
      <c r="F3543" s="31">
        <v>1980506100</v>
      </c>
    </row>
    <row r="3544" spans="1:6" ht="15" thickBot="1" x14ac:dyDescent="0.2">
      <c r="A3544" s="30" t="s">
        <v>12454</v>
      </c>
      <c r="B3544" s="26" t="str">
        <f t="shared" si="55"/>
        <v>000978</v>
      </c>
      <c r="C3544" s="30" t="s">
        <v>6094</v>
      </c>
      <c r="D3544" s="31">
        <v>5.5</v>
      </c>
      <c r="E3544" s="31">
        <v>-1.08</v>
      </c>
      <c r="F3544" s="31">
        <v>1980486800</v>
      </c>
    </row>
    <row r="3545" spans="1:6" ht="15" thickBot="1" x14ac:dyDescent="0.2">
      <c r="A3545" s="30" t="s">
        <v>12455</v>
      </c>
      <c r="B3545" s="26" t="str">
        <f t="shared" si="55"/>
        <v>688717</v>
      </c>
      <c r="C3545" s="30" t="s">
        <v>12456</v>
      </c>
      <c r="D3545" s="31">
        <v>61.87</v>
      </c>
      <c r="E3545" s="31">
        <v>-0.63</v>
      </c>
      <c r="F3545" s="31">
        <v>1979840000</v>
      </c>
    </row>
    <row r="3546" spans="1:6" ht="15" thickBot="1" x14ac:dyDescent="0.2">
      <c r="A3546" s="30" t="s">
        <v>12457</v>
      </c>
      <c r="B3546" s="26" t="str">
        <f t="shared" si="55"/>
        <v>000715</v>
      </c>
      <c r="C3546" s="30" t="s">
        <v>7061</v>
      </c>
      <c r="D3546" s="31">
        <v>4.7699999999999996</v>
      </c>
      <c r="E3546" s="31">
        <v>0.85</v>
      </c>
      <c r="F3546" s="31">
        <v>1979833800</v>
      </c>
    </row>
    <row r="3547" spans="1:6" ht="15" thickBot="1" x14ac:dyDescent="0.2">
      <c r="A3547" s="30" t="s">
        <v>12458</v>
      </c>
      <c r="B3547" s="26" t="str">
        <f t="shared" si="55"/>
        <v>300732</v>
      </c>
      <c r="C3547" s="30" t="s">
        <v>7005</v>
      </c>
      <c r="D3547" s="31">
        <v>6.11</v>
      </c>
      <c r="E3547" s="31">
        <v>-1.45</v>
      </c>
      <c r="F3547" s="31">
        <v>1978054100</v>
      </c>
    </row>
    <row r="3548" spans="1:6" ht="15" thickBot="1" x14ac:dyDescent="0.2">
      <c r="A3548" s="30" t="s">
        <v>12459</v>
      </c>
      <c r="B3548" s="26" t="str">
        <f t="shared" si="55"/>
        <v>300715</v>
      </c>
      <c r="C3548" s="30" t="s">
        <v>6386</v>
      </c>
      <c r="D3548" s="31">
        <v>5.8</v>
      </c>
      <c r="E3548" s="31">
        <v>-6.6</v>
      </c>
      <c r="F3548" s="31">
        <v>1977875800</v>
      </c>
    </row>
    <row r="3549" spans="1:6" ht="15" thickBot="1" x14ac:dyDescent="0.2">
      <c r="A3549" s="30" t="s">
        <v>12460</v>
      </c>
      <c r="B3549" s="26" t="str">
        <f t="shared" si="55"/>
        <v>300230</v>
      </c>
      <c r="C3549" s="30" t="s">
        <v>6200</v>
      </c>
      <c r="D3549" s="31">
        <v>3.12</v>
      </c>
      <c r="E3549" s="31">
        <v>-0.64</v>
      </c>
      <c r="F3549" s="31">
        <v>1974383100</v>
      </c>
    </row>
    <row r="3550" spans="1:6" ht="15" thickBot="1" x14ac:dyDescent="0.2">
      <c r="A3550" s="30" t="s">
        <v>12461</v>
      </c>
      <c r="B3550" s="26" t="str">
        <f t="shared" si="55"/>
        <v>600785</v>
      </c>
      <c r="C3550" s="30" t="s">
        <v>6893</v>
      </c>
      <c r="D3550" s="31">
        <v>8.75</v>
      </c>
      <c r="E3550" s="31">
        <v>-3.42</v>
      </c>
      <c r="F3550" s="31">
        <v>1974273700</v>
      </c>
    </row>
    <row r="3551" spans="1:6" ht="15" thickBot="1" x14ac:dyDescent="0.2">
      <c r="A3551" s="30" t="s">
        <v>12462</v>
      </c>
      <c r="B3551" s="26" t="str">
        <f t="shared" si="55"/>
        <v>002066</v>
      </c>
      <c r="C3551" s="30" t="s">
        <v>7497</v>
      </c>
      <c r="D3551" s="31">
        <v>8.5399999999999991</v>
      </c>
      <c r="E3551" s="31">
        <v>10.050000000000001</v>
      </c>
      <c r="F3551" s="31">
        <v>1972740000</v>
      </c>
    </row>
    <row r="3552" spans="1:6" ht="15" thickBot="1" x14ac:dyDescent="0.2">
      <c r="A3552" s="30" t="s">
        <v>12463</v>
      </c>
      <c r="B3552" s="26" t="str">
        <f t="shared" si="55"/>
        <v>601121</v>
      </c>
      <c r="C3552" s="30" t="s">
        <v>12464</v>
      </c>
      <c r="D3552" s="31">
        <v>5.19</v>
      </c>
      <c r="E3552" s="31">
        <v>-1.71</v>
      </c>
      <c r="F3552" s="31">
        <v>1972200000</v>
      </c>
    </row>
    <row r="3553" spans="1:6" ht="15" thickBot="1" x14ac:dyDescent="0.2">
      <c r="A3553" s="30" t="s">
        <v>12465</v>
      </c>
      <c r="B3553" s="26" t="str">
        <f t="shared" si="55"/>
        <v>301550</v>
      </c>
      <c r="C3553" s="30" t="s">
        <v>12466</v>
      </c>
      <c r="D3553" s="31">
        <v>35.869999999999997</v>
      </c>
      <c r="E3553" s="31">
        <v>2.87</v>
      </c>
      <c r="F3553" s="31">
        <v>1970400100</v>
      </c>
    </row>
    <row r="3554" spans="1:6" ht="15" thickBot="1" x14ac:dyDescent="0.2">
      <c r="A3554" s="30" t="s">
        <v>12467</v>
      </c>
      <c r="B3554" s="26" t="str">
        <f t="shared" si="55"/>
        <v>600854</v>
      </c>
      <c r="C3554" s="30" t="s">
        <v>7073</v>
      </c>
      <c r="D3554" s="31">
        <v>3.79</v>
      </c>
      <c r="E3554" s="31">
        <v>0.27</v>
      </c>
      <c r="F3554" s="31">
        <v>1968747900</v>
      </c>
    </row>
    <row r="3555" spans="1:6" ht="15" thickBot="1" x14ac:dyDescent="0.2">
      <c r="A3555" s="30" t="s">
        <v>12468</v>
      </c>
      <c r="B3555" s="26" t="str">
        <f t="shared" si="55"/>
        <v>300637</v>
      </c>
      <c r="C3555" s="30" t="s">
        <v>6871</v>
      </c>
      <c r="D3555" s="31">
        <v>8.4</v>
      </c>
      <c r="E3555" s="31">
        <v>2.94</v>
      </c>
      <c r="F3555" s="31">
        <v>1968197600</v>
      </c>
    </row>
    <row r="3556" spans="1:6" ht="15" thickBot="1" x14ac:dyDescent="0.2">
      <c r="A3556" s="30" t="s">
        <v>12469</v>
      </c>
      <c r="B3556" s="26" t="str">
        <f t="shared" si="55"/>
        <v>300164</v>
      </c>
      <c r="C3556" s="30" t="s">
        <v>7081</v>
      </c>
      <c r="D3556" s="31">
        <v>3.36</v>
      </c>
      <c r="E3556" s="31">
        <v>-2.33</v>
      </c>
      <c r="F3556" s="31">
        <v>1967820200</v>
      </c>
    </row>
    <row r="3557" spans="1:6" ht="15" thickBot="1" x14ac:dyDescent="0.2">
      <c r="A3557" s="30" t="s">
        <v>12470</v>
      </c>
      <c r="B3557" s="26" t="str">
        <f t="shared" si="55"/>
        <v>002253</v>
      </c>
      <c r="C3557" s="30" t="s">
        <v>6773</v>
      </c>
      <c r="D3557" s="31">
        <v>9.4700000000000006</v>
      </c>
      <c r="E3557" s="31">
        <v>-1.66</v>
      </c>
      <c r="F3557" s="31">
        <v>1967577400</v>
      </c>
    </row>
    <row r="3558" spans="1:6" ht="15" thickBot="1" x14ac:dyDescent="0.2">
      <c r="A3558" s="30" t="s">
        <v>12471</v>
      </c>
      <c r="B3558" s="26" t="str">
        <f t="shared" si="55"/>
        <v>000759</v>
      </c>
      <c r="C3558" s="30" t="s">
        <v>7033</v>
      </c>
      <c r="D3558" s="31">
        <v>3</v>
      </c>
      <c r="E3558" s="31">
        <v>-0.66</v>
      </c>
      <c r="F3558" s="31">
        <v>1967116300</v>
      </c>
    </row>
    <row r="3559" spans="1:6" ht="15" thickBot="1" x14ac:dyDescent="0.2">
      <c r="A3559" s="30" t="s">
        <v>12472</v>
      </c>
      <c r="B3559" s="26" t="str">
        <f t="shared" si="55"/>
        <v>300830</v>
      </c>
      <c r="C3559" s="30" t="s">
        <v>6330</v>
      </c>
      <c r="D3559" s="31">
        <v>6.24</v>
      </c>
      <c r="E3559" s="31">
        <v>9.09</v>
      </c>
      <c r="F3559" s="31">
        <v>1965373900</v>
      </c>
    </row>
    <row r="3560" spans="1:6" ht="15" thickBot="1" x14ac:dyDescent="0.2">
      <c r="A3560" s="30" t="s">
        <v>12473</v>
      </c>
      <c r="B3560" s="26" t="str">
        <f t="shared" si="55"/>
        <v>603949</v>
      </c>
      <c r="C3560" s="30" t="s">
        <v>6941</v>
      </c>
      <c r="D3560" s="31">
        <v>9.35</v>
      </c>
      <c r="E3560" s="31">
        <v>-1.37</v>
      </c>
      <c r="F3560" s="31">
        <v>1965119800</v>
      </c>
    </row>
    <row r="3561" spans="1:6" ht="15" thickBot="1" x14ac:dyDescent="0.2">
      <c r="A3561" s="30" t="s">
        <v>12474</v>
      </c>
      <c r="B3561" s="26" t="str">
        <f t="shared" si="55"/>
        <v>301439</v>
      </c>
      <c r="C3561" s="30" t="s">
        <v>12475</v>
      </c>
      <c r="D3561" s="31">
        <v>10.72</v>
      </c>
      <c r="E3561" s="31">
        <v>-0.92</v>
      </c>
      <c r="F3561" s="31">
        <v>1964407000</v>
      </c>
    </row>
    <row r="3562" spans="1:6" ht="15" thickBot="1" x14ac:dyDescent="0.2">
      <c r="A3562" s="30" t="s">
        <v>12476</v>
      </c>
      <c r="B3562" s="26" t="str">
        <f t="shared" si="55"/>
        <v>002148</v>
      </c>
      <c r="C3562" s="30" t="s">
        <v>6224</v>
      </c>
      <c r="D3562" s="31">
        <v>4.37</v>
      </c>
      <c r="E3562" s="31">
        <v>-1.8</v>
      </c>
      <c r="F3562" s="31">
        <v>1964132500</v>
      </c>
    </row>
    <row r="3563" spans="1:6" ht="15" thickBot="1" x14ac:dyDescent="0.2">
      <c r="A3563" s="30" t="s">
        <v>12477</v>
      </c>
      <c r="B3563" s="26" t="str">
        <f t="shared" si="55"/>
        <v>002917</v>
      </c>
      <c r="C3563" s="30" t="s">
        <v>6022</v>
      </c>
      <c r="D3563" s="31">
        <v>7.53</v>
      </c>
      <c r="E3563" s="31">
        <v>0.4</v>
      </c>
      <c r="F3563" s="31">
        <v>1961905600</v>
      </c>
    </row>
    <row r="3564" spans="1:6" ht="15" thickBot="1" x14ac:dyDescent="0.2">
      <c r="A3564" s="30" t="s">
        <v>12478</v>
      </c>
      <c r="B3564" s="26" t="str">
        <f t="shared" si="55"/>
        <v>002613</v>
      </c>
      <c r="C3564" s="30" t="s">
        <v>5389</v>
      </c>
      <c r="D3564" s="31">
        <v>3.22</v>
      </c>
      <c r="E3564" s="31">
        <v>-1.53</v>
      </c>
      <c r="F3564" s="31">
        <v>1960728500</v>
      </c>
    </row>
    <row r="3565" spans="1:6" ht="15" thickBot="1" x14ac:dyDescent="0.2">
      <c r="A3565" s="30" t="s">
        <v>12479</v>
      </c>
      <c r="B3565" s="26" t="str">
        <f t="shared" si="55"/>
        <v>688186</v>
      </c>
      <c r="C3565" s="30" t="s">
        <v>7057</v>
      </c>
      <c r="D3565" s="31">
        <v>9.15</v>
      </c>
      <c r="E3565" s="31">
        <v>-0.65</v>
      </c>
      <c r="F3565" s="31">
        <v>1960301200</v>
      </c>
    </row>
    <row r="3566" spans="1:6" ht="15" thickBot="1" x14ac:dyDescent="0.2">
      <c r="A3566" s="30" t="s">
        <v>12480</v>
      </c>
      <c r="B3566" s="26" t="str">
        <f t="shared" si="55"/>
        <v>300004</v>
      </c>
      <c r="C3566" s="30" t="s">
        <v>7067</v>
      </c>
      <c r="D3566" s="31">
        <v>4.08</v>
      </c>
      <c r="E3566" s="31">
        <v>-0.73</v>
      </c>
      <c r="F3566" s="31">
        <v>1958373900</v>
      </c>
    </row>
    <row r="3567" spans="1:6" ht="15" thickBot="1" x14ac:dyDescent="0.2">
      <c r="A3567" s="30" t="s">
        <v>12481</v>
      </c>
      <c r="B3567" s="26" t="str">
        <f t="shared" si="55"/>
        <v>002598</v>
      </c>
      <c r="C3567" s="30" t="s">
        <v>6750</v>
      </c>
      <c r="D3567" s="31">
        <v>6.94</v>
      </c>
      <c r="E3567" s="31">
        <v>-0.72</v>
      </c>
      <c r="F3567" s="31">
        <v>1957411900</v>
      </c>
    </row>
    <row r="3568" spans="1:6" ht="15" thickBot="1" x14ac:dyDescent="0.2">
      <c r="A3568" s="30" t="s">
        <v>12482</v>
      </c>
      <c r="B3568" s="26" t="str">
        <f t="shared" si="55"/>
        <v>000548</v>
      </c>
      <c r="C3568" s="30" t="s">
        <v>7087</v>
      </c>
      <c r="D3568" s="31">
        <v>3.92</v>
      </c>
      <c r="E3568" s="31">
        <v>-2</v>
      </c>
      <c r="F3568" s="31">
        <v>1956820100</v>
      </c>
    </row>
    <row r="3569" spans="1:6" ht="15" thickBot="1" x14ac:dyDescent="0.2">
      <c r="A3569" s="30" t="s">
        <v>12483</v>
      </c>
      <c r="B3569" s="26" t="str">
        <f t="shared" si="55"/>
        <v>002953</v>
      </c>
      <c r="C3569" s="30" t="s">
        <v>5044</v>
      </c>
      <c r="D3569" s="31">
        <v>7.2</v>
      </c>
      <c r="E3569" s="31">
        <v>-1.1000000000000001</v>
      </c>
      <c r="F3569" s="31">
        <v>1955790200</v>
      </c>
    </row>
    <row r="3570" spans="1:6" ht="15" thickBot="1" x14ac:dyDescent="0.2">
      <c r="A3570" s="30" t="s">
        <v>12484</v>
      </c>
      <c r="B3570" s="26" t="str">
        <f t="shared" si="55"/>
        <v>688683</v>
      </c>
      <c r="C3570" s="30" t="s">
        <v>6961</v>
      </c>
      <c r="D3570" s="31">
        <v>12.6</v>
      </c>
      <c r="E3570" s="31">
        <v>-2.25</v>
      </c>
      <c r="F3570" s="31">
        <v>1955241900</v>
      </c>
    </row>
    <row r="3571" spans="1:6" ht="15" thickBot="1" x14ac:dyDescent="0.2">
      <c r="A3571" s="30" t="s">
        <v>12485</v>
      </c>
      <c r="B3571" s="26" t="str">
        <f t="shared" si="55"/>
        <v>300240</v>
      </c>
      <c r="C3571" s="30" t="s">
        <v>6963</v>
      </c>
      <c r="D3571" s="31">
        <v>5.39</v>
      </c>
      <c r="E3571" s="31">
        <v>-1.28</v>
      </c>
      <c r="F3571" s="31">
        <v>1954339200</v>
      </c>
    </row>
    <row r="3572" spans="1:6" ht="15" thickBot="1" x14ac:dyDescent="0.2">
      <c r="A3572" s="30" t="s">
        <v>12486</v>
      </c>
      <c r="B3572" s="26" t="str">
        <f t="shared" si="55"/>
        <v>300993</v>
      </c>
      <c r="C3572" s="30" t="s">
        <v>12487</v>
      </c>
      <c r="D3572" s="31">
        <v>8.1</v>
      </c>
      <c r="E3572" s="31">
        <v>0.37</v>
      </c>
      <c r="F3572" s="31">
        <v>1954252200</v>
      </c>
    </row>
    <row r="3573" spans="1:6" ht="15" thickBot="1" x14ac:dyDescent="0.2">
      <c r="A3573" s="30" t="s">
        <v>12488</v>
      </c>
      <c r="B3573" s="26" t="str">
        <f t="shared" si="55"/>
        <v>688332</v>
      </c>
      <c r="C3573" s="30" t="s">
        <v>12489</v>
      </c>
      <c r="D3573" s="31">
        <v>44.39</v>
      </c>
      <c r="E3573" s="31">
        <v>-1.1100000000000001</v>
      </c>
      <c r="F3573" s="31">
        <v>1954110000</v>
      </c>
    </row>
    <row r="3574" spans="1:6" ht="15" thickBot="1" x14ac:dyDescent="0.2">
      <c r="A3574" s="30" t="s">
        <v>12490</v>
      </c>
      <c r="B3574" s="26" t="str">
        <f t="shared" si="55"/>
        <v>300730</v>
      </c>
      <c r="C3574" s="30" t="s">
        <v>6704</v>
      </c>
      <c r="D3574" s="31">
        <v>9.93</v>
      </c>
      <c r="E3574" s="31">
        <v>-1.88</v>
      </c>
      <c r="F3574" s="31">
        <v>1953014000</v>
      </c>
    </row>
    <row r="3575" spans="1:6" ht="15" thickBot="1" x14ac:dyDescent="0.2">
      <c r="A3575" s="30" t="s">
        <v>12491</v>
      </c>
      <c r="B3575" s="26" t="str">
        <f t="shared" si="55"/>
        <v>430139</v>
      </c>
      <c r="C3575" s="30" t="s">
        <v>12492</v>
      </c>
      <c r="D3575" s="31">
        <v>7.49</v>
      </c>
      <c r="E3575" s="31">
        <v>5.79</v>
      </c>
      <c r="F3575" s="31">
        <v>1952133300</v>
      </c>
    </row>
    <row r="3576" spans="1:6" ht="15" thickBot="1" x14ac:dyDescent="0.2">
      <c r="A3576" s="30" t="s">
        <v>12493</v>
      </c>
      <c r="B3576" s="26" t="str">
        <f t="shared" si="55"/>
        <v>002796</v>
      </c>
      <c r="C3576" s="30" t="s">
        <v>6785</v>
      </c>
      <c r="D3576" s="31">
        <v>8.42</v>
      </c>
      <c r="E3576" s="31">
        <v>-0.71</v>
      </c>
      <c r="F3576" s="31">
        <v>1952057300</v>
      </c>
    </row>
    <row r="3577" spans="1:6" ht="15" thickBot="1" x14ac:dyDescent="0.2">
      <c r="A3577" s="30" t="s">
        <v>12494</v>
      </c>
      <c r="B3577" s="26" t="str">
        <f t="shared" si="55"/>
        <v>300247</v>
      </c>
      <c r="C3577" s="30" t="s">
        <v>7161</v>
      </c>
      <c r="D3577" s="31">
        <v>2.4300000000000002</v>
      </c>
      <c r="E3577" s="31">
        <v>-5.45</v>
      </c>
      <c r="F3577" s="31">
        <v>1951959000</v>
      </c>
    </row>
    <row r="3578" spans="1:6" ht="15" thickBot="1" x14ac:dyDescent="0.2">
      <c r="A3578" s="30" t="s">
        <v>12495</v>
      </c>
      <c r="B3578" s="26" t="str">
        <f t="shared" si="55"/>
        <v>688360</v>
      </c>
      <c r="C3578" s="30" t="s">
        <v>6626</v>
      </c>
      <c r="D3578" s="31">
        <v>11.62</v>
      </c>
      <c r="E3578" s="31">
        <v>-2.02</v>
      </c>
      <c r="F3578" s="31">
        <v>1951301700</v>
      </c>
    </row>
    <row r="3579" spans="1:6" ht="15" thickBot="1" x14ac:dyDescent="0.2">
      <c r="A3579" s="30" t="s">
        <v>12496</v>
      </c>
      <c r="B3579" s="26" t="str">
        <f t="shared" si="55"/>
        <v>603677</v>
      </c>
      <c r="C3579" s="30" t="s">
        <v>7053</v>
      </c>
      <c r="D3579" s="31">
        <v>10.15</v>
      </c>
      <c r="E3579" s="31">
        <v>0.69</v>
      </c>
      <c r="F3579" s="31">
        <v>1950297900</v>
      </c>
    </row>
    <row r="3580" spans="1:6" ht="15" thickBot="1" x14ac:dyDescent="0.2">
      <c r="A3580" s="30" t="s">
        <v>12497</v>
      </c>
      <c r="B3580" s="26" t="str">
        <f t="shared" si="55"/>
        <v>688398</v>
      </c>
      <c r="C3580" s="30" t="s">
        <v>7043</v>
      </c>
      <c r="D3580" s="31">
        <v>11.62</v>
      </c>
      <c r="E3580" s="31">
        <v>-0.17</v>
      </c>
      <c r="F3580" s="31">
        <v>1949995600</v>
      </c>
    </row>
    <row r="3581" spans="1:6" ht="15" thickBot="1" x14ac:dyDescent="0.2">
      <c r="A3581" s="30" t="s">
        <v>12498</v>
      </c>
      <c r="B3581" s="26" t="str">
        <f t="shared" si="55"/>
        <v>001208</v>
      </c>
      <c r="C3581" s="30" t="s">
        <v>12499</v>
      </c>
      <c r="D3581" s="31">
        <v>7.86</v>
      </c>
      <c r="E3581" s="31">
        <v>-1.75</v>
      </c>
      <c r="F3581" s="31">
        <v>1949851800</v>
      </c>
    </row>
    <row r="3582" spans="1:6" ht="15" thickBot="1" x14ac:dyDescent="0.2">
      <c r="A3582" s="30" t="s">
        <v>12500</v>
      </c>
      <c r="B3582" s="26" t="str">
        <f t="shared" si="55"/>
        <v>603219</v>
      </c>
      <c r="C3582" s="30" t="s">
        <v>12501</v>
      </c>
      <c r="D3582" s="31">
        <v>12.55</v>
      </c>
      <c r="E3582" s="31">
        <v>-8.99</v>
      </c>
      <c r="F3582" s="31">
        <v>1948829800</v>
      </c>
    </row>
    <row r="3583" spans="1:6" ht="15" thickBot="1" x14ac:dyDescent="0.2">
      <c r="A3583" s="30" t="s">
        <v>12502</v>
      </c>
      <c r="B3583" s="26" t="str">
        <f t="shared" si="55"/>
        <v>603168</v>
      </c>
      <c r="C3583" s="30" t="s">
        <v>6486</v>
      </c>
      <c r="D3583" s="31">
        <v>6.04</v>
      </c>
      <c r="E3583" s="31">
        <v>-0.98</v>
      </c>
      <c r="F3583" s="31">
        <v>1948458700</v>
      </c>
    </row>
    <row r="3584" spans="1:6" ht="15" thickBot="1" x14ac:dyDescent="0.2">
      <c r="A3584" s="30" t="s">
        <v>12503</v>
      </c>
      <c r="B3584" s="26" t="str">
        <f t="shared" si="55"/>
        <v>002381</v>
      </c>
      <c r="C3584" s="30" t="s">
        <v>6282</v>
      </c>
      <c r="D3584" s="31">
        <v>6.05</v>
      </c>
      <c r="E3584" s="31">
        <v>-0.98</v>
      </c>
      <c r="F3584" s="31">
        <v>1948253700</v>
      </c>
    </row>
    <row r="3585" spans="1:6" ht="15" thickBot="1" x14ac:dyDescent="0.2">
      <c r="A3585" s="30" t="s">
        <v>12504</v>
      </c>
      <c r="B3585" s="26" t="str">
        <f t="shared" si="55"/>
        <v>300414</v>
      </c>
      <c r="C3585" s="30" t="s">
        <v>6909</v>
      </c>
      <c r="D3585" s="31">
        <v>6.21</v>
      </c>
      <c r="E3585" s="31">
        <v>-2.21</v>
      </c>
      <c r="F3585" s="31">
        <v>1947082300</v>
      </c>
    </row>
    <row r="3586" spans="1:6" ht="15" thickBot="1" x14ac:dyDescent="0.2">
      <c r="A3586" s="30" t="s">
        <v>12505</v>
      </c>
      <c r="B3586" s="26" t="str">
        <f t="shared" si="55"/>
        <v>688571</v>
      </c>
      <c r="C3586" s="30" t="s">
        <v>7027</v>
      </c>
      <c r="D3586" s="31">
        <v>4.68</v>
      </c>
      <c r="E3586" s="31">
        <v>-0.64</v>
      </c>
      <c r="F3586" s="31">
        <v>1946880000</v>
      </c>
    </row>
    <row r="3587" spans="1:6" ht="15" thickBot="1" x14ac:dyDescent="0.2">
      <c r="A3587" s="30" t="s">
        <v>12506</v>
      </c>
      <c r="B3587" s="26" t="str">
        <f t="shared" ref="B3587:B3650" si="56">LEFT(A3587,6)</f>
        <v>688028</v>
      </c>
      <c r="C3587" s="30" t="s">
        <v>6839</v>
      </c>
      <c r="D3587" s="31">
        <v>13.46</v>
      </c>
      <c r="E3587" s="31">
        <v>-1.75</v>
      </c>
      <c r="F3587" s="31">
        <v>1946426600</v>
      </c>
    </row>
    <row r="3588" spans="1:6" ht="15" thickBot="1" x14ac:dyDescent="0.2">
      <c r="A3588" s="30" t="s">
        <v>12507</v>
      </c>
      <c r="B3588" s="26" t="str">
        <f t="shared" si="56"/>
        <v>300404</v>
      </c>
      <c r="C3588" s="30" t="s">
        <v>5874</v>
      </c>
      <c r="D3588" s="31">
        <v>7.06</v>
      </c>
      <c r="E3588" s="31">
        <v>-2.4900000000000002</v>
      </c>
      <c r="F3588" s="31">
        <v>1945529900</v>
      </c>
    </row>
    <row r="3589" spans="1:6" ht="15" thickBot="1" x14ac:dyDescent="0.2">
      <c r="A3589" s="30" t="s">
        <v>12508</v>
      </c>
      <c r="B3589" s="26" t="str">
        <f t="shared" si="56"/>
        <v>605028</v>
      </c>
      <c r="C3589" s="30" t="s">
        <v>12509</v>
      </c>
      <c r="D3589" s="31">
        <v>12.15</v>
      </c>
      <c r="E3589" s="31">
        <v>0.66</v>
      </c>
      <c r="F3589" s="31">
        <v>1944000000</v>
      </c>
    </row>
    <row r="3590" spans="1:6" ht="15" thickBot="1" x14ac:dyDescent="0.2">
      <c r="A3590" s="30" t="s">
        <v>12510</v>
      </c>
      <c r="B3590" s="26" t="str">
        <f t="shared" si="56"/>
        <v>688581</v>
      </c>
      <c r="C3590" s="30" t="s">
        <v>12511</v>
      </c>
      <c r="D3590" s="31">
        <v>47.84</v>
      </c>
      <c r="E3590" s="31">
        <v>-0.33</v>
      </c>
      <c r="F3590" s="31">
        <v>1943676800</v>
      </c>
    </row>
    <row r="3591" spans="1:6" ht="15" thickBot="1" x14ac:dyDescent="0.2">
      <c r="A3591" s="30" t="s">
        <v>12512</v>
      </c>
      <c r="B3591" s="26" t="str">
        <f t="shared" si="56"/>
        <v>300137</v>
      </c>
      <c r="C3591" s="30" t="s">
        <v>7041</v>
      </c>
      <c r="D3591" s="31">
        <v>3.68</v>
      </c>
      <c r="E3591" s="31">
        <v>-1.34</v>
      </c>
      <c r="F3591" s="31">
        <v>1941537700</v>
      </c>
    </row>
    <row r="3592" spans="1:6" ht="15" thickBot="1" x14ac:dyDescent="0.2">
      <c r="A3592" s="30" t="s">
        <v>12513</v>
      </c>
      <c r="B3592" s="26" t="str">
        <f t="shared" si="56"/>
        <v>301162</v>
      </c>
      <c r="C3592" s="30" t="s">
        <v>12514</v>
      </c>
      <c r="D3592" s="31">
        <v>31.6</v>
      </c>
      <c r="E3592" s="31">
        <v>-0.91</v>
      </c>
      <c r="F3592" s="31">
        <v>1941153100</v>
      </c>
    </row>
    <row r="3593" spans="1:6" ht="15" thickBot="1" x14ac:dyDescent="0.2">
      <c r="A3593" s="30" t="s">
        <v>12515</v>
      </c>
      <c r="B3593" s="26" t="str">
        <f t="shared" si="56"/>
        <v>301217</v>
      </c>
      <c r="C3593" s="30" t="s">
        <v>12516</v>
      </c>
      <c r="D3593" s="31">
        <v>8.4700000000000006</v>
      </c>
      <c r="E3593" s="31">
        <v>-3.64</v>
      </c>
      <c r="F3593" s="31">
        <v>1939761700</v>
      </c>
    </row>
    <row r="3594" spans="1:6" ht="15" thickBot="1" x14ac:dyDescent="0.2">
      <c r="A3594" s="30" t="s">
        <v>12517</v>
      </c>
      <c r="B3594" s="26" t="str">
        <f t="shared" si="56"/>
        <v>300375</v>
      </c>
      <c r="C3594" s="30" t="s">
        <v>5543</v>
      </c>
      <c r="D3594" s="31">
        <v>3.84</v>
      </c>
      <c r="E3594" s="31">
        <v>0.26</v>
      </c>
      <c r="F3594" s="31">
        <v>1939655900</v>
      </c>
    </row>
    <row r="3595" spans="1:6" ht="15" thickBot="1" x14ac:dyDescent="0.2">
      <c r="A3595" s="30" t="s">
        <v>12518</v>
      </c>
      <c r="B3595" s="26" t="str">
        <f t="shared" si="56"/>
        <v>300557</v>
      </c>
      <c r="C3595" s="30" t="s">
        <v>7021</v>
      </c>
      <c r="D3595" s="31">
        <v>21.19</v>
      </c>
      <c r="E3595" s="31">
        <v>-0.47</v>
      </c>
      <c r="F3595" s="31">
        <v>1938826900</v>
      </c>
    </row>
    <row r="3596" spans="1:6" ht="15" thickBot="1" x14ac:dyDescent="0.2">
      <c r="A3596" s="30" t="s">
        <v>12519</v>
      </c>
      <c r="B3596" s="26" t="str">
        <f t="shared" si="56"/>
        <v>600405</v>
      </c>
      <c r="C3596" s="30" t="s">
        <v>6915</v>
      </c>
      <c r="D3596" s="31">
        <v>3.5</v>
      </c>
      <c r="E3596" s="31">
        <v>-2.5099999999999998</v>
      </c>
      <c r="F3596" s="31">
        <v>1936464100</v>
      </c>
    </row>
    <row r="3597" spans="1:6" ht="15" thickBot="1" x14ac:dyDescent="0.2">
      <c r="A3597" s="30" t="s">
        <v>12520</v>
      </c>
      <c r="B3597" s="26" t="str">
        <f t="shared" si="56"/>
        <v>688302</v>
      </c>
      <c r="C3597" s="30" t="s">
        <v>12521</v>
      </c>
      <c r="D3597" s="31">
        <v>26.62</v>
      </c>
      <c r="E3597" s="31">
        <v>4.93</v>
      </c>
      <c r="F3597" s="31">
        <v>1935925100</v>
      </c>
    </row>
    <row r="3598" spans="1:6" ht="15" thickBot="1" x14ac:dyDescent="0.2">
      <c r="A3598" s="30" t="s">
        <v>12522</v>
      </c>
      <c r="B3598" s="26" t="str">
        <f t="shared" si="56"/>
        <v>688275</v>
      </c>
      <c r="C3598" s="30" t="s">
        <v>12523</v>
      </c>
      <c r="D3598" s="31">
        <v>24.51</v>
      </c>
      <c r="E3598" s="31">
        <v>-2.89</v>
      </c>
      <c r="F3598" s="31">
        <v>1934493100</v>
      </c>
    </row>
    <row r="3599" spans="1:6" ht="15" thickBot="1" x14ac:dyDescent="0.2">
      <c r="A3599" s="30" t="s">
        <v>12524</v>
      </c>
      <c r="B3599" s="26" t="str">
        <f t="shared" si="56"/>
        <v>300582</v>
      </c>
      <c r="C3599" s="30" t="s">
        <v>5992</v>
      </c>
      <c r="D3599" s="31">
        <v>8.7200000000000006</v>
      </c>
      <c r="E3599" s="31">
        <v>-1.58</v>
      </c>
      <c r="F3599" s="31">
        <v>1932257300</v>
      </c>
    </row>
    <row r="3600" spans="1:6" ht="15" thickBot="1" x14ac:dyDescent="0.2">
      <c r="A3600" s="30" t="s">
        <v>12525</v>
      </c>
      <c r="B3600" s="26" t="str">
        <f t="shared" si="56"/>
        <v>300632</v>
      </c>
      <c r="C3600" s="30" t="s">
        <v>5812</v>
      </c>
      <c r="D3600" s="31">
        <v>8.73</v>
      </c>
      <c r="E3600" s="31">
        <v>-2.2400000000000002</v>
      </c>
      <c r="F3600" s="31">
        <v>1931168200</v>
      </c>
    </row>
    <row r="3601" spans="1:6" ht="15" thickBot="1" x14ac:dyDescent="0.2">
      <c r="A3601" s="30" t="s">
        <v>12526</v>
      </c>
      <c r="B3601" s="26" t="str">
        <f t="shared" si="56"/>
        <v>301046</v>
      </c>
      <c r="C3601" s="30" t="s">
        <v>6100</v>
      </c>
      <c r="D3601" s="31">
        <v>17.059999999999999</v>
      </c>
      <c r="E3601" s="31">
        <v>-1.1000000000000001</v>
      </c>
      <c r="F3601" s="31">
        <v>1930160000</v>
      </c>
    </row>
    <row r="3602" spans="1:6" ht="15" thickBot="1" x14ac:dyDescent="0.2">
      <c r="A3602" s="30" t="s">
        <v>12527</v>
      </c>
      <c r="B3602" s="26" t="str">
        <f t="shared" si="56"/>
        <v>300706</v>
      </c>
      <c r="C3602" s="30" t="s">
        <v>6014</v>
      </c>
      <c r="D3602" s="31">
        <v>17.03</v>
      </c>
      <c r="E3602" s="31">
        <v>0.59</v>
      </c>
      <c r="F3602" s="31">
        <v>1928983800</v>
      </c>
    </row>
    <row r="3603" spans="1:6" ht="15" thickBot="1" x14ac:dyDescent="0.2">
      <c r="A3603" s="30" t="s">
        <v>12528</v>
      </c>
      <c r="B3603" s="26" t="str">
        <f t="shared" si="56"/>
        <v>000972</v>
      </c>
      <c r="C3603" s="30" t="s">
        <v>7463</v>
      </c>
      <c r="D3603" s="31">
        <v>2.5</v>
      </c>
      <c r="E3603" s="31">
        <v>2.88</v>
      </c>
      <c r="F3603" s="31">
        <v>1928208900</v>
      </c>
    </row>
    <row r="3604" spans="1:6" ht="15" thickBot="1" x14ac:dyDescent="0.2">
      <c r="A3604" s="30" t="s">
        <v>12529</v>
      </c>
      <c r="B3604" s="26" t="str">
        <f t="shared" si="56"/>
        <v>300141</v>
      </c>
      <c r="C3604" s="30" t="s">
        <v>7105</v>
      </c>
      <c r="D3604" s="31">
        <v>7.62</v>
      </c>
      <c r="E3604" s="31">
        <v>0.26</v>
      </c>
      <c r="F3604" s="31">
        <v>1925343800</v>
      </c>
    </row>
    <row r="3605" spans="1:6" ht="15" thickBot="1" x14ac:dyDescent="0.2">
      <c r="A3605" s="30" t="s">
        <v>12530</v>
      </c>
      <c r="B3605" s="26" t="str">
        <f t="shared" si="56"/>
        <v>605001</v>
      </c>
      <c r="C3605" s="30" t="s">
        <v>7139</v>
      </c>
      <c r="D3605" s="31">
        <v>4.9000000000000004</v>
      </c>
      <c r="E3605" s="31">
        <v>-0.61</v>
      </c>
      <c r="F3605" s="31">
        <v>1925141400</v>
      </c>
    </row>
    <row r="3606" spans="1:6" ht="15" thickBot="1" x14ac:dyDescent="0.2">
      <c r="A3606" s="30" t="s">
        <v>12531</v>
      </c>
      <c r="B3606" s="26" t="str">
        <f t="shared" si="56"/>
        <v>600540</v>
      </c>
      <c r="C3606" s="30" t="s">
        <v>7173</v>
      </c>
      <c r="D3606" s="31">
        <v>3.31</v>
      </c>
      <c r="E3606" s="31">
        <v>-1.19</v>
      </c>
      <c r="F3606" s="31">
        <v>1924357700</v>
      </c>
    </row>
    <row r="3607" spans="1:6" ht="15" thickBot="1" x14ac:dyDescent="0.2">
      <c r="A3607" s="30" t="s">
        <v>12532</v>
      </c>
      <c r="B3607" s="26" t="str">
        <f t="shared" si="56"/>
        <v>300279</v>
      </c>
      <c r="C3607" s="30" t="s">
        <v>6903</v>
      </c>
      <c r="D3607" s="31">
        <v>4.2</v>
      </c>
      <c r="E3607" s="31">
        <v>-1.64</v>
      </c>
      <c r="F3607" s="31">
        <v>1924014500</v>
      </c>
    </row>
    <row r="3608" spans="1:6" ht="15" thickBot="1" x14ac:dyDescent="0.2">
      <c r="A3608" s="30" t="s">
        <v>12533</v>
      </c>
      <c r="B3608" s="26" t="str">
        <f t="shared" si="56"/>
        <v>002184</v>
      </c>
      <c r="C3608" s="30" t="s">
        <v>5704</v>
      </c>
      <c r="D3608" s="31">
        <v>8.01</v>
      </c>
      <c r="E3608" s="31">
        <v>-1.48</v>
      </c>
      <c r="F3608" s="31">
        <v>1923020800</v>
      </c>
    </row>
    <row r="3609" spans="1:6" ht="15" thickBot="1" x14ac:dyDescent="0.2">
      <c r="A3609" s="30" t="s">
        <v>12534</v>
      </c>
      <c r="B3609" s="26" t="str">
        <f t="shared" si="56"/>
        <v>000705</v>
      </c>
      <c r="C3609" s="30" t="s">
        <v>6544</v>
      </c>
      <c r="D3609" s="31">
        <v>6.82</v>
      </c>
      <c r="E3609" s="31">
        <v>-1.45</v>
      </c>
      <c r="F3609" s="31">
        <v>1923006400</v>
      </c>
    </row>
    <row r="3610" spans="1:6" ht="15" thickBot="1" x14ac:dyDescent="0.2">
      <c r="A3610" s="30" t="s">
        <v>12535</v>
      </c>
      <c r="B3610" s="26" t="str">
        <f t="shared" si="56"/>
        <v>600714</v>
      </c>
      <c r="C3610" s="30" t="s">
        <v>7077</v>
      </c>
      <c r="D3610" s="31">
        <v>6.67</v>
      </c>
      <c r="E3610" s="31">
        <v>-1.62</v>
      </c>
      <c r="F3610" s="31">
        <v>1922135700</v>
      </c>
    </row>
    <row r="3611" spans="1:6" ht="15" thickBot="1" x14ac:dyDescent="0.2">
      <c r="A3611" s="30" t="s">
        <v>12536</v>
      </c>
      <c r="B3611" s="26" t="str">
        <f t="shared" si="56"/>
        <v>002905</v>
      </c>
      <c r="C3611" s="30" t="s">
        <v>6869</v>
      </c>
      <c r="D3611" s="31">
        <v>5.5</v>
      </c>
      <c r="E3611" s="31">
        <v>-1.43</v>
      </c>
      <c r="F3611" s="31">
        <v>1921920000</v>
      </c>
    </row>
    <row r="3612" spans="1:6" ht="15" thickBot="1" x14ac:dyDescent="0.2">
      <c r="A3612" s="30" t="s">
        <v>12537</v>
      </c>
      <c r="B3612" s="26" t="str">
        <f t="shared" si="56"/>
        <v>600530</v>
      </c>
      <c r="C3612" s="30" t="s">
        <v>7175</v>
      </c>
      <c r="D3612" s="31">
        <v>2.48</v>
      </c>
      <c r="E3612" s="31">
        <v>-3.13</v>
      </c>
      <c r="F3612" s="31">
        <v>1921801600</v>
      </c>
    </row>
    <row r="3613" spans="1:6" ht="15" thickBot="1" x14ac:dyDescent="0.2">
      <c r="A3613" s="30" t="s">
        <v>12538</v>
      </c>
      <c r="B3613" s="26" t="str">
        <f t="shared" si="56"/>
        <v>688357</v>
      </c>
      <c r="C3613" s="30" t="s">
        <v>7095</v>
      </c>
      <c r="D3613" s="31">
        <v>19.2</v>
      </c>
      <c r="E3613" s="31">
        <v>-0.05</v>
      </c>
      <c r="F3613" s="31">
        <v>1921121000</v>
      </c>
    </row>
    <row r="3614" spans="1:6" ht="15" thickBot="1" x14ac:dyDescent="0.2">
      <c r="A3614" s="30" t="s">
        <v>12539</v>
      </c>
      <c r="B3614" s="26" t="str">
        <f t="shared" si="56"/>
        <v>600543</v>
      </c>
      <c r="C3614" s="30" t="s">
        <v>7603</v>
      </c>
      <c r="D3614" s="31">
        <v>5.98</v>
      </c>
      <c r="E3614" s="31">
        <v>4.7300000000000004</v>
      </c>
      <c r="F3614" s="31">
        <v>1920297600</v>
      </c>
    </row>
    <row r="3615" spans="1:6" ht="15" thickBot="1" x14ac:dyDescent="0.2">
      <c r="A3615" s="30" t="s">
        <v>12540</v>
      </c>
      <c r="B3615" s="26" t="str">
        <f t="shared" si="56"/>
        <v>603958</v>
      </c>
      <c r="C3615" s="30" t="s">
        <v>7343</v>
      </c>
      <c r="D3615" s="31">
        <v>8.75</v>
      </c>
      <c r="E3615" s="31">
        <v>1.74</v>
      </c>
      <c r="F3615" s="31">
        <v>1919400000</v>
      </c>
    </row>
    <row r="3616" spans="1:6" ht="15" thickBot="1" x14ac:dyDescent="0.2">
      <c r="A3616" s="30" t="s">
        <v>12541</v>
      </c>
      <c r="B3616" s="26" t="str">
        <f t="shared" si="56"/>
        <v>603822</v>
      </c>
      <c r="C3616" s="30" t="s">
        <v>7185</v>
      </c>
      <c r="D3616" s="31">
        <v>24.98</v>
      </c>
      <c r="E3616" s="31">
        <v>2.08</v>
      </c>
      <c r="F3616" s="31">
        <v>1919110600</v>
      </c>
    </row>
    <row r="3617" spans="1:6" ht="15" thickBot="1" x14ac:dyDescent="0.2">
      <c r="A3617" s="30" t="s">
        <v>12542</v>
      </c>
      <c r="B3617" s="26" t="str">
        <f t="shared" si="56"/>
        <v>002849</v>
      </c>
      <c r="C3617" s="30" t="s">
        <v>6590</v>
      </c>
      <c r="D3617" s="31">
        <v>10.1</v>
      </c>
      <c r="E3617" s="31">
        <v>-0.49</v>
      </c>
      <c r="F3617" s="31">
        <v>1918120700</v>
      </c>
    </row>
    <row r="3618" spans="1:6" ht="15" thickBot="1" x14ac:dyDescent="0.2">
      <c r="A3618" s="30" t="s">
        <v>12543</v>
      </c>
      <c r="B3618" s="26" t="str">
        <f t="shared" si="56"/>
        <v>603221</v>
      </c>
      <c r="C3618" s="30" t="s">
        <v>6989</v>
      </c>
      <c r="D3618" s="31">
        <v>7.99</v>
      </c>
      <c r="E3618" s="31">
        <v>-0.87</v>
      </c>
      <c r="F3618" s="31">
        <v>1917600000</v>
      </c>
    </row>
    <row r="3619" spans="1:6" ht="15" thickBot="1" x14ac:dyDescent="0.2">
      <c r="A3619" s="30" t="s">
        <v>12544</v>
      </c>
      <c r="B3619" s="26" t="str">
        <f t="shared" si="56"/>
        <v>603578</v>
      </c>
      <c r="C3619" s="30" t="s">
        <v>7205</v>
      </c>
      <c r="D3619" s="31">
        <v>10.63</v>
      </c>
      <c r="E3619" s="31">
        <v>-1.94</v>
      </c>
      <c r="F3619" s="31">
        <v>1917195300</v>
      </c>
    </row>
    <row r="3620" spans="1:6" ht="15" thickBot="1" x14ac:dyDescent="0.2">
      <c r="A3620" s="30" t="s">
        <v>12545</v>
      </c>
      <c r="B3620" s="26" t="str">
        <f t="shared" si="56"/>
        <v>003043</v>
      </c>
      <c r="C3620" s="30" t="s">
        <v>12546</v>
      </c>
      <c r="D3620" s="31">
        <v>39.36</v>
      </c>
      <c r="E3620" s="31">
        <v>2.13</v>
      </c>
      <c r="F3620" s="31">
        <v>1917058200</v>
      </c>
    </row>
    <row r="3621" spans="1:6" ht="15" thickBot="1" x14ac:dyDescent="0.2">
      <c r="A3621" s="30" t="s">
        <v>12547</v>
      </c>
      <c r="B3621" s="26" t="str">
        <f t="shared" si="56"/>
        <v>603585</v>
      </c>
      <c r="C3621" s="30" t="s">
        <v>7181</v>
      </c>
      <c r="D3621" s="31">
        <v>10.65</v>
      </c>
      <c r="E3621" s="31">
        <v>-0.75</v>
      </c>
      <c r="F3621" s="31">
        <v>1917024400</v>
      </c>
    </row>
    <row r="3622" spans="1:6" ht="15" thickBot="1" x14ac:dyDescent="0.2">
      <c r="A3622" s="30" t="s">
        <v>12548</v>
      </c>
      <c r="B3622" s="26" t="str">
        <f t="shared" si="56"/>
        <v>603577</v>
      </c>
      <c r="C3622" s="30" t="s">
        <v>6624</v>
      </c>
      <c r="D3622" s="31">
        <v>6.65</v>
      </c>
      <c r="E3622" s="31">
        <v>-1.48</v>
      </c>
      <c r="F3622" s="31">
        <v>1916983800</v>
      </c>
    </row>
    <row r="3623" spans="1:6" ht="15" thickBot="1" x14ac:dyDescent="0.2">
      <c r="A3623" s="30" t="s">
        <v>12549</v>
      </c>
      <c r="B3623" s="26" t="str">
        <f t="shared" si="56"/>
        <v>300916</v>
      </c>
      <c r="C3623" s="30" t="s">
        <v>5377</v>
      </c>
      <c r="D3623" s="31">
        <v>20.76</v>
      </c>
      <c r="E3623" s="31">
        <v>-1.1399999999999999</v>
      </c>
      <c r="F3623" s="31">
        <v>1916934600</v>
      </c>
    </row>
    <row r="3624" spans="1:6" ht="15" thickBot="1" x14ac:dyDescent="0.2">
      <c r="A3624" s="30" t="s">
        <v>12550</v>
      </c>
      <c r="B3624" s="26" t="str">
        <f t="shared" si="56"/>
        <v>002442</v>
      </c>
      <c r="C3624" s="30" t="s">
        <v>6995</v>
      </c>
      <c r="D3624" s="31">
        <v>3.92</v>
      </c>
      <c r="E3624" s="31">
        <v>-1.75</v>
      </c>
      <c r="F3624" s="31">
        <v>1912602200</v>
      </c>
    </row>
    <row r="3625" spans="1:6" ht="15" thickBot="1" x14ac:dyDescent="0.2">
      <c r="A3625" s="30" t="s">
        <v>12551</v>
      </c>
      <c r="B3625" s="26" t="str">
        <f t="shared" si="56"/>
        <v>300785</v>
      </c>
      <c r="C3625" s="30" t="s">
        <v>5238</v>
      </c>
      <c r="D3625" s="31">
        <v>15.64</v>
      </c>
      <c r="E3625" s="31">
        <v>-1.76</v>
      </c>
      <c r="F3625" s="31">
        <v>1912209900</v>
      </c>
    </row>
    <row r="3626" spans="1:6" ht="15" thickBot="1" x14ac:dyDescent="0.2">
      <c r="A3626" s="30" t="s">
        <v>12552</v>
      </c>
      <c r="B3626" s="26" t="str">
        <f t="shared" si="56"/>
        <v>688232</v>
      </c>
      <c r="C3626" s="30" t="s">
        <v>2999</v>
      </c>
      <c r="D3626" s="31">
        <v>19.29</v>
      </c>
      <c r="E3626" s="31">
        <v>-0.52</v>
      </c>
      <c r="F3626" s="31">
        <v>1911883900</v>
      </c>
    </row>
    <row r="3627" spans="1:6" ht="15" thickBot="1" x14ac:dyDescent="0.2">
      <c r="A3627" s="30" t="s">
        <v>12553</v>
      </c>
      <c r="B3627" s="26" t="str">
        <f t="shared" si="56"/>
        <v>002658</v>
      </c>
      <c r="C3627" s="30" t="s">
        <v>5006</v>
      </c>
      <c r="D3627" s="31">
        <v>5.33</v>
      </c>
      <c r="E3627" s="31">
        <v>-1.3</v>
      </c>
      <c r="F3627" s="31">
        <v>1911685800</v>
      </c>
    </row>
    <row r="3628" spans="1:6" ht="15" thickBot="1" x14ac:dyDescent="0.2">
      <c r="A3628" s="30" t="s">
        <v>12554</v>
      </c>
      <c r="B3628" s="26" t="str">
        <f t="shared" si="56"/>
        <v>300452</v>
      </c>
      <c r="C3628" s="30" t="s">
        <v>6310</v>
      </c>
      <c r="D3628" s="31">
        <v>10.23</v>
      </c>
      <c r="E3628" s="31">
        <v>-1.35</v>
      </c>
      <c r="F3628" s="31">
        <v>1910961800</v>
      </c>
    </row>
    <row r="3629" spans="1:6" ht="15" thickBot="1" x14ac:dyDescent="0.2">
      <c r="A3629" s="30" t="s">
        <v>12555</v>
      </c>
      <c r="B3629" s="26" t="str">
        <f t="shared" si="56"/>
        <v>301526</v>
      </c>
      <c r="C3629" s="30" t="s">
        <v>12556</v>
      </c>
      <c r="D3629" s="31">
        <v>3.27</v>
      </c>
      <c r="E3629" s="31">
        <v>-1.21</v>
      </c>
      <c r="F3629" s="31">
        <v>1905942900</v>
      </c>
    </row>
    <row r="3630" spans="1:6" ht="15" thickBot="1" x14ac:dyDescent="0.2">
      <c r="A3630" s="30" t="s">
        <v>12557</v>
      </c>
      <c r="B3630" s="26" t="str">
        <f t="shared" si="56"/>
        <v>300245</v>
      </c>
      <c r="C3630" s="30" t="s">
        <v>7367</v>
      </c>
      <c r="D3630" s="31">
        <v>6.12</v>
      </c>
      <c r="E3630" s="31">
        <v>-0.33</v>
      </c>
      <c r="F3630" s="31">
        <v>1905012400</v>
      </c>
    </row>
    <row r="3631" spans="1:6" ht="15" thickBot="1" x14ac:dyDescent="0.2">
      <c r="A3631" s="30" t="s">
        <v>12558</v>
      </c>
      <c r="B3631" s="26" t="str">
        <f t="shared" si="56"/>
        <v>002047</v>
      </c>
      <c r="C3631" s="30" t="s">
        <v>6769</v>
      </c>
      <c r="D3631" s="31">
        <v>1.42</v>
      </c>
      <c r="E3631" s="31">
        <v>-4.05</v>
      </c>
      <c r="F3631" s="31">
        <v>1904518400</v>
      </c>
    </row>
    <row r="3632" spans="1:6" ht="15" thickBot="1" x14ac:dyDescent="0.2">
      <c r="A3632" s="30" t="s">
        <v>12559</v>
      </c>
      <c r="B3632" s="26" t="str">
        <f t="shared" si="56"/>
        <v>605208</v>
      </c>
      <c r="C3632" s="30" t="s">
        <v>7071</v>
      </c>
      <c r="D3632" s="31">
        <v>5.77</v>
      </c>
      <c r="E3632" s="31">
        <v>-1.54</v>
      </c>
      <c r="F3632" s="31">
        <v>1903753800</v>
      </c>
    </row>
    <row r="3633" spans="1:6" ht="15" thickBot="1" x14ac:dyDescent="0.2">
      <c r="A3633" s="30" t="s">
        <v>12560</v>
      </c>
      <c r="B3633" s="26" t="str">
        <f t="shared" si="56"/>
        <v>600969</v>
      </c>
      <c r="C3633" s="30" t="s">
        <v>7253</v>
      </c>
      <c r="D3633" s="31">
        <v>5.14</v>
      </c>
      <c r="E3633" s="31">
        <v>0.78</v>
      </c>
      <c r="F3633" s="31">
        <v>1902059500</v>
      </c>
    </row>
    <row r="3634" spans="1:6" ht="15" thickBot="1" x14ac:dyDescent="0.2">
      <c r="A3634" s="30" t="s">
        <v>12561</v>
      </c>
      <c r="B3634" s="26" t="str">
        <f t="shared" si="56"/>
        <v>300162</v>
      </c>
      <c r="C3634" s="30" t="s">
        <v>6344</v>
      </c>
      <c r="D3634" s="31">
        <v>5.58</v>
      </c>
      <c r="E3634" s="31">
        <v>-1.59</v>
      </c>
      <c r="F3634" s="31">
        <v>1901434000</v>
      </c>
    </row>
    <row r="3635" spans="1:6" ht="15" thickBot="1" x14ac:dyDescent="0.2">
      <c r="A3635" s="30" t="s">
        <v>12562</v>
      </c>
      <c r="B3635" s="26" t="str">
        <f t="shared" si="56"/>
        <v>002388</v>
      </c>
      <c r="C3635" s="30" t="s">
        <v>6732</v>
      </c>
      <c r="D3635" s="31">
        <v>3.81</v>
      </c>
      <c r="E3635" s="31">
        <v>-9.07</v>
      </c>
      <c r="F3635" s="31">
        <v>1901360900</v>
      </c>
    </row>
    <row r="3636" spans="1:6" ht="15" thickBot="1" x14ac:dyDescent="0.2">
      <c r="A3636" s="30" t="s">
        <v>12563</v>
      </c>
      <c r="B3636" s="26" t="str">
        <f t="shared" si="56"/>
        <v>300561</v>
      </c>
      <c r="C3636" s="30" t="s">
        <v>5459</v>
      </c>
      <c r="D3636" s="31">
        <v>10.54</v>
      </c>
      <c r="E3636" s="31">
        <v>15.19</v>
      </c>
      <c r="F3636" s="31">
        <v>1900744300</v>
      </c>
    </row>
    <row r="3637" spans="1:6" ht="15" thickBot="1" x14ac:dyDescent="0.2">
      <c r="A3637" s="30" t="s">
        <v>12564</v>
      </c>
      <c r="B3637" s="26" t="str">
        <f t="shared" si="56"/>
        <v>603330</v>
      </c>
      <c r="C3637" s="30" t="s">
        <v>6999</v>
      </c>
      <c r="D3637" s="31">
        <v>4.3899999999999997</v>
      </c>
      <c r="E3637" s="31">
        <v>-2.0099999999999998</v>
      </c>
      <c r="F3637" s="31">
        <v>1899437300</v>
      </c>
    </row>
    <row r="3638" spans="1:6" ht="15" thickBot="1" x14ac:dyDescent="0.2">
      <c r="A3638" s="30" t="s">
        <v>12565</v>
      </c>
      <c r="B3638" s="26" t="str">
        <f t="shared" si="56"/>
        <v>301152</v>
      </c>
      <c r="C3638" s="30" t="s">
        <v>5266</v>
      </c>
      <c r="D3638" s="31">
        <v>25.29</v>
      </c>
      <c r="E3638" s="31">
        <v>1.77</v>
      </c>
      <c r="F3638" s="31">
        <v>1899337300</v>
      </c>
    </row>
    <row r="3639" spans="1:6" ht="15" thickBot="1" x14ac:dyDescent="0.2">
      <c r="A3639" s="30" t="s">
        <v>12566</v>
      </c>
      <c r="B3639" s="26" t="str">
        <f t="shared" si="56"/>
        <v>300927</v>
      </c>
      <c r="C3639" s="30" t="s">
        <v>7201</v>
      </c>
      <c r="D3639" s="31">
        <v>13.45</v>
      </c>
      <c r="E3639" s="31">
        <v>2.2799999999999998</v>
      </c>
      <c r="F3639" s="31">
        <v>1894956100</v>
      </c>
    </row>
    <row r="3640" spans="1:6" ht="15" thickBot="1" x14ac:dyDescent="0.2">
      <c r="A3640" s="30" t="s">
        <v>12567</v>
      </c>
      <c r="B3640" s="26" t="str">
        <f t="shared" si="56"/>
        <v>688173</v>
      </c>
      <c r="C3640" s="30" t="s">
        <v>12568</v>
      </c>
      <c r="D3640" s="31">
        <v>7.94</v>
      </c>
      <c r="E3640" s="31">
        <v>-1.85</v>
      </c>
      <c r="F3640" s="31">
        <v>1894856000</v>
      </c>
    </row>
    <row r="3641" spans="1:6" ht="15" thickBot="1" x14ac:dyDescent="0.2">
      <c r="A3641" s="30" t="s">
        <v>12569</v>
      </c>
      <c r="B3641" s="26" t="str">
        <f t="shared" si="56"/>
        <v>002398</v>
      </c>
      <c r="C3641" s="30" t="s">
        <v>6516</v>
      </c>
      <c r="D3641" s="31">
        <v>3.27</v>
      </c>
      <c r="E3641" s="31">
        <v>-1.21</v>
      </c>
      <c r="F3641" s="31">
        <v>1894507700</v>
      </c>
    </row>
    <row r="3642" spans="1:6" ht="15" thickBot="1" x14ac:dyDescent="0.2">
      <c r="A3642" s="30" t="s">
        <v>12570</v>
      </c>
      <c r="B3642" s="26" t="str">
        <f t="shared" si="56"/>
        <v>600858</v>
      </c>
      <c r="C3642" s="30" t="s">
        <v>7133</v>
      </c>
      <c r="D3642" s="31">
        <v>3.66</v>
      </c>
      <c r="E3642" s="31">
        <v>-1.08</v>
      </c>
      <c r="F3642" s="31">
        <v>1894225800</v>
      </c>
    </row>
    <row r="3643" spans="1:6" ht="15" thickBot="1" x14ac:dyDescent="0.2">
      <c r="A3643" s="30" t="s">
        <v>12571</v>
      </c>
      <c r="B3643" s="26" t="str">
        <f t="shared" si="56"/>
        <v>688210</v>
      </c>
      <c r="C3643" s="30" t="s">
        <v>12572</v>
      </c>
      <c r="D3643" s="31">
        <v>17.68</v>
      </c>
      <c r="E3643" s="31">
        <v>-3.76</v>
      </c>
      <c r="F3643" s="31">
        <v>1893679300</v>
      </c>
    </row>
    <row r="3644" spans="1:6" ht="15" thickBot="1" x14ac:dyDescent="0.2">
      <c r="A3644" s="30" t="s">
        <v>12573</v>
      </c>
      <c r="B3644" s="26" t="str">
        <f t="shared" si="56"/>
        <v>300421</v>
      </c>
      <c r="C3644" s="30" t="s">
        <v>6304</v>
      </c>
      <c r="D3644" s="31">
        <v>8.2200000000000006</v>
      </c>
      <c r="E3644" s="31">
        <v>0.24</v>
      </c>
      <c r="F3644" s="31">
        <v>1893428300</v>
      </c>
    </row>
    <row r="3645" spans="1:6" ht="15" thickBot="1" x14ac:dyDescent="0.2">
      <c r="A3645" s="30" t="s">
        <v>12574</v>
      </c>
      <c r="B3645" s="26" t="str">
        <f t="shared" si="56"/>
        <v>600844</v>
      </c>
      <c r="C3645" s="30" t="s">
        <v>7059</v>
      </c>
      <c r="D3645" s="31">
        <v>2.2999999999999998</v>
      </c>
      <c r="E3645" s="31">
        <v>-2.95</v>
      </c>
      <c r="F3645" s="31">
        <v>1892280500</v>
      </c>
    </row>
    <row r="3646" spans="1:6" ht="15" thickBot="1" x14ac:dyDescent="0.2">
      <c r="A3646" s="30" t="s">
        <v>12575</v>
      </c>
      <c r="B3646" s="26" t="str">
        <f t="shared" si="56"/>
        <v>688618</v>
      </c>
      <c r="C3646" s="30" t="s">
        <v>7115</v>
      </c>
      <c r="D3646" s="31">
        <v>17.190000000000001</v>
      </c>
      <c r="E3646" s="31">
        <v>-2.39</v>
      </c>
      <c r="F3646" s="31">
        <v>1890851000</v>
      </c>
    </row>
    <row r="3647" spans="1:6" ht="15" thickBot="1" x14ac:dyDescent="0.2">
      <c r="A3647" s="30" t="s">
        <v>12576</v>
      </c>
      <c r="B3647" s="26" t="str">
        <f t="shared" si="56"/>
        <v>600533</v>
      </c>
      <c r="C3647" s="30" t="s">
        <v>7345</v>
      </c>
      <c r="D3647" s="31">
        <v>1.8</v>
      </c>
      <c r="E3647" s="31">
        <v>1.7</v>
      </c>
      <c r="F3647" s="31">
        <v>1890000000</v>
      </c>
    </row>
    <row r="3648" spans="1:6" ht="15" thickBot="1" x14ac:dyDescent="0.2">
      <c r="A3648" s="30" t="s">
        <v>12577</v>
      </c>
      <c r="B3648" s="26" t="str">
        <f t="shared" si="56"/>
        <v>002403</v>
      </c>
      <c r="C3648" s="30" t="s">
        <v>6795</v>
      </c>
      <c r="D3648" s="31">
        <v>6.36</v>
      </c>
      <c r="E3648" s="31">
        <v>-2.15</v>
      </c>
      <c r="F3648" s="31">
        <v>1889946800</v>
      </c>
    </row>
    <row r="3649" spans="1:6" ht="15" thickBot="1" x14ac:dyDescent="0.2">
      <c r="A3649" s="30" t="s">
        <v>12578</v>
      </c>
      <c r="B3649" s="26" t="str">
        <f t="shared" si="56"/>
        <v>603333</v>
      </c>
      <c r="C3649" s="30" t="s">
        <v>7209</v>
      </c>
      <c r="D3649" s="31">
        <v>3.04</v>
      </c>
      <c r="E3649" s="31">
        <v>-0.65</v>
      </c>
      <c r="F3649" s="31">
        <v>1889443900</v>
      </c>
    </row>
    <row r="3650" spans="1:6" ht="15" thickBot="1" x14ac:dyDescent="0.2">
      <c r="A3650" s="30" t="s">
        <v>12579</v>
      </c>
      <c r="B3650" s="26" t="str">
        <f t="shared" si="56"/>
        <v>002671</v>
      </c>
      <c r="C3650" s="30" t="s">
        <v>7065</v>
      </c>
      <c r="D3650" s="31">
        <v>3.42</v>
      </c>
      <c r="E3650" s="31">
        <v>-1.1599999999999999</v>
      </c>
      <c r="F3650" s="31">
        <v>1889137300</v>
      </c>
    </row>
    <row r="3651" spans="1:6" ht="15" thickBot="1" x14ac:dyDescent="0.2">
      <c r="A3651" s="30" t="s">
        <v>12580</v>
      </c>
      <c r="B3651" s="26" t="str">
        <f t="shared" ref="B3651:B3714" si="57">LEFT(A3651,6)</f>
        <v>300486</v>
      </c>
      <c r="C3651" s="30" t="s">
        <v>7047</v>
      </c>
      <c r="D3651" s="31">
        <v>4.7699999999999996</v>
      </c>
      <c r="E3651" s="31">
        <v>-2.85</v>
      </c>
      <c r="F3651" s="31">
        <v>1888382800</v>
      </c>
    </row>
    <row r="3652" spans="1:6" ht="15" thickBot="1" x14ac:dyDescent="0.2">
      <c r="A3652" s="30" t="s">
        <v>12581</v>
      </c>
      <c r="B3652" s="26" t="str">
        <f t="shared" si="57"/>
        <v>003033</v>
      </c>
      <c r="C3652" s="30" t="s">
        <v>7411</v>
      </c>
      <c r="D3652" s="31">
        <v>23.42</v>
      </c>
      <c r="E3652" s="31">
        <v>3.63</v>
      </c>
      <c r="F3652" s="31">
        <v>1887608100</v>
      </c>
    </row>
    <row r="3653" spans="1:6" ht="15" thickBot="1" x14ac:dyDescent="0.2">
      <c r="A3653" s="30" t="s">
        <v>12582</v>
      </c>
      <c r="B3653" s="26" t="str">
        <f t="shared" si="57"/>
        <v>002306</v>
      </c>
      <c r="C3653" s="30" t="s">
        <v>7003</v>
      </c>
      <c r="D3653" s="31">
        <v>2.3199999999999998</v>
      </c>
      <c r="E3653" s="31">
        <v>-1.7</v>
      </c>
      <c r="F3653" s="31">
        <v>1886492700</v>
      </c>
    </row>
    <row r="3654" spans="1:6" ht="15" thickBot="1" x14ac:dyDescent="0.2">
      <c r="A3654" s="30" t="s">
        <v>12583</v>
      </c>
      <c r="B3654" s="26" t="str">
        <f t="shared" si="57"/>
        <v>688597</v>
      </c>
      <c r="C3654" s="30" t="s">
        <v>7141</v>
      </c>
      <c r="D3654" s="31">
        <v>7.63</v>
      </c>
      <c r="E3654" s="31">
        <v>-0.52</v>
      </c>
      <c r="F3654" s="31">
        <v>1885095600</v>
      </c>
    </row>
    <row r="3655" spans="1:6" ht="15" thickBot="1" x14ac:dyDescent="0.2">
      <c r="A3655" s="30" t="s">
        <v>12584</v>
      </c>
      <c r="B3655" s="26" t="str">
        <f t="shared" si="57"/>
        <v>688197</v>
      </c>
      <c r="C3655" s="30" t="s">
        <v>3537</v>
      </c>
      <c r="D3655" s="31">
        <v>33.799999999999997</v>
      </c>
      <c r="E3655" s="31">
        <v>-4.03</v>
      </c>
      <c r="F3655" s="31">
        <v>1884899000</v>
      </c>
    </row>
    <row r="3656" spans="1:6" ht="15" thickBot="1" x14ac:dyDescent="0.2">
      <c r="A3656" s="30" t="s">
        <v>12585</v>
      </c>
      <c r="B3656" s="26" t="str">
        <f t="shared" si="57"/>
        <v>688314</v>
      </c>
      <c r="C3656" s="30" t="s">
        <v>12586</v>
      </c>
      <c r="D3656" s="31">
        <v>23.19</v>
      </c>
      <c r="E3656" s="31">
        <v>-1.19</v>
      </c>
      <c r="F3656" s="31">
        <v>1883936400</v>
      </c>
    </row>
    <row r="3657" spans="1:6" ht="15" thickBot="1" x14ac:dyDescent="0.2">
      <c r="A3657" s="30" t="s">
        <v>12587</v>
      </c>
      <c r="B3657" s="26" t="str">
        <f t="shared" si="57"/>
        <v>002682</v>
      </c>
      <c r="C3657" s="30" t="s">
        <v>7165</v>
      </c>
      <c r="D3657" s="31">
        <v>3.35</v>
      </c>
      <c r="E3657" s="31">
        <v>-1.76</v>
      </c>
      <c r="F3657" s="31">
        <v>1883906600</v>
      </c>
    </row>
    <row r="3658" spans="1:6" ht="15" thickBot="1" x14ac:dyDescent="0.2">
      <c r="A3658" s="30" t="s">
        <v>12588</v>
      </c>
      <c r="B3658" s="26" t="str">
        <f t="shared" si="57"/>
        <v>603681</v>
      </c>
      <c r="C3658" s="30" t="s">
        <v>7143</v>
      </c>
      <c r="D3658" s="31">
        <v>9.85</v>
      </c>
      <c r="E3658" s="31">
        <v>-1.1000000000000001</v>
      </c>
      <c r="F3658" s="31">
        <v>1882638200</v>
      </c>
    </row>
    <row r="3659" spans="1:6" ht="15" thickBot="1" x14ac:dyDescent="0.2">
      <c r="A3659" s="30" t="s">
        <v>12589</v>
      </c>
      <c r="B3659" s="26" t="str">
        <f t="shared" si="57"/>
        <v>300659</v>
      </c>
      <c r="C3659" s="30" t="s">
        <v>5304</v>
      </c>
      <c r="D3659" s="31">
        <v>12.1</v>
      </c>
      <c r="E3659" s="31">
        <v>-1.63</v>
      </c>
      <c r="F3659" s="31">
        <v>1881321400</v>
      </c>
    </row>
    <row r="3660" spans="1:6" ht="15" thickBot="1" x14ac:dyDescent="0.2">
      <c r="A3660" s="30" t="s">
        <v>12590</v>
      </c>
      <c r="B3660" s="26" t="str">
        <f t="shared" si="57"/>
        <v>603080</v>
      </c>
      <c r="C3660" s="30" t="s">
        <v>7269</v>
      </c>
      <c r="D3660" s="31">
        <v>13.29</v>
      </c>
      <c r="E3660" s="31">
        <v>1.07</v>
      </c>
      <c r="F3660" s="31">
        <v>1880535000</v>
      </c>
    </row>
    <row r="3661" spans="1:6" ht="15" thickBot="1" x14ac:dyDescent="0.2">
      <c r="A3661" s="30" t="s">
        <v>12591</v>
      </c>
      <c r="B3661" s="26" t="str">
        <f t="shared" si="57"/>
        <v>002137</v>
      </c>
      <c r="C3661" s="30" t="s">
        <v>5720</v>
      </c>
      <c r="D3661" s="31">
        <v>4.74</v>
      </c>
      <c r="E3661" s="31">
        <v>-1.46</v>
      </c>
      <c r="F3661" s="31">
        <v>1879215500</v>
      </c>
    </row>
    <row r="3662" spans="1:6" ht="15" thickBot="1" x14ac:dyDescent="0.2">
      <c r="A3662" s="30" t="s">
        <v>12592</v>
      </c>
      <c r="B3662" s="26" t="str">
        <f t="shared" si="57"/>
        <v>300153</v>
      </c>
      <c r="C3662" s="30" t="s">
        <v>7183</v>
      </c>
      <c r="D3662" s="31">
        <v>5.9</v>
      </c>
      <c r="E3662" s="31">
        <v>-0.51</v>
      </c>
      <c r="F3662" s="31">
        <v>1878147700</v>
      </c>
    </row>
    <row r="3663" spans="1:6" ht="15" thickBot="1" x14ac:dyDescent="0.2">
      <c r="A3663" s="30" t="s">
        <v>12593</v>
      </c>
      <c r="B3663" s="26" t="str">
        <f t="shared" si="57"/>
        <v>002712</v>
      </c>
      <c r="C3663" s="30" t="s">
        <v>7203</v>
      </c>
      <c r="D3663" s="31">
        <v>3.47</v>
      </c>
      <c r="E3663" s="31">
        <v>-0.28999999999999998</v>
      </c>
      <c r="F3663" s="31">
        <v>1876944000</v>
      </c>
    </row>
    <row r="3664" spans="1:6" ht="15" thickBot="1" x14ac:dyDescent="0.2">
      <c r="A3664" s="30" t="s">
        <v>12594</v>
      </c>
      <c r="B3664" s="26" t="str">
        <f t="shared" si="57"/>
        <v>688176</v>
      </c>
      <c r="C3664" s="30" t="s">
        <v>12595</v>
      </c>
      <c r="D3664" s="31">
        <v>5.05</v>
      </c>
      <c r="E3664" s="31">
        <v>-1.17</v>
      </c>
      <c r="F3664" s="31">
        <v>1875976500</v>
      </c>
    </row>
    <row r="3665" spans="1:6" ht="15" thickBot="1" x14ac:dyDescent="0.2">
      <c r="A3665" s="30" t="s">
        <v>12596</v>
      </c>
      <c r="B3665" s="26" t="str">
        <f t="shared" si="57"/>
        <v>002596</v>
      </c>
      <c r="C3665" s="30" t="s">
        <v>7157</v>
      </c>
      <c r="D3665" s="31">
        <v>1.83</v>
      </c>
      <c r="E3665" s="31">
        <v>-2.66</v>
      </c>
      <c r="F3665" s="31">
        <v>1871382300</v>
      </c>
    </row>
    <row r="3666" spans="1:6" ht="15" thickBot="1" x14ac:dyDescent="0.2">
      <c r="A3666" s="30" t="s">
        <v>12597</v>
      </c>
      <c r="B3666" s="26" t="str">
        <f t="shared" si="57"/>
        <v>603778</v>
      </c>
      <c r="C3666" s="30" t="s">
        <v>7193</v>
      </c>
      <c r="D3666" s="31">
        <v>2.91</v>
      </c>
      <c r="E3666" s="31">
        <v>1.39</v>
      </c>
      <c r="F3666" s="31">
        <v>1870714300</v>
      </c>
    </row>
    <row r="3667" spans="1:6" ht="15" thickBot="1" x14ac:dyDescent="0.2">
      <c r="A3667" s="30" t="s">
        <v>12598</v>
      </c>
      <c r="B3667" s="26" t="str">
        <f t="shared" si="57"/>
        <v>600076</v>
      </c>
      <c r="C3667" s="30" t="s">
        <v>7277</v>
      </c>
      <c r="D3667" s="31">
        <v>1.39</v>
      </c>
      <c r="E3667" s="31">
        <v>-3.47</v>
      </c>
      <c r="F3667" s="31">
        <v>1868915300</v>
      </c>
    </row>
    <row r="3668" spans="1:6" ht="15" thickBot="1" x14ac:dyDescent="0.2">
      <c r="A3668" s="30" t="s">
        <v>12599</v>
      </c>
      <c r="B3668" s="26" t="str">
        <f t="shared" si="57"/>
        <v>603683</v>
      </c>
      <c r="C3668" s="30" t="s">
        <v>7113</v>
      </c>
      <c r="D3668" s="31">
        <v>7.22</v>
      </c>
      <c r="E3668" s="31">
        <v>0.42</v>
      </c>
      <c r="F3668" s="31">
        <v>1868473100</v>
      </c>
    </row>
    <row r="3669" spans="1:6" ht="15" thickBot="1" x14ac:dyDescent="0.2">
      <c r="A3669" s="30" t="s">
        <v>12600</v>
      </c>
      <c r="B3669" s="26" t="str">
        <f t="shared" si="57"/>
        <v>300445</v>
      </c>
      <c r="C3669" s="30" t="s">
        <v>5651</v>
      </c>
      <c r="D3669" s="31">
        <v>13.15</v>
      </c>
      <c r="E3669" s="31">
        <v>-0.83</v>
      </c>
      <c r="F3669" s="31">
        <v>1868079200</v>
      </c>
    </row>
    <row r="3670" spans="1:6" ht="15" thickBot="1" x14ac:dyDescent="0.2">
      <c r="A3670" s="30" t="s">
        <v>12601</v>
      </c>
      <c r="B3670" s="26" t="str">
        <f t="shared" si="57"/>
        <v>603700</v>
      </c>
      <c r="C3670" s="30" t="s">
        <v>7211</v>
      </c>
      <c r="D3670" s="31">
        <v>9.19</v>
      </c>
      <c r="E3670" s="31">
        <v>1.55</v>
      </c>
      <c r="F3670" s="31">
        <v>1867794000</v>
      </c>
    </row>
    <row r="3671" spans="1:6" ht="15" thickBot="1" x14ac:dyDescent="0.2">
      <c r="A3671" s="30" t="s">
        <v>12602</v>
      </c>
      <c r="B3671" s="26" t="str">
        <f t="shared" si="57"/>
        <v>300778</v>
      </c>
      <c r="C3671" s="30" t="s">
        <v>7187</v>
      </c>
      <c r="D3671" s="31">
        <v>9.17</v>
      </c>
      <c r="E3671" s="31">
        <v>-2.4500000000000002</v>
      </c>
      <c r="F3671" s="31">
        <v>1867220600</v>
      </c>
    </row>
    <row r="3672" spans="1:6" ht="15" thickBot="1" x14ac:dyDescent="0.2">
      <c r="A3672" s="30" t="s">
        <v>12603</v>
      </c>
      <c r="B3672" s="26" t="str">
        <f t="shared" si="57"/>
        <v>835640</v>
      </c>
      <c r="C3672" s="30" t="s">
        <v>7085</v>
      </c>
      <c r="D3672" s="31">
        <v>10.55</v>
      </c>
      <c r="E3672" s="31">
        <v>-1.95</v>
      </c>
      <c r="F3672" s="31">
        <v>1866353700</v>
      </c>
    </row>
    <row r="3673" spans="1:6" ht="15" thickBot="1" x14ac:dyDescent="0.2">
      <c r="A3673" s="30" t="s">
        <v>12604</v>
      </c>
      <c r="B3673" s="26" t="str">
        <f t="shared" si="57"/>
        <v>300551</v>
      </c>
      <c r="C3673" s="30" t="s">
        <v>6787</v>
      </c>
      <c r="D3673" s="31">
        <v>6.2</v>
      </c>
      <c r="E3673" s="31">
        <v>-4.32</v>
      </c>
      <c r="F3673" s="31">
        <v>1866047000</v>
      </c>
    </row>
    <row r="3674" spans="1:6" ht="15" thickBot="1" x14ac:dyDescent="0.2">
      <c r="A3674" s="30" t="s">
        <v>12605</v>
      </c>
      <c r="B3674" s="26" t="str">
        <f t="shared" si="57"/>
        <v>002420</v>
      </c>
      <c r="C3674" s="30" t="s">
        <v>7023</v>
      </c>
      <c r="D3674" s="31">
        <v>4.66</v>
      </c>
      <c r="E3674" s="31">
        <v>-1.48</v>
      </c>
      <c r="F3674" s="31">
        <v>1865263100</v>
      </c>
    </row>
    <row r="3675" spans="1:6" ht="15" thickBot="1" x14ac:dyDescent="0.2">
      <c r="A3675" s="30" t="s">
        <v>12606</v>
      </c>
      <c r="B3675" s="26" t="str">
        <f t="shared" si="57"/>
        <v>605177</v>
      </c>
      <c r="C3675" s="30" t="s">
        <v>7149</v>
      </c>
      <c r="D3675" s="31">
        <v>16.25</v>
      </c>
      <c r="E3675" s="31">
        <v>-1.34</v>
      </c>
      <c r="F3675" s="31">
        <v>1864741700</v>
      </c>
    </row>
    <row r="3676" spans="1:6" ht="15" thickBot="1" x14ac:dyDescent="0.2">
      <c r="A3676" s="30" t="s">
        <v>12607</v>
      </c>
      <c r="B3676" s="26" t="str">
        <f t="shared" si="57"/>
        <v>600774</v>
      </c>
      <c r="C3676" s="30" t="s">
        <v>7207</v>
      </c>
      <c r="D3676" s="31">
        <v>6.32</v>
      </c>
      <c r="E3676" s="31">
        <v>-2.4700000000000002</v>
      </c>
      <c r="F3676" s="31">
        <v>1863402300</v>
      </c>
    </row>
    <row r="3677" spans="1:6" ht="15" thickBot="1" x14ac:dyDescent="0.2">
      <c r="A3677" s="30" t="s">
        <v>12608</v>
      </c>
      <c r="B3677" s="26" t="str">
        <f t="shared" si="57"/>
        <v>300945</v>
      </c>
      <c r="C3677" s="30" t="s">
        <v>6873</v>
      </c>
      <c r="D3677" s="31">
        <v>7.81</v>
      </c>
      <c r="E3677" s="31">
        <v>-3.7</v>
      </c>
      <c r="F3677" s="31">
        <v>1860438800</v>
      </c>
    </row>
    <row r="3678" spans="1:6" ht="15" thickBot="1" x14ac:dyDescent="0.2">
      <c r="A3678" s="30" t="s">
        <v>12609</v>
      </c>
      <c r="B3678" s="26" t="str">
        <f t="shared" si="57"/>
        <v>603036</v>
      </c>
      <c r="C3678" s="30" t="s">
        <v>7245</v>
      </c>
      <c r="D3678" s="31">
        <v>9.0299999999999994</v>
      </c>
      <c r="E3678" s="31">
        <v>0.22</v>
      </c>
      <c r="F3678" s="31">
        <v>1860234400</v>
      </c>
    </row>
    <row r="3679" spans="1:6" ht="15" thickBot="1" x14ac:dyDescent="0.2">
      <c r="A3679" s="30" t="s">
        <v>12610</v>
      </c>
      <c r="B3679" s="26" t="str">
        <f t="shared" si="57"/>
        <v>603978</v>
      </c>
      <c r="C3679" s="30" t="s">
        <v>7309</v>
      </c>
      <c r="D3679" s="31">
        <v>10.78</v>
      </c>
      <c r="E3679" s="31">
        <v>1.03</v>
      </c>
      <c r="F3679" s="31">
        <v>1860076100</v>
      </c>
    </row>
    <row r="3680" spans="1:6" ht="15" thickBot="1" x14ac:dyDescent="0.2">
      <c r="A3680" s="30" t="s">
        <v>12611</v>
      </c>
      <c r="B3680" s="26" t="str">
        <f t="shared" si="57"/>
        <v>002172</v>
      </c>
      <c r="C3680" s="30" t="s">
        <v>7219</v>
      </c>
      <c r="D3680" s="31">
        <v>2.4300000000000002</v>
      </c>
      <c r="E3680" s="31">
        <v>-5.45</v>
      </c>
      <c r="F3680" s="31">
        <v>1859610900</v>
      </c>
    </row>
    <row r="3681" spans="1:6" ht="15" thickBot="1" x14ac:dyDescent="0.2">
      <c r="A3681" s="30" t="s">
        <v>12612</v>
      </c>
      <c r="B3681" s="26" t="str">
        <f t="shared" si="57"/>
        <v>001212</v>
      </c>
      <c r="C3681" s="30" t="s">
        <v>6484</v>
      </c>
      <c r="D3681" s="31">
        <v>18.27</v>
      </c>
      <c r="E3681" s="31">
        <v>-0.98</v>
      </c>
      <c r="F3681" s="31">
        <v>1858615900</v>
      </c>
    </row>
    <row r="3682" spans="1:6" ht="15" thickBot="1" x14ac:dyDescent="0.2">
      <c r="A3682" s="30" t="s">
        <v>12613</v>
      </c>
      <c r="B3682" s="26" t="str">
        <f t="shared" si="57"/>
        <v>600712</v>
      </c>
      <c r="C3682" s="30" t="s">
        <v>7293</v>
      </c>
      <c r="D3682" s="31">
        <v>3.45</v>
      </c>
      <c r="E3682" s="31">
        <v>1.17</v>
      </c>
      <c r="F3682" s="31">
        <v>1858336900</v>
      </c>
    </row>
    <row r="3683" spans="1:6" ht="15" thickBot="1" x14ac:dyDescent="0.2">
      <c r="A3683" s="30" t="s">
        <v>12614</v>
      </c>
      <c r="B3683" s="26" t="str">
        <f t="shared" si="57"/>
        <v>300902</v>
      </c>
      <c r="C3683" s="30" t="s">
        <v>5573</v>
      </c>
      <c r="D3683" s="31">
        <v>15.12</v>
      </c>
      <c r="E3683" s="31">
        <v>-1.18</v>
      </c>
      <c r="F3683" s="31">
        <v>1858328500</v>
      </c>
    </row>
    <row r="3684" spans="1:6" ht="15" thickBot="1" x14ac:dyDescent="0.2">
      <c r="A3684" s="30" t="s">
        <v>12615</v>
      </c>
      <c r="B3684" s="26" t="str">
        <f t="shared" si="57"/>
        <v>300673</v>
      </c>
      <c r="C3684" s="30" t="s">
        <v>5519</v>
      </c>
      <c r="D3684" s="31">
        <v>11.51</v>
      </c>
      <c r="E3684" s="31">
        <v>-1.62</v>
      </c>
      <c r="F3684" s="31">
        <v>1858177700</v>
      </c>
    </row>
    <row r="3685" spans="1:6" ht="15" thickBot="1" x14ac:dyDescent="0.2">
      <c r="A3685" s="30" t="s">
        <v>12616</v>
      </c>
      <c r="B3685" s="26" t="str">
        <f t="shared" si="57"/>
        <v>688768</v>
      </c>
      <c r="C3685" s="30" t="s">
        <v>12617</v>
      </c>
      <c r="D3685" s="31">
        <v>22.76</v>
      </c>
      <c r="E3685" s="31">
        <v>0.4</v>
      </c>
      <c r="F3685" s="31">
        <v>1857808900</v>
      </c>
    </row>
    <row r="3686" spans="1:6" ht="15" thickBot="1" x14ac:dyDescent="0.2">
      <c r="A3686" s="30" t="s">
        <v>12618</v>
      </c>
      <c r="B3686" s="26" t="str">
        <f t="shared" si="57"/>
        <v>002599</v>
      </c>
      <c r="C3686" s="30" t="s">
        <v>6218</v>
      </c>
      <c r="D3686" s="31">
        <v>4.6100000000000003</v>
      </c>
      <c r="E3686" s="31">
        <v>-0.86</v>
      </c>
      <c r="F3686" s="31">
        <v>1857432000</v>
      </c>
    </row>
    <row r="3687" spans="1:6" ht="15" thickBot="1" x14ac:dyDescent="0.2">
      <c r="A3687" s="30" t="s">
        <v>12619</v>
      </c>
      <c r="B3687" s="26" t="str">
        <f t="shared" si="57"/>
        <v>688228</v>
      </c>
      <c r="C3687" s="30" t="s">
        <v>7091</v>
      </c>
      <c r="D3687" s="31">
        <v>27.5</v>
      </c>
      <c r="E3687" s="31">
        <v>-2.76</v>
      </c>
      <c r="F3687" s="31">
        <v>1856751600</v>
      </c>
    </row>
    <row r="3688" spans="1:6" ht="15" thickBot="1" x14ac:dyDescent="0.2">
      <c r="A3688" s="30" t="s">
        <v>12620</v>
      </c>
      <c r="B3688" s="26" t="str">
        <f t="shared" si="57"/>
        <v>300597</v>
      </c>
      <c r="C3688" s="30" t="s">
        <v>7117</v>
      </c>
      <c r="D3688" s="31">
        <v>6.84</v>
      </c>
      <c r="E3688" s="31">
        <v>-2.56</v>
      </c>
      <c r="F3688" s="31">
        <v>1856186100</v>
      </c>
    </row>
    <row r="3689" spans="1:6" ht="15" thickBot="1" x14ac:dyDescent="0.2">
      <c r="A3689" s="30" t="s">
        <v>12621</v>
      </c>
      <c r="B3689" s="26" t="str">
        <f t="shared" si="57"/>
        <v>300237</v>
      </c>
      <c r="C3689" s="30" t="s">
        <v>7339</v>
      </c>
      <c r="D3689" s="31">
        <v>1.29</v>
      </c>
      <c r="E3689" s="31">
        <v>-3.73</v>
      </c>
      <c r="F3689" s="31">
        <v>1856173800</v>
      </c>
    </row>
    <row r="3690" spans="1:6" ht="15" thickBot="1" x14ac:dyDescent="0.2">
      <c r="A3690" s="30" t="s">
        <v>12622</v>
      </c>
      <c r="B3690" s="26" t="str">
        <f t="shared" si="57"/>
        <v>002103</v>
      </c>
      <c r="C3690" s="30" t="s">
        <v>5932</v>
      </c>
      <c r="D3690" s="31">
        <v>4.92</v>
      </c>
      <c r="E3690" s="31">
        <v>-1.4</v>
      </c>
      <c r="F3690" s="31">
        <v>1855209900</v>
      </c>
    </row>
    <row r="3691" spans="1:6" ht="15" thickBot="1" x14ac:dyDescent="0.2">
      <c r="A3691" s="30" t="s">
        <v>12623</v>
      </c>
      <c r="B3691" s="26" t="str">
        <f t="shared" si="57"/>
        <v>001269</v>
      </c>
      <c r="C3691" s="30" t="s">
        <v>12624</v>
      </c>
      <c r="D3691" s="31">
        <v>22.11</v>
      </c>
      <c r="E3691" s="31">
        <v>-2.4700000000000002</v>
      </c>
      <c r="F3691" s="31">
        <v>1855000900</v>
      </c>
    </row>
    <row r="3692" spans="1:6" ht="15" thickBot="1" x14ac:dyDescent="0.2">
      <c r="A3692" s="30" t="s">
        <v>12625</v>
      </c>
      <c r="B3692" s="26" t="str">
        <f t="shared" si="57"/>
        <v>603617</v>
      </c>
      <c r="C3692" s="30" t="s">
        <v>7093</v>
      </c>
      <c r="D3692" s="31">
        <v>4.8499999999999996</v>
      </c>
      <c r="E3692" s="31">
        <v>-1.62</v>
      </c>
      <c r="F3692" s="31">
        <v>1850621000</v>
      </c>
    </row>
    <row r="3693" spans="1:6" ht="15" thickBot="1" x14ac:dyDescent="0.2">
      <c r="A3693" s="30" t="s">
        <v>12626</v>
      </c>
      <c r="B3693" s="26" t="str">
        <f t="shared" si="57"/>
        <v>301270</v>
      </c>
      <c r="C3693" s="30" t="s">
        <v>12627</v>
      </c>
      <c r="D3693" s="31">
        <v>24.97</v>
      </c>
      <c r="E3693" s="31">
        <v>-0.32</v>
      </c>
      <c r="F3693" s="31">
        <v>1849318800</v>
      </c>
    </row>
    <row r="3694" spans="1:6" ht="15" thickBot="1" x14ac:dyDescent="0.2">
      <c r="A3694" s="30" t="s">
        <v>12628</v>
      </c>
      <c r="B3694" s="26" t="str">
        <f t="shared" si="57"/>
        <v>002394</v>
      </c>
      <c r="C3694" s="30" t="s">
        <v>7233</v>
      </c>
      <c r="D3694" s="31">
        <v>5.72</v>
      </c>
      <c r="E3694" s="31">
        <v>-0.18</v>
      </c>
      <c r="F3694" s="31">
        <v>1849193700</v>
      </c>
    </row>
    <row r="3695" spans="1:6" ht="15" thickBot="1" x14ac:dyDescent="0.2">
      <c r="A3695" s="30" t="s">
        <v>12629</v>
      </c>
      <c r="B3695" s="26" t="str">
        <f t="shared" si="57"/>
        <v>603059</v>
      </c>
      <c r="C3695" s="30" t="s">
        <v>7259</v>
      </c>
      <c r="D3695" s="31">
        <v>18.399999999999999</v>
      </c>
      <c r="E3695" s="31">
        <v>-1.29</v>
      </c>
      <c r="F3695" s="31">
        <v>1848256100</v>
      </c>
    </row>
    <row r="3696" spans="1:6" ht="15" thickBot="1" x14ac:dyDescent="0.2">
      <c r="A3696" s="30" t="s">
        <v>12630</v>
      </c>
      <c r="B3696" s="26" t="str">
        <f t="shared" si="57"/>
        <v>002164</v>
      </c>
      <c r="C3696" s="30" t="s">
        <v>6917</v>
      </c>
      <c r="D3696" s="31">
        <v>3.85</v>
      </c>
      <c r="E3696" s="31">
        <v>-0.26</v>
      </c>
      <c r="F3696" s="31">
        <v>1847134600</v>
      </c>
    </row>
    <row r="3697" spans="1:6" ht="15" thickBot="1" x14ac:dyDescent="0.2">
      <c r="A3697" s="30" t="s">
        <v>12631</v>
      </c>
      <c r="B3697" s="26" t="str">
        <f t="shared" si="57"/>
        <v>300514</v>
      </c>
      <c r="C3697" s="30" t="s">
        <v>6482</v>
      </c>
      <c r="D3697" s="31">
        <v>11.64</v>
      </c>
      <c r="E3697" s="31">
        <v>-0.51</v>
      </c>
      <c r="F3697" s="31">
        <v>1843935500</v>
      </c>
    </row>
    <row r="3698" spans="1:6" ht="15" thickBot="1" x14ac:dyDescent="0.2">
      <c r="A3698" s="30" t="s">
        <v>12632</v>
      </c>
      <c r="B3698" s="26" t="str">
        <f t="shared" si="57"/>
        <v>002663</v>
      </c>
      <c r="C3698" s="30" t="s">
        <v>6638</v>
      </c>
      <c r="D3698" s="31">
        <v>1.32</v>
      </c>
      <c r="E3698" s="31">
        <v>-3.65</v>
      </c>
      <c r="F3698" s="31">
        <v>1843311500</v>
      </c>
    </row>
    <row r="3699" spans="1:6" ht="15" thickBot="1" x14ac:dyDescent="0.2">
      <c r="A3699" s="30" t="s">
        <v>12633</v>
      </c>
      <c r="B3699" s="26" t="str">
        <f t="shared" si="57"/>
        <v>300752</v>
      </c>
      <c r="C3699" s="30" t="s">
        <v>5633</v>
      </c>
      <c r="D3699" s="31">
        <v>11.97</v>
      </c>
      <c r="E3699" s="31">
        <v>-2.52</v>
      </c>
      <c r="F3699" s="31">
        <v>1843131600</v>
      </c>
    </row>
    <row r="3700" spans="1:6" ht="15" thickBot="1" x14ac:dyDescent="0.2">
      <c r="A3700" s="30" t="s">
        <v>12634</v>
      </c>
      <c r="B3700" s="26" t="str">
        <f t="shared" si="57"/>
        <v>300745</v>
      </c>
      <c r="C3700" s="30" t="s">
        <v>6648</v>
      </c>
      <c r="D3700" s="31">
        <v>13.04</v>
      </c>
      <c r="E3700" s="31">
        <v>-1.29</v>
      </c>
      <c r="F3700" s="31">
        <v>1842522200</v>
      </c>
    </row>
    <row r="3701" spans="1:6" ht="15" thickBot="1" x14ac:dyDescent="0.2">
      <c r="A3701" s="30" t="s">
        <v>12635</v>
      </c>
      <c r="B3701" s="26" t="str">
        <f t="shared" si="57"/>
        <v>001205</v>
      </c>
      <c r="C3701" s="30" t="s">
        <v>6270</v>
      </c>
      <c r="D3701" s="31">
        <v>14</v>
      </c>
      <c r="E3701" s="31">
        <v>-2.71</v>
      </c>
      <c r="F3701" s="31">
        <v>1842138400</v>
      </c>
    </row>
    <row r="3702" spans="1:6" ht="15" thickBot="1" x14ac:dyDescent="0.2">
      <c r="A3702" s="30" t="s">
        <v>12636</v>
      </c>
      <c r="B3702" s="26" t="str">
        <f t="shared" si="57"/>
        <v>600397</v>
      </c>
      <c r="C3702" s="30" t="s">
        <v>7379</v>
      </c>
      <c r="D3702" s="31">
        <v>1.86</v>
      </c>
      <c r="E3702" s="31">
        <v>1.0900000000000001</v>
      </c>
      <c r="F3702" s="31">
        <v>1841325400</v>
      </c>
    </row>
    <row r="3703" spans="1:6" ht="15" thickBot="1" x14ac:dyDescent="0.2">
      <c r="A3703" s="30" t="s">
        <v>12637</v>
      </c>
      <c r="B3703" s="26" t="str">
        <f t="shared" si="57"/>
        <v>001283</v>
      </c>
      <c r="C3703" s="30" t="s">
        <v>12638</v>
      </c>
      <c r="D3703" s="31">
        <v>31.86</v>
      </c>
      <c r="E3703" s="31">
        <v>-0.96</v>
      </c>
      <c r="F3703" s="31">
        <v>1839901300</v>
      </c>
    </row>
    <row r="3704" spans="1:6" ht="15" thickBot="1" x14ac:dyDescent="0.2">
      <c r="A3704" s="30" t="s">
        <v>12639</v>
      </c>
      <c r="B3704" s="26" t="str">
        <f t="shared" si="57"/>
        <v>603928</v>
      </c>
      <c r="C3704" s="30" t="s">
        <v>7223</v>
      </c>
      <c r="D3704" s="31">
        <v>7.02</v>
      </c>
      <c r="E3704" s="31">
        <v>0</v>
      </c>
      <c r="F3704" s="31">
        <v>1839801600</v>
      </c>
    </row>
    <row r="3705" spans="1:6" ht="15" thickBot="1" x14ac:dyDescent="0.2">
      <c r="A3705" s="30" t="s">
        <v>12640</v>
      </c>
      <c r="B3705" s="26" t="str">
        <f t="shared" si="57"/>
        <v>688201</v>
      </c>
      <c r="C3705" s="30" t="s">
        <v>6967</v>
      </c>
      <c r="D3705" s="31">
        <v>6.08</v>
      </c>
      <c r="E3705" s="31">
        <v>-4.4000000000000004</v>
      </c>
      <c r="F3705" s="31">
        <v>1839387000</v>
      </c>
    </row>
    <row r="3706" spans="1:6" ht="15" thickBot="1" x14ac:dyDescent="0.2">
      <c r="A3706" s="30" t="s">
        <v>12641</v>
      </c>
      <c r="B3706" s="26" t="str">
        <f t="shared" si="57"/>
        <v>002968</v>
      </c>
      <c r="C3706" s="30" t="s">
        <v>7145</v>
      </c>
      <c r="D3706" s="31">
        <v>8.61</v>
      </c>
      <c r="E3706" s="31">
        <v>1.65</v>
      </c>
      <c r="F3706" s="31">
        <v>1837236300</v>
      </c>
    </row>
    <row r="3707" spans="1:6" ht="15" thickBot="1" x14ac:dyDescent="0.2">
      <c r="A3707" s="30" t="s">
        <v>12642</v>
      </c>
      <c r="B3707" s="26" t="str">
        <f t="shared" si="57"/>
        <v>300018</v>
      </c>
      <c r="C3707" s="30" t="s">
        <v>6572</v>
      </c>
      <c r="D3707" s="31">
        <v>4.82</v>
      </c>
      <c r="E3707" s="31">
        <v>0.63</v>
      </c>
      <c r="F3707" s="31">
        <v>1836764800</v>
      </c>
    </row>
    <row r="3708" spans="1:6" ht="15" thickBot="1" x14ac:dyDescent="0.2">
      <c r="A3708" s="30" t="s">
        <v>12643</v>
      </c>
      <c r="B3708" s="26" t="str">
        <f t="shared" si="57"/>
        <v>688507</v>
      </c>
      <c r="C3708" s="30" t="s">
        <v>12644</v>
      </c>
      <c r="D3708" s="31">
        <v>40.36</v>
      </c>
      <c r="E3708" s="31">
        <v>-0.37</v>
      </c>
      <c r="F3708" s="31">
        <v>1836571400</v>
      </c>
    </row>
    <row r="3709" spans="1:6" ht="15" thickBot="1" x14ac:dyDescent="0.2">
      <c r="A3709" s="30" t="s">
        <v>12645</v>
      </c>
      <c r="B3709" s="26" t="str">
        <f t="shared" si="57"/>
        <v>603429</v>
      </c>
      <c r="C3709" s="30" t="s">
        <v>7097</v>
      </c>
      <c r="D3709" s="31">
        <v>3.5</v>
      </c>
      <c r="E3709" s="31">
        <v>-2.78</v>
      </c>
      <c r="F3709" s="31">
        <v>1835699100</v>
      </c>
    </row>
    <row r="3710" spans="1:6" ht="15" thickBot="1" x14ac:dyDescent="0.2">
      <c r="A3710" s="30" t="s">
        <v>12646</v>
      </c>
      <c r="B3710" s="26" t="str">
        <f t="shared" si="57"/>
        <v>300092</v>
      </c>
      <c r="C3710" s="30" t="s">
        <v>6354</v>
      </c>
      <c r="D3710" s="31">
        <v>8.74</v>
      </c>
      <c r="E3710" s="31">
        <v>-1.02</v>
      </c>
      <c r="F3710" s="31">
        <v>1834231100</v>
      </c>
    </row>
    <row r="3711" spans="1:6" ht="15" thickBot="1" x14ac:dyDescent="0.2">
      <c r="A3711" s="30" t="s">
        <v>12647</v>
      </c>
      <c r="B3711" s="26" t="str">
        <f t="shared" si="57"/>
        <v>300585</v>
      </c>
      <c r="C3711" s="30" t="s">
        <v>7171</v>
      </c>
      <c r="D3711" s="31">
        <v>10.71</v>
      </c>
      <c r="E3711" s="31">
        <v>-0.93</v>
      </c>
      <c r="F3711" s="31">
        <v>1832600000</v>
      </c>
    </row>
    <row r="3712" spans="1:6" ht="15" thickBot="1" x14ac:dyDescent="0.2">
      <c r="A3712" s="30" t="s">
        <v>12648</v>
      </c>
      <c r="B3712" s="26" t="str">
        <f t="shared" si="57"/>
        <v>300805</v>
      </c>
      <c r="C3712" s="30" t="s">
        <v>5810</v>
      </c>
      <c r="D3712" s="31">
        <v>6.38</v>
      </c>
      <c r="E3712" s="31">
        <v>-1.7</v>
      </c>
      <c r="F3712" s="31">
        <v>1831948100</v>
      </c>
    </row>
    <row r="3713" spans="1:6" ht="15" thickBot="1" x14ac:dyDescent="0.2">
      <c r="A3713" s="30" t="s">
        <v>12649</v>
      </c>
      <c r="B3713" s="26" t="str">
        <f t="shared" si="57"/>
        <v>600889</v>
      </c>
      <c r="C3713" s="30" t="s">
        <v>7395</v>
      </c>
      <c r="D3713" s="31">
        <v>5</v>
      </c>
      <c r="E3713" s="31">
        <v>2.04</v>
      </c>
      <c r="F3713" s="31">
        <v>1831730100</v>
      </c>
    </row>
    <row r="3714" spans="1:6" ht="15" thickBot="1" x14ac:dyDescent="0.2">
      <c r="A3714" s="30" t="s">
        <v>12650</v>
      </c>
      <c r="B3714" s="26" t="str">
        <f t="shared" si="57"/>
        <v>600371</v>
      </c>
      <c r="C3714" s="30" t="s">
        <v>7243</v>
      </c>
      <c r="D3714" s="31">
        <v>6.26</v>
      </c>
      <c r="E3714" s="31">
        <v>-1.88</v>
      </c>
      <c r="F3714" s="31">
        <v>1831538300</v>
      </c>
    </row>
    <row r="3715" spans="1:6" ht="15" thickBot="1" x14ac:dyDescent="0.2">
      <c r="A3715" s="30" t="s">
        <v>12651</v>
      </c>
      <c r="B3715" s="26" t="str">
        <f t="shared" ref="B3715:B3778" si="58">LEFT(A3715,6)</f>
        <v>605068</v>
      </c>
      <c r="C3715" s="30" t="s">
        <v>7159</v>
      </c>
      <c r="D3715" s="31">
        <v>11.28</v>
      </c>
      <c r="E3715" s="31">
        <v>-1.05</v>
      </c>
      <c r="F3715" s="31">
        <v>1828939800</v>
      </c>
    </row>
    <row r="3716" spans="1:6" ht="15" thickBot="1" x14ac:dyDescent="0.2">
      <c r="A3716" s="30" t="s">
        <v>12652</v>
      </c>
      <c r="B3716" s="26" t="str">
        <f t="shared" si="58"/>
        <v>002374</v>
      </c>
      <c r="C3716" s="30" t="s">
        <v>7213</v>
      </c>
      <c r="D3716" s="31">
        <v>1.68</v>
      </c>
      <c r="E3716" s="31">
        <v>-4.55</v>
      </c>
      <c r="F3716" s="31">
        <v>1827762400</v>
      </c>
    </row>
    <row r="3717" spans="1:6" ht="15" thickBot="1" x14ac:dyDescent="0.2">
      <c r="A3717" s="30" t="s">
        <v>12653</v>
      </c>
      <c r="B3717" s="26" t="str">
        <f t="shared" si="58"/>
        <v>300062</v>
      </c>
      <c r="C3717" s="30" t="s">
        <v>6020</v>
      </c>
      <c r="D3717" s="31">
        <v>4.7300000000000004</v>
      </c>
      <c r="E3717" s="31">
        <v>0.21</v>
      </c>
      <c r="F3717" s="31">
        <v>1827505100</v>
      </c>
    </row>
    <row r="3718" spans="1:6" ht="15" thickBot="1" x14ac:dyDescent="0.2">
      <c r="A3718" s="30" t="s">
        <v>12654</v>
      </c>
      <c r="B3718" s="26" t="str">
        <f t="shared" si="58"/>
        <v>601996</v>
      </c>
      <c r="C3718" s="30" t="s">
        <v>7273</v>
      </c>
      <c r="D3718" s="31">
        <v>1.63</v>
      </c>
      <c r="E3718" s="31">
        <v>-2.4</v>
      </c>
      <c r="F3718" s="31">
        <v>1827090500</v>
      </c>
    </row>
    <row r="3719" spans="1:6" ht="15" thickBot="1" x14ac:dyDescent="0.2">
      <c r="A3719" s="30" t="s">
        <v>12655</v>
      </c>
      <c r="B3719" s="26" t="str">
        <f t="shared" si="58"/>
        <v>600228</v>
      </c>
      <c r="C3719" s="30" t="s">
        <v>6676</v>
      </c>
      <c r="D3719" s="31">
        <v>4.54</v>
      </c>
      <c r="E3719" s="31">
        <v>-3.61</v>
      </c>
      <c r="F3719" s="31">
        <v>1826874800</v>
      </c>
    </row>
    <row r="3720" spans="1:6" ht="15" thickBot="1" x14ac:dyDescent="0.2">
      <c r="A3720" s="30" t="s">
        <v>12656</v>
      </c>
      <c r="B3720" s="26" t="str">
        <f t="shared" si="58"/>
        <v>300387</v>
      </c>
      <c r="C3720" s="30" t="s">
        <v>7291</v>
      </c>
      <c r="D3720" s="31">
        <v>6.32</v>
      </c>
      <c r="E3720" s="31">
        <v>-1.71</v>
      </c>
      <c r="F3720" s="31">
        <v>1826206000</v>
      </c>
    </row>
    <row r="3721" spans="1:6" ht="15" thickBot="1" x14ac:dyDescent="0.2">
      <c r="A3721" s="30" t="s">
        <v>12657</v>
      </c>
      <c r="B3721" s="26" t="str">
        <f t="shared" si="58"/>
        <v>688199</v>
      </c>
      <c r="C3721" s="30" t="s">
        <v>7341</v>
      </c>
      <c r="D3721" s="31">
        <v>11.32</v>
      </c>
      <c r="E3721" s="31">
        <v>1.89</v>
      </c>
      <c r="F3721" s="31">
        <v>1825092500</v>
      </c>
    </row>
    <row r="3722" spans="1:6" ht="15" thickBot="1" x14ac:dyDescent="0.2">
      <c r="A3722" s="30" t="s">
        <v>12658</v>
      </c>
      <c r="B3722" s="26" t="str">
        <f t="shared" si="58"/>
        <v>603982</v>
      </c>
      <c r="C3722" s="30" t="s">
        <v>7167</v>
      </c>
      <c r="D3722" s="31">
        <v>6.98</v>
      </c>
      <c r="E3722" s="31">
        <v>-1.69</v>
      </c>
      <c r="F3722" s="31">
        <v>1824421200</v>
      </c>
    </row>
    <row r="3723" spans="1:6" ht="15" thickBot="1" x14ac:dyDescent="0.2">
      <c r="A3723" s="30" t="s">
        <v>12659</v>
      </c>
      <c r="B3723" s="26" t="str">
        <f t="shared" si="58"/>
        <v>300938</v>
      </c>
      <c r="C3723" s="30" t="s">
        <v>5958</v>
      </c>
      <c r="D3723" s="31">
        <v>16.18</v>
      </c>
      <c r="E3723" s="31">
        <v>-0.92</v>
      </c>
      <c r="F3723" s="31">
        <v>1823805900</v>
      </c>
    </row>
    <row r="3724" spans="1:6" ht="15" thickBot="1" x14ac:dyDescent="0.2">
      <c r="A3724" s="30" t="s">
        <v>12660</v>
      </c>
      <c r="B3724" s="26" t="str">
        <f t="shared" si="58"/>
        <v>603353</v>
      </c>
      <c r="C3724" s="30" t="s">
        <v>7155</v>
      </c>
      <c r="D3724" s="31">
        <v>10.69</v>
      </c>
      <c r="E3724" s="31">
        <v>-2.02</v>
      </c>
      <c r="F3724" s="31">
        <v>1821768400</v>
      </c>
    </row>
    <row r="3725" spans="1:6" ht="15" thickBot="1" x14ac:dyDescent="0.2">
      <c r="A3725" s="30" t="s">
        <v>12661</v>
      </c>
      <c r="B3725" s="26" t="str">
        <f t="shared" si="58"/>
        <v>603311</v>
      </c>
      <c r="C3725" s="30" t="s">
        <v>7255</v>
      </c>
      <c r="D3725" s="31">
        <v>7.72</v>
      </c>
      <c r="E3725" s="31">
        <v>-0.77</v>
      </c>
      <c r="F3725" s="31">
        <v>1821023800</v>
      </c>
    </row>
    <row r="3726" spans="1:6" ht="15" thickBot="1" x14ac:dyDescent="0.2">
      <c r="A3726" s="30" t="s">
        <v>12662</v>
      </c>
      <c r="B3726" s="26" t="str">
        <f t="shared" si="58"/>
        <v>688529</v>
      </c>
      <c r="C3726" s="30" t="s">
        <v>7271</v>
      </c>
      <c r="D3726" s="31">
        <v>10.88</v>
      </c>
      <c r="E3726" s="31">
        <v>-0.82</v>
      </c>
      <c r="F3726" s="31">
        <v>1820085900</v>
      </c>
    </row>
    <row r="3727" spans="1:6" ht="15" thickBot="1" x14ac:dyDescent="0.2">
      <c r="A3727" s="30" t="s">
        <v>12663</v>
      </c>
      <c r="B3727" s="26" t="str">
        <f t="shared" si="58"/>
        <v>600337</v>
      </c>
      <c r="C3727" s="30" t="s">
        <v>7123</v>
      </c>
      <c r="D3727" s="31">
        <v>1.23</v>
      </c>
      <c r="E3727" s="31">
        <v>-6.82</v>
      </c>
      <c r="F3727" s="31">
        <v>1819837300</v>
      </c>
    </row>
    <row r="3728" spans="1:6" ht="15" thickBot="1" x14ac:dyDescent="0.2">
      <c r="A3728" s="30" t="s">
        <v>12664</v>
      </c>
      <c r="B3728" s="26" t="str">
        <f t="shared" si="58"/>
        <v>300690</v>
      </c>
      <c r="C3728" s="30" t="s">
        <v>5770</v>
      </c>
      <c r="D3728" s="31">
        <v>16.510000000000002</v>
      </c>
      <c r="E3728" s="31">
        <v>0.37</v>
      </c>
      <c r="F3728" s="31">
        <v>1818211000</v>
      </c>
    </row>
    <row r="3729" spans="1:6" ht="15" thickBot="1" x14ac:dyDescent="0.2">
      <c r="A3729" s="30" t="s">
        <v>12665</v>
      </c>
      <c r="B3729" s="26" t="str">
        <f t="shared" si="58"/>
        <v>300648</v>
      </c>
      <c r="C3729" s="30" t="s">
        <v>6004</v>
      </c>
      <c r="D3729" s="31">
        <v>17.12</v>
      </c>
      <c r="E3729" s="31">
        <v>-2.4500000000000002</v>
      </c>
      <c r="F3729" s="31">
        <v>1817963200</v>
      </c>
    </row>
    <row r="3730" spans="1:6" ht="15" thickBot="1" x14ac:dyDescent="0.2">
      <c r="A3730" s="30" t="s">
        <v>12666</v>
      </c>
      <c r="B3730" s="26" t="str">
        <f t="shared" si="58"/>
        <v>834599</v>
      </c>
      <c r="C3730" s="30" t="s">
        <v>12667</v>
      </c>
      <c r="D3730" s="31">
        <v>8</v>
      </c>
      <c r="E3730" s="31">
        <v>1.65</v>
      </c>
      <c r="F3730" s="31">
        <v>1816986900</v>
      </c>
    </row>
    <row r="3731" spans="1:6" ht="15" thickBot="1" x14ac:dyDescent="0.2">
      <c r="A3731" s="30" t="s">
        <v>12668</v>
      </c>
      <c r="B3731" s="26" t="str">
        <f t="shared" si="58"/>
        <v>300189</v>
      </c>
      <c r="C3731" s="30" t="s">
        <v>6913</v>
      </c>
      <c r="D3731" s="31">
        <v>2.0499999999999998</v>
      </c>
      <c r="E3731" s="31">
        <v>-4.21</v>
      </c>
      <c r="F3731" s="31">
        <v>1816807500</v>
      </c>
    </row>
    <row r="3732" spans="1:6" ht="15" thickBot="1" x14ac:dyDescent="0.2">
      <c r="A3732" s="30" t="s">
        <v>12669</v>
      </c>
      <c r="B3732" s="26" t="str">
        <f t="shared" si="58"/>
        <v>603237</v>
      </c>
      <c r="C3732" s="30" t="s">
        <v>12670</v>
      </c>
      <c r="D3732" s="31">
        <v>14.89</v>
      </c>
      <c r="E3732" s="31">
        <v>-3.81</v>
      </c>
      <c r="F3732" s="31">
        <v>1814728300</v>
      </c>
    </row>
    <row r="3733" spans="1:6" ht="15" thickBot="1" x14ac:dyDescent="0.2">
      <c r="A3733" s="30" t="s">
        <v>12671</v>
      </c>
      <c r="B3733" s="26" t="str">
        <f t="shared" si="58"/>
        <v>601033</v>
      </c>
      <c r="C3733" s="30" t="s">
        <v>12672</v>
      </c>
      <c r="D3733" s="31">
        <v>12.08</v>
      </c>
      <c r="E3733" s="31">
        <v>-0.98</v>
      </c>
      <c r="F3733" s="31">
        <v>1812000000</v>
      </c>
    </row>
    <row r="3734" spans="1:6" ht="15" thickBot="1" x14ac:dyDescent="0.2">
      <c r="A3734" s="30" t="s">
        <v>12673</v>
      </c>
      <c r="B3734" s="26" t="str">
        <f t="shared" si="58"/>
        <v>300280</v>
      </c>
      <c r="C3734" s="30" t="s">
        <v>7163</v>
      </c>
      <c r="D3734" s="31">
        <v>11.29</v>
      </c>
      <c r="E3734" s="31">
        <v>-3.01</v>
      </c>
      <c r="F3734" s="31">
        <v>1811753400</v>
      </c>
    </row>
    <row r="3735" spans="1:6" ht="15" thickBot="1" x14ac:dyDescent="0.2">
      <c r="A3735" s="30" t="s">
        <v>12674</v>
      </c>
      <c r="B3735" s="26" t="str">
        <f t="shared" si="58"/>
        <v>603500</v>
      </c>
      <c r="C3735" s="30" t="s">
        <v>7195</v>
      </c>
      <c r="D3735" s="31">
        <v>5.32</v>
      </c>
      <c r="E3735" s="31">
        <v>-0.75</v>
      </c>
      <c r="F3735" s="31">
        <v>1811001400</v>
      </c>
    </row>
    <row r="3736" spans="1:6" ht="15" thickBot="1" x14ac:dyDescent="0.2">
      <c r="A3736" s="30" t="s">
        <v>12675</v>
      </c>
      <c r="B3736" s="26" t="str">
        <f t="shared" si="58"/>
        <v>688238</v>
      </c>
      <c r="C3736" s="30" t="s">
        <v>12676</v>
      </c>
      <c r="D3736" s="31">
        <v>3.88</v>
      </c>
      <c r="E3736" s="31">
        <v>-4.2</v>
      </c>
      <c r="F3736" s="31">
        <v>1810963300</v>
      </c>
    </row>
    <row r="3737" spans="1:6" ht="15" thickBot="1" x14ac:dyDescent="0.2">
      <c r="A3737" s="30" t="s">
        <v>12677</v>
      </c>
      <c r="B3737" s="26" t="str">
        <f t="shared" si="58"/>
        <v>688682</v>
      </c>
      <c r="C3737" s="30" t="s">
        <v>7251</v>
      </c>
      <c r="D3737" s="31">
        <v>24.89</v>
      </c>
      <c r="E3737" s="31">
        <v>-1.54</v>
      </c>
      <c r="F3737" s="31">
        <v>1810550100</v>
      </c>
    </row>
    <row r="3738" spans="1:6" ht="15" thickBot="1" x14ac:dyDescent="0.2">
      <c r="A3738" s="30" t="s">
        <v>12678</v>
      </c>
      <c r="B3738" s="26" t="str">
        <f t="shared" si="58"/>
        <v>300484</v>
      </c>
      <c r="C3738" s="30" t="s">
        <v>5934</v>
      </c>
      <c r="D3738" s="31">
        <v>11.01</v>
      </c>
      <c r="E3738" s="31">
        <v>-1.26</v>
      </c>
      <c r="F3738" s="31">
        <v>1809578900</v>
      </c>
    </row>
    <row r="3739" spans="1:6" ht="15" thickBot="1" x14ac:dyDescent="0.2">
      <c r="A3739" s="30" t="s">
        <v>12679</v>
      </c>
      <c r="B3739" s="26" t="str">
        <f t="shared" si="58"/>
        <v>300512</v>
      </c>
      <c r="C3739" s="30" t="s">
        <v>6474</v>
      </c>
      <c r="D3739" s="31">
        <v>5.52</v>
      </c>
      <c r="E3739" s="31">
        <v>-2.13</v>
      </c>
      <c r="F3739" s="31">
        <v>1809502600</v>
      </c>
    </row>
    <row r="3740" spans="1:6" ht="15" thickBot="1" x14ac:dyDescent="0.2">
      <c r="A3740" s="30" t="s">
        <v>12680</v>
      </c>
      <c r="B3740" s="26" t="str">
        <f t="shared" si="58"/>
        <v>001289</v>
      </c>
      <c r="C3740" s="30" t="s">
        <v>234</v>
      </c>
      <c r="D3740" s="31">
        <v>13.57</v>
      </c>
      <c r="E3740" s="31">
        <v>-0.88</v>
      </c>
      <c r="F3740" s="31">
        <v>1809369800</v>
      </c>
    </row>
    <row r="3741" spans="1:6" ht="15" thickBot="1" x14ac:dyDescent="0.2">
      <c r="A3741" s="30" t="s">
        <v>12681</v>
      </c>
      <c r="B3741" s="26" t="str">
        <f t="shared" si="58"/>
        <v>688410</v>
      </c>
      <c r="C3741" s="30" t="s">
        <v>12682</v>
      </c>
      <c r="D3741" s="31">
        <v>7.82</v>
      </c>
      <c r="E3741" s="31">
        <v>-2.0099999999999998</v>
      </c>
      <c r="F3741" s="31">
        <v>1809076900</v>
      </c>
    </row>
    <row r="3742" spans="1:6" ht="15" thickBot="1" x14ac:dyDescent="0.2">
      <c r="A3742" s="30" t="s">
        <v>12683</v>
      </c>
      <c r="B3742" s="26" t="str">
        <f t="shared" si="58"/>
        <v>002021</v>
      </c>
      <c r="C3742" s="30" t="s">
        <v>7299</v>
      </c>
      <c r="D3742" s="31">
        <v>1.5</v>
      </c>
      <c r="E3742" s="31">
        <v>-1.96</v>
      </c>
      <c r="F3742" s="31">
        <v>1808058600</v>
      </c>
    </row>
    <row r="3743" spans="1:6" ht="15" thickBot="1" x14ac:dyDescent="0.2">
      <c r="A3743" s="30" t="s">
        <v>12684</v>
      </c>
      <c r="B3743" s="26" t="str">
        <f t="shared" si="58"/>
        <v>300333</v>
      </c>
      <c r="C3743" s="30" t="s">
        <v>7483</v>
      </c>
      <c r="D3743" s="31">
        <v>5.4</v>
      </c>
      <c r="E3743" s="31">
        <v>3.85</v>
      </c>
      <c r="F3743" s="31">
        <v>1807812400</v>
      </c>
    </row>
    <row r="3744" spans="1:6" ht="15" thickBot="1" x14ac:dyDescent="0.2">
      <c r="A3744" s="30" t="s">
        <v>12685</v>
      </c>
      <c r="B3744" s="26" t="str">
        <f t="shared" si="58"/>
        <v>600356</v>
      </c>
      <c r="C3744" s="30" t="s">
        <v>7347</v>
      </c>
      <c r="D3744" s="31">
        <v>6.05</v>
      </c>
      <c r="E3744" s="31">
        <v>-0.98</v>
      </c>
      <c r="F3744" s="31">
        <v>1807324800</v>
      </c>
    </row>
    <row r="3745" spans="1:6" ht="15" thickBot="1" x14ac:dyDescent="0.2">
      <c r="A3745" s="30" t="s">
        <v>12686</v>
      </c>
      <c r="B3745" s="26" t="str">
        <f t="shared" si="58"/>
        <v>603385</v>
      </c>
      <c r="C3745" s="30" t="s">
        <v>7317</v>
      </c>
      <c r="D3745" s="31">
        <v>4.7300000000000004</v>
      </c>
      <c r="E3745" s="31">
        <v>-2.27</v>
      </c>
      <c r="F3745" s="31">
        <v>1805541700</v>
      </c>
    </row>
    <row r="3746" spans="1:6" ht="15" thickBot="1" x14ac:dyDescent="0.2">
      <c r="A3746" s="30" t="s">
        <v>12687</v>
      </c>
      <c r="B3746" s="26" t="str">
        <f t="shared" si="58"/>
        <v>605055</v>
      </c>
      <c r="C3746" s="30" t="s">
        <v>7295</v>
      </c>
      <c r="D3746" s="31">
        <v>4.0999999999999996</v>
      </c>
      <c r="E3746" s="31">
        <v>-1.21</v>
      </c>
      <c r="F3746" s="31">
        <v>1804000000</v>
      </c>
    </row>
    <row r="3747" spans="1:6" ht="15" thickBot="1" x14ac:dyDescent="0.2">
      <c r="A3747" s="30" t="s">
        <v>12688</v>
      </c>
      <c r="B3747" s="26" t="str">
        <f t="shared" si="58"/>
        <v>688662</v>
      </c>
      <c r="C3747" s="30" t="s">
        <v>12689</v>
      </c>
      <c r="D3747" s="31">
        <v>20.420000000000002</v>
      </c>
      <c r="E3747" s="31">
        <v>-1.78</v>
      </c>
      <c r="F3747" s="31">
        <v>1801860800</v>
      </c>
    </row>
    <row r="3748" spans="1:6" ht="15" thickBot="1" x14ac:dyDescent="0.2">
      <c r="A3748" s="30" t="s">
        <v>12690</v>
      </c>
      <c r="B3748" s="26" t="str">
        <f t="shared" si="58"/>
        <v>688286</v>
      </c>
      <c r="C3748" s="30" t="s">
        <v>7217</v>
      </c>
      <c r="D3748" s="31">
        <v>32.19</v>
      </c>
      <c r="E3748" s="31">
        <v>-2.4300000000000002</v>
      </c>
      <c r="F3748" s="31">
        <v>1801847800</v>
      </c>
    </row>
    <row r="3749" spans="1:6" ht="15" thickBot="1" x14ac:dyDescent="0.2">
      <c r="A3749" s="30" t="s">
        <v>12691</v>
      </c>
      <c r="B3749" s="26" t="str">
        <f t="shared" si="58"/>
        <v>301296</v>
      </c>
      <c r="C3749" s="30" t="s">
        <v>12692</v>
      </c>
      <c r="D3749" s="31">
        <v>6.63</v>
      </c>
      <c r="E3749" s="31">
        <v>-0.6</v>
      </c>
      <c r="F3749" s="31">
        <v>1801234800</v>
      </c>
    </row>
    <row r="3750" spans="1:6" ht="15" thickBot="1" x14ac:dyDescent="0.2">
      <c r="A3750" s="30" t="s">
        <v>12693</v>
      </c>
      <c r="B3750" s="26" t="str">
        <f t="shared" si="58"/>
        <v>600159</v>
      </c>
      <c r="C3750" s="30" t="s">
        <v>7501</v>
      </c>
      <c r="D3750" s="31">
        <v>2.17</v>
      </c>
      <c r="E3750" s="31">
        <v>1.88</v>
      </c>
      <c r="F3750" s="31">
        <v>1801107000</v>
      </c>
    </row>
    <row r="3751" spans="1:6" ht="15" thickBot="1" x14ac:dyDescent="0.2">
      <c r="A3751" s="30" t="s">
        <v>12694</v>
      </c>
      <c r="B3751" s="26" t="str">
        <f t="shared" si="58"/>
        <v>301321</v>
      </c>
      <c r="C3751" s="30" t="s">
        <v>6506</v>
      </c>
      <c r="D3751" s="31">
        <v>12.2</v>
      </c>
      <c r="E3751" s="31">
        <v>-7.37</v>
      </c>
      <c r="F3751" s="31">
        <v>1800556700</v>
      </c>
    </row>
    <row r="3752" spans="1:6" ht="15" thickBot="1" x14ac:dyDescent="0.2">
      <c r="A3752" s="30" t="s">
        <v>12695</v>
      </c>
      <c r="B3752" s="26" t="str">
        <f t="shared" si="58"/>
        <v>300575</v>
      </c>
      <c r="C3752" s="30" t="s">
        <v>6236</v>
      </c>
      <c r="D3752" s="31">
        <v>5.25</v>
      </c>
      <c r="E3752" s="31">
        <v>-4.0199999999999996</v>
      </c>
      <c r="F3752" s="31">
        <v>1800017400</v>
      </c>
    </row>
    <row r="3753" spans="1:6" ht="15" thickBot="1" x14ac:dyDescent="0.2">
      <c r="A3753" s="30" t="s">
        <v>12696</v>
      </c>
      <c r="B3753" s="26" t="str">
        <f t="shared" si="58"/>
        <v>002576</v>
      </c>
      <c r="C3753" s="30" t="s">
        <v>7197</v>
      </c>
      <c r="D3753" s="31">
        <v>11.1</v>
      </c>
      <c r="E3753" s="31">
        <v>-1.33</v>
      </c>
      <c r="F3753" s="31">
        <v>1798506000</v>
      </c>
    </row>
    <row r="3754" spans="1:6" ht="15" thickBot="1" x14ac:dyDescent="0.2">
      <c r="A3754" s="30" t="s">
        <v>12697</v>
      </c>
      <c r="B3754" s="26" t="str">
        <f t="shared" si="58"/>
        <v>301059</v>
      </c>
      <c r="C3754" s="30" t="s">
        <v>12698</v>
      </c>
      <c r="D3754" s="31">
        <v>7.78</v>
      </c>
      <c r="E3754" s="31">
        <v>-1.27</v>
      </c>
      <c r="F3754" s="31">
        <v>1798359000</v>
      </c>
    </row>
    <row r="3755" spans="1:6" ht="15" thickBot="1" x14ac:dyDescent="0.2">
      <c r="A3755" s="30" t="s">
        <v>12699</v>
      </c>
      <c r="B3755" s="26" t="str">
        <f t="shared" si="58"/>
        <v>001267</v>
      </c>
      <c r="C3755" s="30" t="s">
        <v>4526</v>
      </c>
      <c r="D3755" s="31">
        <v>4.95</v>
      </c>
      <c r="E3755" s="31">
        <v>-1.98</v>
      </c>
      <c r="F3755" s="31">
        <v>1796831600</v>
      </c>
    </row>
    <row r="3756" spans="1:6" ht="15" thickBot="1" x14ac:dyDescent="0.2">
      <c r="A3756" s="30" t="s">
        <v>12700</v>
      </c>
      <c r="B3756" s="26" t="str">
        <f t="shared" si="58"/>
        <v>605100</v>
      </c>
      <c r="C3756" s="30" t="s">
        <v>7107</v>
      </c>
      <c r="D3756" s="31">
        <v>10.57</v>
      </c>
      <c r="E3756" s="31">
        <v>-0.84</v>
      </c>
      <c r="F3756" s="31">
        <v>1796181200</v>
      </c>
    </row>
    <row r="3757" spans="1:6" ht="15" thickBot="1" x14ac:dyDescent="0.2">
      <c r="A3757" s="30" t="s">
        <v>12701</v>
      </c>
      <c r="B3757" s="26" t="str">
        <f t="shared" si="58"/>
        <v>301305</v>
      </c>
      <c r="C3757" s="30" t="s">
        <v>12702</v>
      </c>
      <c r="D3757" s="31">
        <v>14.42</v>
      </c>
      <c r="E3757" s="31">
        <v>-1.23</v>
      </c>
      <c r="F3757" s="31">
        <v>1793858100</v>
      </c>
    </row>
    <row r="3758" spans="1:6" ht="15" thickBot="1" x14ac:dyDescent="0.2">
      <c r="A3758" s="30" t="s">
        <v>12703</v>
      </c>
      <c r="B3758" s="26" t="str">
        <f t="shared" si="58"/>
        <v>300132</v>
      </c>
      <c r="C3758" s="30" t="s">
        <v>7247</v>
      </c>
      <c r="D3758" s="31">
        <v>3.53</v>
      </c>
      <c r="E3758" s="31">
        <v>-1.1200000000000001</v>
      </c>
      <c r="F3758" s="31">
        <v>1793526900</v>
      </c>
    </row>
    <row r="3759" spans="1:6" ht="15" thickBot="1" x14ac:dyDescent="0.2">
      <c r="A3759" s="30" t="s">
        <v>12704</v>
      </c>
      <c r="B3759" s="26" t="str">
        <f t="shared" si="58"/>
        <v>002134</v>
      </c>
      <c r="C3759" s="30" t="s">
        <v>7267</v>
      </c>
      <c r="D3759" s="31">
        <v>7.29</v>
      </c>
      <c r="E3759" s="31">
        <v>-1.75</v>
      </c>
      <c r="F3759" s="31">
        <v>1792244800</v>
      </c>
    </row>
    <row r="3760" spans="1:6" ht="15" thickBot="1" x14ac:dyDescent="0.2">
      <c r="A3760" s="30" t="s">
        <v>12705</v>
      </c>
      <c r="B3760" s="26" t="str">
        <f t="shared" si="58"/>
        <v>603798</v>
      </c>
      <c r="C3760" s="30" t="s">
        <v>7313</v>
      </c>
      <c r="D3760" s="31">
        <v>6.98</v>
      </c>
      <c r="E3760" s="31">
        <v>-0.99</v>
      </c>
      <c r="F3760" s="31">
        <v>1790018600</v>
      </c>
    </row>
    <row r="3761" spans="1:6" ht="15" thickBot="1" x14ac:dyDescent="0.2">
      <c r="A3761" s="30" t="s">
        <v>12706</v>
      </c>
      <c r="B3761" s="26" t="str">
        <f t="shared" si="58"/>
        <v>688613</v>
      </c>
      <c r="C3761" s="30" t="s">
        <v>7333</v>
      </c>
      <c r="D3761" s="31">
        <v>13.19</v>
      </c>
      <c r="E3761" s="31">
        <v>-0.45</v>
      </c>
      <c r="F3761" s="31">
        <v>1787925400</v>
      </c>
    </row>
    <row r="3762" spans="1:6" ht="15" thickBot="1" x14ac:dyDescent="0.2">
      <c r="A3762" s="30" t="s">
        <v>12707</v>
      </c>
      <c r="B3762" s="26" t="str">
        <f t="shared" si="58"/>
        <v>000554</v>
      </c>
      <c r="C3762" s="30" t="s">
        <v>6550</v>
      </c>
      <c r="D3762" s="31">
        <v>4.93</v>
      </c>
      <c r="E3762" s="31">
        <v>0.41</v>
      </c>
      <c r="F3762" s="31">
        <v>1787880300</v>
      </c>
    </row>
    <row r="3763" spans="1:6" ht="15" thickBot="1" x14ac:dyDescent="0.2">
      <c r="A3763" s="30" t="s">
        <v>12708</v>
      </c>
      <c r="B3763" s="26" t="str">
        <f t="shared" si="58"/>
        <v>300798</v>
      </c>
      <c r="C3763" s="30" t="s">
        <v>6518</v>
      </c>
      <c r="D3763" s="31">
        <v>4.8</v>
      </c>
      <c r="E3763" s="31">
        <v>-1.64</v>
      </c>
      <c r="F3763" s="31">
        <v>1787362400</v>
      </c>
    </row>
    <row r="3764" spans="1:6" ht="15" thickBot="1" x14ac:dyDescent="0.2">
      <c r="A3764" s="30" t="s">
        <v>12709</v>
      </c>
      <c r="B3764" s="26" t="str">
        <f t="shared" si="58"/>
        <v>002660</v>
      </c>
      <c r="C3764" s="30" t="s">
        <v>6060</v>
      </c>
      <c r="D3764" s="31">
        <v>6.95</v>
      </c>
      <c r="E3764" s="31">
        <v>-0.56999999999999995</v>
      </c>
      <c r="F3764" s="31">
        <v>1786740300</v>
      </c>
    </row>
    <row r="3765" spans="1:6" ht="15" thickBot="1" x14ac:dyDescent="0.2">
      <c r="A3765" s="30" t="s">
        <v>12710</v>
      </c>
      <c r="B3765" s="26" t="str">
        <f t="shared" si="58"/>
        <v>301093</v>
      </c>
      <c r="C3765" s="30" t="s">
        <v>12711</v>
      </c>
      <c r="D3765" s="31">
        <v>19.72</v>
      </c>
      <c r="E3765" s="31">
        <v>-0.91</v>
      </c>
      <c r="F3765" s="31">
        <v>1785965400</v>
      </c>
    </row>
    <row r="3766" spans="1:6" ht="15" thickBot="1" x14ac:dyDescent="0.2">
      <c r="A3766" s="30" t="s">
        <v>12712</v>
      </c>
      <c r="B3766" s="26" t="str">
        <f t="shared" si="58"/>
        <v>688148</v>
      </c>
      <c r="C3766" s="30" t="s">
        <v>7189</v>
      </c>
      <c r="D3766" s="31">
        <v>3.5</v>
      </c>
      <c r="E3766" s="31">
        <v>-3.58</v>
      </c>
      <c r="F3766" s="31">
        <v>1785605700</v>
      </c>
    </row>
    <row r="3767" spans="1:6" ht="15" thickBot="1" x14ac:dyDescent="0.2">
      <c r="A3767" s="30" t="s">
        <v>12713</v>
      </c>
      <c r="B3767" s="26" t="str">
        <f t="shared" si="58"/>
        <v>002893</v>
      </c>
      <c r="C3767" s="30" t="s">
        <v>6923</v>
      </c>
      <c r="D3767" s="31">
        <v>8.8000000000000007</v>
      </c>
      <c r="E3767" s="31">
        <v>9.18</v>
      </c>
      <c r="F3767" s="31">
        <v>1784451800</v>
      </c>
    </row>
    <row r="3768" spans="1:6" ht="15" thickBot="1" x14ac:dyDescent="0.2">
      <c r="A3768" s="30" t="s">
        <v>12714</v>
      </c>
      <c r="B3768" s="26" t="str">
        <f t="shared" si="58"/>
        <v>300095</v>
      </c>
      <c r="C3768" s="30" t="s">
        <v>6614</v>
      </c>
      <c r="D3768" s="31">
        <v>5.31</v>
      </c>
      <c r="E3768" s="31">
        <v>-0.38</v>
      </c>
      <c r="F3768" s="31">
        <v>1783589600</v>
      </c>
    </row>
    <row r="3769" spans="1:6" ht="15" thickBot="1" x14ac:dyDescent="0.2">
      <c r="A3769" s="30" t="s">
        <v>12715</v>
      </c>
      <c r="B3769" s="26" t="str">
        <f t="shared" si="58"/>
        <v>603192</v>
      </c>
      <c r="C3769" s="30" t="s">
        <v>7357</v>
      </c>
      <c r="D3769" s="31">
        <v>12.85</v>
      </c>
      <c r="E3769" s="31">
        <v>-1.61</v>
      </c>
      <c r="F3769" s="31">
        <v>1781866700</v>
      </c>
    </row>
    <row r="3770" spans="1:6" ht="15" thickBot="1" x14ac:dyDescent="0.2">
      <c r="A3770" s="30" t="s">
        <v>12716</v>
      </c>
      <c r="B3770" s="26" t="str">
        <f t="shared" si="58"/>
        <v>002136</v>
      </c>
      <c r="C3770" s="30" t="s">
        <v>7321</v>
      </c>
      <c r="D3770" s="31">
        <v>8.31</v>
      </c>
      <c r="E3770" s="31">
        <v>-1.77</v>
      </c>
      <c r="F3770" s="31">
        <v>1781312200</v>
      </c>
    </row>
    <row r="3771" spans="1:6" ht="15" thickBot="1" x14ac:dyDescent="0.2">
      <c r="A3771" s="30" t="s">
        <v>12717</v>
      </c>
      <c r="B3771" s="26" t="str">
        <f t="shared" si="58"/>
        <v>603909</v>
      </c>
      <c r="C3771" s="30" t="s">
        <v>7325</v>
      </c>
      <c r="D3771" s="31">
        <v>6.83</v>
      </c>
      <c r="E3771" s="31">
        <v>-2.15</v>
      </c>
      <c r="F3771" s="31">
        <v>1780397500</v>
      </c>
    </row>
    <row r="3772" spans="1:6" ht="15" thickBot="1" x14ac:dyDescent="0.2">
      <c r="A3772" s="30" t="s">
        <v>12718</v>
      </c>
      <c r="B3772" s="26" t="str">
        <f t="shared" si="58"/>
        <v>603536</v>
      </c>
      <c r="C3772" s="30" t="s">
        <v>7297</v>
      </c>
      <c r="D3772" s="31">
        <v>7.27</v>
      </c>
      <c r="E3772" s="31">
        <v>-0.14000000000000001</v>
      </c>
      <c r="F3772" s="31">
        <v>1778549500</v>
      </c>
    </row>
    <row r="3773" spans="1:6" ht="15" thickBot="1" x14ac:dyDescent="0.2">
      <c r="A3773" s="30" t="s">
        <v>12719</v>
      </c>
      <c r="B3773" s="26" t="str">
        <f t="shared" si="58"/>
        <v>301325</v>
      </c>
      <c r="C3773" s="30" t="s">
        <v>12720</v>
      </c>
      <c r="D3773" s="31">
        <v>30.7</v>
      </c>
      <c r="E3773" s="31">
        <v>-1.89</v>
      </c>
      <c r="F3773" s="31">
        <v>1777367300</v>
      </c>
    </row>
    <row r="3774" spans="1:6" ht="15" thickBot="1" x14ac:dyDescent="0.2">
      <c r="A3774" s="30" t="s">
        <v>12721</v>
      </c>
      <c r="B3774" s="26" t="str">
        <f t="shared" si="58"/>
        <v>000892</v>
      </c>
      <c r="C3774" s="30" t="s">
        <v>6286</v>
      </c>
      <c r="D3774" s="31">
        <v>2.5</v>
      </c>
      <c r="E3774" s="31">
        <v>-4.22</v>
      </c>
      <c r="F3774" s="31">
        <v>1777091100</v>
      </c>
    </row>
    <row r="3775" spans="1:6" ht="15" thickBot="1" x14ac:dyDescent="0.2">
      <c r="A3775" s="30" t="s">
        <v>12722</v>
      </c>
      <c r="B3775" s="26" t="str">
        <f t="shared" si="58"/>
        <v>600696</v>
      </c>
      <c r="C3775" s="30" t="s">
        <v>6366</v>
      </c>
      <c r="D3775" s="31">
        <v>5.31</v>
      </c>
      <c r="E3775" s="31">
        <v>-10</v>
      </c>
      <c r="F3775" s="31">
        <v>1776032700</v>
      </c>
    </row>
    <row r="3776" spans="1:6" ht="15" thickBot="1" x14ac:dyDescent="0.2">
      <c r="A3776" s="30" t="s">
        <v>12723</v>
      </c>
      <c r="B3776" s="26" t="str">
        <f t="shared" si="58"/>
        <v>000430</v>
      </c>
      <c r="C3776" s="30" t="s">
        <v>6752</v>
      </c>
      <c r="D3776" s="31">
        <v>5.35</v>
      </c>
      <c r="E3776" s="31">
        <v>-0.93</v>
      </c>
      <c r="F3776" s="31">
        <v>1774802600</v>
      </c>
    </row>
    <row r="3777" spans="1:6" ht="15" thickBot="1" x14ac:dyDescent="0.2">
      <c r="A3777" s="30" t="s">
        <v>12724</v>
      </c>
      <c r="B3777" s="26" t="str">
        <f t="shared" si="58"/>
        <v>300518</v>
      </c>
      <c r="C3777" s="30" t="s">
        <v>7335</v>
      </c>
      <c r="D3777" s="31">
        <v>8.9</v>
      </c>
      <c r="E3777" s="31">
        <v>5.58</v>
      </c>
      <c r="F3777" s="31">
        <v>1774551200</v>
      </c>
    </row>
    <row r="3778" spans="1:6" ht="15" thickBot="1" x14ac:dyDescent="0.2">
      <c r="A3778" s="30" t="s">
        <v>12725</v>
      </c>
      <c r="B3778" s="26" t="str">
        <f t="shared" si="58"/>
        <v>002763</v>
      </c>
      <c r="C3778" s="30" t="s">
        <v>6392</v>
      </c>
      <c r="D3778" s="31">
        <v>5.84</v>
      </c>
      <c r="E3778" s="31">
        <v>-0.17</v>
      </c>
      <c r="F3778" s="31">
        <v>1772778400</v>
      </c>
    </row>
    <row r="3779" spans="1:6" ht="15" thickBot="1" x14ac:dyDescent="0.2">
      <c r="A3779" s="30" t="s">
        <v>12726</v>
      </c>
      <c r="B3779" s="26" t="str">
        <f t="shared" ref="B3779:B3842" si="59">LEFT(A3779,6)</f>
        <v>300941</v>
      </c>
      <c r="C3779" s="30" t="s">
        <v>5417</v>
      </c>
      <c r="D3779" s="31">
        <v>14.61</v>
      </c>
      <c r="E3779" s="31">
        <v>0.9</v>
      </c>
      <c r="F3779" s="31">
        <v>1771907900</v>
      </c>
    </row>
    <row r="3780" spans="1:6" ht="15" thickBot="1" x14ac:dyDescent="0.2">
      <c r="A3780" s="30" t="s">
        <v>12727</v>
      </c>
      <c r="B3780" s="26" t="str">
        <f t="shared" si="59"/>
        <v>002248</v>
      </c>
      <c r="C3780" s="30" t="s">
        <v>7371</v>
      </c>
      <c r="D3780" s="31">
        <v>5.76</v>
      </c>
      <c r="E3780" s="31">
        <v>-0.35</v>
      </c>
      <c r="F3780" s="31">
        <v>1771174700</v>
      </c>
    </row>
    <row r="3781" spans="1:6" ht="15" thickBot="1" x14ac:dyDescent="0.2">
      <c r="A3781" s="30" t="s">
        <v>12728</v>
      </c>
      <c r="B3781" s="26" t="str">
        <f t="shared" si="59"/>
        <v>601022</v>
      </c>
      <c r="C3781" s="30" t="s">
        <v>12729</v>
      </c>
      <c r="D3781" s="31">
        <v>7.12</v>
      </c>
      <c r="E3781" s="31">
        <v>-0.97</v>
      </c>
      <c r="F3781" s="31">
        <v>1770269300</v>
      </c>
    </row>
    <row r="3782" spans="1:6" ht="15" thickBot="1" x14ac:dyDescent="0.2">
      <c r="A3782" s="30" t="s">
        <v>12730</v>
      </c>
      <c r="B3782" s="26" t="str">
        <f t="shared" si="59"/>
        <v>688030</v>
      </c>
      <c r="C3782" s="30" t="s">
        <v>7383</v>
      </c>
      <c r="D3782" s="31">
        <v>9.82</v>
      </c>
      <c r="E3782" s="31">
        <v>-0.1</v>
      </c>
      <c r="F3782" s="31">
        <v>1769861100</v>
      </c>
    </row>
    <row r="3783" spans="1:6" ht="15" thickBot="1" x14ac:dyDescent="0.2">
      <c r="A3783" s="30" t="s">
        <v>12731</v>
      </c>
      <c r="B3783" s="26" t="str">
        <f t="shared" si="59"/>
        <v>300986</v>
      </c>
      <c r="C3783" s="30" t="s">
        <v>12732</v>
      </c>
      <c r="D3783" s="31">
        <v>7.19</v>
      </c>
      <c r="E3783" s="31">
        <v>-0.28000000000000003</v>
      </c>
      <c r="F3783" s="31">
        <v>1769794300</v>
      </c>
    </row>
    <row r="3784" spans="1:6" ht="15" thickBot="1" x14ac:dyDescent="0.2">
      <c r="A3784" s="30" t="s">
        <v>12733</v>
      </c>
      <c r="B3784" s="26" t="str">
        <f t="shared" si="59"/>
        <v>301026</v>
      </c>
      <c r="C3784" s="30" t="s">
        <v>5786</v>
      </c>
      <c r="D3784" s="31">
        <v>24.23</v>
      </c>
      <c r="E3784" s="31">
        <v>-0.21</v>
      </c>
      <c r="F3784" s="31">
        <v>1769699800</v>
      </c>
    </row>
    <row r="3785" spans="1:6" ht="15" thickBot="1" x14ac:dyDescent="0.2">
      <c r="A3785" s="30" t="s">
        <v>12734</v>
      </c>
      <c r="B3785" s="26" t="str">
        <f t="shared" si="59"/>
        <v>300940</v>
      </c>
      <c r="C3785" s="30" t="s">
        <v>5866</v>
      </c>
      <c r="D3785" s="31">
        <v>12</v>
      </c>
      <c r="E3785" s="31">
        <v>-1.48</v>
      </c>
      <c r="F3785" s="31">
        <v>1769370600</v>
      </c>
    </row>
    <row r="3786" spans="1:6" ht="15" thickBot="1" x14ac:dyDescent="0.2">
      <c r="A3786" s="30" t="s">
        <v>12735</v>
      </c>
      <c r="B3786" s="26" t="str">
        <f t="shared" si="59"/>
        <v>301013</v>
      </c>
      <c r="C3786" s="30" t="s">
        <v>6546</v>
      </c>
      <c r="D3786" s="31">
        <v>9.34</v>
      </c>
      <c r="E3786" s="31">
        <v>-2.2999999999999998</v>
      </c>
      <c r="F3786" s="31">
        <v>1767516900</v>
      </c>
    </row>
    <row r="3787" spans="1:6" ht="15" thickBot="1" x14ac:dyDescent="0.2">
      <c r="A3787" s="30" t="s">
        <v>12736</v>
      </c>
      <c r="B3787" s="26" t="str">
        <f t="shared" si="59"/>
        <v>688207</v>
      </c>
      <c r="C3787" s="30" t="s">
        <v>12737</v>
      </c>
      <c r="D3787" s="31">
        <v>9.89</v>
      </c>
      <c r="E3787" s="31">
        <v>-0.9</v>
      </c>
      <c r="F3787" s="31">
        <v>1766975000</v>
      </c>
    </row>
    <row r="3788" spans="1:6" ht="15" thickBot="1" x14ac:dyDescent="0.2">
      <c r="A3788" s="30" t="s">
        <v>12738</v>
      </c>
      <c r="B3788" s="26" t="str">
        <f t="shared" si="59"/>
        <v>002159</v>
      </c>
      <c r="C3788" s="30" t="s">
        <v>6558</v>
      </c>
      <c r="D3788" s="31">
        <v>12.75</v>
      </c>
      <c r="E3788" s="31">
        <v>-1.1599999999999999</v>
      </c>
      <c r="F3788" s="31">
        <v>1765635700</v>
      </c>
    </row>
    <row r="3789" spans="1:6" ht="15" thickBot="1" x14ac:dyDescent="0.2">
      <c r="A3789" s="30" t="s">
        <v>12739</v>
      </c>
      <c r="B3789" s="26" t="str">
        <f t="shared" si="59"/>
        <v>002729</v>
      </c>
      <c r="C3789" s="30" t="s">
        <v>7135</v>
      </c>
      <c r="D3789" s="31">
        <v>10.06</v>
      </c>
      <c r="E3789" s="31">
        <v>-1.57</v>
      </c>
      <c r="F3789" s="31">
        <v>1765164900</v>
      </c>
    </row>
    <row r="3790" spans="1:6" ht="15" thickBot="1" x14ac:dyDescent="0.2">
      <c r="A3790" s="30" t="s">
        <v>12740</v>
      </c>
      <c r="B3790" s="26" t="str">
        <f t="shared" si="59"/>
        <v>603079</v>
      </c>
      <c r="C3790" s="30" t="s">
        <v>7359</v>
      </c>
      <c r="D3790" s="31">
        <v>10.31</v>
      </c>
      <c r="E3790" s="31">
        <v>-0.77</v>
      </c>
      <c r="F3790" s="31">
        <v>1764958200</v>
      </c>
    </row>
    <row r="3791" spans="1:6" ht="15" thickBot="1" x14ac:dyDescent="0.2">
      <c r="A3791" s="30" t="s">
        <v>12741</v>
      </c>
      <c r="B3791" s="26" t="str">
        <f t="shared" si="59"/>
        <v>603797</v>
      </c>
      <c r="C3791" s="30" t="s">
        <v>7381</v>
      </c>
      <c r="D3791" s="31">
        <v>3.02</v>
      </c>
      <c r="E3791" s="31">
        <v>-1.95</v>
      </c>
      <c r="F3791" s="31">
        <v>1764144000</v>
      </c>
    </row>
    <row r="3792" spans="1:6" ht="15" thickBot="1" x14ac:dyDescent="0.2">
      <c r="A3792" s="30" t="s">
        <v>12742</v>
      </c>
      <c r="B3792" s="26" t="str">
        <f t="shared" si="59"/>
        <v>300314</v>
      </c>
      <c r="C3792" s="30" t="s">
        <v>5746</v>
      </c>
      <c r="D3792" s="31">
        <v>9.31</v>
      </c>
      <c r="E3792" s="31">
        <v>-4.12</v>
      </c>
      <c r="F3792" s="31">
        <v>1762908500</v>
      </c>
    </row>
    <row r="3793" spans="1:6" ht="15" thickBot="1" x14ac:dyDescent="0.2">
      <c r="A3793" s="30" t="s">
        <v>12743</v>
      </c>
      <c r="B3793" s="26" t="str">
        <f t="shared" si="59"/>
        <v>000985</v>
      </c>
      <c r="C3793" s="30" t="s">
        <v>7665</v>
      </c>
      <c r="D3793" s="31">
        <v>13.57</v>
      </c>
      <c r="E3793" s="31">
        <v>0.97</v>
      </c>
      <c r="F3793" s="31">
        <v>1759208000</v>
      </c>
    </row>
    <row r="3794" spans="1:6" ht="15" thickBot="1" x14ac:dyDescent="0.2">
      <c r="A3794" s="30" t="s">
        <v>12744</v>
      </c>
      <c r="B3794" s="26" t="str">
        <f t="shared" si="59"/>
        <v>002873</v>
      </c>
      <c r="C3794" s="30" t="s">
        <v>7401</v>
      </c>
      <c r="D3794" s="31">
        <v>7.85</v>
      </c>
      <c r="E3794" s="31">
        <v>-5.99</v>
      </c>
      <c r="F3794" s="31">
        <v>1758464900</v>
      </c>
    </row>
    <row r="3795" spans="1:6" ht="15" thickBot="1" x14ac:dyDescent="0.2">
      <c r="A3795" s="30" t="s">
        <v>12745</v>
      </c>
      <c r="B3795" s="26" t="str">
        <f t="shared" si="59"/>
        <v>002694</v>
      </c>
      <c r="C3795" s="30" t="s">
        <v>6250</v>
      </c>
      <c r="D3795" s="31">
        <v>3.18</v>
      </c>
      <c r="E3795" s="31">
        <v>-0.94</v>
      </c>
      <c r="F3795" s="31">
        <v>1758252300</v>
      </c>
    </row>
    <row r="3796" spans="1:6" ht="15" thickBot="1" x14ac:dyDescent="0.2">
      <c r="A3796" s="30" t="s">
        <v>12746</v>
      </c>
      <c r="B3796" s="26" t="str">
        <f t="shared" si="59"/>
        <v>600423</v>
      </c>
      <c r="C3796" s="30" t="s">
        <v>7429</v>
      </c>
      <c r="D3796" s="31">
        <v>2.2000000000000002</v>
      </c>
      <c r="E3796" s="31">
        <v>-0.9</v>
      </c>
      <c r="F3796" s="31">
        <v>1757129100</v>
      </c>
    </row>
    <row r="3797" spans="1:6" ht="15" thickBot="1" x14ac:dyDescent="0.2">
      <c r="A3797" s="30" t="s">
        <v>12747</v>
      </c>
      <c r="B3797" s="26" t="str">
        <f t="shared" si="59"/>
        <v>000565</v>
      </c>
      <c r="C3797" s="30" t="s">
        <v>7447</v>
      </c>
      <c r="D3797" s="31">
        <v>4.05</v>
      </c>
      <c r="E3797" s="31">
        <v>-0.49</v>
      </c>
      <c r="F3797" s="31">
        <v>1756048500</v>
      </c>
    </row>
    <row r="3798" spans="1:6" ht="15" thickBot="1" x14ac:dyDescent="0.2">
      <c r="A3798" s="30" t="s">
        <v>12748</v>
      </c>
      <c r="B3798" s="26" t="str">
        <f t="shared" si="59"/>
        <v>002852</v>
      </c>
      <c r="C3798" s="30" t="s">
        <v>6821</v>
      </c>
      <c r="D3798" s="31">
        <v>6.14</v>
      </c>
      <c r="E3798" s="31">
        <v>-0.97</v>
      </c>
      <c r="F3798" s="31">
        <v>1754927100</v>
      </c>
    </row>
    <row r="3799" spans="1:6" ht="15" thickBot="1" x14ac:dyDescent="0.2">
      <c r="A3799" s="30" t="s">
        <v>12749</v>
      </c>
      <c r="B3799" s="26" t="str">
        <f t="shared" si="59"/>
        <v>603685</v>
      </c>
      <c r="C3799" s="30" t="s">
        <v>7419</v>
      </c>
      <c r="D3799" s="31">
        <v>10.38</v>
      </c>
      <c r="E3799" s="31">
        <v>0.19</v>
      </c>
      <c r="F3799" s="31">
        <v>1754296900</v>
      </c>
    </row>
    <row r="3800" spans="1:6" ht="15" thickBot="1" x14ac:dyDescent="0.2">
      <c r="A3800" s="30" t="s">
        <v>12750</v>
      </c>
      <c r="B3800" s="26" t="str">
        <f t="shared" si="59"/>
        <v>002616</v>
      </c>
      <c r="C3800" s="30" t="s">
        <v>5748</v>
      </c>
      <c r="D3800" s="31">
        <v>3.73</v>
      </c>
      <c r="E3800" s="31">
        <v>-1.06</v>
      </c>
      <c r="F3800" s="31">
        <v>1753929400</v>
      </c>
    </row>
    <row r="3801" spans="1:6" ht="15" thickBot="1" x14ac:dyDescent="0.2">
      <c r="A3801" s="30" t="s">
        <v>12751</v>
      </c>
      <c r="B3801" s="26" t="str">
        <f t="shared" si="59"/>
        <v>301188</v>
      </c>
      <c r="C3801" s="30" t="s">
        <v>12752</v>
      </c>
      <c r="D3801" s="31">
        <v>11.61</v>
      </c>
      <c r="E3801" s="31">
        <v>-0.94</v>
      </c>
      <c r="F3801" s="31">
        <v>1750809600</v>
      </c>
    </row>
    <row r="3802" spans="1:6" ht="15" thickBot="1" x14ac:dyDescent="0.2">
      <c r="A3802" s="30" t="s">
        <v>12753</v>
      </c>
      <c r="B3802" s="26" t="str">
        <f t="shared" si="59"/>
        <v>300169</v>
      </c>
      <c r="C3802" s="30" t="s">
        <v>7125</v>
      </c>
      <c r="D3802" s="31">
        <v>5.8</v>
      </c>
      <c r="E3802" s="31">
        <v>-3.66</v>
      </c>
      <c r="F3802" s="31">
        <v>1750067500</v>
      </c>
    </row>
    <row r="3803" spans="1:6" ht="15" thickBot="1" x14ac:dyDescent="0.2">
      <c r="A3803" s="30" t="s">
        <v>12754</v>
      </c>
      <c r="B3803" s="26" t="str">
        <f t="shared" si="59"/>
        <v>300835</v>
      </c>
      <c r="C3803" s="30" t="s">
        <v>6056</v>
      </c>
      <c r="D3803" s="31">
        <v>21.34</v>
      </c>
      <c r="E3803" s="31">
        <v>-1.3</v>
      </c>
      <c r="F3803" s="31">
        <v>1748979800</v>
      </c>
    </row>
    <row r="3804" spans="1:6" ht="15" thickBot="1" x14ac:dyDescent="0.2">
      <c r="A3804" s="30" t="s">
        <v>12755</v>
      </c>
      <c r="B3804" s="26" t="str">
        <f t="shared" si="59"/>
        <v>300810</v>
      </c>
      <c r="C3804" s="30" t="s">
        <v>7287</v>
      </c>
      <c r="D3804" s="31">
        <v>15.33</v>
      </c>
      <c r="E3804" s="31">
        <v>-1.92</v>
      </c>
      <c r="F3804" s="31">
        <v>1747416100</v>
      </c>
    </row>
    <row r="3805" spans="1:6" ht="15" thickBot="1" x14ac:dyDescent="0.2">
      <c r="A3805" s="30" t="s">
        <v>12756</v>
      </c>
      <c r="B3805" s="26" t="str">
        <f t="shared" si="59"/>
        <v>002069</v>
      </c>
      <c r="C3805" s="30" t="s">
        <v>7397</v>
      </c>
      <c r="D3805" s="31">
        <v>2.46</v>
      </c>
      <c r="E3805" s="31">
        <v>-3.15</v>
      </c>
      <c r="F3805" s="31">
        <v>1747131800</v>
      </c>
    </row>
    <row r="3806" spans="1:6" ht="15" thickBot="1" x14ac:dyDescent="0.2">
      <c r="A3806" s="30" t="s">
        <v>12757</v>
      </c>
      <c r="B3806" s="26" t="str">
        <f t="shared" si="59"/>
        <v>688306</v>
      </c>
      <c r="C3806" s="30" t="s">
        <v>12758</v>
      </c>
      <c r="D3806" s="31">
        <v>3.73</v>
      </c>
      <c r="E3806" s="31">
        <v>0</v>
      </c>
      <c r="F3806" s="31">
        <v>1746321800</v>
      </c>
    </row>
    <row r="3807" spans="1:6" ht="15" thickBot="1" x14ac:dyDescent="0.2">
      <c r="A3807" s="30" t="s">
        <v>12759</v>
      </c>
      <c r="B3807" s="26" t="str">
        <f t="shared" si="59"/>
        <v>603336</v>
      </c>
      <c r="C3807" s="30" t="s">
        <v>7391</v>
      </c>
      <c r="D3807" s="31">
        <v>3.06</v>
      </c>
      <c r="E3807" s="31">
        <v>-1.61</v>
      </c>
      <c r="F3807" s="31">
        <v>1745373700</v>
      </c>
    </row>
    <row r="3808" spans="1:6" ht="15" thickBot="1" x14ac:dyDescent="0.2">
      <c r="A3808" s="30" t="s">
        <v>12760</v>
      </c>
      <c r="B3808" s="26" t="str">
        <f t="shared" si="59"/>
        <v>301307</v>
      </c>
      <c r="C3808" s="30" t="s">
        <v>12761</v>
      </c>
      <c r="D3808" s="31">
        <v>16.29</v>
      </c>
      <c r="E3808" s="31">
        <v>-1.1499999999999999</v>
      </c>
      <c r="F3808" s="31">
        <v>1743158000</v>
      </c>
    </row>
    <row r="3809" spans="1:6" ht="15" thickBot="1" x14ac:dyDescent="0.2">
      <c r="A3809" s="30" t="s">
        <v>12762</v>
      </c>
      <c r="B3809" s="26" t="str">
        <f t="shared" si="59"/>
        <v>603278</v>
      </c>
      <c r="C3809" s="30" t="s">
        <v>7363</v>
      </c>
      <c r="D3809" s="31">
        <v>5.0999999999999996</v>
      </c>
      <c r="E3809" s="31">
        <v>0</v>
      </c>
      <c r="F3809" s="31">
        <v>1742972900</v>
      </c>
    </row>
    <row r="3810" spans="1:6" ht="15" thickBot="1" x14ac:dyDescent="0.2">
      <c r="A3810" s="30" t="s">
        <v>12763</v>
      </c>
      <c r="B3810" s="26" t="str">
        <f t="shared" si="59"/>
        <v>300084</v>
      </c>
      <c r="C3810" s="30" t="s">
        <v>6981</v>
      </c>
      <c r="D3810" s="31">
        <v>5.1100000000000003</v>
      </c>
      <c r="E3810" s="31">
        <v>-1.73</v>
      </c>
      <c r="F3810" s="31">
        <v>1742637700</v>
      </c>
    </row>
    <row r="3811" spans="1:6" ht="15" thickBot="1" x14ac:dyDescent="0.2">
      <c r="A3811" s="30" t="s">
        <v>12764</v>
      </c>
      <c r="B3811" s="26" t="str">
        <f t="shared" si="59"/>
        <v>605180</v>
      </c>
      <c r="C3811" s="30" t="s">
        <v>12765</v>
      </c>
      <c r="D3811" s="31">
        <v>10.31</v>
      </c>
      <c r="E3811" s="31">
        <v>-1.43</v>
      </c>
      <c r="F3811" s="31">
        <v>1742390000</v>
      </c>
    </row>
    <row r="3812" spans="1:6" ht="15" thickBot="1" x14ac:dyDescent="0.2">
      <c r="A3812" s="30" t="s">
        <v>12766</v>
      </c>
      <c r="B3812" s="26" t="str">
        <f t="shared" si="59"/>
        <v>301049</v>
      </c>
      <c r="C3812" s="30" t="s">
        <v>12767</v>
      </c>
      <c r="D3812" s="31">
        <v>18.43</v>
      </c>
      <c r="E3812" s="31">
        <v>-2.0699999999999998</v>
      </c>
      <c r="F3812" s="31">
        <v>1737088900</v>
      </c>
    </row>
    <row r="3813" spans="1:6" ht="15" thickBot="1" x14ac:dyDescent="0.2">
      <c r="A3813" s="30" t="s">
        <v>12768</v>
      </c>
      <c r="B3813" s="26" t="str">
        <f t="shared" si="59"/>
        <v>605296</v>
      </c>
      <c r="C3813" s="30" t="s">
        <v>12769</v>
      </c>
      <c r="D3813" s="31">
        <v>25.14</v>
      </c>
      <c r="E3813" s="31">
        <v>-3.31</v>
      </c>
      <c r="F3813" s="31">
        <v>1735671000</v>
      </c>
    </row>
    <row r="3814" spans="1:6" ht="15" thickBot="1" x14ac:dyDescent="0.2">
      <c r="A3814" s="30" t="s">
        <v>12770</v>
      </c>
      <c r="B3814" s="26" t="str">
        <f t="shared" si="59"/>
        <v>000545</v>
      </c>
      <c r="C3814" s="30" t="s">
        <v>7179</v>
      </c>
      <c r="D3814" s="31">
        <v>1.76</v>
      </c>
      <c r="E3814" s="31">
        <v>-3.83</v>
      </c>
      <c r="F3814" s="31">
        <v>1734309400</v>
      </c>
    </row>
    <row r="3815" spans="1:6" ht="15" thickBot="1" x14ac:dyDescent="0.2">
      <c r="A3815" s="30" t="s">
        <v>12771</v>
      </c>
      <c r="B3815" s="26" t="str">
        <f t="shared" si="59"/>
        <v>601798</v>
      </c>
      <c r="C3815" s="30" t="s">
        <v>7509</v>
      </c>
      <c r="D3815" s="31">
        <v>4.8899999999999997</v>
      </c>
      <c r="E3815" s="31">
        <v>-2.4</v>
      </c>
      <c r="F3815" s="31">
        <v>1733642900</v>
      </c>
    </row>
    <row r="3816" spans="1:6" ht="15" thickBot="1" x14ac:dyDescent="0.2">
      <c r="A3816" s="30" t="s">
        <v>12772</v>
      </c>
      <c r="B3816" s="26" t="str">
        <f t="shared" si="59"/>
        <v>600272</v>
      </c>
      <c r="C3816" s="30" t="s">
        <v>7327</v>
      </c>
      <c r="D3816" s="31">
        <v>10.83</v>
      </c>
      <c r="E3816" s="31">
        <v>3.34</v>
      </c>
      <c r="F3816" s="31">
        <v>1732800000</v>
      </c>
    </row>
    <row r="3817" spans="1:6" ht="15" thickBot="1" x14ac:dyDescent="0.2">
      <c r="A3817" s="30" t="s">
        <v>12773</v>
      </c>
      <c r="B3817" s="26" t="str">
        <f t="shared" si="59"/>
        <v>300295</v>
      </c>
      <c r="C3817" s="30" t="s">
        <v>7151</v>
      </c>
      <c r="D3817" s="31">
        <v>10.34</v>
      </c>
      <c r="E3817" s="31">
        <v>4.0199999999999996</v>
      </c>
      <c r="F3817" s="31">
        <v>1732452800</v>
      </c>
    </row>
    <row r="3818" spans="1:6" ht="15" thickBot="1" x14ac:dyDescent="0.2">
      <c r="A3818" s="30" t="s">
        <v>12774</v>
      </c>
      <c r="B3818" s="26" t="str">
        <f t="shared" si="59"/>
        <v>001314</v>
      </c>
      <c r="C3818" s="30" t="s">
        <v>12775</v>
      </c>
      <c r="D3818" s="31">
        <v>33.450000000000003</v>
      </c>
      <c r="E3818" s="31">
        <v>-3.32</v>
      </c>
      <c r="F3818" s="31">
        <v>1731494200</v>
      </c>
    </row>
    <row r="3819" spans="1:6" ht="15" thickBot="1" x14ac:dyDescent="0.2">
      <c r="A3819" s="30" t="s">
        <v>12776</v>
      </c>
      <c r="B3819" s="26" t="str">
        <f t="shared" si="59"/>
        <v>300214</v>
      </c>
      <c r="C3819" s="30" t="s">
        <v>6977</v>
      </c>
      <c r="D3819" s="31">
        <v>4.29</v>
      </c>
      <c r="E3819" s="31">
        <v>-1.38</v>
      </c>
      <c r="F3819" s="31">
        <v>1731288900</v>
      </c>
    </row>
    <row r="3820" spans="1:6" ht="15" thickBot="1" x14ac:dyDescent="0.2">
      <c r="A3820" s="30" t="s">
        <v>12777</v>
      </c>
      <c r="B3820" s="26" t="str">
        <f t="shared" si="59"/>
        <v>300423</v>
      </c>
      <c r="C3820" s="30" t="s">
        <v>6090</v>
      </c>
      <c r="D3820" s="31">
        <v>5.2</v>
      </c>
      <c r="E3820" s="31">
        <v>-0.95</v>
      </c>
      <c r="F3820" s="31">
        <v>1728566200</v>
      </c>
    </row>
    <row r="3821" spans="1:6" ht="15" thickBot="1" x14ac:dyDescent="0.2">
      <c r="A3821" s="30" t="s">
        <v>12778</v>
      </c>
      <c r="B3821" s="26" t="str">
        <f t="shared" si="59"/>
        <v>300808</v>
      </c>
      <c r="C3821" s="30" t="s">
        <v>6216</v>
      </c>
      <c r="D3821" s="31">
        <v>16.43</v>
      </c>
      <c r="E3821" s="31">
        <v>0.61</v>
      </c>
      <c r="F3821" s="31">
        <v>1728426800</v>
      </c>
    </row>
    <row r="3822" spans="1:6" ht="15" thickBot="1" x14ac:dyDescent="0.2">
      <c r="A3822" s="30" t="s">
        <v>12779</v>
      </c>
      <c r="B3822" s="26" t="str">
        <f t="shared" si="59"/>
        <v>300795</v>
      </c>
      <c r="C3822" s="30" t="s">
        <v>5395</v>
      </c>
      <c r="D3822" s="31">
        <v>12.98</v>
      </c>
      <c r="E3822" s="31">
        <v>-0.31</v>
      </c>
      <c r="F3822" s="31">
        <v>1727088000</v>
      </c>
    </row>
    <row r="3823" spans="1:6" ht="15" thickBot="1" x14ac:dyDescent="0.2">
      <c r="A3823" s="30" t="s">
        <v>12780</v>
      </c>
      <c r="B3823" s="26" t="str">
        <f t="shared" si="59"/>
        <v>605336</v>
      </c>
      <c r="C3823" s="30" t="s">
        <v>7389</v>
      </c>
      <c r="D3823" s="31">
        <v>9.4</v>
      </c>
      <c r="E3823" s="31">
        <v>-1.67</v>
      </c>
      <c r="F3823" s="31">
        <v>1724077000</v>
      </c>
    </row>
    <row r="3824" spans="1:6" ht="15" thickBot="1" x14ac:dyDescent="0.2">
      <c r="A3824" s="30" t="s">
        <v>12781</v>
      </c>
      <c r="B3824" s="26" t="str">
        <f t="shared" si="59"/>
        <v>600678</v>
      </c>
      <c r="C3824" s="30" t="s">
        <v>7473</v>
      </c>
      <c r="D3824" s="31">
        <v>4.9400000000000004</v>
      </c>
      <c r="E3824" s="31">
        <v>0.2</v>
      </c>
      <c r="F3824" s="31">
        <v>1724010600</v>
      </c>
    </row>
    <row r="3825" spans="1:6" ht="15" thickBot="1" x14ac:dyDescent="0.2">
      <c r="A3825" s="30" t="s">
        <v>12782</v>
      </c>
      <c r="B3825" s="26" t="str">
        <f t="shared" si="59"/>
        <v>300701</v>
      </c>
      <c r="C3825" s="30" t="s">
        <v>6855</v>
      </c>
      <c r="D3825" s="31">
        <v>7.15</v>
      </c>
      <c r="E3825" s="31">
        <v>-3.12</v>
      </c>
      <c r="F3825" s="31">
        <v>1722009600</v>
      </c>
    </row>
    <row r="3826" spans="1:6" ht="15" thickBot="1" x14ac:dyDescent="0.2">
      <c r="A3826" s="30" t="s">
        <v>12783</v>
      </c>
      <c r="B3826" s="26" t="str">
        <f t="shared" si="59"/>
        <v>603110</v>
      </c>
      <c r="C3826" s="30" t="s">
        <v>7331</v>
      </c>
      <c r="D3826" s="31">
        <v>8.5500000000000007</v>
      </c>
      <c r="E3826" s="31">
        <v>-1.84</v>
      </c>
      <c r="F3826" s="31">
        <v>1720488600</v>
      </c>
    </row>
    <row r="3827" spans="1:6" ht="15" thickBot="1" x14ac:dyDescent="0.2">
      <c r="A3827" s="30" t="s">
        <v>12784</v>
      </c>
      <c r="B3827" s="26" t="str">
        <f t="shared" si="59"/>
        <v>603682</v>
      </c>
      <c r="C3827" s="30" t="s">
        <v>7513</v>
      </c>
      <c r="D3827" s="31">
        <v>3.64</v>
      </c>
      <c r="E3827" s="31">
        <v>-0.55000000000000004</v>
      </c>
      <c r="F3827" s="31">
        <v>1719900000</v>
      </c>
    </row>
    <row r="3828" spans="1:6" ht="15" thickBot="1" x14ac:dyDescent="0.2">
      <c r="A3828" s="30" t="s">
        <v>12785</v>
      </c>
      <c r="B3828" s="26" t="str">
        <f t="shared" si="59"/>
        <v>300801</v>
      </c>
      <c r="C3828" s="30" t="s">
        <v>5683</v>
      </c>
      <c r="D3828" s="31">
        <v>12.82</v>
      </c>
      <c r="E3828" s="31">
        <v>0.47</v>
      </c>
      <c r="F3828" s="31">
        <v>1718971000</v>
      </c>
    </row>
    <row r="3829" spans="1:6" ht="15" thickBot="1" x14ac:dyDescent="0.2">
      <c r="A3829" s="30" t="s">
        <v>12786</v>
      </c>
      <c r="B3829" s="26" t="str">
        <f t="shared" si="59"/>
        <v>300483</v>
      </c>
      <c r="C3829" s="30" t="s">
        <v>7303</v>
      </c>
      <c r="D3829" s="31">
        <v>6.57</v>
      </c>
      <c r="E3829" s="31">
        <v>-2.23</v>
      </c>
      <c r="F3829" s="31">
        <v>1718193600</v>
      </c>
    </row>
    <row r="3830" spans="1:6" ht="15" thickBot="1" x14ac:dyDescent="0.2">
      <c r="A3830" s="30" t="s">
        <v>12787</v>
      </c>
      <c r="B3830" s="26" t="str">
        <f t="shared" si="59"/>
        <v>300898</v>
      </c>
      <c r="C3830" s="30" t="s">
        <v>7121</v>
      </c>
      <c r="D3830" s="31">
        <v>14.97</v>
      </c>
      <c r="E3830" s="31">
        <v>-2.2200000000000002</v>
      </c>
      <c r="F3830" s="31">
        <v>1717578300</v>
      </c>
    </row>
    <row r="3831" spans="1:6" ht="15" thickBot="1" x14ac:dyDescent="0.2">
      <c r="A3831" s="30" t="s">
        <v>12788</v>
      </c>
      <c r="B3831" s="26" t="str">
        <f t="shared" si="59"/>
        <v>688257</v>
      </c>
      <c r="C3831" s="30" t="s">
        <v>12789</v>
      </c>
      <c r="D3831" s="31">
        <v>12.93</v>
      </c>
      <c r="E3831" s="31">
        <v>0.31</v>
      </c>
      <c r="F3831" s="31">
        <v>1716119300</v>
      </c>
    </row>
    <row r="3832" spans="1:6" ht="15" thickBot="1" x14ac:dyDescent="0.2">
      <c r="A3832" s="30" t="s">
        <v>12790</v>
      </c>
      <c r="B3832" s="26" t="str">
        <f t="shared" si="59"/>
        <v>603028</v>
      </c>
      <c r="C3832" s="30" t="s">
        <v>7531</v>
      </c>
      <c r="D3832" s="31">
        <v>5.97</v>
      </c>
      <c r="E3832" s="31">
        <v>-1.81</v>
      </c>
      <c r="F3832" s="31">
        <v>1713628800</v>
      </c>
    </row>
    <row r="3833" spans="1:6" ht="15" thickBot="1" x14ac:dyDescent="0.2">
      <c r="A3833" s="30" t="s">
        <v>12791</v>
      </c>
      <c r="B3833" s="26" t="str">
        <f t="shared" si="59"/>
        <v>003007</v>
      </c>
      <c r="C3833" s="30" t="s">
        <v>6300</v>
      </c>
      <c r="D3833" s="31">
        <v>23.18</v>
      </c>
      <c r="E3833" s="31">
        <v>-0.9</v>
      </c>
      <c r="F3833" s="31">
        <v>1712870100</v>
      </c>
    </row>
    <row r="3834" spans="1:6" ht="15" thickBot="1" x14ac:dyDescent="0.2">
      <c r="A3834" s="30" t="s">
        <v>12792</v>
      </c>
      <c r="B3834" s="26" t="str">
        <f t="shared" si="59"/>
        <v>603656</v>
      </c>
      <c r="C3834" s="30" t="s">
        <v>7403</v>
      </c>
      <c r="D3834" s="31">
        <v>9.34</v>
      </c>
      <c r="E3834" s="31">
        <v>-0.64</v>
      </c>
      <c r="F3834" s="31">
        <v>1712725800</v>
      </c>
    </row>
    <row r="3835" spans="1:6" ht="15" thickBot="1" x14ac:dyDescent="0.2">
      <c r="A3835" s="30" t="s">
        <v>12793</v>
      </c>
      <c r="B3835" s="26" t="str">
        <f t="shared" si="59"/>
        <v>300281</v>
      </c>
      <c r="C3835" s="30" t="s">
        <v>7257</v>
      </c>
      <c r="D3835" s="31">
        <v>4.3099999999999996</v>
      </c>
      <c r="E3835" s="31">
        <v>-1.37</v>
      </c>
      <c r="F3835" s="31">
        <v>1712474700</v>
      </c>
    </row>
    <row r="3836" spans="1:6" ht="15" thickBot="1" x14ac:dyDescent="0.2">
      <c r="A3836" s="30" t="s">
        <v>12794</v>
      </c>
      <c r="B3836" s="26" t="str">
        <f t="shared" si="59"/>
        <v>002347</v>
      </c>
      <c r="C3836" s="30" t="s">
        <v>7361</v>
      </c>
      <c r="D3836" s="31">
        <v>3.47</v>
      </c>
      <c r="E3836" s="31">
        <v>-0.86</v>
      </c>
      <c r="F3836" s="31">
        <v>1712038700</v>
      </c>
    </row>
    <row r="3837" spans="1:6" ht="15" thickBot="1" x14ac:dyDescent="0.2">
      <c r="A3837" s="30" t="s">
        <v>12795</v>
      </c>
      <c r="B3837" s="26" t="str">
        <f t="shared" si="59"/>
        <v>603860</v>
      </c>
      <c r="C3837" s="30" t="s">
        <v>7613</v>
      </c>
      <c r="D3837" s="31">
        <v>25.65</v>
      </c>
      <c r="E3837" s="31">
        <v>0.71</v>
      </c>
      <c r="F3837" s="31">
        <v>1710342000</v>
      </c>
    </row>
    <row r="3838" spans="1:6" ht="15" thickBot="1" x14ac:dyDescent="0.2">
      <c r="A3838" s="30" t="s">
        <v>12796</v>
      </c>
      <c r="B3838" s="26" t="str">
        <f t="shared" si="59"/>
        <v>002329</v>
      </c>
      <c r="C3838" s="30" t="s">
        <v>6534</v>
      </c>
      <c r="D3838" s="31">
        <v>2.59</v>
      </c>
      <c r="E3838" s="31">
        <v>-2.63</v>
      </c>
      <c r="F3838" s="31">
        <v>1706969600</v>
      </c>
    </row>
    <row r="3839" spans="1:6" ht="15" thickBot="1" x14ac:dyDescent="0.2">
      <c r="A3839" s="30" t="s">
        <v>12797</v>
      </c>
      <c r="B3839" s="26" t="str">
        <f t="shared" si="59"/>
        <v>000635</v>
      </c>
      <c r="C3839" s="30" t="s">
        <v>7479</v>
      </c>
      <c r="D3839" s="31">
        <v>5.63</v>
      </c>
      <c r="E3839" s="31">
        <v>-1.92</v>
      </c>
      <c r="F3839" s="31">
        <v>1706383200</v>
      </c>
    </row>
    <row r="3840" spans="1:6" ht="15" thickBot="1" x14ac:dyDescent="0.2">
      <c r="A3840" s="30" t="s">
        <v>12798</v>
      </c>
      <c r="B3840" s="26" t="str">
        <f t="shared" si="59"/>
        <v>300645</v>
      </c>
      <c r="C3840" s="30" t="s">
        <v>7553</v>
      </c>
      <c r="D3840" s="31">
        <v>12.01</v>
      </c>
      <c r="E3840" s="31">
        <v>-1.1499999999999999</v>
      </c>
      <c r="F3840" s="31">
        <v>1706198500</v>
      </c>
    </row>
    <row r="3841" spans="1:6" ht="15" thickBot="1" x14ac:dyDescent="0.2">
      <c r="A3841" s="30" t="s">
        <v>12799</v>
      </c>
      <c r="B3841" s="26" t="str">
        <f t="shared" si="59"/>
        <v>688221</v>
      </c>
      <c r="C3841" s="30" t="s">
        <v>7417</v>
      </c>
      <c r="D3841" s="31">
        <v>4.55</v>
      </c>
      <c r="E3841" s="31">
        <v>-2.99</v>
      </c>
      <c r="F3841" s="31">
        <v>1704332900</v>
      </c>
    </row>
    <row r="3842" spans="1:6" ht="15" thickBot="1" x14ac:dyDescent="0.2">
      <c r="A3842" s="30" t="s">
        <v>12800</v>
      </c>
      <c r="B3842" s="26" t="str">
        <f t="shared" si="59"/>
        <v>002054</v>
      </c>
      <c r="C3842" s="30" t="s">
        <v>6807</v>
      </c>
      <c r="D3842" s="31">
        <v>4.45</v>
      </c>
      <c r="E3842" s="31">
        <v>-0.89</v>
      </c>
      <c r="F3842" s="31">
        <v>1703630800</v>
      </c>
    </row>
    <row r="3843" spans="1:6" ht="15" thickBot="1" x14ac:dyDescent="0.2">
      <c r="A3843" s="30" t="s">
        <v>12801</v>
      </c>
      <c r="B3843" s="26" t="str">
        <f t="shared" ref="B3843:B3906" si="60">LEFT(A3843,6)</f>
        <v>603968</v>
      </c>
      <c r="C3843" s="30" t="s">
        <v>7241</v>
      </c>
      <c r="D3843" s="31">
        <v>8.33</v>
      </c>
      <c r="E3843" s="31">
        <v>-3.7</v>
      </c>
      <c r="F3843" s="31">
        <v>1703318400</v>
      </c>
    </row>
    <row r="3844" spans="1:6" ht="15" thickBot="1" x14ac:dyDescent="0.2">
      <c r="A3844" s="30" t="s">
        <v>12802</v>
      </c>
      <c r="B3844" s="26" t="str">
        <f t="shared" si="60"/>
        <v>300485</v>
      </c>
      <c r="C3844" s="30" t="s">
        <v>5421</v>
      </c>
      <c r="D3844" s="31">
        <v>6.22</v>
      </c>
      <c r="E3844" s="31">
        <v>-1.74</v>
      </c>
      <c r="F3844" s="31">
        <v>1703142900</v>
      </c>
    </row>
    <row r="3845" spans="1:6" ht="15" thickBot="1" x14ac:dyDescent="0.2">
      <c r="A3845" s="30" t="s">
        <v>12803</v>
      </c>
      <c r="B3845" s="26" t="str">
        <f t="shared" si="60"/>
        <v>002868</v>
      </c>
      <c r="C3845" s="30" t="s">
        <v>7311</v>
      </c>
      <c r="D3845" s="31">
        <v>11.14</v>
      </c>
      <c r="E3845" s="31">
        <v>-3.97</v>
      </c>
      <c r="F3845" s="31">
        <v>1702933800</v>
      </c>
    </row>
    <row r="3846" spans="1:6" ht="15" thickBot="1" x14ac:dyDescent="0.2">
      <c r="A3846" s="30" t="s">
        <v>12804</v>
      </c>
      <c r="B3846" s="26" t="str">
        <f t="shared" si="60"/>
        <v>603895</v>
      </c>
      <c r="C3846" s="30" t="s">
        <v>7399</v>
      </c>
      <c r="D3846" s="31">
        <v>15.75</v>
      </c>
      <c r="E3846" s="31">
        <v>-1.01</v>
      </c>
      <c r="F3846" s="31">
        <v>1702260000</v>
      </c>
    </row>
    <row r="3847" spans="1:6" ht="15" thickBot="1" x14ac:dyDescent="0.2">
      <c r="A3847" s="30" t="s">
        <v>12805</v>
      </c>
      <c r="B3847" s="26" t="str">
        <f t="shared" si="60"/>
        <v>300826</v>
      </c>
      <c r="C3847" s="30" t="s">
        <v>7305</v>
      </c>
      <c r="D3847" s="31">
        <v>11.18</v>
      </c>
      <c r="E3847" s="31">
        <v>-2.36</v>
      </c>
      <c r="F3847" s="31">
        <v>1701244600</v>
      </c>
    </row>
    <row r="3848" spans="1:6" ht="15" thickBot="1" x14ac:dyDescent="0.2">
      <c r="A3848" s="30" t="s">
        <v>12806</v>
      </c>
      <c r="B3848" s="26" t="str">
        <f t="shared" si="60"/>
        <v>301137</v>
      </c>
      <c r="C3848" s="30" t="s">
        <v>12807</v>
      </c>
      <c r="D3848" s="31">
        <v>16.72</v>
      </c>
      <c r="E3848" s="31">
        <v>4.24</v>
      </c>
      <c r="F3848" s="31">
        <v>1700454100</v>
      </c>
    </row>
    <row r="3849" spans="1:6" ht="15" thickBot="1" x14ac:dyDescent="0.2">
      <c r="A3849" s="30" t="s">
        <v>12808</v>
      </c>
      <c r="B3849" s="26" t="str">
        <f t="shared" si="60"/>
        <v>688539</v>
      </c>
      <c r="C3849" s="30" t="s">
        <v>12809</v>
      </c>
      <c r="D3849" s="31">
        <v>19.149999999999999</v>
      </c>
      <c r="E3849" s="31">
        <v>0.47</v>
      </c>
      <c r="F3849" s="31">
        <v>1700343800</v>
      </c>
    </row>
    <row r="3850" spans="1:6" ht="15" thickBot="1" x14ac:dyDescent="0.2">
      <c r="A3850" s="30" t="s">
        <v>12810</v>
      </c>
      <c r="B3850" s="26" t="str">
        <f t="shared" si="60"/>
        <v>002319</v>
      </c>
      <c r="C3850" s="30" t="s">
        <v>7385</v>
      </c>
      <c r="D3850" s="31">
        <v>8.5</v>
      </c>
      <c r="E3850" s="31">
        <v>-4.49</v>
      </c>
      <c r="F3850" s="31">
        <v>1700000000</v>
      </c>
    </row>
    <row r="3851" spans="1:6" ht="15" thickBot="1" x14ac:dyDescent="0.2">
      <c r="A3851" s="30" t="s">
        <v>12811</v>
      </c>
      <c r="B3851" s="26" t="str">
        <f t="shared" si="60"/>
        <v>300254</v>
      </c>
      <c r="C3851" s="30" t="s">
        <v>7127</v>
      </c>
      <c r="D3851" s="31">
        <v>7.55</v>
      </c>
      <c r="E3851" s="31">
        <v>-2.83</v>
      </c>
      <c r="F3851" s="31">
        <v>1698913000</v>
      </c>
    </row>
    <row r="3852" spans="1:6" ht="15" thickBot="1" x14ac:dyDescent="0.2">
      <c r="A3852" s="30" t="s">
        <v>12812</v>
      </c>
      <c r="B3852" s="26" t="str">
        <f t="shared" si="60"/>
        <v>600097</v>
      </c>
      <c r="C3852" s="30" t="s">
        <v>7505</v>
      </c>
      <c r="D3852" s="31">
        <v>7.05</v>
      </c>
      <c r="E3852" s="31">
        <v>-1.67</v>
      </c>
      <c r="F3852" s="31">
        <v>1698602700</v>
      </c>
    </row>
    <row r="3853" spans="1:6" ht="15" thickBot="1" x14ac:dyDescent="0.2">
      <c r="A3853" s="30" t="s">
        <v>12813</v>
      </c>
      <c r="B3853" s="26" t="str">
        <f t="shared" si="60"/>
        <v>688386</v>
      </c>
      <c r="C3853" s="30" t="s">
        <v>7443</v>
      </c>
      <c r="D3853" s="31">
        <v>24.24</v>
      </c>
      <c r="E3853" s="31">
        <v>-3.04</v>
      </c>
      <c r="F3853" s="31">
        <v>1696800000</v>
      </c>
    </row>
    <row r="3854" spans="1:6" ht="15" thickBot="1" x14ac:dyDescent="0.2">
      <c r="A3854" s="30" t="s">
        <v>12814</v>
      </c>
      <c r="B3854" s="26" t="str">
        <f t="shared" si="60"/>
        <v>002272</v>
      </c>
      <c r="C3854" s="30" t="s">
        <v>6688</v>
      </c>
      <c r="D3854" s="31">
        <v>4.47</v>
      </c>
      <c r="E3854" s="31">
        <v>-0.67</v>
      </c>
      <c r="F3854" s="31">
        <v>1696692900</v>
      </c>
    </row>
    <row r="3855" spans="1:6" ht="15" thickBot="1" x14ac:dyDescent="0.2">
      <c r="A3855" s="30" t="s">
        <v>12815</v>
      </c>
      <c r="B3855" s="26" t="str">
        <f t="shared" si="60"/>
        <v>300787</v>
      </c>
      <c r="C3855" s="30" t="s">
        <v>5768</v>
      </c>
      <c r="D3855" s="31">
        <v>10.49</v>
      </c>
      <c r="E3855" s="31">
        <v>-3.67</v>
      </c>
      <c r="F3855" s="31">
        <v>1694172600</v>
      </c>
    </row>
    <row r="3856" spans="1:6" ht="15" thickBot="1" x14ac:dyDescent="0.2">
      <c r="A3856" s="30" t="s">
        <v>12816</v>
      </c>
      <c r="B3856" s="26" t="str">
        <f t="shared" si="60"/>
        <v>002012</v>
      </c>
      <c r="C3856" s="30" t="s">
        <v>7591</v>
      </c>
      <c r="D3856" s="31">
        <v>3.63</v>
      </c>
      <c r="E3856" s="31">
        <v>-0.82</v>
      </c>
      <c r="F3856" s="31">
        <v>1693531600</v>
      </c>
    </row>
    <row r="3857" spans="1:6" ht="15" thickBot="1" x14ac:dyDescent="0.2">
      <c r="A3857" s="30" t="s">
        <v>12817</v>
      </c>
      <c r="B3857" s="26" t="str">
        <f t="shared" si="60"/>
        <v>002524</v>
      </c>
      <c r="C3857" s="30" t="s">
        <v>7407</v>
      </c>
      <c r="D3857" s="31">
        <v>3.33</v>
      </c>
      <c r="E3857" s="31">
        <v>-2.35</v>
      </c>
      <c r="F3857" s="31">
        <v>1692637100</v>
      </c>
    </row>
    <row r="3858" spans="1:6" ht="15" thickBot="1" x14ac:dyDescent="0.2">
      <c r="A3858" s="30" t="s">
        <v>12818</v>
      </c>
      <c r="B3858" s="26" t="str">
        <f t="shared" si="60"/>
        <v>603926</v>
      </c>
      <c r="C3858" s="30" t="s">
        <v>7355</v>
      </c>
      <c r="D3858" s="31">
        <v>7.37</v>
      </c>
      <c r="E3858" s="31">
        <v>-1.21</v>
      </c>
      <c r="F3858" s="31">
        <v>1691654800</v>
      </c>
    </row>
    <row r="3859" spans="1:6" ht="15" thickBot="1" x14ac:dyDescent="0.2">
      <c r="A3859" s="30" t="s">
        <v>12819</v>
      </c>
      <c r="B3859" s="26" t="str">
        <f t="shared" si="60"/>
        <v>603321</v>
      </c>
      <c r="C3859" s="30" t="s">
        <v>7449</v>
      </c>
      <c r="D3859" s="31">
        <v>5.51</v>
      </c>
      <c r="E3859" s="31">
        <v>-1.61</v>
      </c>
      <c r="F3859" s="31">
        <v>1691570000</v>
      </c>
    </row>
    <row r="3860" spans="1:6" ht="15" thickBot="1" x14ac:dyDescent="0.2">
      <c r="A3860" s="30" t="s">
        <v>12820</v>
      </c>
      <c r="B3860" s="26" t="str">
        <f t="shared" si="60"/>
        <v>603286</v>
      </c>
      <c r="C3860" s="30" t="s">
        <v>7393</v>
      </c>
      <c r="D3860" s="31">
        <v>14.79</v>
      </c>
      <c r="E3860" s="31">
        <v>7.0000000000000007E-2</v>
      </c>
      <c r="F3860" s="31">
        <v>1690555100</v>
      </c>
    </row>
    <row r="3861" spans="1:6" ht="15" thickBot="1" x14ac:dyDescent="0.2">
      <c r="A3861" s="30" t="s">
        <v>12821</v>
      </c>
      <c r="B3861" s="26" t="str">
        <f t="shared" si="60"/>
        <v>688512</v>
      </c>
      <c r="C3861" s="30" t="s">
        <v>12822</v>
      </c>
      <c r="D3861" s="31">
        <v>6.28</v>
      </c>
      <c r="E3861" s="31">
        <v>-1.41</v>
      </c>
      <c r="F3861" s="31">
        <v>1688915100</v>
      </c>
    </row>
    <row r="3862" spans="1:6" ht="15" thickBot="1" x14ac:dyDescent="0.2">
      <c r="A3862" s="30" t="s">
        <v>12823</v>
      </c>
      <c r="B3862" s="26" t="str">
        <f t="shared" si="60"/>
        <v>600241</v>
      </c>
      <c r="C3862" s="30" t="s">
        <v>7499</v>
      </c>
      <c r="D3862" s="31">
        <v>5.73</v>
      </c>
      <c r="E3862" s="31">
        <v>-3.7</v>
      </c>
      <c r="F3862" s="31">
        <v>1686351100</v>
      </c>
    </row>
    <row r="3863" spans="1:6" ht="15" thickBot="1" x14ac:dyDescent="0.2">
      <c r="A3863" s="30" t="s">
        <v>12824</v>
      </c>
      <c r="B3863" s="26" t="str">
        <f t="shared" si="60"/>
        <v>603819</v>
      </c>
      <c r="C3863" s="30" t="s">
        <v>7511</v>
      </c>
      <c r="D3863" s="31">
        <v>7.74</v>
      </c>
      <c r="E3863" s="31">
        <v>-1.65</v>
      </c>
      <c r="F3863" s="31">
        <v>1685231600</v>
      </c>
    </row>
    <row r="3864" spans="1:6" ht="15" thickBot="1" x14ac:dyDescent="0.2">
      <c r="A3864" s="30" t="s">
        <v>12825</v>
      </c>
      <c r="B3864" s="26" t="str">
        <f t="shared" si="60"/>
        <v>301285</v>
      </c>
      <c r="C3864" s="30" t="s">
        <v>12826</v>
      </c>
      <c r="D3864" s="31">
        <v>21.41</v>
      </c>
      <c r="E3864" s="31">
        <v>-1.34</v>
      </c>
      <c r="F3864" s="31">
        <v>1685177000</v>
      </c>
    </row>
    <row r="3865" spans="1:6" ht="15" thickBot="1" x14ac:dyDescent="0.2">
      <c r="A3865" s="30" t="s">
        <v>12827</v>
      </c>
      <c r="B3865" s="26" t="str">
        <f t="shared" si="60"/>
        <v>300960</v>
      </c>
      <c r="C3865" s="30" t="s">
        <v>7215</v>
      </c>
      <c r="D3865" s="31">
        <v>18.12</v>
      </c>
      <c r="E3865" s="31">
        <v>0.84</v>
      </c>
      <c r="F3865" s="31">
        <v>1684696000</v>
      </c>
    </row>
    <row r="3866" spans="1:6" ht="15" thickBot="1" x14ac:dyDescent="0.2">
      <c r="A3866" s="30" t="s">
        <v>12828</v>
      </c>
      <c r="B3866" s="26" t="str">
        <f t="shared" si="60"/>
        <v>301322</v>
      </c>
      <c r="C3866" s="30" t="s">
        <v>12829</v>
      </c>
      <c r="D3866" s="31">
        <v>17.3</v>
      </c>
      <c r="E3866" s="31">
        <v>-1.59</v>
      </c>
      <c r="F3866" s="31">
        <v>1683596200</v>
      </c>
    </row>
    <row r="3867" spans="1:6" ht="15" thickBot="1" x14ac:dyDescent="0.2">
      <c r="A3867" s="30" t="s">
        <v>12830</v>
      </c>
      <c r="B3867" s="26" t="str">
        <f t="shared" si="60"/>
        <v>688119</v>
      </c>
      <c r="C3867" s="30" t="s">
        <v>12831</v>
      </c>
      <c r="D3867" s="31">
        <v>2.94</v>
      </c>
      <c r="E3867" s="31">
        <v>-1.34</v>
      </c>
      <c r="F3867" s="31">
        <v>1680210000</v>
      </c>
    </row>
    <row r="3868" spans="1:6" ht="15" thickBot="1" x14ac:dyDescent="0.2">
      <c r="A3868" s="30" t="s">
        <v>12832</v>
      </c>
      <c r="B3868" s="26" t="str">
        <f t="shared" si="60"/>
        <v>603843</v>
      </c>
      <c r="C3868" s="30" t="s">
        <v>7545</v>
      </c>
      <c r="D3868" s="31">
        <v>2.4</v>
      </c>
      <c r="E3868" s="31">
        <v>-3.23</v>
      </c>
      <c r="F3868" s="31">
        <v>1679095800</v>
      </c>
    </row>
    <row r="3869" spans="1:6" ht="15" thickBot="1" x14ac:dyDescent="0.2">
      <c r="A3869" s="30" t="s">
        <v>12833</v>
      </c>
      <c r="B3869" s="26" t="str">
        <f t="shared" si="60"/>
        <v>002975</v>
      </c>
      <c r="C3869" s="30" t="s">
        <v>4950</v>
      </c>
      <c r="D3869" s="31">
        <v>23.54</v>
      </c>
      <c r="E3869" s="31">
        <v>-0.42</v>
      </c>
      <c r="F3869" s="31">
        <v>1678897300</v>
      </c>
    </row>
    <row r="3870" spans="1:6" ht="15" thickBot="1" x14ac:dyDescent="0.2">
      <c r="A3870" s="30" t="s">
        <v>12834</v>
      </c>
      <c r="B3870" s="26" t="str">
        <f t="shared" si="60"/>
        <v>002864</v>
      </c>
      <c r="C3870" s="30" t="s">
        <v>6290</v>
      </c>
      <c r="D3870" s="31">
        <v>22.69</v>
      </c>
      <c r="E3870" s="31">
        <v>-1.48</v>
      </c>
      <c r="F3870" s="31">
        <v>1678710000</v>
      </c>
    </row>
    <row r="3871" spans="1:6" ht="15" thickBot="1" x14ac:dyDescent="0.2">
      <c r="A3871" s="30" t="s">
        <v>12835</v>
      </c>
      <c r="B3871" s="26" t="str">
        <f t="shared" si="60"/>
        <v>603170</v>
      </c>
      <c r="C3871" s="30" t="s">
        <v>12836</v>
      </c>
      <c r="D3871" s="31">
        <v>10.57</v>
      </c>
      <c r="E3871" s="31">
        <v>-1.31</v>
      </c>
      <c r="F3871" s="31">
        <v>1678621700</v>
      </c>
    </row>
    <row r="3872" spans="1:6" ht="15" thickBot="1" x14ac:dyDescent="0.2">
      <c r="A3872" s="30" t="s">
        <v>12837</v>
      </c>
      <c r="B3872" s="26" t="str">
        <f t="shared" si="60"/>
        <v>301007</v>
      </c>
      <c r="C3872" s="30" t="s">
        <v>12838</v>
      </c>
      <c r="D3872" s="31">
        <v>11.16</v>
      </c>
      <c r="E3872" s="31">
        <v>-0.27</v>
      </c>
      <c r="F3872" s="31">
        <v>1677229000</v>
      </c>
    </row>
    <row r="3873" spans="1:6" ht="15" thickBot="1" x14ac:dyDescent="0.2">
      <c r="A3873" s="30" t="s">
        <v>12839</v>
      </c>
      <c r="B3873" s="26" t="str">
        <f t="shared" si="60"/>
        <v>301055</v>
      </c>
      <c r="C3873" s="30" t="s">
        <v>12840</v>
      </c>
      <c r="D3873" s="31">
        <v>10.75</v>
      </c>
      <c r="E3873" s="31">
        <v>-0.28000000000000003</v>
      </c>
      <c r="F3873" s="31">
        <v>1677000000</v>
      </c>
    </row>
    <row r="3874" spans="1:6" ht="15" thickBot="1" x14ac:dyDescent="0.2">
      <c r="A3874" s="30" t="s">
        <v>12841</v>
      </c>
      <c r="B3874" s="26" t="str">
        <f t="shared" si="60"/>
        <v>002999</v>
      </c>
      <c r="C3874" s="30" t="s">
        <v>7439</v>
      </c>
      <c r="D3874" s="31">
        <v>4.9000000000000004</v>
      </c>
      <c r="E3874" s="31">
        <v>-2</v>
      </c>
      <c r="F3874" s="31">
        <v>1676738600</v>
      </c>
    </row>
    <row r="3875" spans="1:6" ht="15" thickBot="1" x14ac:dyDescent="0.2">
      <c r="A3875" s="30" t="s">
        <v>12842</v>
      </c>
      <c r="B3875" s="26" t="str">
        <f t="shared" si="60"/>
        <v>600099</v>
      </c>
      <c r="C3875" s="30" t="s">
        <v>7707</v>
      </c>
      <c r="D3875" s="31">
        <v>7.65</v>
      </c>
      <c r="E3875" s="31">
        <v>2.69</v>
      </c>
      <c r="F3875" s="31">
        <v>1676268000</v>
      </c>
    </row>
    <row r="3876" spans="1:6" ht="15" thickBot="1" x14ac:dyDescent="0.2">
      <c r="A3876" s="30" t="s">
        <v>12843</v>
      </c>
      <c r="B3876" s="26" t="str">
        <f t="shared" si="60"/>
        <v>430047</v>
      </c>
      <c r="C3876" s="30" t="s">
        <v>5790</v>
      </c>
      <c r="D3876" s="31">
        <v>10.130000000000001</v>
      </c>
      <c r="E3876" s="31">
        <v>-2.0299999999999998</v>
      </c>
      <c r="F3876" s="31">
        <v>1675461800</v>
      </c>
    </row>
    <row r="3877" spans="1:6" ht="15" thickBot="1" x14ac:dyDescent="0.2">
      <c r="A3877" s="30" t="s">
        <v>12844</v>
      </c>
      <c r="B3877" s="26" t="str">
        <f t="shared" si="60"/>
        <v>603789</v>
      </c>
      <c r="C3877" s="30" t="s">
        <v>7413</v>
      </c>
      <c r="D3877" s="31">
        <v>6.44</v>
      </c>
      <c r="E3877" s="31">
        <v>-2.13</v>
      </c>
      <c r="F3877" s="31">
        <v>1674400000</v>
      </c>
    </row>
    <row r="3878" spans="1:6" ht="15" thickBot="1" x14ac:dyDescent="0.2">
      <c r="A3878" s="30" t="s">
        <v>12845</v>
      </c>
      <c r="B3878" s="26" t="str">
        <f t="shared" si="60"/>
        <v>603132</v>
      </c>
      <c r="C3878" s="30" t="s">
        <v>12846</v>
      </c>
      <c r="D3878" s="31">
        <v>10.49</v>
      </c>
      <c r="E3878" s="31">
        <v>-0.56999999999999995</v>
      </c>
      <c r="F3878" s="31">
        <v>1674204000</v>
      </c>
    </row>
    <row r="3879" spans="1:6" ht="15" thickBot="1" x14ac:dyDescent="0.2">
      <c r="A3879" s="30" t="s">
        <v>12847</v>
      </c>
      <c r="B3879" s="26" t="str">
        <f t="shared" si="60"/>
        <v>300978</v>
      </c>
      <c r="C3879" s="30" t="s">
        <v>12848</v>
      </c>
      <c r="D3879" s="31">
        <v>8.86</v>
      </c>
      <c r="E3879" s="31">
        <v>-1.1200000000000001</v>
      </c>
      <c r="F3879" s="31">
        <v>1674186300</v>
      </c>
    </row>
    <row r="3880" spans="1:6" ht="15" thickBot="1" x14ac:dyDescent="0.2">
      <c r="A3880" s="30" t="s">
        <v>12849</v>
      </c>
      <c r="B3880" s="26" t="str">
        <f t="shared" si="60"/>
        <v>600265</v>
      </c>
      <c r="C3880" s="30" t="s">
        <v>7521</v>
      </c>
      <c r="D3880" s="31">
        <v>12.87</v>
      </c>
      <c r="E3880" s="31">
        <v>-2.35</v>
      </c>
      <c r="F3880" s="31">
        <v>1670526000</v>
      </c>
    </row>
    <row r="3881" spans="1:6" ht="15" thickBot="1" x14ac:dyDescent="0.2">
      <c r="A3881" s="30" t="s">
        <v>12850</v>
      </c>
      <c r="B3881" s="26" t="str">
        <f t="shared" si="60"/>
        <v>603335</v>
      </c>
      <c r="C3881" s="30" t="s">
        <v>7503</v>
      </c>
      <c r="D3881" s="31">
        <v>3.9</v>
      </c>
      <c r="E3881" s="31">
        <v>-0.51</v>
      </c>
      <c r="F3881" s="31">
        <v>1669763900</v>
      </c>
    </row>
    <row r="3882" spans="1:6" ht="15" thickBot="1" x14ac:dyDescent="0.2">
      <c r="A3882" s="30" t="s">
        <v>12851</v>
      </c>
      <c r="B3882" s="26" t="str">
        <f t="shared" si="60"/>
        <v>688280</v>
      </c>
      <c r="C3882" s="30" t="s">
        <v>12852</v>
      </c>
      <c r="D3882" s="31">
        <v>3.63</v>
      </c>
      <c r="E3882" s="31">
        <v>-0.82</v>
      </c>
      <c r="F3882" s="31">
        <v>1668566000</v>
      </c>
    </row>
    <row r="3883" spans="1:6" ht="15" thickBot="1" x14ac:dyDescent="0.2">
      <c r="A3883" s="30" t="s">
        <v>12853</v>
      </c>
      <c r="B3883" s="26" t="str">
        <f t="shared" si="60"/>
        <v>605189</v>
      </c>
      <c r="C3883" s="30" t="s">
        <v>12854</v>
      </c>
      <c r="D3883" s="31">
        <v>11.14</v>
      </c>
      <c r="E3883" s="31">
        <v>-1.33</v>
      </c>
      <c r="F3883" s="31">
        <v>1668389800</v>
      </c>
    </row>
    <row r="3884" spans="1:6" ht="15" thickBot="1" x14ac:dyDescent="0.2">
      <c r="A3884" s="30" t="s">
        <v>12855</v>
      </c>
      <c r="B3884" s="26" t="str">
        <f t="shared" si="60"/>
        <v>300675</v>
      </c>
      <c r="C3884" s="30" t="s">
        <v>7551</v>
      </c>
      <c r="D3884" s="31">
        <v>11.37</v>
      </c>
      <c r="E3884" s="31">
        <v>-3.64</v>
      </c>
      <c r="F3884" s="31">
        <v>1667600400</v>
      </c>
    </row>
    <row r="3885" spans="1:6" ht="15" thickBot="1" x14ac:dyDescent="0.2">
      <c r="A3885" s="30" t="s">
        <v>12856</v>
      </c>
      <c r="B3885" s="26" t="str">
        <f t="shared" si="60"/>
        <v>300562</v>
      </c>
      <c r="C3885" s="30" t="s">
        <v>6436</v>
      </c>
      <c r="D3885" s="31">
        <v>10.38</v>
      </c>
      <c r="E3885" s="31">
        <v>-1.8</v>
      </c>
      <c r="F3885" s="31">
        <v>1666588300</v>
      </c>
    </row>
    <row r="3886" spans="1:6" ht="15" thickBot="1" x14ac:dyDescent="0.2">
      <c r="A3886" s="30" t="s">
        <v>12857</v>
      </c>
      <c r="B3886" s="26" t="str">
        <f t="shared" si="60"/>
        <v>603329</v>
      </c>
      <c r="C3886" s="30" t="s">
        <v>7537</v>
      </c>
      <c r="D3886" s="31">
        <v>10.49</v>
      </c>
      <c r="E3886" s="31">
        <v>-1.78</v>
      </c>
      <c r="F3886" s="31">
        <v>1665352500</v>
      </c>
    </row>
    <row r="3887" spans="1:6" ht="15" thickBot="1" x14ac:dyDescent="0.2">
      <c r="A3887" s="30" t="s">
        <v>12858</v>
      </c>
      <c r="B3887" s="26" t="str">
        <f t="shared" si="60"/>
        <v>300086</v>
      </c>
      <c r="C3887" s="30" t="s">
        <v>7441</v>
      </c>
      <c r="D3887" s="31">
        <v>3.82</v>
      </c>
      <c r="E3887" s="31">
        <v>-10.33</v>
      </c>
      <c r="F3887" s="31">
        <v>1664233100</v>
      </c>
    </row>
    <row r="3888" spans="1:6" ht="15" thickBot="1" x14ac:dyDescent="0.2">
      <c r="A3888" s="30" t="s">
        <v>12859</v>
      </c>
      <c r="B3888" s="26" t="str">
        <f t="shared" si="60"/>
        <v>301611</v>
      </c>
      <c r="C3888" s="30" t="s">
        <v>12860</v>
      </c>
      <c r="D3888" s="31">
        <v>29.49</v>
      </c>
      <c r="E3888" s="31">
        <v>2.65</v>
      </c>
      <c r="F3888" s="31">
        <v>1663180200</v>
      </c>
    </row>
    <row r="3889" spans="1:6" ht="15" thickBot="1" x14ac:dyDescent="0.2">
      <c r="A3889" s="30" t="s">
        <v>12861</v>
      </c>
      <c r="B3889" s="26" t="str">
        <f t="shared" si="60"/>
        <v>002691</v>
      </c>
      <c r="C3889" s="30" t="s">
        <v>7561</v>
      </c>
      <c r="D3889" s="31">
        <v>4.95</v>
      </c>
      <c r="E3889" s="31">
        <v>3.13</v>
      </c>
      <c r="F3889" s="31">
        <v>1663102500</v>
      </c>
    </row>
    <row r="3890" spans="1:6" ht="15" thickBot="1" x14ac:dyDescent="0.2">
      <c r="A3890" s="30" t="s">
        <v>12862</v>
      </c>
      <c r="B3890" s="26" t="str">
        <f t="shared" si="60"/>
        <v>002731</v>
      </c>
      <c r="C3890" s="30" t="s">
        <v>7111</v>
      </c>
      <c r="D3890" s="31">
        <v>7.24</v>
      </c>
      <c r="E3890" s="31">
        <v>-4.3600000000000003</v>
      </c>
      <c r="F3890" s="31">
        <v>1662712300</v>
      </c>
    </row>
    <row r="3891" spans="1:6" ht="15" thickBot="1" x14ac:dyDescent="0.2">
      <c r="A3891" s="30" t="s">
        <v>12863</v>
      </c>
      <c r="B3891" s="26" t="str">
        <f t="shared" si="60"/>
        <v>301421</v>
      </c>
      <c r="C3891" s="30" t="s">
        <v>12864</v>
      </c>
      <c r="D3891" s="31">
        <v>35.880000000000003</v>
      </c>
      <c r="E3891" s="31">
        <v>20</v>
      </c>
      <c r="F3891" s="31">
        <v>1661548400</v>
      </c>
    </row>
    <row r="3892" spans="1:6" ht="15" thickBot="1" x14ac:dyDescent="0.2">
      <c r="A3892" s="30" t="s">
        <v>12865</v>
      </c>
      <c r="B3892" s="26" t="str">
        <f t="shared" si="60"/>
        <v>688337</v>
      </c>
      <c r="C3892" s="30" t="s">
        <v>12866</v>
      </c>
      <c r="D3892" s="31">
        <v>25.27</v>
      </c>
      <c r="E3892" s="31">
        <v>-0.59</v>
      </c>
      <c r="F3892" s="31">
        <v>1661116800</v>
      </c>
    </row>
    <row r="3893" spans="1:6" ht="15" thickBot="1" x14ac:dyDescent="0.2">
      <c r="A3893" s="30" t="s">
        <v>12867</v>
      </c>
      <c r="B3893" s="26" t="str">
        <f t="shared" si="60"/>
        <v>003036</v>
      </c>
      <c r="C3893" s="30" t="s">
        <v>7669</v>
      </c>
      <c r="D3893" s="31">
        <v>7.69</v>
      </c>
      <c r="E3893" s="31">
        <v>2.13</v>
      </c>
      <c r="F3893" s="31">
        <v>1661079700</v>
      </c>
    </row>
    <row r="3894" spans="1:6" ht="15" thickBot="1" x14ac:dyDescent="0.2">
      <c r="A3894" s="30" t="s">
        <v>12868</v>
      </c>
      <c r="B3894" s="26" t="str">
        <f t="shared" si="60"/>
        <v>603839</v>
      </c>
      <c r="C3894" s="30" t="s">
        <v>7543</v>
      </c>
      <c r="D3894" s="31">
        <v>4.16</v>
      </c>
      <c r="E3894" s="31">
        <v>-1.89</v>
      </c>
      <c r="F3894" s="31">
        <v>1660722600</v>
      </c>
    </row>
    <row r="3895" spans="1:6" ht="15" thickBot="1" x14ac:dyDescent="0.2">
      <c r="A3895" s="30" t="s">
        <v>12869</v>
      </c>
      <c r="B3895" s="26" t="str">
        <f t="shared" si="60"/>
        <v>300030</v>
      </c>
      <c r="C3895" s="30" t="s">
        <v>7647</v>
      </c>
      <c r="D3895" s="31">
        <v>6.1</v>
      </c>
      <c r="E3895" s="31">
        <v>-7.99</v>
      </c>
      <c r="F3895" s="31">
        <v>1660562500</v>
      </c>
    </row>
    <row r="3896" spans="1:6" ht="15" thickBot="1" x14ac:dyDescent="0.2">
      <c r="A3896" s="30" t="s">
        <v>12870</v>
      </c>
      <c r="B3896" s="26" t="str">
        <f t="shared" si="60"/>
        <v>600444</v>
      </c>
      <c r="C3896" s="30" t="s">
        <v>7581</v>
      </c>
      <c r="D3896" s="31">
        <v>11.33</v>
      </c>
      <c r="E3896" s="31">
        <v>-1.05</v>
      </c>
      <c r="F3896" s="31">
        <v>1658960500</v>
      </c>
    </row>
    <row r="3897" spans="1:6" ht="15" thickBot="1" x14ac:dyDescent="0.2">
      <c r="A3897" s="30" t="s">
        <v>12871</v>
      </c>
      <c r="B3897" s="26" t="str">
        <f t="shared" si="60"/>
        <v>002769</v>
      </c>
      <c r="C3897" s="30" t="s">
        <v>7249</v>
      </c>
      <c r="D3897" s="31">
        <v>4.99</v>
      </c>
      <c r="E3897" s="31">
        <v>-0.99</v>
      </c>
      <c r="F3897" s="31">
        <v>1658667300</v>
      </c>
    </row>
    <row r="3898" spans="1:6" ht="15" thickBot="1" x14ac:dyDescent="0.2">
      <c r="A3898" s="30" t="s">
        <v>12872</v>
      </c>
      <c r="B3898" s="26" t="str">
        <f t="shared" si="60"/>
        <v>300419</v>
      </c>
      <c r="C3898" s="30" t="s">
        <v>7495</v>
      </c>
      <c r="D3898" s="31">
        <v>4.51</v>
      </c>
      <c r="E3898" s="31">
        <v>-1.1000000000000001</v>
      </c>
      <c r="F3898" s="31">
        <v>1658569500</v>
      </c>
    </row>
    <row r="3899" spans="1:6" ht="15" thickBot="1" x14ac:dyDescent="0.2">
      <c r="A3899" s="30" t="s">
        <v>12873</v>
      </c>
      <c r="B3899" s="26" t="str">
        <f t="shared" si="60"/>
        <v>603341</v>
      </c>
      <c r="C3899" s="30" t="s">
        <v>12874</v>
      </c>
      <c r="D3899" s="31">
        <v>34.53</v>
      </c>
      <c r="E3899" s="31">
        <v>-3.92</v>
      </c>
      <c r="F3899" s="31">
        <v>1657440000</v>
      </c>
    </row>
    <row r="3900" spans="1:6" ht="15" thickBot="1" x14ac:dyDescent="0.2">
      <c r="A3900" s="30" t="s">
        <v>12875</v>
      </c>
      <c r="B3900" s="26" t="str">
        <f t="shared" si="60"/>
        <v>603908</v>
      </c>
      <c r="C3900" s="30" t="s">
        <v>7507</v>
      </c>
      <c r="D3900" s="31">
        <v>17.75</v>
      </c>
      <c r="E3900" s="31">
        <v>-0.89</v>
      </c>
      <c r="F3900" s="31">
        <v>1657246500</v>
      </c>
    </row>
    <row r="3901" spans="1:6" ht="15" thickBot="1" x14ac:dyDescent="0.2">
      <c r="A3901" s="30" t="s">
        <v>12876</v>
      </c>
      <c r="B3901" s="26" t="str">
        <f t="shared" si="60"/>
        <v>002365</v>
      </c>
      <c r="C3901" s="30" t="s">
        <v>6993</v>
      </c>
      <c r="D3901" s="31">
        <v>6.79</v>
      </c>
      <c r="E3901" s="31">
        <v>-0.15</v>
      </c>
      <c r="F3901" s="31">
        <v>1656784200</v>
      </c>
    </row>
    <row r="3902" spans="1:6" ht="15" thickBot="1" x14ac:dyDescent="0.2">
      <c r="A3902" s="30" t="s">
        <v>12877</v>
      </c>
      <c r="B3902" s="26" t="str">
        <f t="shared" si="60"/>
        <v>600128</v>
      </c>
      <c r="C3902" s="30" t="s">
        <v>7729</v>
      </c>
      <c r="D3902" s="31">
        <v>6.7</v>
      </c>
      <c r="E3902" s="31">
        <v>1.52</v>
      </c>
      <c r="F3902" s="31">
        <v>1653342300</v>
      </c>
    </row>
    <row r="3903" spans="1:6" ht="15" thickBot="1" x14ac:dyDescent="0.2">
      <c r="A3903" s="30" t="s">
        <v>12878</v>
      </c>
      <c r="B3903" s="26" t="str">
        <f t="shared" si="60"/>
        <v>603326</v>
      </c>
      <c r="C3903" s="30" t="s">
        <v>7635</v>
      </c>
      <c r="D3903" s="31">
        <v>5.24</v>
      </c>
      <c r="E3903" s="31">
        <v>1.55</v>
      </c>
      <c r="F3903" s="31">
        <v>1653286400</v>
      </c>
    </row>
    <row r="3904" spans="1:6" ht="15" thickBot="1" x14ac:dyDescent="0.2">
      <c r="A3904" s="30" t="s">
        <v>12879</v>
      </c>
      <c r="B3904" s="26" t="str">
        <f t="shared" si="60"/>
        <v>300767</v>
      </c>
      <c r="C3904" s="30" t="s">
        <v>6949</v>
      </c>
      <c r="D3904" s="31">
        <v>7.84</v>
      </c>
      <c r="E3904" s="31">
        <v>-2.2400000000000002</v>
      </c>
      <c r="F3904" s="31">
        <v>1652908100</v>
      </c>
    </row>
    <row r="3905" spans="1:6" ht="15" thickBot="1" x14ac:dyDescent="0.2">
      <c r="A3905" s="30" t="s">
        <v>12880</v>
      </c>
      <c r="B3905" s="26" t="str">
        <f t="shared" si="60"/>
        <v>301191</v>
      </c>
      <c r="C3905" s="30" t="s">
        <v>12881</v>
      </c>
      <c r="D3905" s="31">
        <v>63.01</v>
      </c>
      <c r="E3905" s="31">
        <v>0.66</v>
      </c>
      <c r="F3905" s="31">
        <v>1650733600</v>
      </c>
    </row>
    <row r="3906" spans="1:6" ht="15" thickBot="1" x14ac:dyDescent="0.2">
      <c r="A3906" s="30" t="s">
        <v>12882</v>
      </c>
      <c r="B3906" s="26" t="str">
        <f t="shared" si="60"/>
        <v>603900</v>
      </c>
      <c r="C3906" s="30" t="s">
        <v>7589</v>
      </c>
      <c r="D3906" s="31">
        <v>4.84</v>
      </c>
      <c r="E3906" s="31">
        <v>-1.83</v>
      </c>
      <c r="F3906" s="31">
        <v>1647893400</v>
      </c>
    </row>
    <row r="3907" spans="1:6" ht="15" thickBot="1" x14ac:dyDescent="0.2">
      <c r="A3907" s="30" t="s">
        <v>12883</v>
      </c>
      <c r="B3907" s="26" t="str">
        <f t="shared" ref="B3907:B3970" si="61">LEFT(A3907,6)</f>
        <v>000952</v>
      </c>
      <c r="C3907" s="30" t="s">
        <v>7529</v>
      </c>
      <c r="D3907" s="31">
        <v>4.79</v>
      </c>
      <c r="E3907" s="31">
        <v>-3.43</v>
      </c>
      <c r="F3907" s="31">
        <v>1647700700</v>
      </c>
    </row>
    <row r="3908" spans="1:6" ht="15" thickBot="1" x14ac:dyDescent="0.2">
      <c r="A3908" s="30" t="s">
        <v>12884</v>
      </c>
      <c r="B3908" s="26" t="str">
        <f t="shared" si="61"/>
        <v>300410</v>
      </c>
      <c r="C3908" s="30" t="s">
        <v>7487</v>
      </c>
      <c r="D3908" s="31">
        <v>4.49</v>
      </c>
      <c r="E3908" s="31">
        <v>-1.54</v>
      </c>
      <c r="F3908" s="31">
        <v>1647458800</v>
      </c>
    </row>
    <row r="3909" spans="1:6" ht="15" thickBot="1" x14ac:dyDescent="0.2">
      <c r="A3909" s="30" t="s">
        <v>12885</v>
      </c>
      <c r="B3909" s="26" t="str">
        <f t="shared" si="61"/>
        <v>688323</v>
      </c>
      <c r="C3909" s="30" t="s">
        <v>7421</v>
      </c>
      <c r="D3909" s="31">
        <v>9.15</v>
      </c>
      <c r="E3909" s="31">
        <v>-2.66</v>
      </c>
      <c r="F3909" s="31">
        <v>1647002000</v>
      </c>
    </row>
    <row r="3910" spans="1:6" ht="15" thickBot="1" x14ac:dyDescent="0.2">
      <c r="A3910" s="30" t="s">
        <v>12886</v>
      </c>
      <c r="B3910" s="26" t="str">
        <f t="shared" si="61"/>
        <v>603679</v>
      </c>
      <c r="C3910" s="30" t="s">
        <v>7475</v>
      </c>
      <c r="D3910" s="31">
        <v>10.09</v>
      </c>
      <c r="E3910" s="31">
        <v>-1.66</v>
      </c>
      <c r="F3910" s="31">
        <v>1646654400</v>
      </c>
    </row>
    <row r="3911" spans="1:6" ht="15" thickBot="1" x14ac:dyDescent="0.2">
      <c r="A3911" s="30" t="s">
        <v>12887</v>
      </c>
      <c r="B3911" s="26" t="str">
        <f t="shared" si="61"/>
        <v>688080</v>
      </c>
      <c r="C3911" s="30" t="s">
        <v>7369</v>
      </c>
      <c r="D3911" s="31">
        <v>22.35</v>
      </c>
      <c r="E3911" s="31">
        <v>-6.41</v>
      </c>
      <c r="F3911" s="31">
        <v>1644994000</v>
      </c>
    </row>
    <row r="3912" spans="1:6" ht="15" thickBot="1" x14ac:dyDescent="0.2">
      <c r="A3912" s="30" t="s">
        <v>12888</v>
      </c>
      <c r="B3912" s="26" t="str">
        <f t="shared" si="61"/>
        <v>301383</v>
      </c>
      <c r="C3912" s="30" t="s">
        <v>12889</v>
      </c>
      <c r="D3912" s="31">
        <v>25.66</v>
      </c>
      <c r="E3912" s="31">
        <v>-1.76</v>
      </c>
      <c r="F3912" s="31">
        <v>1643343400</v>
      </c>
    </row>
    <row r="3913" spans="1:6" ht="15" thickBot="1" x14ac:dyDescent="0.2">
      <c r="A3913" s="30" t="s">
        <v>12890</v>
      </c>
      <c r="B3913" s="26" t="str">
        <f t="shared" si="61"/>
        <v>300932</v>
      </c>
      <c r="C3913" s="30" t="s">
        <v>6552</v>
      </c>
      <c r="D3913" s="31">
        <v>10.09</v>
      </c>
      <c r="E3913" s="31">
        <v>0.5</v>
      </c>
      <c r="F3913" s="31">
        <v>1643183900</v>
      </c>
    </row>
    <row r="3914" spans="1:6" ht="15" thickBot="1" x14ac:dyDescent="0.2">
      <c r="A3914" s="30" t="s">
        <v>12891</v>
      </c>
      <c r="B3914" s="26" t="str">
        <f t="shared" si="61"/>
        <v>000995</v>
      </c>
      <c r="C3914" s="30" t="s">
        <v>7767</v>
      </c>
      <c r="D3914" s="31">
        <v>9.26</v>
      </c>
      <c r="E3914" s="31">
        <v>3.58</v>
      </c>
      <c r="F3914" s="31">
        <v>1642798100</v>
      </c>
    </row>
    <row r="3915" spans="1:6" ht="15" thickBot="1" x14ac:dyDescent="0.2">
      <c r="A3915" s="30" t="s">
        <v>12892</v>
      </c>
      <c r="B3915" s="26" t="str">
        <f t="shared" si="61"/>
        <v>688355</v>
      </c>
      <c r="C3915" s="30" t="s">
        <v>7593</v>
      </c>
      <c r="D3915" s="31">
        <v>13.24</v>
      </c>
      <c r="E3915" s="31">
        <v>0.08</v>
      </c>
      <c r="F3915" s="31">
        <v>1641178400</v>
      </c>
    </row>
    <row r="3916" spans="1:6" ht="15" thickBot="1" x14ac:dyDescent="0.2">
      <c r="A3916" s="30" t="s">
        <v>12893</v>
      </c>
      <c r="B3916" s="26" t="str">
        <f t="shared" si="61"/>
        <v>002790</v>
      </c>
      <c r="C3916" s="30" t="s">
        <v>5948</v>
      </c>
      <c r="D3916" s="31">
        <v>6.29</v>
      </c>
      <c r="E3916" s="31">
        <v>-0.63</v>
      </c>
      <c r="F3916" s="31">
        <v>1639710600</v>
      </c>
    </row>
    <row r="3917" spans="1:6" ht="15" thickBot="1" x14ac:dyDescent="0.2">
      <c r="A3917" s="30" t="s">
        <v>12894</v>
      </c>
      <c r="B3917" s="26" t="str">
        <f t="shared" si="61"/>
        <v>688143</v>
      </c>
      <c r="C3917" s="30" t="s">
        <v>12895</v>
      </c>
      <c r="D3917" s="31">
        <v>17.600000000000001</v>
      </c>
      <c r="E3917" s="31">
        <v>4.45</v>
      </c>
      <c r="F3917" s="31">
        <v>1637939900</v>
      </c>
    </row>
    <row r="3918" spans="1:6" ht="15" thickBot="1" x14ac:dyDescent="0.2">
      <c r="A3918" s="30" t="s">
        <v>12896</v>
      </c>
      <c r="B3918" s="26" t="str">
        <f t="shared" si="61"/>
        <v>301345</v>
      </c>
      <c r="C3918" s="30" t="s">
        <v>12897</v>
      </c>
      <c r="D3918" s="31">
        <v>55.04</v>
      </c>
      <c r="E3918" s="31">
        <v>5.87</v>
      </c>
      <c r="F3918" s="31">
        <v>1634688000</v>
      </c>
    </row>
    <row r="3919" spans="1:6" ht="15" thickBot="1" x14ac:dyDescent="0.2">
      <c r="A3919" s="30" t="s">
        <v>12898</v>
      </c>
      <c r="B3919" s="26" t="str">
        <f t="shared" si="61"/>
        <v>688211</v>
      </c>
      <c r="C3919" s="30" t="s">
        <v>5108</v>
      </c>
      <c r="D3919" s="31">
        <v>25.14</v>
      </c>
      <c r="E3919" s="31">
        <v>-0.48</v>
      </c>
      <c r="F3919" s="31">
        <v>1634318700</v>
      </c>
    </row>
    <row r="3920" spans="1:6" ht="15" thickBot="1" x14ac:dyDescent="0.2">
      <c r="A3920" s="30" t="s">
        <v>12899</v>
      </c>
      <c r="B3920" s="26" t="str">
        <f t="shared" si="61"/>
        <v>603389</v>
      </c>
      <c r="C3920" s="30" t="s">
        <v>7811</v>
      </c>
      <c r="D3920" s="31">
        <v>6.22</v>
      </c>
      <c r="E3920" s="31">
        <v>2.98</v>
      </c>
      <c r="F3920" s="31">
        <v>1634317400</v>
      </c>
    </row>
    <row r="3921" spans="1:6" ht="15" thickBot="1" x14ac:dyDescent="0.2">
      <c r="A3921" s="30" t="s">
        <v>12900</v>
      </c>
      <c r="B3921" s="26" t="str">
        <f t="shared" si="61"/>
        <v>300642</v>
      </c>
      <c r="C3921" s="30" t="s">
        <v>6959</v>
      </c>
      <c r="D3921" s="31">
        <v>11.85</v>
      </c>
      <c r="E3921" s="31">
        <v>-2.71</v>
      </c>
      <c r="F3921" s="31">
        <v>1631827500</v>
      </c>
    </row>
    <row r="3922" spans="1:6" ht="15" thickBot="1" x14ac:dyDescent="0.2">
      <c r="A3922" s="30" t="s">
        <v>12901</v>
      </c>
      <c r="B3922" s="26" t="str">
        <f t="shared" si="61"/>
        <v>002492</v>
      </c>
      <c r="C3922" s="30" t="s">
        <v>7571</v>
      </c>
      <c r="D3922" s="31">
        <v>4.0999999999999996</v>
      </c>
      <c r="E3922" s="31">
        <v>-0.73</v>
      </c>
      <c r="F3922" s="31">
        <v>1631122400</v>
      </c>
    </row>
    <row r="3923" spans="1:6" ht="15" thickBot="1" x14ac:dyDescent="0.2">
      <c r="A3923" s="30" t="s">
        <v>12902</v>
      </c>
      <c r="B3923" s="26" t="str">
        <f t="shared" si="61"/>
        <v>000955</v>
      </c>
      <c r="C3923" s="30" t="s">
        <v>7615</v>
      </c>
      <c r="D3923" s="31">
        <v>3.03</v>
      </c>
      <c r="E3923" s="31">
        <v>-8.74</v>
      </c>
      <c r="F3923" s="31">
        <v>1630275800</v>
      </c>
    </row>
    <row r="3924" spans="1:6" ht="15" thickBot="1" x14ac:dyDescent="0.2">
      <c r="A3924" s="30" t="s">
        <v>12903</v>
      </c>
      <c r="B3924" s="26" t="str">
        <f t="shared" si="61"/>
        <v>603356</v>
      </c>
      <c r="C3924" s="30" t="s">
        <v>7737</v>
      </c>
      <c r="D3924" s="31">
        <v>12.22</v>
      </c>
      <c r="E3924" s="31">
        <v>8.7200000000000006</v>
      </c>
      <c r="F3924" s="31">
        <v>1629414800</v>
      </c>
    </row>
    <row r="3925" spans="1:6" ht="15" thickBot="1" x14ac:dyDescent="0.2">
      <c r="A3925" s="30" t="s">
        <v>12904</v>
      </c>
      <c r="B3925" s="26" t="str">
        <f t="shared" si="61"/>
        <v>301371</v>
      </c>
      <c r="C3925" s="30" t="s">
        <v>12905</v>
      </c>
      <c r="D3925" s="31">
        <v>27.8</v>
      </c>
      <c r="E3925" s="31">
        <v>1.83</v>
      </c>
      <c r="F3925" s="31">
        <v>1628941000</v>
      </c>
    </row>
    <row r="3926" spans="1:6" ht="15" thickBot="1" x14ac:dyDescent="0.2">
      <c r="A3926" s="30" t="s">
        <v>12906</v>
      </c>
      <c r="B3926" s="26" t="str">
        <f t="shared" si="61"/>
        <v>002835</v>
      </c>
      <c r="C3926" s="30" t="s">
        <v>5639</v>
      </c>
      <c r="D3926" s="31">
        <v>12.79</v>
      </c>
      <c r="E3926" s="31">
        <v>-0.62</v>
      </c>
      <c r="F3926" s="31">
        <v>1627960800</v>
      </c>
    </row>
    <row r="3927" spans="1:6" ht="15" thickBot="1" x14ac:dyDescent="0.2">
      <c r="A3927" s="30" t="s">
        <v>12907</v>
      </c>
      <c r="B3927" s="26" t="str">
        <f t="shared" si="61"/>
        <v>300964</v>
      </c>
      <c r="C3927" s="30" t="s">
        <v>12908</v>
      </c>
      <c r="D3927" s="31">
        <v>30.08</v>
      </c>
      <c r="E3927" s="31">
        <v>-1.47</v>
      </c>
      <c r="F3927" s="31">
        <v>1626152500</v>
      </c>
    </row>
    <row r="3928" spans="1:6" ht="15" thickBot="1" x14ac:dyDescent="0.2">
      <c r="A3928" s="30" t="s">
        <v>12909</v>
      </c>
      <c r="B3928" s="26" t="str">
        <f t="shared" si="61"/>
        <v>301056</v>
      </c>
      <c r="C3928" s="30" t="s">
        <v>7547</v>
      </c>
      <c r="D3928" s="31">
        <v>6.09</v>
      </c>
      <c r="E3928" s="31">
        <v>-1.77</v>
      </c>
      <c r="F3928" s="31">
        <v>1624730800</v>
      </c>
    </row>
    <row r="3929" spans="1:6" ht="15" thickBot="1" x14ac:dyDescent="0.2">
      <c r="A3929" s="30" t="s">
        <v>12910</v>
      </c>
      <c r="B3929" s="26" t="str">
        <f t="shared" si="61"/>
        <v>688290</v>
      </c>
      <c r="C3929" s="30" t="s">
        <v>12911</v>
      </c>
      <c r="D3929" s="31">
        <v>26.65</v>
      </c>
      <c r="E3929" s="31">
        <v>-0.49</v>
      </c>
      <c r="F3929" s="31">
        <v>1621019100</v>
      </c>
    </row>
    <row r="3930" spans="1:6" ht="15" thickBot="1" x14ac:dyDescent="0.2">
      <c r="A3930" s="30" t="s">
        <v>12912</v>
      </c>
      <c r="B3930" s="26" t="str">
        <f t="shared" si="61"/>
        <v>300311</v>
      </c>
      <c r="C3930" s="30" t="s">
        <v>6933</v>
      </c>
      <c r="D3930" s="31">
        <v>3.01</v>
      </c>
      <c r="E3930" s="31">
        <v>-1.63</v>
      </c>
      <c r="F3930" s="31">
        <v>1617601400</v>
      </c>
    </row>
    <row r="3931" spans="1:6" ht="15" thickBot="1" x14ac:dyDescent="0.2">
      <c r="A3931" s="30" t="s">
        <v>12913</v>
      </c>
      <c r="B3931" s="26" t="str">
        <f t="shared" si="61"/>
        <v>000510</v>
      </c>
      <c r="C3931" s="30" t="s">
        <v>7231</v>
      </c>
      <c r="D3931" s="31">
        <v>2.85</v>
      </c>
      <c r="E3931" s="31">
        <v>-1.72</v>
      </c>
      <c r="F3931" s="31">
        <v>1616814900</v>
      </c>
    </row>
    <row r="3932" spans="1:6" ht="15" thickBot="1" x14ac:dyDescent="0.2">
      <c r="A3932" s="30" t="s">
        <v>12914</v>
      </c>
      <c r="B3932" s="26" t="str">
        <f t="shared" si="61"/>
        <v>603001</v>
      </c>
      <c r="C3932" s="30" t="s">
        <v>7565</v>
      </c>
      <c r="D3932" s="31">
        <v>4.03</v>
      </c>
      <c r="E3932" s="31">
        <v>-2.66</v>
      </c>
      <c r="F3932" s="31">
        <v>1615949400</v>
      </c>
    </row>
    <row r="3933" spans="1:6" ht="15" thickBot="1" x14ac:dyDescent="0.2">
      <c r="A3933" s="30" t="s">
        <v>12915</v>
      </c>
      <c r="B3933" s="26" t="str">
        <f t="shared" si="61"/>
        <v>688517</v>
      </c>
      <c r="C3933" s="30" t="s">
        <v>7583</v>
      </c>
      <c r="D3933" s="31">
        <v>11.82</v>
      </c>
      <c r="E3933" s="31">
        <v>0.09</v>
      </c>
      <c r="F3933" s="31">
        <v>1614767800</v>
      </c>
    </row>
    <row r="3934" spans="1:6" ht="15" thickBot="1" x14ac:dyDescent="0.2">
      <c r="A3934" s="30" t="s">
        <v>12916</v>
      </c>
      <c r="B3934" s="26" t="str">
        <f t="shared" si="61"/>
        <v>600538</v>
      </c>
      <c r="C3934" s="30" t="s">
        <v>7643</v>
      </c>
      <c r="D3934" s="31">
        <v>3.08</v>
      </c>
      <c r="E3934" s="31">
        <v>-0.65</v>
      </c>
      <c r="F3934" s="31">
        <v>1614530900</v>
      </c>
    </row>
    <row r="3935" spans="1:6" ht="15" thickBot="1" x14ac:dyDescent="0.2">
      <c r="A3935" s="30" t="s">
        <v>12917</v>
      </c>
      <c r="B3935" s="26" t="str">
        <f t="shared" si="61"/>
        <v>300074</v>
      </c>
      <c r="C3935" s="30" t="s">
        <v>7595</v>
      </c>
      <c r="D3935" s="31">
        <v>3.03</v>
      </c>
      <c r="E3935" s="31">
        <v>-3.2</v>
      </c>
      <c r="F3935" s="31">
        <v>1613892400</v>
      </c>
    </row>
    <row r="3936" spans="1:6" ht="15" thickBot="1" x14ac:dyDescent="0.2">
      <c r="A3936" s="30" t="s">
        <v>12918</v>
      </c>
      <c r="B3936" s="26" t="str">
        <f t="shared" si="61"/>
        <v>603041</v>
      </c>
      <c r="C3936" s="30" t="s">
        <v>7619</v>
      </c>
      <c r="D3936" s="31">
        <v>8.81</v>
      </c>
      <c r="E3936" s="31">
        <v>-0.45</v>
      </c>
      <c r="F3936" s="31">
        <v>1613531200</v>
      </c>
    </row>
    <row r="3937" spans="1:6" ht="15" thickBot="1" x14ac:dyDescent="0.2">
      <c r="A3937" s="30" t="s">
        <v>12919</v>
      </c>
      <c r="B3937" s="26" t="str">
        <f t="shared" si="61"/>
        <v>300988</v>
      </c>
      <c r="C3937" s="30" t="s">
        <v>6767</v>
      </c>
      <c r="D3937" s="31">
        <v>15.02</v>
      </c>
      <c r="E3937" s="31">
        <v>-0.2</v>
      </c>
      <c r="F3937" s="31">
        <v>1613164500</v>
      </c>
    </row>
    <row r="3938" spans="1:6" ht="15" thickBot="1" x14ac:dyDescent="0.2">
      <c r="A3938" s="30" t="s">
        <v>12920</v>
      </c>
      <c r="B3938" s="26" t="str">
        <f t="shared" si="61"/>
        <v>002086</v>
      </c>
      <c r="C3938" s="30" t="s">
        <v>4845</v>
      </c>
      <c r="D3938" s="31">
        <v>1.81</v>
      </c>
      <c r="E3938" s="31">
        <v>-1.0900000000000001</v>
      </c>
      <c r="F3938" s="31">
        <v>1612613200</v>
      </c>
    </row>
    <row r="3939" spans="1:6" ht="15" thickBot="1" x14ac:dyDescent="0.2">
      <c r="A3939" s="30" t="s">
        <v>12921</v>
      </c>
      <c r="B3939" s="26" t="str">
        <f t="shared" si="61"/>
        <v>301311</v>
      </c>
      <c r="C3939" s="30" t="s">
        <v>12922</v>
      </c>
      <c r="D3939" s="31">
        <v>18.48</v>
      </c>
      <c r="E3939" s="31">
        <v>-5.38</v>
      </c>
      <c r="F3939" s="31">
        <v>1612238900</v>
      </c>
    </row>
    <row r="3940" spans="1:6" ht="15" thickBot="1" x14ac:dyDescent="0.2">
      <c r="A3940" s="30" t="s">
        <v>12923</v>
      </c>
      <c r="B3940" s="26" t="str">
        <f t="shared" si="61"/>
        <v>300907</v>
      </c>
      <c r="C3940" s="30" t="s">
        <v>7573</v>
      </c>
      <c r="D3940" s="31">
        <v>16.79</v>
      </c>
      <c r="E3940" s="31">
        <v>-1.93</v>
      </c>
      <c r="F3940" s="31">
        <v>1611840000</v>
      </c>
    </row>
    <row r="3941" spans="1:6" ht="15" thickBot="1" x14ac:dyDescent="0.2">
      <c r="A3941" s="30" t="s">
        <v>12924</v>
      </c>
      <c r="B3941" s="26" t="str">
        <f t="shared" si="61"/>
        <v>603320</v>
      </c>
      <c r="C3941" s="30" t="s">
        <v>7577</v>
      </c>
      <c r="D3941" s="31">
        <v>12.17</v>
      </c>
      <c r="E3941" s="31">
        <v>-1.22</v>
      </c>
      <c r="F3941" s="31">
        <v>1611343200</v>
      </c>
    </row>
    <row r="3942" spans="1:6" ht="15" thickBot="1" x14ac:dyDescent="0.2">
      <c r="A3942" s="30" t="s">
        <v>12925</v>
      </c>
      <c r="B3942" s="26" t="str">
        <f t="shared" si="61"/>
        <v>603331</v>
      </c>
      <c r="C3942" s="30" t="s">
        <v>7563</v>
      </c>
      <c r="D3942" s="31">
        <v>7.99</v>
      </c>
      <c r="E3942" s="31">
        <v>-1.48</v>
      </c>
      <c r="F3942" s="31">
        <v>1609079200</v>
      </c>
    </row>
    <row r="3943" spans="1:6" ht="15" thickBot="1" x14ac:dyDescent="0.2">
      <c r="A3943" s="30" t="s">
        <v>12926</v>
      </c>
      <c r="B3943" s="26" t="str">
        <f t="shared" si="61"/>
        <v>301069</v>
      </c>
      <c r="C3943" s="30" t="s">
        <v>3623</v>
      </c>
      <c r="D3943" s="31">
        <v>11.45</v>
      </c>
      <c r="E3943" s="31">
        <v>-2.8</v>
      </c>
      <c r="F3943" s="31">
        <v>1608042600</v>
      </c>
    </row>
    <row r="3944" spans="1:6" ht="15" thickBot="1" x14ac:dyDescent="0.2">
      <c r="A3944" s="30" t="s">
        <v>12927</v>
      </c>
      <c r="B3944" s="26" t="str">
        <f t="shared" si="61"/>
        <v>605003</v>
      </c>
      <c r="C3944" s="30" t="s">
        <v>7631</v>
      </c>
      <c r="D3944" s="31">
        <v>14.6</v>
      </c>
      <c r="E3944" s="31">
        <v>-1.68</v>
      </c>
      <c r="F3944" s="31">
        <v>1606000000</v>
      </c>
    </row>
    <row r="3945" spans="1:6" ht="15" thickBot="1" x14ac:dyDescent="0.2">
      <c r="A3945" s="30" t="s">
        <v>12928</v>
      </c>
      <c r="B3945" s="26" t="str">
        <f t="shared" si="61"/>
        <v>300884</v>
      </c>
      <c r="C3945" s="30" t="s">
        <v>6765</v>
      </c>
      <c r="D3945" s="31">
        <v>8.4600000000000009</v>
      </c>
      <c r="E3945" s="31">
        <v>-0.24</v>
      </c>
      <c r="F3945" s="31">
        <v>1605243300</v>
      </c>
    </row>
    <row r="3946" spans="1:6" ht="15" thickBot="1" x14ac:dyDescent="0.2">
      <c r="A3946" s="30" t="s">
        <v>12929</v>
      </c>
      <c r="B3946" s="26" t="str">
        <f t="shared" si="61"/>
        <v>601083</v>
      </c>
      <c r="C3946" s="30" t="s">
        <v>12930</v>
      </c>
      <c r="D3946" s="31">
        <v>8.26</v>
      </c>
      <c r="E3946" s="31">
        <v>-1.43</v>
      </c>
      <c r="F3946" s="31">
        <v>1603431200</v>
      </c>
    </row>
    <row r="3947" spans="1:6" ht="15" thickBot="1" x14ac:dyDescent="0.2">
      <c r="A3947" s="30" t="s">
        <v>12931</v>
      </c>
      <c r="B3947" s="26" t="str">
        <f t="shared" si="61"/>
        <v>688147</v>
      </c>
      <c r="C3947" s="30" t="s">
        <v>12932</v>
      </c>
      <c r="D3947" s="31">
        <v>18.739999999999998</v>
      </c>
      <c r="E3947" s="31">
        <v>-1.52</v>
      </c>
      <c r="F3947" s="31">
        <v>1603276700</v>
      </c>
    </row>
    <row r="3948" spans="1:6" ht="15" thickBot="1" x14ac:dyDescent="0.2">
      <c r="A3948" s="30" t="s">
        <v>12933</v>
      </c>
      <c r="B3948" s="26" t="str">
        <f t="shared" si="61"/>
        <v>002879</v>
      </c>
      <c r="C3948" s="30" t="s">
        <v>6528</v>
      </c>
      <c r="D3948" s="31">
        <v>11.62</v>
      </c>
      <c r="E3948" s="31">
        <v>-1.61</v>
      </c>
      <c r="F3948" s="31">
        <v>1602212100</v>
      </c>
    </row>
    <row r="3949" spans="1:6" ht="15" thickBot="1" x14ac:dyDescent="0.2">
      <c r="A3949" s="30" t="s">
        <v>12934</v>
      </c>
      <c r="B3949" s="26" t="str">
        <f t="shared" si="61"/>
        <v>603188</v>
      </c>
      <c r="C3949" s="30" t="s">
        <v>7985</v>
      </c>
      <c r="D3949" s="31">
        <v>2.81</v>
      </c>
      <c r="E3949" s="31">
        <v>5.24</v>
      </c>
      <c r="F3949" s="31">
        <v>1602177700</v>
      </c>
    </row>
    <row r="3950" spans="1:6" ht="15" thickBot="1" x14ac:dyDescent="0.2">
      <c r="A3950" s="30" t="s">
        <v>12935</v>
      </c>
      <c r="B3950" s="26" t="str">
        <f t="shared" si="61"/>
        <v>002370</v>
      </c>
      <c r="C3950" s="30" t="s">
        <v>7605</v>
      </c>
      <c r="D3950" s="31">
        <v>2.63</v>
      </c>
      <c r="E3950" s="31">
        <v>-2.23</v>
      </c>
      <c r="F3950" s="31">
        <v>1602143600</v>
      </c>
    </row>
    <row r="3951" spans="1:6" ht="15" thickBot="1" x14ac:dyDescent="0.2">
      <c r="A3951" s="30" t="s">
        <v>12936</v>
      </c>
      <c r="B3951" s="26" t="str">
        <f t="shared" si="61"/>
        <v>002825</v>
      </c>
      <c r="C3951" s="30" t="s">
        <v>6831</v>
      </c>
      <c r="D3951" s="31">
        <v>6.15</v>
      </c>
      <c r="E3951" s="31">
        <v>-0.81</v>
      </c>
      <c r="F3951" s="31">
        <v>1602118600</v>
      </c>
    </row>
    <row r="3952" spans="1:6" ht="15" thickBot="1" x14ac:dyDescent="0.2">
      <c r="A3952" s="30" t="s">
        <v>12937</v>
      </c>
      <c r="B3952" s="26" t="str">
        <f t="shared" si="61"/>
        <v>301052</v>
      </c>
      <c r="C3952" s="30" t="s">
        <v>12938</v>
      </c>
      <c r="D3952" s="31">
        <v>19.989999999999998</v>
      </c>
      <c r="E3952" s="31">
        <v>1.58</v>
      </c>
      <c r="F3952" s="31">
        <v>1602073900</v>
      </c>
    </row>
    <row r="3953" spans="1:6" ht="15" thickBot="1" x14ac:dyDescent="0.2">
      <c r="A3953" s="30" t="s">
        <v>12939</v>
      </c>
      <c r="B3953" s="26" t="str">
        <f t="shared" si="61"/>
        <v>300694</v>
      </c>
      <c r="C3953" s="30" t="s">
        <v>7535</v>
      </c>
      <c r="D3953" s="31">
        <v>7.44</v>
      </c>
      <c r="E3953" s="31">
        <v>-3.38</v>
      </c>
      <c r="F3953" s="31">
        <v>1601958300</v>
      </c>
    </row>
    <row r="3954" spans="1:6" ht="15" thickBot="1" x14ac:dyDescent="0.2">
      <c r="A3954" s="30" t="s">
        <v>12940</v>
      </c>
      <c r="B3954" s="26" t="str">
        <f t="shared" si="61"/>
        <v>600232</v>
      </c>
      <c r="C3954" s="30" t="s">
        <v>7661</v>
      </c>
      <c r="D3954" s="31">
        <v>4.3899999999999997</v>
      </c>
      <c r="E3954" s="31">
        <v>-1.35</v>
      </c>
      <c r="F3954" s="31">
        <v>1601114400</v>
      </c>
    </row>
    <row r="3955" spans="1:6" ht="15" thickBot="1" x14ac:dyDescent="0.2">
      <c r="A3955" s="30" t="s">
        <v>12941</v>
      </c>
      <c r="B3955" s="26" t="str">
        <f t="shared" si="61"/>
        <v>300515</v>
      </c>
      <c r="C3955" s="30" t="s">
        <v>7285</v>
      </c>
      <c r="D3955" s="31">
        <v>8.7100000000000009</v>
      </c>
      <c r="E3955" s="31">
        <v>-1.8</v>
      </c>
      <c r="F3955" s="31">
        <v>1600793200</v>
      </c>
    </row>
    <row r="3956" spans="1:6" ht="15" thickBot="1" x14ac:dyDescent="0.2">
      <c r="A3956" s="30" t="s">
        <v>12942</v>
      </c>
      <c r="B3956" s="26" t="str">
        <f t="shared" si="61"/>
        <v>301183</v>
      </c>
      <c r="C3956" s="30" t="s">
        <v>12943</v>
      </c>
      <c r="D3956" s="31">
        <v>34.729999999999997</v>
      </c>
      <c r="E3956" s="31">
        <v>-2.4700000000000002</v>
      </c>
      <c r="F3956" s="31">
        <v>1600636200</v>
      </c>
    </row>
    <row r="3957" spans="1:6" ht="15" thickBot="1" x14ac:dyDescent="0.2">
      <c r="A3957" s="30" t="s">
        <v>12944</v>
      </c>
      <c r="B3957" s="26" t="str">
        <f t="shared" si="61"/>
        <v>300731</v>
      </c>
      <c r="C3957" s="30" t="s">
        <v>7387</v>
      </c>
      <c r="D3957" s="31">
        <v>13.32</v>
      </c>
      <c r="E3957" s="31">
        <v>-2.4900000000000002</v>
      </c>
      <c r="F3957" s="31">
        <v>1600505100</v>
      </c>
    </row>
    <row r="3958" spans="1:6" ht="15" thickBot="1" x14ac:dyDescent="0.2">
      <c r="A3958" s="30" t="s">
        <v>12945</v>
      </c>
      <c r="B3958" s="26" t="str">
        <f t="shared" si="61"/>
        <v>688600</v>
      </c>
      <c r="C3958" s="30" t="s">
        <v>7663</v>
      </c>
      <c r="D3958" s="31">
        <v>11.87</v>
      </c>
      <c r="E3958" s="31">
        <v>-0.75</v>
      </c>
      <c r="F3958" s="31">
        <v>1598989800</v>
      </c>
    </row>
    <row r="3959" spans="1:6" ht="15" thickBot="1" x14ac:dyDescent="0.2">
      <c r="A3959" s="30" t="s">
        <v>12946</v>
      </c>
      <c r="B3959" s="26" t="str">
        <f t="shared" si="61"/>
        <v>300556</v>
      </c>
      <c r="C3959" s="30" t="s">
        <v>7025</v>
      </c>
      <c r="D3959" s="31">
        <v>15.55</v>
      </c>
      <c r="E3959" s="31">
        <v>-1.08</v>
      </c>
      <c r="F3959" s="31">
        <v>1598611500</v>
      </c>
    </row>
    <row r="3960" spans="1:6" ht="15" thickBot="1" x14ac:dyDescent="0.2">
      <c r="A3960" s="30" t="s">
        <v>12947</v>
      </c>
      <c r="B3960" s="26" t="str">
        <f t="shared" si="61"/>
        <v>603790</v>
      </c>
      <c r="C3960" s="30" t="s">
        <v>7611</v>
      </c>
      <c r="D3960" s="31">
        <v>8.35</v>
      </c>
      <c r="E3960" s="31">
        <v>-2.23</v>
      </c>
      <c r="F3960" s="31">
        <v>1597856000</v>
      </c>
    </row>
    <row r="3961" spans="1:6" ht="15" thickBot="1" x14ac:dyDescent="0.2">
      <c r="A3961" s="30" t="s">
        <v>12948</v>
      </c>
      <c r="B3961" s="26" t="str">
        <f t="shared" si="61"/>
        <v>002811</v>
      </c>
      <c r="C3961" s="30" t="s">
        <v>7425</v>
      </c>
      <c r="D3961" s="31">
        <v>6.46</v>
      </c>
      <c r="E3961" s="31">
        <v>-2.12</v>
      </c>
      <c r="F3961" s="31">
        <v>1596914400</v>
      </c>
    </row>
    <row r="3962" spans="1:6" ht="15" thickBot="1" x14ac:dyDescent="0.2">
      <c r="A3962" s="30" t="s">
        <v>12949</v>
      </c>
      <c r="B3962" s="26" t="str">
        <f t="shared" si="61"/>
        <v>301246</v>
      </c>
      <c r="C3962" s="30" t="s">
        <v>12950</v>
      </c>
      <c r="D3962" s="31">
        <v>10.72</v>
      </c>
      <c r="E3962" s="31">
        <v>-2.5499999999999998</v>
      </c>
      <c r="F3962" s="31">
        <v>1596696300</v>
      </c>
    </row>
    <row r="3963" spans="1:6" ht="15" thickBot="1" x14ac:dyDescent="0.2">
      <c r="A3963" s="30" t="s">
        <v>12951</v>
      </c>
      <c r="B3963" s="26" t="str">
        <f t="shared" si="61"/>
        <v>002996</v>
      </c>
      <c r="C3963" s="30" t="s">
        <v>5130</v>
      </c>
      <c r="D3963" s="31">
        <v>4.8600000000000003</v>
      </c>
      <c r="E3963" s="31">
        <v>-0.82</v>
      </c>
      <c r="F3963" s="31">
        <v>1596421300</v>
      </c>
    </row>
    <row r="3964" spans="1:6" ht="15" thickBot="1" x14ac:dyDescent="0.2">
      <c r="A3964" s="30" t="s">
        <v>12952</v>
      </c>
      <c r="B3964" s="26" t="str">
        <f t="shared" si="61"/>
        <v>600051</v>
      </c>
      <c r="C3964" s="30" t="s">
        <v>7673</v>
      </c>
      <c r="D3964" s="31">
        <v>5.13</v>
      </c>
      <c r="E3964" s="31">
        <v>-1.35</v>
      </c>
      <c r="F3964" s="31">
        <v>1594814400</v>
      </c>
    </row>
    <row r="3965" spans="1:6" ht="15" thickBot="1" x14ac:dyDescent="0.2">
      <c r="A3965" s="30" t="s">
        <v>12953</v>
      </c>
      <c r="B3965" s="26" t="str">
        <f t="shared" si="61"/>
        <v>603238</v>
      </c>
      <c r="C3965" s="30" t="s">
        <v>7651</v>
      </c>
      <c r="D3965" s="31">
        <v>8.98</v>
      </c>
      <c r="E3965" s="31">
        <v>-1.32</v>
      </c>
      <c r="F3965" s="31">
        <v>1594030800</v>
      </c>
    </row>
    <row r="3966" spans="1:6" ht="15" thickBot="1" x14ac:dyDescent="0.2">
      <c r="A3966" s="30" t="s">
        <v>12954</v>
      </c>
      <c r="B3966" s="26" t="str">
        <f t="shared" si="61"/>
        <v>002860</v>
      </c>
      <c r="C3966" s="30" t="s">
        <v>6779</v>
      </c>
      <c r="D3966" s="31">
        <v>6.96</v>
      </c>
      <c r="E3966" s="31">
        <v>-1.28</v>
      </c>
      <c r="F3966" s="31">
        <v>1591601500</v>
      </c>
    </row>
    <row r="3967" spans="1:6" ht="15" thickBot="1" x14ac:dyDescent="0.2">
      <c r="A3967" s="30" t="s">
        <v>12955</v>
      </c>
      <c r="B3967" s="26" t="str">
        <f t="shared" si="61"/>
        <v>301200</v>
      </c>
      <c r="C3967" s="30" t="s">
        <v>12956</v>
      </c>
      <c r="D3967" s="31">
        <v>27.25</v>
      </c>
      <c r="E3967" s="31">
        <v>-0.44</v>
      </c>
      <c r="F3967" s="31">
        <v>1591483100</v>
      </c>
    </row>
    <row r="3968" spans="1:6" ht="15" thickBot="1" x14ac:dyDescent="0.2">
      <c r="A3968" s="30" t="s">
        <v>12957</v>
      </c>
      <c r="B3968" s="26" t="str">
        <f t="shared" si="61"/>
        <v>600615</v>
      </c>
      <c r="C3968" s="30" t="s">
        <v>7659</v>
      </c>
      <c r="D3968" s="31">
        <v>8.48</v>
      </c>
      <c r="E3968" s="31">
        <v>-1.4</v>
      </c>
      <c r="F3968" s="31">
        <v>1591055800</v>
      </c>
    </row>
    <row r="3969" spans="1:6" ht="15" thickBot="1" x14ac:dyDescent="0.2">
      <c r="A3969" s="30" t="s">
        <v>12958</v>
      </c>
      <c r="B3969" s="26" t="str">
        <f t="shared" si="61"/>
        <v>300976</v>
      </c>
      <c r="C3969" s="30" t="s">
        <v>12959</v>
      </c>
      <c r="D3969" s="31">
        <v>41.35</v>
      </c>
      <c r="E3969" s="31">
        <v>-1.57</v>
      </c>
      <c r="F3969" s="31">
        <v>1590162400</v>
      </c>
    </row>
    <row r="3970" spans="1:6" ht="15" thickBot="1" x14ac:dyDescent="0.2">
      <c r="A3970" s="30" t="s">
        <v>12960</v>
      </c>
      <c r="B3970" s="26" t="str">
        <f t="shared" si="61"/>
        <v>002725</v>
      </c>
      <c r="C3970" s="30" t="s">
        <v>7049</v>
      </c>
      <c r="D3970" s="31">
        <v>7.49</v>
      </c>
      <c r="E3970" s="31">
        <v>-0.13</v>
      </c>
      <c r="F3970" s="31">
        <v>1587329100</v>
      </c>
    </row>
    <row r="3971" spans="1:6" ht="15" thickBot="1" x14ac:dyDescent="0.2">
      <c r="A3971" s="30" t="s">
        <v>12961</v>
      </c>
      <c r="B3971" s="26" t="str">
        <f t="shared" ref="B3971:B4034" si="62">LEFT(A3971,6)</f>
        <v>603268</v>
      </c>
      <c r="C3971" s="30" t="s">
        <v>7721</v>
      </c>
      <c r="D3971" s="31">
        <v>12.77</v>
      </c>
      <c r="E3971" s="31">
        <v>-0.23</v>
      </c>
      <c r="F3971" s="31">
        <v>1585635600</v>
      </c>
    </row>
    <row r="3972" spans="1:6" ht="15" thickBot="1" x14ac:dyDescent="0.2">
      <c r="A3972" s="30" t="s">
        <v>12962</v>
      </c>
      <c r="B3972" s="26" t="str">
        <f t="shared" si="62"/>
        <v>002628</v>
      </c>
      <c r="C3972" s="30" t="s">
        <v>7733</v>
      </c>
      <c r="D3972" s="31">
        <v>2.1</v>
      </c>
      <c r="E3972" s="31">
        <v>0</v>
      </c>
      <c r="F3972" s="31">
        <v>1585561300</v>
      </c>
    </row>
    <row r="3973" spans="1:6" ht="15" thickBot="1" x14ac:dyDescent="0.2">
      <c r="A3973" s="30" t="s">
        <v>12963</v>
      </c>
      <c r="B3973" s="26" t="str">
        <f t="shared" si="62"/>
        <v>603917</v>
      </c>
      <c r="C3973" s="30" t="s">
        <v>6771</v>
      </c>
      <c r="D3973" s="31">
        <v>10.09</v>
      </c>
      <c r="E3973" s="31">
        <v>-0.4</v>
      </c>
      <c r="F3973" s="31">
        <v>1582112000</v>
      </c>
    </row>
    <row r="3974" spans="1:6" ht="15" thickBot="1" x14ac:dyDescent="0.2">
      <c r="A3974" s="30" t="s">
        <v>12964</v>
      </c>
      <c r="B3974" s="26" t="str">
        <f t="shared" si="62"/>
        <v>300652</v>
      </c>
      <c r="C3974" s="30" t="s">
        <v>7225</v>
      </c>
      <c r="D3974" s="31">
        <v>17.170000000000002</v>
      </c>
      <c r="E3974" s="31">
        <v>-2.44</v>
      </c>
      <c r="F3974" s="31">
        <v>1581197600</v>
      </c>
    </row>
    <row r="3975" spans="1:6" ht="15" thickBot="1" x14ac:dyDescent="0.2">
      <c r="A3975" s="30" t="s">
        <v>12965</v>
      </c>
      <c r="B3975" s="26" t="str">
        <f t="shared" si="62"/>
        <v>002846</v>
      </c>
      <c r="C3975" s="30" t="s">
        <v>5872</v>
      </c>
      <c r="D3975" s="31">
        <v>6.15</v>
      </c>
      <c r="E3975" s="31">
        <v>-1.91</v>
      </c>
      <c r="F3975" s="31">
        <v>1580661300</v>
      </c>
    </row>
    <row r="3976" spans="1:6" ht="15" thickBot="1" x14ac:dyDescent="0.2">
      <c r="A3976" s="30" t="s">
        <v>12966</v>
      </c>
      <c r="B3976" s="26" t="str">
        <f t="shared" si="62"/>
        <v>300235</v>
      </c>
      <c r="C3976" s="30" t="s">
        <v>7045</v>
      </c>
      <c r="D3976" s="31">
        <v>7.78</v>
      </c>
      <c r="E3976" s="31">
        <v>-2.14</v>
      </c>
      <c r="F3976" s="31">
        <v>1580367100</v>
      </c>
    </row>
    <row r="3977" spans="1:6" ht="15" thickBot="1" x14ac:dyDescent="0.2">
      <c r="A3977" s="30" t="s">
        <v>12967</v>
      </c>
      <c r="B3977" s="26" t="str">
        <f t="shared" si="62"/>
        <v>603086</v>
      </c>
      <c r="C3977" s="30" t="s">
        <v>7653</v>
      </c>
      <c r="D3977" s="31">
        <v>3.63</v>
      </c>
      <c r="E3977" s="31">
        <v>-2.68</v>
      </c>
      <c r="F3977" s="31">
        <v>1578371700</v>
      </c>
    </row>
    <row r="3978" spans="1:6" ht="15" thickBot="1" x14ac:dyDescent="0.2">
      <c r="A3978" s="30" t="s">
        <v>12968</v>
      </c>
      <c r="B3978" s="26" t="str">
        <f t="shared" si="62"/>
        <v>300901</v>
      </c>
      <c r="C3978" s="30" t="s">
        <v>7585</v>
      </c>
      <c r="D3978" s="31">
        <v>6.57</v>
      </c>
      <c r="E3978" s="31">
        <v>-4.51</v>
      </c>
      <c r="F3978" s="31">
        <v>1576800000</v>
      </c>
    </row>
    <row r="3979" spans="1:6" ht="15" thickBot="1" x14ac:dyDescent="0.2">
      <c r="A3979" s="30" t="s">
        <v>12969</v>
      </c>
      <c r="B3979" s="26" t="str">
        <f t="shared" si="62"/>
        <v>688391</v>
      </c>
      <c r="C3979" s="30" t="s">
        <v>12970</v>
      </c>
      <c r="D3979" s="31">
        <v>25.17</v>
      </c>
      <c r="E3979" s="31">
        <v>-0.63</v>
      </c>
      <c r="F3979" s="31">
        <v>1576375600</v>
      </c>
    </row>
    <row r="3980" spans="1:6" ht="15" thickBot="1" x14ac:dyDescent="0.2">
      <c r="A3980" s="30" t="s">
        <v>12971</v>
      </c>
      <c r="B3980" s="26" t="str">
        <f t="shared" si="62"/>
        <v>600506</v>
      </c>
      <c r="C3980" s="30" t="s">
        <v>6911</v>
      </c>
      <c r="D3980" s="31">
        <v>10.67</v>
      </c>
      <c r="E3980" s="31">
        <v>-0.19</v>
      </c>
      <c r="F3980" s="31">
        <v>1576032300</v>
      </c>
    </row>
    <row r="3981" spans="1:6" ht="15" thickBot="1" x14ac:dyDescent="0.2">
      <c r="A3981" s="30" t="s">
        <v>12972</v>
      </c>
      <c r="B3981" s="26" t="str">
        <f t="shared" si="62"/>
        <v>688667</v>
      </c>
      <c r="C3981" s="30" t="s">
        <v>12973</v>
      </c>
      <c r="D3981" s="31">
        <v>30.38</v>
      </c>
      <c r="E3981" s="31">
        <v>-1.56</v>
      </c>
      <c r="F3981" s="31">
        <v>1574052800</v>
      </c>
    </row>
    <row r="3982" spans="1:6" ht="15" thickBot="1" x14ac:dyDescent="0.2">
      <c r="A3982" s="30" t="s">
        <v>12974</v>
      </c>
      <c r="B3982" s="26" t="str">
        <f t="shared" si="62"/>
        <v>301172</v>
      </c>
      <c r="C3982" s="30" t="s">
        <v>12975</v>
      </c>
      <c r="D3982" s="31">
        <v>22.4</v>
      </c>
      <c r="E3982" s="31">
        <v>-0.31</v>
      </c>
      <c r="F3982" s="31">
        <v>1573671700</v>
      </c>
    </row>
    <row r="3983" spans="1:6" ht="15" thickBot="1" x14ac:dyDescent="0.2">
      <c r="A3983" s="30" t="s">
        <v>12976</v>
      </c>
      <c r="B3983" s="26" t="str">
        <f t="shared" si="62"/>
        <v>300076</v>
      </c>
      <c r="C3983" s="30" t="s">
        <v>7747</v>
      </c>
      <c r="D3983" s="31">
        <v>3.71</v>
      </c>
      <c r="E3983" s="31">
        <v>-4.13</v>
      </c>
      <c r="F3983" s="31">
        <v>1573040000</v>
      </c>
    </row>
    <row r="3984" spans="1:6" ht="15" thickBot="1" x14ac:dyDescent="0.2">
      <c r="A3984" s="30" t="s">
        <v>12977</v>
      </c>
      <c r="B3984" s="26" t="str">
        <f t="shared" si="62"/>
        <v>603089</v>
      </c>
      <c r="C3984" s="30" t="s">
        <v>7697</v>
      </c>
      <c r="D3984" s="31">
        <v>7.01</v>
      </c>
      <c r="E3984" s="31">
        <v>0</v>
      </c>
      <c r="F3984" s="31">
        <v>1568268500</v>
      </c>
    </row>
    <row r="3985" spans="1:6" ht="15" thickBot="1" x14ac:dyDescent="0.2">
      <c r="A3985" s="30" t="s">
        <v>12978</v>
      </c>
      <c r="B3985" s="26" t="str">
        <f t="shared" si="62"/>
        <v>603161</v>
      </c>
      <c r="C3985" s="30" t="s">
        <v>7575</v>
      </c>
      <c r="D3985" s="31">
        <v>8.3000000000000007</v>
      </c>
      <c r="E3985" s="31">
        <v>-0.6</v>
      </c>
      <c r="F3985" s="31">
        <v>1567559500</v>
      </c>
    </row>
    <row r="3986" spans="1:6" ht="15" thickBot="1" x14ac:dyDescent="0.2">
      <c r="A3986" s="30" t="s">
        <v>12979</v>
      </c>
      <c r="B3986" s="26" t="str">
        <f t="shared" si="62"/>
        <v>837344</v>
      </c>
      <c r="C3986" s="30" t="s">
        <v>7445</v>
      </c>
      <c r="D3986" s="31">
        <v>13.8</v>
      </c>
      <c r="E3986" s="31">
        <v>-3.23</v>
      </c>
      <c r="F3986" s="31">
        <v>1567139000</v>
      </c>
    </row>
    <row r="3987" spans="1:6" ht="15" thickBot="1" x14ac:dyDescent="0.2">
      <c r="A3987" s="30" t="s">
        <v>12980</v>
      </c>
      <c r="B3987" s="26" t="str">
        <f t="shared" si="62"/>
        <v>000017</v>
      </c>
      <c r="C3987" s="30" t="s">
        <v>5882</v>
      </c>
      <c r="D3987" s="31">
        <v>5.17</v>
      </c>
      <c r="E3987" s="31">
        <v>-2.08</v>
      </c>
      <c r="F3987" s="31">
        <v>1566432300</v>
      </c>
    </row>
    <row r="3988" spans="1:6" ht="15" thickBot="1" x14ac:dyDescent="0.2">
      <c r="A3988" s="30" t="s">
        <v>12981</v>
      </c>
      <c r="B3988" s="26" t="str">
        <f t="shared" si="62"/>
        <v>603042</v>
      </c>
      <c r="C3988" s="30" t="s">
        <v>7677</v>
      </c>
      <c r="D3988" s="31">
        <v>9.74</v>
      </c>
      <c r="E3988" s="31">
        <v>-0.92</v>
      </c>
      <c r="F3988" s="31">
        <v>1564145000</v>
      </c>
    </row>
    <row r="3989" spans="1:6" ht="15" thickBot="1" x14ac:dyDescent="0.2">
      <c r="A3989" s="30" t="s">
        <v>12982</v>
      </c>
      <c r="B3989" s="26" t="str">
        <f t="shared" si="62"/>
        <v>002787</v>
      </c>
      <c r="C3989" s="30" t="s">
        <v>6811</v>
      </c>
      <c r="D3989" s="31">
        <v>6.33</v>
      </c>
      <c r="E3989" s="31">
        <v>-1.86</v>
      </c>
      <c r="F3989" s="31">
        <v>1564053700</v>
      </c>
    </row>
    <row r="3990" spans="1:6" ht="15" thickBot="1" x14ac:dyDescent="0.2">
      <c r="A3990" s="30" t="s">
        <v>12983</v>
      </c>
      <c r="B3990" s="26" t="str">
        <f t="shared" si="62"/>
        <v>603269</v>
      </c>
      <c r="C3990" s="30" t="s">
        <v>7705</v>
      </c>
      <c r="D3990" s="31">
        <v>7.09</v>
      </c>
      <c r="E3990" s="31">
        <v>-1.39</v>
      </c>
      <c r="F3990" s="31">
        <v>1563607200</v>
      </c>
    </row>
    <row r="3991" spans="1:6" ht="15" thickBot="1" x14ac:dyDescent="0.2">
      <c r="A3991" s="30" t="s">
        <v>12984</v>
      </c>
      <c r="B3991" s="26" t="str">
        <f t="shared" si="62"/>
        <v>000593</v>
      </c>
      <c r="C3991" s="30" t="s">
        <v>7667</v>
      </c>
      <c r="D3991" s="31">
        <v>4.3600000000000003</v>
      </c>
      <c r="E3991" s="31">
        <v>-3.11</v>
      </c>
      <c r="F3991" s="31">
        <v>1562986600</v>
      </c>
    </row>
    <row r="3992" spans="1:6" ht="15" thickBot="1" x14ac:dyDescent="0.2">
      <c r="A3992" s="30" t="s">
        <v>12985</v>
      </c>
      <c r="B3992" s="26" t="str">
        <f t="shared" si="62"/>
        <v>002667</v>
      </c>
      <c r="C3992" s="30" t="s">
        <v>7557</v>
      </c>
      <c r="D3992" s="31">
        <v>6.62</v>
      </c>
      <c r="E3992" s="31">
        <v>-0.9</v>
      </c>
      <c r="F3992" s="31">
        <v>1562884900</v>
      </c>
    </row>
    <row r="3993" spans="1:6" ht="15" thickBot="1" x14ac:dyDescent="0.2">
      <c r="A3993" s="30" t="s">
        <v>12986</v>
      </c>
      <c r="B3993" s="26" t="str">
        <f t="shared" si="62"/>
        <v>001288</v>
      </c>
      <c r="C3993" s="30" t="s">
        <v>12987</v>
      </c>
      <c r="D3993" s="31">
        <v>24.24</v>
      </c>
      <c r="E3993" s="31">
        <v>-0.25</v>
      </c>
      <c r="F3993" s="31">
        <v>1562025200</v>
      </c>
    </row>
    <row r="3994" spans="1:6" ht="15" thickBot="1" x14ac:dyDescent="0.2">
      <c r="A3994" s="30" t="s">
        <v>12988</v>
      </c>
      <c r="B3994" s="26" t="str">
        <f t="shared" si="62"/>
        <v>002977</v>
      </c>
      <c r="C3994" s="30" t="s">
        <v>5619</v>
      </c>
      <c r="D3994" s="31">
        <v>23.43</v>
      </c>
      <c r="E3994" s="31">
        <v>-1.1399999999999999</v>
      </c>
      <c r="F3994" s="31">
        <v>1560910600</v>
      </c>
    </row>
    <row r="3995" spans="1:6" ht="15" thickBot="1" x14ac:dyDescent="0.2">
      <c r="A3995" s="30" t="s">
        <v>12989</v>
      </c>
      <c r="B3995" s="26" t="str">
        <f t="shared" si="62"/>
        <v>603937</v>
      </c>
      <c r="C3995" s="30" t="s">
        <v>7709</v>
      </c>
      <c r="D3995" s="31">
        <v>7.47</v>
      </c>
      <c r="E3995" s="31">
        <v>-0.8</v>
      </c>
      <c r="F3995" s="31">
        <v>1560334200</v>
      </c>
    </row>
    <row r="3996" spans="1:6" ht="15" thickBot="1" x14ac:dyDescent="0.2">
      <c r="A3996" s="30" t="s">
        <v>12990</v>
      </c>
      <c r="B3996" s="26" t="str">
        <f t="shared" si="62"/>
        <v>301223</v>
      </c>
      <c r="C3996" s="30" t="s">
        <v>12991</v>
      </c>
      <c r="D3996" s="31">
        <v>13.92</v>
      </c>
      <c r="E3996" s="31">
        <v>-2.11</v>
      </c>
      <c r="F3996" s="31">
        <v>1559249600</v>
      </c>
    </row>
    <row r="3997" spans="1:6" ht="15" thickBot="1" x14ac:dyDescent="0.2">
      <c r="A3997" s="30" t="s">
        <v>12992</v>
      </c>
      <c r="B3997" s="26" t="str">
        <f t="shared" si="62"/>
        <v>300538</v>
      </c>
      <c r="C3997" s="30" t="s">
        <v>6208</v>
      </c>
      <c r="D3997" s="31">
        <v>13.57</v>
      </c>
      <c r="E3997" s="31">
        <v>0.74</v>
      </c>
      <c r="F3997" s="31">
        <v>1559076900</v>
      </c>
    </row>
    <row r="3998" spans="1:6" ht="15" thickBot="1" x14ac:dyDescent="0.2">
      <c r="A3998" s="30" t="s">
        <v>12993</v>
      </c>
      <c r="B3998" s="26" t="str">
        <f t="shared" si="62"/>
        <v>873593</v>
      </c>
      <c r="C3998" s="30" t="s">
        <v>12994</v>
      </c>
      <c r="D3998" s="31">
        <v>13.6</v>
      </c>
      <c r="E3998" s="31">
        <v>-2.86</v>
      </c>
      <c r="F3998" s="31">
        <v>1558169000</v>
      </c>
    </row>
    <row r="3999" spans="1:6" ht="15" thickBot="1" x14ac:dyDescent="0.2">
      <c r="A3999" s="30" t="s">
        <v>12995</v>
      </c>
      <c r="B3999" s="26" t="str">
        <f t="shared" si="62"/>
        <v>300211</v>
      </c>
      <c r="C3999" s="30" t="s">
        <v>7609</v>
      </c>
      <c r="D3999" s="31">
        <v>5.22</v>
      </c>
      <c r="E3999" s="31">
        <v>-2.25</v>
      </c>
      <c r="F3999" s="31">
        <v>1558075100</v>
      </c>
    </row>
    <row r="4000" spans="1:6" ht="15" thickBot="1" x14ac:dyDescent="0.2">
      <c r="A4000" s="30" t="s">
        <v>12996</v>
      </c>
      <c r="B4000" s="26" t="str">
        <f t="shared" si="62"/>
        <v>603029</v>
      </c>
      <c r="C4000" s="30" t="s">
        <v>7675</v>
      </c>
      <c r="D4000" s="31">
        <v>12.83</v>
      </c>
      <c r="E4000" s="31">
        <v>-1.1599999999999999</v>
      </c>
      <c r="F4000" s="31">
        <v>1556817900</v>
      </c>
    </row>
    <row r="4001" spans="1:6" ht="15" thickBot="1" x14ac:dyDescent="0.2">
      <c r="A4001" s="30" t="s">
        <v>12997</v>
      </c>
      <c r="B4001" s="26" t="str">
        <f t="shared" si="62"/>
        <v>003001</v>
      </c>
      <c r="C4001" s="30" t="s">
        <v>5898</v>
      </c>
      <c r="D4001" s="31">
        <v>21.26</v>
      </c>
      <c r="E4001" s="31">
        <v>-0.75</v>
      </c>
      <c r="F4001" s="31">
        <v>1555621800</v>
      </c>
    </row>
    <row r="4002" spans="1:6" ht="15" thickBot="1" x14ac:dyDescent="0.2">
      <c r="A4002" s="30" t="s">
        <v>12998</v>
      </c>
      <c r="B4002" s="26" t="str">
        <f t="shared" si="62"/>
        <v>000056</v>
      </c>
      <c r="C4002" s="30" t="s">
        <v>7279</v>
      </c>
      <c r="D4002" s="31">
        <v>1.72</v>
      </c>
      <c r="E4002" s="31">
        <v>-0.57999999999999996</v>
      </c>
      <c r="F4002" s="31">
        <v>1554315100</v>
      </c>
    </row>
    <row r="4003" spans="1:6" ht="15" thickBot="1" x14ac:dyDescent="0.2">
      <c r="A4003" s="30" t="s">
        <v>12999</v>
      </c>
      <c r="B4003" s="26" t="str">
        <f t="shared" si="62"/>
        <v>603725</v>
      </c>
      <c r="C4003" s="30" t="s">
        <v>7519</v>
      </c>
      <c r="D4003" s="31">
        <v>5.42</v>
      </c>
      <c r="E4003" s="31">
        <v>-1.46</v>
      </c>
      <c r="F4003" s="31">
        <v>1553684600</v>
      </c>
    </row>
    <row r="4004" spans="1:6" ht="15" thickBot="1" x14ac:dyDescent="0.2">
      <c r="A4004" s="30" t="s">
        <v>13000</v>
      </c>
      <c r="B4004" s="26" t="str">
        <f t="shared" si="62"/>
        <v>301160</v>
      </c>
      <c r="C4004" s="30" t="s">
        <v>13001</v>
      </c>
      <c r="D4004" s="31">
        <v>36.71</v>
      </c>
      <c r="E4004" s="31">
        <v>0.96</v>
      </c>
      <c r="F4004" s="31">
        <v>1553132800</v>
      </c>
    </row>
    <row r="4005" spans="1:6" ht="15" thickBot="1" x14ac:dyDescent="0.2">
      <c r="A4005" s="30" t="s">
        <v>13002</v>
      </c>
      <c r="B4005" s="26" t="str">
        <f t="shared" si="62"/>
        <v>301150</v>
      </c>
      <c r="C4005" s="30" t="s">
        <v>13003</v>
      </c>
      <c r="D4005" s="31">
        <v>16.79</v>
      </c>
      <c r="E4005" s="31">
        <v>-1.99</v>
      </c>
      <c r="F4005" s="31">
        <v>1552265800</v>
      </c>
    </row>
    <row r="4006" spans="1:6" ht="15" thickBot="1" x14ac:dyDescent="0.2">
      <c r="A4006" s="30" t="s">
        <v>13004</v>
      </c>
      <c r="B4006" s="26" t="str">
        <f t="shared" si="62"/>
        <v>000633</v>
      </c>
      <c r="C4006" s="30" t="s">
        <v>7493</v>
      </c>
      <c r="D4006" s="31">
        <v>4.03</v>
      </c>
      <c r="E4006" s="31">
        <v>-5.18</v>
      </c>
      <c r="F4006" s="31">
        <v>1551967200</v>
      </c>
    </row>
    <row r="4007" spans="1:6" ht="15" thickBot="1" x14ac:dyDescent="0.2">
      <c r="A4007" s="30" t="s">
        <v>13005</v>
      </c>
      <c r="B4007" s="26" t="str">
        <f t="shared" si="62"/>
        <v>002357</v>
      </c>
      <c r="C4007" s="30" t="s">
        <v>7699</v>
      </c>
      <c r="D4007" s="31">
        <v>4.95</v>
      </c>
      <c r="E4007" s="31">
        <v>-1</v>
      </c>
      <c r="F4007" s="31">
        <v>1551715000</v>
      </c>
    </row>
    <row r="4008" spans="1:6" ht="15" thickBot="1" x14ac:dyDescent="0.2">
      <c r="A4008" s="30" t="s">
        <v>13006</v>
      </c>
      <c r="B4008" s="26" t="str">
        <f t="shared" si="62"/>
        <v>600791</v>
      </c>
      <c r="C4008" s="30" t="s">
        <v>7843</v>
      </c>
      <c r="D4008" s="31">
        <v>3.43</v>
      </c>
      <c r="E4008" s="31">
        <v>1.78</v>
      </c>
      <c r="F4008" s="31">
        <v>1551436000</v>
      </c>
    </row>
    <row r="4009" spans="1:6" ht="15" thickBot="1" x14ac:dyDescent="0.2">
      <c r="A4009" s="30" t="s">
        <v>13007</v>
      </c>
      <c r="B4009" s="26" t="str">
        <f t="shared" si="62"/>
        <v>002666</v>
      </c>
      <c r="C4009" s="30" t="s">
        <v>6064</v>
      </c>
      <c r="D4009" s="31">
        <v>3.44</v>
      </c>
      <c r="E4009" s="31">
        <v>-1.1499999999999999</v>
      </c>
      <c r="F4009" s="31">
        <v>1551398900</v>
      </c>
    </row>
    <row r="4010" spans="1:6" ht="15" thickBot="1" x14ac:dyDescent="0.2">
      <c r="A4010" s="30" t="s">
        <v>13008</v>
      </c>
      <c r="B4010" s="26" t="str">
        <f t="shared" si="62"/>
        <v>003028</v>
      </c>
      <c r="C4010" s="30" t="s">
        <v>5138</v>
      </c>
      <c r="D4010" s="31">
        <v>28.69</v>
      </c>
      <c r="E4010" s="31">
        <v>-0.17</v>
      </c>
      <c r="F4010" s="31">
        <v>1550885400</v>
      </c>
    </row>
    <row r="4011" spans="1:6" ht="15" thickBot="1" x14ac:dyDescent="0.2">
      <c r="A4011" s="30" t="s">
        <v>13009</v>
      </c>
      <c r="B4011" s="26" t="str">
        <f t="shared" si="62"/>
        <v>688077</v>
      </c>
      <c r="C4011" s="30" t="s">
        <v>7633</v>
      </c>
      <c r="D4011" s="31">
        <v>13.62</v>
      </c>
      <c r="E4011" s="31">
        <v>-0.95</v>
      </c>
      <c r="F4011" s="31">
        <v>1550781400</v>
      </c>
    </row>
    <row r="4012" spans="1:6" ht="15" thickBot="1" x14ac:dyDescent="0.2">
      <c r="A4012" s="30" t="s">
        <v>13010</v>
      </c>
      <c r="B4012" s="26" t="str">
        <f t="shared" si="62"/>
        <v>300692</v>
      </c>
      <c r="C4012" s="30" t="s">
        <v>7365</v>
      </c>
      <c r="D4012" s="31">
        <v>4.1399999999999997</v>
      </c>
      <c r="E4012" s="31">
        <v>-4.17</v>
      </c>
      <c r="F4012" s="31">
        <v>1550764500</v>
      </c>
    </row>
    <row r="4013" spans="1:6" ht="15" thickBot="1" x14ac:dyDescent="0.2">
      <c r="A4013" s="30" t="s">
        <v>13011</v>
      </c>
      <c r="B4013" s="26" t="str">
        <f t="shared" si="62"/>
        <v>603458</v>
      </c>
      <c r="C4013" s="30" t="s">
        <v>7743</v>
      </c>
      <c r="D4013" s="31">
        <v>4.9800000000000004</v>
      </c>
      <c r="E4013" s="31">
        <v>-1.19</v>
      </c>
      <c r="F4013" s="31">
        <v>1550372800</v>
      </c>
    </row>
    <row r="4014" spans="1:6" ht="15" thickBot="1" x14ac:dyDescent="0.2">
      <c r="A4014" s="30" t="s">
        <v>13012</v>
      </c>
      <c r="B4014" s="26" t="str">
        <f t="shared" si="62"/>
        <v>600235</v>
      </c>
      <c r="C4014" s="30" t="s">
        <v>7753</v>
      </c>
      <c r="D4014" s="31">
        <v>4.41</v>
      </c>
      <c r="E4014" s="31">
        <v>-1.1200000000000001</v>
      </c>
      <c r="F4014" s="31">
        <v>1549233000</v>
      </c>
    </row>
    <row r="4015" spans="1:6" ht="15" thickBot="1" x14ac:dyDescent="0.2">
      <c r="A4015" s="30" t="s">
        <v>13013</v>
      </c>
      <c r="B4015" s="26" t="str">
        <f t="shared" si="62"/>
        <v>002133</v>
      </c>
      <c r="C4015" s="30" t="s">
        <v>7779</v>
      </c>
      <c r="D4015" s="31">
        <v>2.0099999999999998</v>
      </c>
      <c r="E4015" s="31">
        <v>0</v>
      </c>
      <c r="F4015" s="31">
        <v>1547439100</v>
      </c>
    </row>
    <row r="4016" spans="1:6" ht="15" thickBot="1" x14ac:dyDescent="0.2">
      <c r="A4016" s="30" t="s">
        <v>13014</v>
      </c>
      <c r="B4016" s="26" t="str">
        <f t="shared" si="62"/>
        <v>688246</v>
      </c>
      <c r="C4016" s="30" t="s">
        <v>6692</v>
      </c>
      <c r="D4016" s="31">
        <v>15.32</v>
      </c>
      <c r="E4016" s="31">
        <v>-4.07</v>
      </c>
      <c r="F4016" s="31">
        <v>1546347100</v>
      </c>
    </row>
    <row r="4017" spans="1:6" ht="15" thickBot="1" x14ac:dyDescent="0.2">
      <c r="A4017" s="30" t="s">
        <v>13015</v>
      </c>
      <c r="B4017" s="26" t="str">
        <f t="shared" si="62"/>
        <v>688310</v>
      </c>
      <c r="C4017" s="30" t="s">
        <v>7599</v>
      </c>
      <c r="D4017" s="31">
        <v>9.35</v>
      </c>
      <c r="E4017" s="31">
        <v>-4.4000000000000004</v>
      </c>
      <c r="F4017" s="31">
        <v>1545272300</v>
      </c>
    </row>
    <row r="4018" spans="1:6" ht="15" thickBot="1" x14ac:dyDescent="0.2">
      <c r="A4018" s="30" t="s">
        <v>13016</v>
      </c>
      <c r="B4018" s="26" t="str">
        <f t="shared" si="62"/>
        <v>300812</v>
      </c>
      <c r="C4018" s="30" t="s">
        <v>6096</v>
      </c>
      <c r="D4018" s="31">
        <v>17.170000000000002</v>
      </c>
      <c r="E4018" s="31">
        <v>-2.66</v>
      </c>
      <c r="F4018" s="31">
        <v>1543028200</v>
      </c>
    </row>
    <row r="4019" spans="1:6" ht="15" thickBot="1" x14ac:dyDescent="0.2">
      <c r="A4019" s="30" t="s">
        <v>13017</v>
      </c>
      <c r="B4019" s="26" t="str">
        <f t="shared" si="62"/>
        <v>301366</v>
      </c>
      <c r="C4019" s="30" t="s">
        <v>13018</v>
      </c>
      <c r="D4019" s="31">
        <v>28.2</v>
      </c>
      <c r="E4019" s="31">
        <v>0.36</v>
      </c>
      <c r="F4019" s="31">
        <v>1542851200</v>
      </c>
    </row>
    <row r="4020" spans="1:6" ht="15" thickBot="1" x14ac:dyDescent="0.2">
      <c r="A4020" s="30" t="s">
        <v>13019</v>
      </c>
      <c r="B4020" s="26" t="str">
        <f t="shared" si="62"/>
        <v>873576</v>
      </c>
      <c r="C4020" s="30" t="s">
        <v>13020</v>
      </c>
      <c r="D4020" s="31">
        <v>14.4</v>
      </c>
      <c r="E4020" s="31">
        <v>-0.42</v>
      </c>
      <c r="F4020" s="31">
        <v>1542671100</v>
      </c>
    </row>
    <row r="4021" spans="1:6" ht="15" thickBot="1" x14ac:dyDescent="0.2">
      <c r="A4021" s="30" t="s">
        <v>13021</v>
      </c>
      <c r="B4021" s="26" t="str">
        <f t="shared" si="62"/>
        <v>002679</v>
      </c>
      <c r="C4021" s="30" t="s">
        <v>7769</v>
      </c>
      <c r="D4021" s="31">
        <v>6.54</v>
      </c>
      <c r="E4021" s="31">
        <v>-2.5299999999999998</v>
      </c>
      <c r="F4021" s="31">
        <v>1541844200</v>
      </c>
    </row>
    <row r="4022" spans="1:6" ht="15" thickBot="1" x14ac:dyDescent="0.2">
      <c r="A4022" s="30" t="s">
        <v>13022</v>
      </c>
      <c r="B4022" s="26" t="str">
        <f t="shared" si="62"/>
        <v>300412</v>
      </c>
      <c r="C4022" s="30" t="s">
        <v>7597</v>
      </c>
      <c r="D4022" s="31">
        <v>3.26</v>
      </c>
      <c r="E4022" s="31">
        <v>-0.91</v>
      </c>
      <c r="F4022" s="31">
        <v>1541688700</v>
      </c>
    </row>
    <row r="4023" spans="1:6" ht="15" thickBot="1" x14ac:dyDescent="0.2">
      <c r="A4023" s="30" t="s">
        <v>13023</v>
      </c>
      <c r="B4023" s="26" t="str">
        <f t="shared" si="62"/>
        <v>300936</v>
      </c>
      <c r="C4023" s="30" t="s">
        <v>6174</v>
      </c>
      <c r="D4023" s="31">
        <v>32.479999999999997</v>
      </c>
      <c r="E4023" s="31">
        <v>4.7699999999999996</v>
      </c>
      <c r="F4023" s="31">
        <v>1541509700</v>
      </c>
    </row>
    <row r="4024" spans="1:6" ht="15" thickBot="1" x14ac:dyDescent="0.2">
      <c r="A4024" s="30" t="s">
        <v>13024</v>
      </c>
      <c r="B4024" s="26" t="str">
        <f t="shared" si="62"/>
        <v>603255</v>
      </c>
      <c r="C4024" s="30" t="s">
        <v>13025</v>
      </c>
      <c r="D4024" s="31">
        <v>25.4</v>
      </c>
      <c r="E4024" s="31">
        <v>0.04</v>
      </c>
      <c r="F4024" s="31">
        <v>1541151300</v>
      </c>
    </row>
    <row r="4025" spans="1:6" ht="15" thickBot="1" x14ac:dyDescent="0.2">
      <c r="A4025" s="30" t="s">
        <v>13026</v>
      </c>
      <c r="B4025" s="26" t="str">
        <f t="shared" si="62"/>
        <v>002687</v>
      </c>
      <c r="C4025" s="30" t="s">
        <v>7169</v>
      </c>
      <c r="D4025" s="31">
        <v>3.73</v>
      </c>
      <c r="E4025" s="31">
        <v>-0.53</v>
      </c>
      <c r="F4025" s="31">
        <v>1540090500</v>
      </c>
    </row>
    <row r="4026" spans="1:6" ht="15" thickBot="1" x14ac:dyDescent="0.2">
      <c r="A4026" s="30" t="s">
        <v>13027</v>
      </c>
      <c r="B4026" s="26" t="str">
        <f t="shared" si="62"/>
        <v>002942</v>
      </c>
      <c r="C4026" s="30" t="s">
        <v>7349</v>
      </c>
      <c r="D4026" s="31">
        <v>10.99</v>
      </c>
      <c r="E4026" s="31">
        <v>-4.0999999999999996</v>
      </c>
      <c r="F4026" s="31">
        <v>1538587500</v>
      </c>
    </row>
    <row r="4027" spans="1:6" ht="15" thickBot="1" x14ac:dyDescent="0.2">
      <c r="A4027" s="30" t="s">
        <v>13028</v>
      </c>
      <c r="B4027" s="26" t="str">
        <f t="shared" si="62"/>
        <v>000007</v>
      </c>
      <c r="C4027" s="30" t="s">
        <v>7683</v>
      </c>
      <c r="D4027" s="31">
        <v>4.9800000000000004</v>
      </c>
      <c r="E4027" s="31">
        <v>5.0599999999999996</v>
      </c>
      <c r="F4027" s="31">
        <v>1538561300</v>
      </c>
    </row>
    <row r="4028" spans="1:6" ht="15" thickBot="1" x14ac:dyDescent="0.2">
      <c r="A4028" s="30" t="s">
        <v>13029</v>
      </c>
      <c r="B4028" s="26" t="str">
        <f t="shared" si="62"/>
        <v>003005</v>
      </c>
      <c r="C4028" s="30" t="s">
        <v>5328</v>
      </c>
      <c r="D4028" s="31">
        <v>20.82</v>
      </c>
      <c r="E4028" s="31">
        <v>-1.28</v>
      </c>
      <c r="F4028" s="31">
        <v>1536954900</v>
      </c>
    </row>
    <row r="4029" spans="1:6" ht="15" thickBot="1" x14ac:dyDescent="0.2">
      <c r="A4029" s="30" t="s">
        <v>13030</v>
      </c>
      <c r="B4029" s="26" t="str">
        <f t="shared" si="62"/>
        <v>300829</v>
      </c>
      <c r="C4029" s="30" t="s">
        <v>6370</v>
      </c>
      <c r="D4029" s="31">
        <v>12.2</v>
      </c>
      <c r="E4029" s="31">
        <v>-2.09</v>
      </c>
      <c r="F4029" s="31">
        <v>1536192400</v>
      </c>
    </row>
    <row r="4030" spans="1:6" ht="15" thickBot="1" x14ac:dyDescent="0.2">
      <c r="A4030" s="30" t="s">
        <v>13031</v>
      </c>
      <c r="B4030" s="26" t="str">
        <f t="shared" si="62"/>
        <v>002899</v>
      </c>
      <c r="C4030" s="30" t="s">
        <v>7237</v>
      </c>
      <c r="D4030" s="31">
        <v>12.8</v>
      </c>
      <c r="E4030" s="31">
        <v>1.75</v>
      </c>
      <c r="F4030" s="31">
        <v>1536000000</v>
      </c>
    </row>
    <row r="4031" spans="1:6" ht="15" thickBot="1" x14ac:dyDescent="0.2">
      <c r="A4031" s="30" t="s">
        <v>13032</v>
      </c>
      <c r="B4031" s="26" t="str">
        <f t="shared" si="62"/>
        <v>600793</v>
      </c>
      <c r="C4031" s="30" t="s">
        <v>7791</v>
      </c>
      <c r="D4031" s="31">
        <v>8.68</v>
      </c>
      <c r="E4031" s="31">
        <v>-1.36</v>
      </c>
      <c r="F4031" s="31">
        <v>1535526700</v>
      </c>
    </row>
    <row r="4032" spans="1:6" ht="15" thickBot="1" x14ac:dyDescent="0.2">
      <c r="A4032" s="30" t="s">
        <v>13033</v>
      </c>
      <c r="B4032" s="26" t="str">
        <f t="shared" si="62"/>
        <v>000692</v>
      </c>
      <c r="C4032" s="30" t="s">
        <v>7859</v>
      </c>
      <c r="D4032" s="31">
        <v>2.88</v>
      </c>
      <c r="E4032" s="31">
        <v>3.97</v>
      </c>
      <c r="F4032" s="31">
        <v>1534559000</v>
      </c>
    </row>
    <row r="4033" spans="1:6" ht="15" thickBot="1" x14ac:dyDescent="0.2">
      <c r="A4033" s="30" t="s">
        <v>13034</v>
      </c>
      <c r="B4033" s="26" t="str">
        <f t="shared" si="62"/>
        <v>300150</v>
      </c>
      <c r="C4033" s="30" t="s">
        <v>7435</v>
      </c>
      <c r="D4033" s="31">
        <v>2.98</v>
      </c>
      <c r="E4033" s="31">
        <v>-1.65</v>
      </c>
      <c r="F4033" s="31">
        <v>1533907100</v>
      </c>
    </row>
    <row r="4034" spans="1:6" ht="15" thickBot="1" x14ac:dyDescent="0.2">
      <c r="A4034" s="30" t="s">
        <v>13035</v>
      </c>
      <c r="B4034" s="26" t="str">
        <f t="shared" si="62"/>
        <v>300422</v>
      </c>
      <c r="C4034" s="30" t="s">
        <v>7039</v>
      </c>
      <c r="D4034" s="31">
        <v>3.67</v>
      </c>
      <c r="E4034" s="31">
        <v>-2.91</v>
      </c>
      <c r="F4034" s="31">
        <v>1532343000</v>
      </c>
    </row>
    <row r="4035" spans="1:6" ht="15" thickBot="1" x14ac:dyDescent="0.2">
      <c r="A4035" s="30" t="s">
        <v>13036</v>
      </c>
      <c r="B4035" s="26" t="str">
        <f t="shared" ref="B4035:B4098" si="63">LEFT(A4035,6)</f>
        <v>688458</v>
      </c>
      <c r="C4035" s="30" t="s">
        <v>13037</v>
      </c>
      <c r="D4035" s="31">
        <v>20.39</v>
      </c>
      <c r="E4035" s="31">
        <v>-0.05</v>
      </c>
      <c r="F4035" s="31">
        <v>1531438900</v>
      </c>
    </row>
    <row r="4036" spans="1:6" ht="15" thickBot="1" x14ac:dyDescent="0.2">
      <c r="A4036" s="30" t="s">
        <v>13038</v>
      </c>
      <c r="B4036" s="26" t="str">
        <f t="shared" si="63"/>
        <v>300543</v>
      </c>
      <c r="C4036" s="30" t="s">
        <v>7009</v>
      </c>
      <c r="D4036" s="31">
        <v>7.24</v>
      </c>
      <c r="E4036" s="31">
        <v>-1.76</v>
      </c>
      <c r="F4036" s="31">
        <v>1530671300</v>
      </c>
    </row>
    <row r="4037" spans="1:6" ht="15" thickBot="1" x14ac:dyDescent="0.2">
      <c r="A4037" s="30" t="s">
        <v>13039</v>
      </c>
      <c r="B4037" s="26" t="str">
        <f t="shared" si="63"/>
        <v>688078</v>
      </c>
      <c r="C4037" s="30" t="s">
        <v>7725</v>
      </c>
      <c r="D4037" s="31">
        <v>20.99</v>
      </c>
      <c r="E4037" s="31">
        <v>-2.0499999999999998</v>
      </c>
      <c r="F4037" s="31">
        <v>1530024100</v>
      </c>
    </row>
    <row r="4038" spans="1:6" ht="15" thickBot="1" x14ac:dyDescent="0.2">
      <c r="A4038" s="30" t="s">
        <v>13040</v>
      </c>
      <c r="B4038" s="26" t="str">
        <f t="shared" si="63"/>
        <v>002084</v>
      </c>
      <c r="C4038" s="30" t="s">
        <v>7745</v>
      </c>
      <c r="D4038" s="31">
        <v>2.36</v>
      </c>
      <c r="E4038" s="31">
        <v>-2.08</v>
      </c>
      <c r="F4038" s="31">
        <v>1527412000</v>
      </c>
    </row>
    <row r="4039" spans="1:6" ht="15" thickBot="1" x14ac:dyDescent="0.2">
      <c r="A4039" s="30" t="s">
        <v>13041</v>
      </c>
      <c r="B4039" s="26" t="str">
        <f t="shared" si="63"/>
        <v>688652</v>
      </c>
      <c r="C4039" s="30" t="s">
        <v>13042</v>
      </c>
      <c r="D4039" s="31">
        <v>37.81</v>
      </c>
      <c r="E4039" s="31">
        <v>-1.59</v>
      </c>
      <c r="F4039" s="31">
        <v>1524499200</v>
      </c>
    </row>
    <row r="4040" spans="1:6" ht="15" thickBot="1" x14ac:dyDescent="0.2">
      <c r="A4040" s="30" t="s">
        <v>13043</v>
      </c>
      <c r="B4040" s="26" t="str">
        <f t="shared" si="63"/>
        <v>002377</v>
      </c>
      <c r="C4040" s="30" t="s">
        <v>7787</v>
      </c>
      <c r="D4040" s="31">
        <v>1.68</v>
      </c>
      <c r="E4040" s="31">
        <v>-1.75</v>
      </c>
      <c r="F4040" s="31">
        <v>1523276700</v>
      </c>
    </row>
    <row r="4041" spans="1:6" ht="15" thickBot="1" x14ac:dyDescent="0.2">
      <c r="A4041" s="30" t="s">
        <v>13044</v>
      </c>
      <c r="B4041" s="26" t="str">
        <f t="shared" si="63"/>
        <v>000004</v>
      </c>
      <c r="C4041" s="30" t="s">
        <v>7727</v>
      </c>
      <c r="D4041" s="31">
        <v>12.06</v>
      </c>
      <c r="E4041" s="31">
        <v>10.039999999999999</v>
      </c>
      <c r="F4041" s="31">
        <v>1523034400</v>
      </c>
    </row>
    <row r="4042" spans="1:6" ht="15" thickBot="1" x14ac:dyDescent="0.2">
      <c r="A4042" s="30" t="s">
        <v>13045</v>
      </c>
      <c r="B4042" s="26" t="str">
        <f t="shared" si="63"/>
        <v>300264</v>
      </c>
      <c r="C4042" s="30" t="s">
        <v>7263</v>
      </c>
      <c r="D4042" s="31">
        <v>4.1100000000000003</v>
      </c>
      <c r="E4042" s="31">
        <v>-2.61</v>
      </c>
      <c r="F4042" s="31">
        <v>1522294800</v>
      </c>
    </row>
    <row r="4043" spans="1:6" ht="15" thickBot="1" x14ac:dyDescent="0.2">
      <c r="A4043" s="30" t="s">
        <v>13046</v>
      </c>
      <c r="B4043" s="26" t="str">
        <f t="shared" si="63"/>
        <v>688170</v>
      </c>
      <c r="C4043" s="30" t="s">
        <v>13047</v>
      </c>
      <c r="D4043" s="31">
        <v>19.11</v>
      </c>
      <c r="E4043" s="31">
        <v>-3.04</v>
      </c>
      <c r="F4043" s="31">
        <v>1521442700</v>
      </c>
    </row>
    <row r="4044" spans="1:6" ht="15" thickBot="1" x14ac:dyDescent="0.2">
      <c r="A4044" s="30" t="s">
        <v>13048</v>
      </c>
      <c r="B4044" s="26" t="str">
        <f t="shared" si="63"/>
        <v>300157</v>
      </c>
      <c r="C4044" s="30" t="s">
        <v>7623</v>
      </c>
      <c r="D4044" s="31">
        <v>2.1800000000000002</v>
      </c>
      <c r="E4044" s="31">
        <v>-2.2400000000000002</v>
      </c>
      <c r="F4044" s="31">
        <v>1520635300</v>
      </c>
    </row>
    <row r="4045" spans="1:6" ht="15" thickBot="1" x14ac:dyDescent="0.2">
      <c r="A4045" s="30" t="s">
        <v>13049</v>
      </c>
      <c r="B4045" s="26" t="str">
        <f t="shared" si="63"/>
        <v>688060</v>
      </c>
      <c r="C4045" s="30" t="s">
        <v>7701</v>
      </c>
      <c r="D4045" s="31">
        <v>25.24</v>
      </c>
      <c r="E4045" s="31">
        <v>-2.62</v>
      </c>
      <c r="F4045" s="31">
        <v>1519214000</v>
      </c>
    </row>
    <row r="4046" spans="1:6" ht="15" thickBot="1" x14ac:dyDescent="0.2">
      <c r="A4046" s="30" t="s">
        <v>13050</v>
      </c>
      <c r="B4046" s="26" t="str">
        <f t="shared" si="63"/>
        <v>002076</v>
      </c>
      <c r="C4046" s="30" t="s">
        <v>7587</v>
      </c>
      <c r="D4046" s="31">
        <v>1.47</v>
      </c>
      <c r="E4046" s="31">
        <v>-2</v>
      </c>
      <c r="F4046" s="31">
        <v>1518879300</v>
      </c>
    </row>
    <row r="4047" spans="1:6" ht="15" thickBot="1" x14ac:dyDescent="0.2">
      <c r="A4047" s="30" t="s">
        <v>13051</v>
      </c>
      <c r="B4047" s="26" t="str">
        <f t="shared" si="63"/>
        <v>300786</v>
      </c>
      <c r="C4047" s="30" t="s">
        <v>7191</v>
      </c>
      <c r="D4047" s="31">
        <v>10.34</v>
      </c>
      <c r="E4047" s="31">
        <v>5.73</v>
      </c>
      <c r="F4047" s="31">
        <v>1516892900</v>
      </c>
    </row>
    <row r="4048" spans="1:6" ht="15" thickBot="1" x14ac:dyDescent="0.2">
      <c r="A4048" s="30" t="s">
        <v>13052</v>
      </c>
      <c r="B4048" s="26" t="str">
        <f t="shared" si="63"/>
        <v>603183</v>
      </c>
      <c r="C4048" s="30" t="s">
        <v>7799</v>
      </c>
      <c r="D4048" s="31">
        <v>3.05</v>
      </c>
      <c r="E4048" s="31">
        <v>-0.97</v>
      </c>
      <c r="F4048" s="31">
        <v>1516317400</v>
      </c>
    </row>
    <row r="4049" spans="1:6" ht="15" thickBot="1" x14ac:dyDescent="0.2">
      <c r="A4049" s="30" t="s">
        <v>13053</v>
      </c>
      <c r="B4049" s="26" t="str">
        <f t="shared" si="63"/>
        <v>300500</v>
      </c>
      <c r="C4049" s="30" t="s">
        <v>7555</v>
      </c>
      <c r="D4049" s="31">
        <v>9.2899999999999991</v>
      </c>
      <c r="E4049" s="31">
        <v>-5.69</v>
      </c>
      <c r="F4049" s="31">
        <v>1516281600</v>
      </c>
    </row>
    <row r="4050" spans="1:6" ht="15" thickBot="1" x14ac:dyDescent="0.2">
      <c r="A4050" s="30" t="s">
        <v>13054</v>
      </c>
      <c r="B4050" s="26" t="str">
        <f t="shared" si="63"/>
        <v>300334</v>
      </c>
      <c r="C4050" s="30" t="s">
        <v>7763</v>
      </c>
      <c r="D4050" s="31">
        <v>5.0199999999999996</v>
      </c>
      <c r="E4050" s="31">
        <v>-2.9</v>
      </c>
      <c r="F4050" s="31">
        <v>1516189400</v>
      </c>
    </row>
    <row r="4051" spans="1:6" ht="15" thickBot="1" x14ac:dyDescent="0.2">
      <c r="A4051" s="30" t="s">
        <v>13055</v>
      </c>
      <c r="B4051" s="26" t="str">
        <f t="shared" si="63"/>
        <v>688189</v>
      </c>
      <c r="C4051" s="30" t="s">
        <v>7773</v>
      </c>
      <c r="D4051" s="31">
        <v>5.52</v>
      </c>
      <c r="E4051" s="31">
        <v>-3.5</v>
      </c>
      <c r="F4051" s="31">
        <v>1514688000</v>
      </c>
    </row>
    <row r="4052" spans="1:6" ht="15" thickBot="1" x14ac:dyDescent="0.2">
      <c r="A4052" s="30" t="s">
        <v>13056</v>
      </c>
      <c r="B4052" s="26" t="str">
        <f t="shared" si="63"/>
        <v>300154</v>
      </c>
      <c r="C4052" s="30" t="s">
        <v>6716</v>
      </c>
      <c r="D4052" s="31">
        <v>4.8</v>
      </c>
      <c r="E4052" s="31">
        <v>-1.64</v>
      </c>
      <c r="F4052" s="31">
        <v>1513461400</v>
      </c>
    </row>
    <row r="4053" spans="1:6" ht="15" thickBot="1" x14ac:dyDescent="0.2">
      <c r="A4053" s="30" t="s">
        <v>13057</v>
      </c>
      <c r="B4053" s="26" t="str">
        <f t="shared" si="63"/>
        <v>002774</v>
      </c>
      <c r="C4053" s="30" t="s">
        <v>7319</v>
      </c>
      <c r="D4053" s="31">
        <v>5.37</v>
      </c>
      <c r="E4053" s="31">
        <v>-0.37</v>
      </c>
      <c r="F4053" s="31">
        <v>1513115300</v>
      </c>
    </row>
    <row r="4054" spans="1:6" ht="15" thickBot="1" x14ac:dyDescent="0.2">
      <c r="A4054" s="30" t="s">
        <v>13058</v>
      </c>
      <c r="B4054" s="26" t="str">
        <f t="shared" si="63"/>
        <v>002969</v>
      </c>
      <c r="C4054" s="30" t="s">
        <v>6196</v>
      </c>
      <c r="D4054" s="31">
        <v>2.62</v>
      </c>
      <c r="E4054" s="31">
        <v>-2.2400000000000002</v>
      </c>
      <c r="F4054" s="31">
        <v>1511660700</v>
      </c>
    </row>
    <row r="4055" spans="1:6" ht="15" thickBot="1" x14ac:dyDescent="0.2">
      <c r="A4055" s="30" t="s">
        <v>13059</v>
      </c>
      <c r="B4055" s="26" t="str">
        <f t="shared" si="63"/>
        <v>688557</v>
      </c>
      <c r="C4055" s="30" t="s">
        <v>7685</v>
      </c>
      <c r="D4055" s="31">
        <v>14.79</v>
      </c>
      <c r="E4055" s="31">
        <v>-2.57</v>
      </c>
      <c r="F4055" s="31">
        <v>1511656000</v>
      </c>
    </row>
    <row r="4056" spans="1:6" ht="15" thickBot="1" x14ac:dyDescent="0.2">
      <c r="A4056" s="30" t="s">
        <v>13060</v>
      </c>
      <c r="B4056" s="26" t="str">
        <f t="shared" si="63"/>
        <v>688229</v>
      </c>
      <c r="C4056" s="30" t="s">
        <v>7681</v>
      </c>
      <c r="D4056" s="31">
        <v>34.04</v>
      </c>
      <c r="E4056" s="31">
        <v>-2.21</v>
      </c>
      <c r="F4056" s="31">
        <v>1511376000</v>
      </c>
    </row>
    <row r="4057" spans="1:6" ht="15" thickBot="1" x14ac:dyDescent="0.2">
      <c r="A4057" s="30" t="s">
        <v>13061</v>
      </c>
      <c r="B4057" s="26" t="str">
        <f t="shared" si="63"/>
        <v>688098</v>
      </c>
      <c r="C4057" s="30" t="s">
        <v>7719</v>
      </c>
      <c r="D4057" s="31">
        <v>3.68</v>
      </c>
      <c r="E4057" s="31">
        <v>-2.65</v>
      </c>
      <c r="F4057" s="31">
        <v>1511169900</v>
      </c>
    </row>
    <row r="4058" spans="1:6" ht="15" thickBot="1" x14ac:dyDescent="0.2">
      <c r="A4058" s="30" t="s">
        <v>13062</v>
      </c>
      <c r="B4058" s="26" t="str">
        <f t="shared" si="63"/>
        <v>300668</v>
      </c>
      <c r="C4058" s="30" t="s">
        <v>7037</v>
      </c>
      <c r="D4058" s="31">
        <v>17.11</v>
      </c>
      <c r="E4058" s="31">
        <v>-3.88</v>
      </c>
      <c r="F4058" s="31">
        <v>1510535700</v>
      </c>
    </row>
    <row r="4059" spans="1:6" ht="15" thickBot="1" x14ac:dyDescent="0.2">
      <c r="A4059" s="30" t="s">
        <v>13063</v>
      </c>
      <c r="B4059" s="26" t="str">
        <f t="shared" si="63"/>
        <v>300756</v>
      </c>
      <c r="C4059" s="30" t="s">
        <v>7275</v>
      </c>
      <c r="D4059" s="31">
        <v>11.5</v>
      </c>
      <c r="E4059" s="31">
        <v>-0.43</v>
      </c>
      <c r="F4059" s="31">
        <v>1509149100</v>
      </c>
    </row>
    <row r="4060" spans="1:6" ht="15" thickBot="1" x14ac:dyDescent="0.2">
      <c r="A4060" s="30" t="s">
        <v>13064</v>
      </c>
      <c r="B4060" s="26" t="str">
        <f t="shared" si="63"/>
        <v>002743</v>
      </c>
      <c r="C4060" s="30" t="s">
        <v>7771</v>
      </c>
      <c r="D4060" s="31">
        <v>3.47</v>
      </c>
      <c r="E4060" s="31">
        <v>-1.7</v>
      </c>
      <c r="F4060" s="31">
        <v>1507961300</v>
      </c>
    </row>
    <row r="4061" spans="1:6" ht="15" thickBot="1" x14ac:dyDescent="0.2">
      <c r="A4061" s="30" t="s">
        <v>13065</v>
      </c>
      <c r="B4061" s="26" t="str">
        <f t="shared" si="63"/>
        <v>002918</v>
      </c>
      <c r="C4061" s="30" t="s">
        <v>5615</v>
      </c>
      <c r="D4061" s="31">
        <v>6.87</v>
      </c>
      <c r="E4061" s="31">
        <v>-1.1499999999999999</v>
      </c>
      <c r="F4061" s="31">
        <v>1507703500</v>
      </c>
    </row>
    <row r="4062" spans="1:6" ht="15" thickBot="1" x14ac:dyDescent="0.2">
      <c r="A4062" s="30" t="s">
        <v>13066</v>
      </c>
      <c r="B4062" s="26" t="str">
        <f t="shared" si="63"/>
        <v>688218</v>
      </c>
      <c r="C4062" s="30" t="s">
        <v>7695</v>
      </c>
      <c r="D4062" s="31">
        <v>12.72</v>
      </c>
      <c r="E4062" s="31">
        <v>-1.24</v>
      </c>
      <c r="F4062" s="31">
        <v>1507541400</v>
      </c>
    </row>
    <row r="4063" spans="1:6" ht="15" thickBot="1" x14ac:dyDescent="0.2">
      <c r="A4063" s="30" t="s">
        <v>13067</v>
      </c>
      <c r="B4063" s="26" t="str">
        <f t="shared" si="63"/>
        <v>300112</v>
      </c>
      <c r="C4063" s="30" t="s">
        <v>7029</v>
      </c>
      <c r="D4063" s="31">
        <v>6.79</v>
      </c>
      <c r="E4063" s="31">
        <v>-0.73</v>
      </c>
      <c r="F4063" s="31">
        <v>1506685300</v>
      </c>
    </row>
    <row r="4064" spans="1:6" ht="15" thickBot="1" x14ac:dyDescent="0.2">
      <c r="A4064" s="30" t="s">
        <v>13068</v>
      </c>
      <c r="B4064" s="26" t="str">
        <f t="shared" si="63"/>
        <v>600735</v>
      </c>
      <c r="C4064" s="30" t="s">
        <v>7797</v>
      </c>
      <c r="D4064" s="31">
        <v>3.54</v>
      </c>
      <c r="E4064" s="31">
        <v>-3.28</v>
      </c>
      <c r="F4064" s="31">
        <v>1506099500</v>
      </c>
    </row>
    <row r="4065" spans="1:6" ht="15" thickBot="1" x14ac:dyDescent="0.2">
      <c r="A4065" s="30" t="s">
        <v>13069</v>
      </c>
      <c r="B4065" s="26" t="str">
        <f t="shared" si="63"/>
        <v>600355</v>
      </c>
      <c r="C4065" s="30" t="s">
        <v>7815</v>
      </c>
      <c r="D4065" s="31">
        <v>3.06</v>
      </c>
      <c r="E4065" s="31">
        <v>0.33</v>
      </c>
      <c r="F4065" s="31">
        <v>1505793000</v>
      </c>
    </row>
    <row r="4066" spans="1:6" ht="15" thickBot="1" x14ac:dyDescent="0.2">
      <c r="A4066" s="30" t="s">
        <v>13070</v>
      </c>
      <c r="B4066" s="26" t="str">
        <f t="shared" si="63"/>
        <v>688602</v>
      </c>
      <c r="C4066" s="30" t="s">
        <v>13071</v>
      </c>
      <c r="D4066" s="31">
        <v>5.9</v>
      </c>
      <c r="E4066" s="31">
        <v>1.38</v>
      </c>
      <c r="F4066" s="31">
        <v>1504365600</v>
      </c>
    </row>
    <row r="4067" spans="1:6" ht="15" thickBot="1" x14ac:dyDescent="0.2">
      <c r="A4067" s="30" t="s">
        <v>13072</v>
      </c>
      <c r="B4067" s="26" t="str">
        <f t="shared" si="63"/>
        <v>688216</v>
      </c>
      <c r="C4067" s="30" t="s">
        <v>7639</v>
      </c>
      <c r="D4067" s="31">
        <v>14.15</v>
      </c>
      <c r="E4067" s="31">
        <v>-2.68</v>
      </c>
      <c r="F4067" s="31">
        <v>1503720500</v>
      </c>
    </row>
    <row r="4068" spans="1:6" ht="15" thickBot="1" x14ac:dyDescent="0.2">
      <c r="A4068" s="30" t="s">
        <v>13073</v>
      </c>
      <c r="B4068" s="26" t="str">
        <f t="shared" si="63"/>
        <v>300546</v>
      </c>
      <c r="C4068" s="30" t="s">
        <v>6815</v>
      </c>
      <c r="D4068" s="31">
        <v>11.3</v>
      </c>
      <c r="E4068" s="31">
        <v>-0.18</v>
      </c>
      <c r="F4068" s="31">
        <v>1503333000</v>
      </c>
    </row>
    <row r="4069" spans="1:6" ht="15" thickBot="1" x14ac:dyDescent="0.2">
      <c r="A4069" s="30" t="s">
        <v>13074</v>
      </c>
      <c r="B4069" s="26" t="str">
        <f t="shared" si="63"/>
        <v>832735</v>
      </c>
      <c r="C4069" s="30" t="s">
        <v>7533</v>
      </c>
      <c r="D4069" s="31">
        <v>21.73</v>
      </c>
      <c r="E4069" s="31">
        <v>-0.37</v>
      </c>
      <c r="F4069" s="31">
        <v>1503096400</v>
      </c>
    </row>
    <row r="4070" spans="1:6" ht="15" thickBot="1" x14ac:dyDescent="0.2">
      <c r="A4070" s="30" t="s">
        <v>13075</v>
      </c>
      <c r="B4070" s="26" t="str">
        <f t="shared" si="63"/>
        <v>301085</v>
      </c>
      <c r="C4070" s="30" t="s">
        <v>13076</v>
      </c>
      <c r="D4070" s="31">
        <v>37.94</v>
      </c>
      <c r="E4070" s="31">
        <v>-1.46</v>
      </c>
      <c r="F4070" s="31">
        <v>1501864500</v>
      </c>
    </row>
    <row r="4071" spans="1:6" ht="15" thickBot="1" x14ac:dyDescent="0.2">
      <c r="A4071" s="30" t="s">
        <v>13077</v>
      </c>
      <c r="B4071" s="26" t="str">
        <f t="shared" si="63"/>
        <v>002551</v>
      </c>
      <c r="C4071" s="30" t="s">
        <v>6883</v>
      </c>
      <c r="D4071" s="31">
        <v>2.46</v>
      </c>
      <c r="E4071" s="31">
        <v>-4.28</v>
      </c>
      <c r="F4071" s="31">
        <v>1501556000</v>
      </c>
    </row>
    <row r="4072" spans="1:6" ht="15" thickBot="1" x14ac:dyDescent="0.2">
      <c r="A4072" s="30" t="s">
        <v>13078</v>
      </c>
      <c r="B4072" s="26" t="str">
        <f t="shared" si="63"/>
        <v>600243</v>
      </c>
      <c r="C4072" s="30" t="s">
        <v>7813</v>
      </c>
      <c r="D4072" s="31">
        <v>3.42</v>
      </c>
      <c r="E4072" s="31">
        <v>-1.44</v>
      </c>
      <c r="F4072" s="31">
        <v>1500867000</v>
      </c>
    </row>
    <row r="4073" spans="1:6" ht="15" thickBot="1" x14ac:dyDescent="0.2">
      <c r="A4073" s="30" t="s">
        <v>13079</v>
      </c>
      <c r="B4073" s="26" t="str">
        <f t="shared" si="63"/>
        <v>300584</v>
      </c>
      <c r="C4073" s="30" t="s">
        <v>6554</v>
      </c>
      <c r="D4073" s="31">
        <v>18.27</v>
      </c>
      <c r="E4073" s="31">
        <v>-1.83</v>
      </c>
      <c r="F4073" s="31">
        <v>1500307200</v>
      </c>
    </row>
    <row r="4074" spans="1:6" ht="15" thickBot="1" x14ac:dyDescent="0.2">
      <c r="A4074" s="30" t="s">
        <v>13080</v>
      </c>
      <c r="B4074" s="26" t="str">
        <f t="shared" si="63"/>
        <v>300849</v>
      </c>
      <c r="C4074" s="30" t="s">
        <v>7221</v>
      </c>
      <c r="D4074" s="31">
        <v>12.35</v>
      </c>
      <c r="E4074" s="31">
        <v>-0.72</v>
      </c>
      <c r="F4074" s="31">
        <v>1500130100</v>
      </c>
    </row>
    <row r="4075" spans="1:6" ht="15" thickBot="1" x14ac:dyDescent="0.2">
      <c r="A4075" s="30" t="s">
        <v>13081</v>
      </c>
      <c r="B4075" s="26" t="str">
        <f t="shared" si="63"/>
        <v>301330</v>
      </c>
      <c r="C4075" s="30" t="s">
        <v>13082</v>
      </c>
      <c r="D4075" s="31">
        <v>19.98</v>
      </c>
      <c r="E4075" s="31">
        <v>0.3</v>
      </c>
      <c r="F4075" s="31">
        <v>1498246400</v>
      </c>
    </row>
    <row r="4076" spans="1:6" ht="15" thickBot="1" x14ac:dyDescent="0.2">
      <c r="A4076" s="30" t="s">
        <v>13083</v>
      </c>
      <c r="B4076" s="26" t="str">
        <f t="shared" si="63"/>
        <v>301101</v>
      </c>
      <c r="C4076" s="30" t="s">
        <v>13084</v>
      </c>
      <c r="D4076" s="31">
        <v>20.96</v>
      </c>
      <c r="E4076" s="31">
        <v>-2.06</v>
      </c>
      <c r="F4076" s="31">
        <v>1497971400</v>
      </c>
    </row>
    <row r="4077" spans="1:6" ht="15" thickBot="1" x14ac:dyDescent="0.2">
      <c r="A4077" s="30" t="s">
        <v>13085</v>
      </c>
      <c r="B4077" s="26" t="str">
        <f t="shared" si="63"/>
        <v>002723</v>
      </c>
      <c r="C4077" s="30" t="s">
        <v>7717</v>
      </c>
      <c r="D4077" s="31">
        <v>4.72</v>
      </c>
      <c r="E4077" s="31">
        <v>-2.08</v>
      </c>
      <c r="F4077" s="31">
        <v>1497089900</v>
      </c>
    </row>
    <row r="4078" spans="1:6" ht="15" thickBot="1" x14ac:dyDescent="0.2">
      <c r="A4078" s="30" t="s">
        <v>13086</v>
      </c>
      <c r="B4078" s="26" t="str">
        <f t="shared" si="63"/>
        <v>605122</v>
      </c>
      <c r="C4078" s="30" t="s">
        <v>13087</v>
      </c>
      <c r="D4078" s="31">
        <v>8.68</v>
      </c>
      <c r="E4078" s="31">
        <v>-1.25</v>
      </c>
      <c r="F4078" s="31">
        <v>1496032700</v>
      </c>
    </row>
    <row r="4079" spans="1:6" ht="15" thickBot="1" x14ac:dyDescent="0.2">
      <c r="A4079" s="30" t="s">
        <v>13088</v>
      </c>
      <c r="B4079" s="26" t="str">
        <f t="shared" si="63"/>
        <v>301041</v>
      </c>
      <c r="C4079" s="30" t="s">
        <v>6684</v>
      </c>
      <c r="D4079" s="31">
        <v>18.96</v>
      </c>
      <c r="E4079" s="31">
        <v>-3.02</v>
      </c>
      <c r="F4079" s="31">
        <v>1496015400</v>
      </c>
    </row>
    <row r="4080" spans="1:6" ht="15" thickBot="1" x14ac:dyDescent="0.2">
      <c r="A4080" s="30" t="s">
        <v>13089</v>
      </c>
      <c r="B4080" s="26" t="str">
        <f t="shared" si="63"/>
        <v>002529</v>
      </c>
      <c r="C4080" s="30" t="s">
        <v>7829</v>
      </c>
      <c r="D4080" s="31">
        <v>5.75</v>
      </c>
      <c r="E4080" s="31">
        <v>-0.17</v>
      </c>
      <c r="F4080" s="31">
        <v>1495000000</v>
      </c>
    </row>
    <row r="4081" spans="1:6" ht="15" thickBot="1" x14ac:dyDescent="0.2">
      <c r="A4081" s="30" t="s">
        <v>13090</v>
      </c>
      <c r="B4081" s="26" t="str">
        <f t="shared" si="63"/>
        <v>688069</v>
      </c>
      <c r="C4081" s="30" t="s">
        <v>7793</v>
      </c>
      <c r="D4081" s="31">
        <v>13.22</v>
      </c>
      <c r="E4081" s="31">
        <v>-0.45</v>
      </c>
      <c r="F4081" s="31">
        <v>1493860000</v>
      </c>
    </row>
    <row r="4082" spans="1:6" ht="15" thickBot="1" x14ac:dyDescent="0.2">
      <c r="A4082" s="30" t="s">
        <v>13091</v>
      </c>
      <c r="B4082" s="26" t="str">
        <f t="shared" si="63"/>
        <v>002582</v>
      </c>
      <c r="C4082" s="30" t="s">
        <v>6945</v>
      </c>
      <c r="D4082" s="31">
        <v>4.3499999999999996</v>
      </c>
      <c r="E4082" s="31">
        <v>-2.0299999999999998</v>
      </c>
      <c r="F4082" s="31">
        <v>1493483900</v>
      </c>
    </row>
    <row r="4083" spans="1:6" ht="15" thickBot="1" x14ac:dyDescent="0.2">
      <c r="A4083" s="30" t="s">
        <v>13092</v>
      </c>
      <c r="B4083" s="26" t="str">
        <f t="shared" si="63"/>
        <v>300625</v>
      </c>
      <c r="C4083" s="30" t="s">
        <v>6108</v>
      </c>
      <c r="D4083" s="31">
        <v>9.15</v>
      </c>
      <c r="E4083" s="31">
        <v>-0.44</v>
      </c>
      <c r="F4083" s="31">
        <v>1492593300</v>
      </c>
    </row>
    <row r="4084" spans="1:6" ht="15" thickBot="1" x14ac:dyDescent="0.2">
      <c r="A4084" s="30" t="s">
        <v>13093</v>
      </c>
      <c r="B4084" s="26" t="str">
        <f t="shared" si="63"/>
        <v>605155</v>
      </c>
      <c r="C4084" s="30" t="s">
        <v>7765</v>
      </c>
      <c r="D4084" s="31">
        <v>7.89</v>
      </c>
      <c r="E4084" s="31">
        <v>-1.25</v>
      </c>
      <c r="F4084" s="31">
        <v>1491978800</v>
      </c>
    </row>
    <row r="4085" spans="1:6" ht="15" thickBot="1" x14ac:dyDescent="0.2">
      <c r="A4085" s="30" t="s">
        <v>13094</v>
      </c>
      <c r="B4085" s="26" t="str">
        <f t="shared" si="63"/>
        <v>300836</v>
      </c>
      <c r="C4085" s="30" t="s">
        <v>6398</v>
      </c>
      <c r="D4085" s="31">
        <v>34.9</v>
      </c>
      <c r="E4085" s="31">
        <v>-0.34</v>
      </c>
      <c r="F4085" s="31">
        <v>1490613200</v>
      </c>
    </row>
    <row r="4086" spans="1:6" ht="15" thickBot="1" x14ac:dyDescent="0.2">
      <c r="A4086" s="30" t="s">
        <v>13095</v>
      </c>
      <c r="B4086" s="26" t="str">
        <f t="shared" si="63"/>
        <v>002980</v>
      </c>
      <c r="C4086" s="30" t="s">
        <v>5653</v>
      </c>
      <c r="D4086" s="31">
        <v>20.75</v>
      </c>
      <c r="E4086" s="31">
        <v>-0.77</v>
      </c>
      <c r="F4086" s="31">
        <v>1490543100</v>
      </c>
    </row>
    <row r="4087" spans="1:6" ht="15" thickBot="1" x14ac:dyDescent="0.2">
      <c r="A4087" s="30" t="s">
        <v>13096</v>
      </c>
      <c r="B4087" s="26" t="str">
        <f t="shared" si="63"/>
        <v>300449</v>
      </c>
      <c r="C4087" s="30" t="s">
        <v>7281</v>
      </c>
      <c r="D4087" s="31">
        <v>5.03</v>
      </c>
      <c r="E4087" s="31">
        <v>1.62</v>
      </c>
      <c r="F4087" s="31">
        <v>1490226000</v>
      </c>
    </row>
    <row r="4088" spans="1:6" ht="15" thickBot="1" x14ac:dyDescent="0.2">
      <c r="A4088" s="30" t="s">
        <v>13097</v>
      </c>
      <c r="B4088" s="26" t="str">
        <f t="shared" si="63"/>
        <v>600408</v>
      </c>
      <c r="C4088" s="30" t="s">
        <v>7879</v>
      </c>
      <c r="D4088" s="31">
        <v>1.48</v>
      </c>
      <c r="E4088" s="31">
        <v>-0.67</v>
      </c>
      <c r="F4088" s="31">
        <v>1490064000</v>
      </c>
    </row>
    <row r="4089" spans="1:6" ht="15" thickBot="1" x14ac:dyDescent="0.2">
      <c r="A4089" s="30" t="s">
        <v>13098</v>
      </c>
      <c r="B4089" s="26" t="str">
        <f t="shared" si="63"/>
        <v>600281</v>
      </c>
      <c r="C4089" s="30" t="s">
        <v>7629</v>
      </c>
      <c r="D4089" s="31">
        <v>2.89</v>
      </c>
      <c r="E4089" s="31">
        <v>-3.02</v>
      </c>
      <c r="F4089" s="31">
        <v>1486621900</v>
      </c>
    </row>
    <row r="4090" spans="1:6" ht="15" thickBot="1" x14ac:dyDescent="0.2">
      <c r="A4090" s="30" t="s">
        <v>13099</v>
      </c>
      <c r="B4090" s="26" t="str">
        <f t="shared" si="63"/>
        <v>688620</v>
      </c>
      <c r="C4090" s="30" t="s">
        <v>13100</v>
      </c>
      <c r="D4090" s="31">
        <v>6.5</v>
      </c>
      <c r="E4090" s="31">
        <v>-0.61</v>
      </c>
      <c r="F4090" s="31">
        <v>1485944300</v>
      </c>
    </row>
    <row r="4091" spans="1:6" ht="15" thickBot="1" x14ac:dyDescent="0.2">
      <c r="A4091" s="30" t="s">
        <v>13101</v>
      </c>
      <c r="B4091" s="26" t="str">
        <f t="shared" si="63"/>
        <v>688026</v>
      </c>
      <c r="C4091" s="30" t="s">
        <v>7723</v>
      </c>
      <c r="D4091" s="31">
        <v>10.58</v>
      </c>
      <c r="E4091" s="31">
        <v>-2.04</v>
      </c>
      <c r="F4091" s="31">
        <v>1484094400</v>
      </c>
    </row>
    <row r="4092" spans="1:6" ht="15" thickBot="1" x14ac:dyDescent="0.2">
      <c r="A4092" s="30" t="s">
        <v>13102</v>
      </c>
      <c r="B4092" s="26" t="str">
        <f t="shared" si="63"/>
        <v>688496</v>
      </c>
      <c r="C4092" s="30" t="s">
        <v>13103</v>
      </c>
      <c r="D4092" s="31">
        <v>6.35</v>
      </c>
      <c r="E4092" s="31">
        <v>-3.2</v>
      </c>
      <c r="F4092" s="31">
        <v>1483225300</v>
      </c>
    </row>
    <row r="4093" spans="1:6" ht="15" thickBot="1" x14ac:dyDescent="0.2">
      <c r="A4093" s="30" t="s">
        <v>13104</v>
      </c>
      <c r="B4093" s="26" t="str">
        <f t="shared" si="63"/>
        <v>603696</v>
      </c>
      <c r="C4093" s="30" t="s">
        <v>7759</v>
      </c>
      <c r="D4093" s="31">
        <v>6.3</v>
      </c>
      <c r="E4093" s="31">
        <v>-2.33</v>
      </c>
      <c r="F4093" s="31">
        <v>1481760000</v>
      </c>
    </row>
    <row r="4094" spans="1:6" ht="15" thickBot="1" x14ac:dyDescent="0.2">
      <c r="A4094" s="30" t="s">
        <v>13105</v>
      </c>
      <c r="B4094" s="26" t="str">
        <f t="shared" si="63"/>
        <v>600322</v>
      </c>
      <c r="C4094" s="30" t="s">
        <v>7921</v>
      </c>
      <c r="D4094" s="31">
        <v>1.34</v>
      </c>
      <c r="E4094" s="31">
        <v>2.29</v>
      </c>
      <c r="F4094" s="31">
        <v>1481638000</v>
      </c>
    </row>
    <row r="4095" spans="1:6" ht="15" thickBot="1" x14ac:dyDescent="0.2">
      <c r="A4095" s="30" t="s">
        <v>13106</v>
      </c>
      <c r="B4095" s="26" t="str">
        <f t="shared" si="63"/>
        <v>300771</v>
      </c>
      <c r="C4095" s="30" t="s">
        <v>6987</v>
      </c>
      <c r="D4095" s="31">
        <v>8.17</v>
      </c>
      <c r="E4095" s="31">
        <v>-1.45</v>
      </c>
      <c r="F4095" s="31">
        <v>1480397000</v>
      </c>
    </row>
    <row r="4096" spans="1:6" ht="15" thickBot="1" x14ac:dyDescent="0.2">
      <c r="A4096" s="30" t="s">
        <v>13107</v>
      </c>
      <c r="B4096" s="26" t="str">
        <f t="shared" si="63"/>
        <v>300616</v>
      </c>
      <c r="C4096" s="30" t="s">
        <v>6827</v>
      </c>
      <c r="D4096" s="31">
        <v>9.49</v>
      </c>
      <c r="E4096" s="31">
        <v>-0.73</v>
      </c>
      <c r="F4096" s="31">
        <v>1480119600</v>
      </c>
    </row>
    <row r="4097" spans="1:6" ht="15" thickBot="1" x14ac:dyDescent="0.2">
      <c r="A4097" s="30" t="s">
        <v>13108</v>
      </c>
      <c r="B4097" s="26" t="str">
        <f t="shared" si="63"/>
        <v>002817</v>
      </c>
      <c r="C4097" s="30" t="s">
        <v>7775</v>
      </c>
      <c r="D4097" s="31">
        <v>5.09</v>
      </c>
      <c r="E4097" s="31">
        <v>-1.17</v>
      </c>
      <c r="F4097" s="31">
        <v>1476300000</v>
      </c>
    </row>
    <row r="4098" spans="1:6" ht="15" thickBot="1" x14ac:dyDescent="0.2">
      <c r="A4098" s="30" t="s">
        <v>13109</v>
      </c>
      <c r="B4098" s="26" t="str">
        <f t="shared" si="63"/>
        <v>002114</v>
      </c>
      <c r="C4098" s="30" t="s">
        <v>7873</v>
      </c>
      <c r="D4098" s="31">
        <v>4.5599999999999996</v>
      </c>
      <c r="E4098" s="31">
        <v>-0.87</v>
      </c>
      <c r="F4098" s="31">
        <v>1474662200</v>
      </c>
    </row>
    <row r="4099" spans="1:6" ht="15" thickBot="1" x14ac:dyDescent="0.2">
      <c r="A4099" s="30" t="s">
        <v>13110</v>
      </c>
      <c r="B4099" s="26" t="str">
        <f t="shared" ref="B4099:B4162" si="64">LEFT(A4099,6)</f>
        <v>300700</v>
      </c>
      <c r="C4099" s="30" t="s">
        <v>6674</v>
      </c>
      <c r="D4099" s="31">
        <v>5.59</v>
      </c>
      <c r="E4099" s="31">
        <v>1.27</v>
      </c>
      <c r="F4099" s="31">
        <v>1472821600</v>
      </c>
    </row>
    <row r="4100" spans="1:6" ht="15" thickBot="1" x14ac:dyDescent="0.2">
      <c r="A4100" s="30" t="s">
        <v>13111</v>
      </c>
      <c r="B4100" s="26" t="str">
        <f t="shared" si="64"/>
        <v>002094</v>
      </c>
      <c r="C4100" s="30" t="s">
        <v>7841</v>
      </c>
      <c r="D4100" s="31">
        <v>2.13</v>
      </c>
      <c r="E4100" s="31">
        <v>-1.84</v>
      </c>
      <c r="F4100" s="31">
        <v>1470666100</v>
      </c>
    </row>
    <row r="4101" spans="1:6" ht="15" thickBot="1" x14ac:dyDescent="0.2">
      <c r="A4101" s="30" t="s">
        <v>13112</v>
      </c>
      <c r="B4101" s="26" t="str">
        <f t="shared" si="64"/>
        <v>688022</v>
      </c>
      <c r="C4101" s="30" t="s">
        <v>7783</v>
      </c>
      <c r="D4101" s="31">
        <v>8.36</v>
      </c>
      <c r="E4101" s="31">
        <v>-1.3</v>
      </c>
      <c r="F4101" s="31">
        <v>1470342800</v>
      </c>
    </row>
    <row r="4102" spans="1:6" ht="15" thickBot="1" x14ac:dyDescent="0.2">
      <c r="A4102" s="30" t="s">
        <v>13113</v>
      </c>
      <c r="B4102" s="26" t="str">
        <f t="shared" si="64"/>
        <v>301201</v>
      </c>
      <c r="C4102" s="30" t="s">
        <v>13114</v>
      </c>
      <c r="D4102" s="31">
        <v>16.86</v>
      </c>
      <c r="E4102" s="31">
        <v>-3.6</v>
      </c>
      <c r="F4102" s="31">
        <v>1470087900</v>
      </c>
    </row>
    <row r="4103" spans="1:6" ht="15" thickBot="1" x14ac:dyDescent="0.2">
      <c r="A4103" s="30" t="s">
        <v>13115</v>
      </c>
      <c r="B4103" s="26" t="str">
        <f t="shared" si="64"/>
        <v>002877</v>
      </c>
      <c r="C4103" s="30" t="s">
        <v>6556</v>
      </c>
      <c r="D4103" s="31">
        <v>6.31</v>
      </c>
      <c r="E4103" s="31">
        <v>-1.41</v>
      </c>
      <c r="F4103" s="31">
        <v>1468193800</v>
      </c>
    </row>
    <row r="4104" spans="1:6" ht="15" thickBot="1" x14ac:dyDescent="0.2">
      <c r="A4104" s="30" t="s">
        <v>13116</v>
      </c>
      <c r="B4104" s="26" t="str">
        <f t="shared" si="64"/>
        <v>600156</v>
      </c>
      <c r="C4104" s="30" t="s">
        <v>7861</v>
      </c>
      <c r="D4104" s="31">
        <v>3.65</v>
      </c>
      <c r="E4104" s="31">
        <v>-0.82</v>
      </c>
      <c r="F4104" s="31">
        <v>1467704100</v>
      </c>
    </row>
    <row r="4105" spans="1:6" ht="15" thickBot="1" x14ac:dyDescent="0.2">
      <c r="A4105" s="30" t="s">
        <v>13117</v>
      </c>
      <c r="B4105" s="26" t="str">
        <f t="shared" si="64"/>
        <v>688113</v>
      </c>
      <c r="C4105" s="30" t="s">
        <v>7801</v>
      </c>
      <c r="D4105" s="31">
        <v>22.92</v>
      </c>
      <c r="E4105" s="31">
        <v>-1.72</v>
      </c>
      <c r="F4105" s="31">
        <v>1467480300</v>
      </c>
    </row>
    <row r="4106" spans="1:6" ht="15" thickBot="1" x14ac:dyDescent="0.2">
      <c r="A4106" s="30" t="s">
        <v>13118</v>
      </c>
      <c r="B4106" s="26" t="str">
        <f t="shared" si="64"/>
        <v>600610</v>
      </c>
      <c r="C4106" s="30" t="s">
        <v>5842</v>
      </c>
      <c r="D4106" s="31">
        <v>3.27</v>
      </c>
      <c r="E4106" s="31">
        <v>-2.68</v>
      </c>
      <c r="F4106" s="31">
        <v>1467336300</v>
      </c>
    </row>
    <row r="4107" spans="1:6" ht="15" thickBot="1" x14ac:dyDescent="0.2">
      <c r="A4107" s="30" t="s">
        <v>13119</v>
      </c>
      <c r="B4107" s="26" t="str">
        <f t="shared" si="64"/>
        <v>002909</v>
      </c>
      <c r="C4107" s="30" t="s">
        <v>7751</v>
      </c>
      <c r="D4107" s="31">
        <v>3.77</v>
      </c>
      <c r="E4107" s="31">
        <v>-1.82</v>
      </c>
      <c r="F4107" s="31">
        <v>1466053400</v>
      </c>
    </row>
    <row r="4108" spans="1:6" ht="15" thickBot="1" x14ac:dyDescent="0.2">
      <c r="A4108" s="30" t="s">
        <v>13120</v>
      </c>
      <c r="B4108" s="26" t="str">
        <f t="shared" si="64"/>
        <v>688267</v>
      </c>
      <c r="C4108" s="30" t="s">
        <v>13121</v>
      </c>
      <c r="D4108" s="31">
        <v>16.579999999999998</v>
      </c>
      <c r="E4108" s="31">
        <v>-0.9</v>
      </c>
      <c r="F4108" s="31">
        <v>1465857000</v>
      </c>
    </row>
    <row r="4109" spans="1:6" ht="15" thickBot="1" x14ac:dyDescent="0.2">
      <c r="A4109" s="30" t="s">
        <v>13122</v>
      </c>
      <c r="B4109" s="26" t="str">
        <f t="shared" si="64"/>
        <v>300875</v>
      </c>
      <c r="C4109" s="30" t="s">
        <v>6760</v>
      </c>
      <c r="D4109" s="31">
        <v>22</v>
      </c>
      <c r="E4109" s="31">
        <v>-0.14000000000000001</v>
      </c>
      <c r="F4109" s="31">
        <v>1465473100</v>
      </c>
    </row>
    <row r="4110" spans="1:6" ht="15" thickBot="1" x14ac:dyDescent="0.2">
      <c r="A4110" s="30" t="s">
        <v>13123</v>
      </c>
      <c r="B4110" s="26" t="str">
        <f t="shared" si="64"/>
        <v>600082</v>
      </c>
      <c r="C4110" s="30" t="s">
        <v>8085</v>
      </c>
      <c r="D4110" s="31">
        <v>2.31</v>
      </c>
      <c r="E4110" s="31">
        <v>4.05</v>
      </c>
      <c r="F4110" s="31">
        <v>1465314800</v>
      </c>
    </row>
    <row r="4111" spans="1:6" ht="15" thickBot="1" x14ac:dyDescent="0.2">
      <c r="A4111" s="30" t="s">
        <v>13124</v>
      </c>
      <c r="B4111" s="26" t="str">
        <f t="shared" si="64"/>
        <v>002931</v>
      </c>
      <c r="C4111" s="30" t="s">
        <v>7567</v>
      </c>
      <c r="D4111" s="31">
        <v>7.84</v>
      </c>
      <c r="E4111" s="31">
        <v>-1.1399999999999999</v>
      </c>
      <c r="F4111" s="31">
        <v>1465238800</v>
      </c>
    </row>
    <row r="4112" spans="1:6" ht="15" thickBot="1" x14ac:dyDescent="0.2">
      <c r="A4112" s="30" t="s">
        <v>13125</v>
      </c>
      <c r="B4112" s="26" t="str">
        <f t="shared" si="64"/>
        <v>605178</v>
      </c>
      <c r="C4112" s="30" t="s">
        <v>7909</v>
      </c>
      <c r="D4112" s="31">
        <v>14.75</v>
      </c>
      <c r="E4112" s="31">
        <v>-0.2</v>
      </c>
      <c r="F4112" s="31">
        <v>1463961100</v>
      </c>
    </row>
    <row r="4113" spans="1:6" ht="15" thickBot="1" x14ac:dyDescent="0.2">
      <c r="A4113" s="30" t="s">
        <v>13126</v>
      </c>
      <c r="B4113" s="26" t="str">
        <f t="shared" si="64"/>
        <v>300949</v>
      </c>
      <c r="C4113" s="30" t="s">
        <v>13127</v>
      </c>
      <c r="D4113" s="31">
        <v>24.33</v>
      </c>
      <c r="E4113" s="31">
        <v>-1.22</v>
      </c>
      <c r="F4113" s="31">
        <v>1459800000</v>
      </c>
    </row>
    <row r="4114" spans="1:6" ht="15" thickBot="1" x14ac:dyDescent="0.2">
      <c r="A4114" s="30" t="s">
        <v>13128</v>
      </c>
      <c r="B4114" s="26" t="str">
        <f t="shared" si="64"/>
        <v>300743</v>
      </c>
      <c r="C4114" s="30" t="s">
        <v>7351</v>
      </c>
      <c r="D4114" s="31">
        <v>11.27</v>
      </c>
      <c r="E4114" s="31">
        <v>-1.49</v>
      </c>
      <c r="F4114" s="31">
        <v>1459661100</v>
      </c>
    </row>
    <row r="4115" spans="1:6" ht="15" thickBot="1" x14ac:dyDescent="0.2">
      <c r="A4115" s="30" t="s">
        <v>13129</v>
      </c>
      <c r="B4115" s="26" t="str">
        <f t="shared" si="64"/>
        <v>000757</v>
      </c>
      <c r="C4115" s="30" t="s">
        <v>7871</v>
      </c>
      <c r="D4115" s="31">
        <v>2.74</v>
      </c>
      <c r="E4115" s="31">
        <v>-1.44</v>
      </c>
      <c r="F4115" s="31">
        <v>1459637800</v>
      </c>
    </row>
    <row r="4116" spans="1:6" ht="15" thickBot="1" x14ac:dyDescent="0.2">
      <c r="A4116" s="30" t="s">
        <v>13130</v>
      </c>
      <c r="B4116" s="26" t="str">
        <f t="shared" si="64"/>
        <v>603359</v>
      </c>
      <c r="C4116" s="30" t="s">
        <v>7855</v>
      </c>
      <c r="D4116" s="31">
        <v>3.27</v>
      </c>
      <c r="E4116" s="31">
        <v>-4.3899999999999997</v>
      </c>
      <c r="F4116" s="31">
        <v>1458733900</v>
      </c>
    </row>
    <row r="4117" spans="1:6" ht="15" thickBot="1" x14ac:dyDescent="0.2">
      <c r="A4117" s="30" t="s">
        <v>13131</v>
      </c>
      <c r="B4117" s="26" t="str">
        <f t="shared" si="64"/>
        <v>301103</v>
      </c>
      <c r="C4117" s="30" t="s">
        <v>13132</v>
      </c>
      <c r="D4117" s="31">
        <v>17.55</v>
      </c>
      <c r="E4117" s="31">
        <v>-3.52</v>
      </c>
      <c r="F4117" s="31">
        <v>1458231800</v>
      </c>
    </row>
    <row r="4118" spans="1:6" ht="15" thickBot="1" x14ac:dyDescent="0.2">
      <c r="A4118" s="30" t="s">
        <v>13133</v>
      </c>
      <c r="B4118" s="26" t="str">
        <f t="shared" si="64"/>
        <v>603214</v>
      </c>
      <c r="C4118" s="30" t="s">
        <v>7881</v>
      </c>
      <c r="D4118" s="31">
        <v>10.51</v>
      </c>
      <c r="E4118" s="31">
        <v>0.28999999999999998</v>
      </c>
      <c r="F4118" s="31">
        <v>1456055800</v>
      </c>
    </row>
    <row r="4119" spans="1:6" ht="15" thickBot="1" x14ac:dyDescent="0.2">
      <c r="A4119" s="30" t="s">
        <v>13134</v>
      </c>
      <c r="B4119" s="26" t="str">
        <f t="shared" si="64"/>
        <v>002593</v>
      </c>
      <c r="C4119" s="30" t="s">
        <v>6927</v>
      </c>
      <c r="D4119" s="31">
        <v>2.5499999999999998</v>
      </c>
      <c r="E4119" s="31">
        <v>-1.1599999999999999</v>
      </c>
      <c r="F4119" s="31">
        <v>1454695400</v>
      </c>
    </row>
    <row r="4120" spans="1:6" ht="15" thickBot="1" x14ac:dyDescent="0.2">
      <c r="A4120" s="30" t="s">
        <v>13135</v>
      </c>
      <c r="B4120" s="26" t="str">
        <f t="shared" si="64"/>
        <v>002802</v>
      </c>
      <c r="C4120" s="30" t="s">
        <v>7845</v>
      </c>
      <c r="D4120" s="31">
        <v>7.99</v>
      </c>
      <c r="E4120" s="31">
        <v>-0.5</v>
      </c>
      <c r="F4120" s="31">
        <v>1453723600</v>
      </c>
    </row>
    <row r="4121" spans="1:6" ht="15" thickBot="1" x14ac:dyDescent="0.2">
      <c r="A4121" s="30" t="s">
        <v>13136</v>
      </c>
      <c r="B4121" s="26" t="str">
        <f t="shared" si="64"/>
        <v>301149</v>
      </c>
      <c r="C4121" s="30" t="s">
        <v>13137</v>
      </c>
      <c r="D4121" s="31">
        <v>7.95</v>
      </c>
      <c r="E4121" s="31">
        <v>-0.75</v>
      </c>
      <c r="F4121" s="31">
        <v>1452032700</v>
      </c>
    </row>
    <row r="4122" spans="1:6" ht="15" thickBot="1" x14ac:dyDescent="0.2">
      <c r="A4122" s="30" t="s">
        <v>13138</v>
      </c>
      <c r="B4122" s="26" t="str">
        <f t="shared" si="64"/>
        <v>301468</v>
      </c>
      <c r="C4122" s="30" t="s">
        <v>13139</v>
      </c>
      <c r="D4122" s="31">
        <v>19.21</v>
      </c>
      <c r="E4122" s="31">
        <v>1.32</v>
      </c>
      <c r="F4122" s="31">
        <v>1451239100</v>
      </c>
    </row>
    <row r="4123" spans="1:6" ht="15" thickBot="1" x14ac:dyDescent="0.2">
      <c r="A4123" s="30" t="s">
        <v>13140</v>
      </c>
      <c r="B4123" s="26" t="str">
        <f t="shared" si="64"/>
        <v>688283</v>
      </c>
      <c r="C4123" s="30" t="s">
        <v>13141</v>
      </c>
      <c r="D4123" s="31">
        <v>16.97</v>
      </c>
      <c r="E4123" s="31">
        <v>-2.4700000000000002</v>
      </c>
      <c r="F4123" s="31">
        <v>1450792000</v>
      </c>
    </row>
    <row r="4124" spans="1:6" ht="15" thickBot="1" x14ac:dyDescent="0.2">
      <c r="A4124" s="30" t="s">
        <v>13142</v>
      </c>
      <c r="B4124" s="26" t="str">
        <f t="shared" si="64"/>
        <v>002995</v>
      </c>
      <c r="C4124" s="30" t="s">
        <v>6496</v>
      </c>
      <c r="D4124" s="31">
        <v>12.88</v>
      </c>
      <c r="E4124" s="31">
        <v>-2.13</v>
      </c>
      <c r="F4124" s="31">
        <v>1447933600</v>
      </c>
    </row>
    <row r="4125" spans="1:6" ht="15" thickBot="1" x14ac:dyDescent="0.2">
      <c r="A4125" s="30" t="s">
        <v>13143</v>
      </c>
      <c r="B4125" s="26" t="str">
        <f t="shared" si="64"/>
        <v>603332</v>
      </c>
      <c r="C4125" s="30" t="s">
        <v>7853</v>
      </c>
      <c r="D4125" s="31">
        <v>6.69</v>
      </c>
      <c r="E4125" s="31">
        <v>-2.19</v>
      </c>
      <c r="F4125" s="31">
        <v>1447362700</v>
      </c>
    </row>
    <row r="4126" spans="1:6" ht="15" thickBot="1" x14ac:dyDescent="0.2">
      <c r="A4126" s="30" t="s">
        <v>13144</v>
      </c>
      <c r="B4126" s="26" t="str">
        <f t="shared" si="64"/>
        <v>300097</v>
      </c>
      <c r="C4126" s="30" t="s">
        <v>7431</v>
      </c>
      <c r="D4126" s="31">
        <v>5.36</v>
      </c>
      <c r="E4126" s="31">
        <v>-5.13</v>
      </c>
      <c r="F4126" s="31">
        <v>1447253300</v>
      </c>
    </row>
    <row r="4127" spans="1:6" ht="15" thickBot="1" x14ac:dyDescent="0.2">
      <c r="A4127" s="30" t="s">
        <v>13145</v>
      </c>
      <c r="B4127" s="26" t="str">
        <f t="shared" si="64"/>
        <v>600697</v>
      </c>
      <c r="C4127" s="30" t="s">
        <v>7831</v>
      </c>
      <c r="D4127" s="31">
        <v>9.3000000000000007</v>
      </c>
      <c r="E4127" s="31">
        <v>-1.17</v>
      </c>
      <c r="F4127" s="31">
        <v>1444996900</v>
      </c>
    </row>
    <row r="4128" spans="1:6" ht="15" thickBot="1" x14ac:dyDescent="0.2">
      <c r="A4128" s="30" t="s">
        <v>13146</v>
      </c>
      <c r="B4128" s="26" t="str">
        <f t="shared" si="64"/>
        <v>300626</v>
      </c>
      <c r="C4128" s="30" t="s">
        <v>7949</v>
      </c>
      <c r="D4128" s="31">
        <v>8.1199999999999992</v>
      </c>
      <c r="E4128" s="31">
        <v>2.92</v>
      </c>
      <c r="F4128" s="31">
        <v>1444863200</v>
      </c>
    </row>
    <row r="4129" spans="1:6" ht="15" thickBot="1" x14ac:dyDescent="0.2">
      <c r="A4129" s="30" t="s">
        <v>13147</v>
      </c>
      <c r="B4129" s="26" t="str">
        <f t="shared" si="64"/>
        <v>301428</v>
      </c>
      <c r="C4129" s="30" t="s">
        <v>13148</v>
      </c>
      <c r="D4129" s="31">
        <v>23.6</v>
      </c>
      <c r="E4129" s="31">
        <v>-1.3</v>
      </c>
      <c r="F4129" s="31">
        <v>1444241300</v>
      </c>
    </row>
    <row r="4130" spans="1:6" ht="15" thickBot="1" x14ac:dyDescent="0.2">
      <c r="A4130" s="30" t="s">
        <v>13149</v>
      </c>
      <c r="B4130" s="26" t="str">
        <f t="shared" si="64"/>
        <v>002903</v>
      </c>
      <c r="C4130" s="30" t="s">
        <v>6538</v>
      </c>
      <c r="D4130" s="31">
        <v>14.04</v>
      </c>
      <c r="E4130" s="31">
        <v>-1.27</v>
      </c>
      <c r="F4130" s="31">
        <v>1442447500</v>
      </c>
    </row>
    <row r="4131" spans="1:6" ht="15" thickBot="1" x14ac:dyDescent="0.2">
      <c r="A4131" s="30" t="s">
        <v>13150</v>
      </c>
      <c r="B4131" s="26" t="str">
        <f t="shared" si="64"/>
        <v>300269</v>
      </c>
      <c r="C4131" s="30" t="s">
        <v>7715</v>
      </c>
      <c r="D4131" s="31">
        <v>2.74</v>
      </c>
      <c r="E4131" s="31">
        <v>-2.84</v>
      </c>
      <c r="F4131" s="31">
        <v>1440323900</v>
      </c>
    </row>
    <row r="4132" spans="1:6" ht="15" thickBot="1" x14ac:dyDescent="0.2">
      <c r="A4132" s="30" t="s">
        <v>13151</v>
      </c>
      <c r="B4132" s="26" t="str">
        <f t="shared" si="64"/>
        <v>300306</v>
      </c>
      <c r="C4132" s="30" t="s">
        <v>6198</v>
      </c>
      <c r="D4132" s="31">
        <v>9.1300000000000008</v>
      </c>
      <c r="E4132" s="31">
        <v>-1.51</v>
      </c>
      <c r="F4132" s="31">
        <v>1438572700</v>
      </c>
    </row>
    <row r="4133" spans="1:6" ht="15" thickBot="1" x14ac:dyDescent="0.2">
      <c r="A4133" s="30" t="s">
        <v>13152</v>
      </c>
      <c r="B4133" s="26" t="str">
        <f t="shared" si="64"/>
        <v>300521</v>
      </c>
      <c r="C4133" s="30" t="s">
        <v>7837</v>
      </c>
      <c r="D4133" s="31">
        <v>9.99</v>
      </c>
      <c r="E4133" s="31">
        <v>-0.7</v>
      </c>
      <c r="F4133" s="31">
        <v>1438550600</v>
      </c>
    </row>
    <row r="4134" spans="1:6" ht="15" thickBot="1" x14ac:dyDescent="0.2">
      <c r="A4134" s="30" t="s">
        <v>13153</v>
      </c>
      <c r="B4134" s="26" t="str">
        <f t="shared" si="64"/>
        <v>688260</v>
      </c>
      <c r="C4134" s="30" t="s">
        <v>7825</v>
      </c>
      <c r="D4134" s="31">
        <v>11.98</v>
      </c>
      <c r="E4134" s="31">
        <v>-0.75</v>
      </c>
      <c r="F4134" s="31">
        <v>1437600000</v>
      </c>
    </row>
    <row r="4135" spans="1:6" ht="15" thickBot="1" x14ac:dyDescent="0.2">
      <c r="A4135" s="30" t="s">
        <v>13154</v>
      </c>
      <c r="B4135" s="26" t="str">
        <f t="shared" si="64"/>
        <v>300305</v>
      </c>
      <c r="C4135" s="30" t="s">
        <v>7433</v>
      </c>
      <c r="D4135" s="31">
        <v>4.51</v>
      </c>
      <c r="E4135" s="31">
        <v>-2.17</v>
      </c>
      <c r="F4135" s="31">
        <v>1436424800</v>
      </c>
    </row>
    <row r="4136" spans="1:6" ht="15" thickBot="1" x14ac:dyDescent="0.2">
      <c r="A4136" s="30" t="s">
        <v>13155</v>
      </c>
      <c r="B4136" s="26" t="str">
        <f t="shared" si="64"/>
        <v>300242</v>
      </c>
      <c r="C4136" s="30" t="s">
        <v>7875</v>
      </c>
      <c r="D4136" s="31">
        <v>2.2799999999999998</v>
      </c>
      <c r="E4136" s="31">
        <v>-6.94</v>
      </c>
      <c r="F4136" s="31">
        <v>1435434700</v>
      </c>
    </row>
    <row r="4137" spans="1:6" ht="15" thickBot="1" x14ac:dyDescent="0.2">
      <c r="A4137" s="30" t="s">
        <v>13156</v>
      </c>
      <c r="B4137" s="26" t="str">
        <f t="shared" si="64"/>
        <v>300335</v>
      </c>
      <c r="C4137" s="30" t="s">
        <v>7377</v>
      </c>
      <c r="D4137" s="31">
        <v>3.73</v>
      </c>
      <c r="E4137" s="31">
        <v>-0.8</v>
      </c>
      <c r="F4137" s="31">
        <v>1435111300</v>
      </c>
    </row>
    <row r="4138" spans="1:6" ht="15" thickBot="1" x14ac:dyDescent="0.2">
      <c r="A4138" s="30" t="s">
        <v>13157</v>
      </c>
      <c r="B4138" s="26" t="str">
        <f t="shared" si="64"/>
        <v>600358</v>
      </c>
      <c r="C4138" s="30" t="s">
        <v>7691</v>
      </c>
      <c r="D4138" s="31">
        <v>2.84</v>
      </c>
      <c r="E4138" s="31">
        <v>-10.130000000000001</v>
      </c>
      <c r="F4138" s="31">
        <v>1434020100</v>
      </c>
    </row>
    <row r="4139" spans="1:6" ht="15" thickBot="1" x14ac:dyDescent="0.2">
      <c r="A4139" s="30" t="s">
        <v>13158</v>
      </c>
      <c r="B4139" s="26" t="str">
        <f t="shared" si="64"/>
        <v>002767</v>
      </c>
      <c r="C4139" s="30" t="s">
        <v>7517</v>
      </c>
      <c r="D4139" s="31">
        <v>10.99</v>
      </c>
      <c r="E4139" s="31">
        <v>0.55000000000000004</v>
      </c>
      <c r="F4139" s="31">
        <v>1430703700</v>
      </c>
    </row>
    <row r="4140" spans="1:6" ht="15" thickBot="1" x14ac:dyDescent="0.2">
      <c r="A4140" s="30" t="s">
        <v>13159</v>
      </c>
      <c r="B4140" s="26" t="str">
        <f t="shared" si="64"/>
        <v>301230</v>
      </c>
      <c r="C4140" s="30" t="s">
        <v>13160</v>
      </c>
      <c r="D4140" s="31">
        <v>18.600000000000001</v>
      </c>
      <c r="E4140" s="31">
        <v>-1.8</v>
      </c>
      <c r="F4140" s="31">
        <v>1429601700</v>
      </c>
    </row>
    <row r="4141" spans="1:6" ht="15" thickBot="1" x14ac:dyDescent="0.2">
      <c r="A4141" s="30" t="s">
        <v>13161</v>
      </c>
      <c r="B4141" s="26" t="str">
        <f t="shared" si="64"/>
        <v>300707</v>
      </c>
      <c r="C4141" s="30" t="s">
        <v>7235</v>
      </c>
      <c r="D4141" s="31">
        <v>9.98</v>
      </c>
      <c r="E4141" s="31">
        <v>-1.97</v>
      </c>
      <c r="F4141" s="31">
        <v>1428925600</v>
      </c>
    </row>
    <row r="4142" spans="1:6" ht="15" thickBot="1" x14ac:dyDescent="0.2">
      <c r="A4142" s="30" t="s">
        <v>13162</v>
      </c>
      <c r="B4142" s="26" t="str">
        <f t="shared" si="64"/>
        <v>301323</v>
      </c>
      <c r="C4142" s="30" t="s">
        <v>13163</v>
      </c>
      <c r="D4142" s="31">
        <v>26.76</v>
      </c>
      <c r="E4142" s="31">
        <v>-1.69</v>
      </c>
      <c r="F4142" s="31">
        <v>1428873200</v>
      </c>
    </row>
    <row r="4143" spans="1:6" ht="15" thickBot="1" x14ac:dyDescent="0.2">
      <c r="A4143" s="30" t="s">
        <v>13164</v>
      </c>
      <c r="B4143" s="26" t="str">
        <f t="shared" si="64"/>
        <v>300928</v>
      </c>
      <c r="C4143" s="30" t="s">
        <v>6650</v>
      </c>
      <c r="D4143" s="31">
        <v>26.94</v>
      </c>
      <c r="E4143" s="31">
        <v>-1.61</v>
      </c>
      <c r="F4143" s="31">
        <v>1428173000</v>
      </c>
    </row>
    <row r="4144" spans="1:6" ht="15" thickBot="1" x14ac:dyDescent="0.2">
      <c r="A4144" s="30" t="s">
        <v>13165</v>
      </c>
      <c r="B4144" s="26" t="str">
        <f t="shared" si="64"/>
        <v>300721</v>
      </c>
      <c r="C4144" s="30" t="s">
        <v>7409</v>
      </c>
      <c r="D4144" s="31">
        <v>10.37</v>
      </c>
      <c r="E4144" s="31">
        <v>0.49</v>
      </c>
      <c r="F4144" s="31">
        <v>1422358300</v>
      </c>
    </row>
    <row r="4145" spans="1:6" ht="15" thickBot="1" x14ac:dyDescent="0.2">
      <c r="A4145" s="30" t="s">
        <v>13166</v>
      </c>
      <c r="B4145" s="26" t="str">
        <f t="shared" si="64"/>
        <v>000803</v>
      </c>
      <c r="C4145" s="30" t="s">
        <v>7819</v>
      </c>
      <c r="D4145" s="31">
        <v>3.1</v>
      </c>
      <c r="E4145" s="31">
        <v>-2.21</v>
      </c>
      <c r="F4145" s="31">
        <v>1422169100</v>
      </c>
    </row>
    <row r="4146" spans="1:6" ht="15" thickBot="1" x14ac:dyDescent="0.2">
      <c r="A4146" s="30" t="s">
        <v>13167</v>
      </c>
      <c r="B4146" s="26" t="str">
        <f t="shared" si="64"/>
        <v>002795</v>
      </c>
      <c r="C4146" s="30" t="s">
        <v>7835</v>
      </c>
      <c r="D4146" s="31">
        <v>3.27</v>
      </c>
      <c r="E4146" s="31">
        <v>-1.8</v>
      </c>
      <c r="F4146" s="31">
        <v>1421706200</v>
      </c>
    </row>
    <row r="4147" spans="1:6" ht="15" thickBot="1" x14ac:dyDescent="0.2">
      <c r="A4147" s="30" t="s">
        <v>13168</v>
      </c>
      <c r="B4147" s="26" t="str">
        <f t="shared" si="64"/>
        <v>688656</v>
      </c>
      <c r="C4147" s="30" t="s">
        <v>7897</v>
      </c>
      <c r="D4147" s="31">
        <v>22.54</v>
      </c>
      <c r="E4147" s="31">
        <v>-0.31</v>
      </c>
      <c r="F4147" s="31">
        <v>1421334700</v>
      </c>
    </row>
    <row r="4148" spans="1:6" ht="15" thickBot="1" x14ac:dyDescent="0.2">
      <c r="A4148" s="30" t="s">
        <v>13169</v>
      </c>
      <c r="B4148" s="26" t="str">
        <f t="shared" si="64"/>
        <v>688231</v>
      </c>
      <c r="C4148" s="30" t="s">
        <v>13170</v>
      </c>
      <c r="D4148" s="31">
        <v>11.24</v>
      </c>
      <c r="E4148" s="31">
        <v>-1.66</v>
      </c>
      <c r="F4148" s="31">
        <v>1421284100</v>
      </c>
    </row>
    <row r="4149" spans="1:6" ht="15" thickBot="1" x14ac:dyDescent="0.2">
      <c r="A4149" s="30" t="s">
        <v>13171</v>
      </c>
      <c r="B4149" s="26" t="str">
        <f t="shared" si="64"/>
        <v>603818</v>
      </c>
      <c r="C4149" s="30" t="s">
        <v>7803</v>
      </c>
      <c r="D4149" s="31">
        <v>2.0699999999999998</v>
      </c>
      <c r="E4149" s="31">
        <v>-4.6100000000000003</v>
      </c>
      <c r="F4149" s="31">
        <v>1421145800</v>
      </c>
    </row>
    <row r="4150" spans="1:6" ht="15" thickBot="1" x14ac:dyDescent="0.2">
      <c r="A4150" s="30" t="s">
        <v>13172</v>
      </c>
      <c r="B4150" s="26" t="str">
        <f t="shared" si="64"/>
        <v>300686</v>
      </c>
      <c r="C4150" s="30" t="s">
        <v>6997</v>
      </c>
      <c r="D4150" s="31">
        <v>7.15</v>
      </c>
      <c r="E4150" s="31">
        <v>-1.65</v>
      </c>
      <c r="F4150" s="31">
        <v>1420496800</v>
      </c>
    </row>
    <row r="4151" spans="1:6" ht="15" thickBot="1" x14ac:dyDescent="0.2">
      <c r="A4151" s="30" t="s">
        <v>13173</v>
      </c>
      <c r="B4151" s="26" t="str">
        <f t="shared" si="64"/>
        <v>000605</v>
      </c>
      <c r="C4151" s="30" t="s">
        <v>7807</v>
      </c>
      <c r="D4151" s="31">
        <v>4.2699999999999996</v>
      </c>
      <c r="E4151" s="31">
        <v>-2.73</v>
      </c>
      <c r="F4151" s="31">
        <v>1420367300</v>
      </c>
    </row>
    <row r="4152" spans="1:6" ht="15" thickBot="1" x14ac:dyDescent="0.2">
      <c r="A4152" s="30" t="s">
        <v>13174</v>
      </c>
      <c r="B4152" s="26" t="str">
        <f t="shared" si="64"/>
        <v>688369</v>
      </c>
      <c r="C4152" s="30" t="s">
        <v>7883</v>
      </c>
      <c r="D4152" s="31">
        <v>12.3</v>
      </c>
      <c r="E4152" s="31">
        <v>-0.97</v>
      </c>
      <c r="F4152" s="31">
        <v>1416448800</v>
      </c>
    </row>
    <row r="4153" spans="1:6" ht="15" thickBot="1" x14ac:dyDescent="0.2">
      <c r="A4153" s="30" t="s">
        <v>13175</v>
      </c>
      <c r="B4153" s="26" t="str">
        <f t="shared" si="64"/>
        <v>301379</v>
      </c>
      <c r="C4153" s="30" t="s">
        <v>13176</v>
      </c>
      <c r="D4153" s="31">
        <v>15.16</v>
      </c>
      <c r="E4153" s="31">
        <v>-0.59</v>
      </c>
      <c r="F4153" s="31">
        <v>1416330600</v>
      </c>
    </row>
    <row r="4154" spans="1:6" ht="15" thickBot="1" x14ac:dyDescent="0.2">
      <c r="A4154" s="30" t="s">
        <v>13177</v>
      </c>
      <c r="B4154" s="26" t="str">
        <f t="shared" si="64"/>
        <v>600107</v>
      </c>
      <c r="C4154" s="30" t="s">
        <v>8129</v>
      </c>
      <c r="D4154" s="31">
        <v>3.93</v>
      </c>
      <c r="E4154" s="31">
        <v>10.08</v>
      </c>
      <c r="F4154" s="31">
        <v>1414800000</v>
      </c>
    </row>
    <row r="4155" spans="1:6" ht="15" thickBot="1" x14ac:dyDescent="0.2">
      <c r="A4155" s="30" t="s">
        <v>13178</v>
      </c>
      <c r="B4155" s="26" t="str">
        <f t="shared" si="64"/>
        <v>002486</v>
      </c>
      <c r="C4155" s="30" t="s">
        <v>7987</v>
      </c>
      <c r="D4155" s="31">
        <v>1.7</v>
      </c>
      <c r="E4155" s="31">
        <v>-0.59</v>
      </c>
      <c r="F4155" s="31">
        <v>1414400000</v>
      </c>
    </row>
    <row r="4156" spans="1:6" ht="15" thickBot="1" x14ac:dyDescent="0.2">
      <c r="A4156" s="30" t="s">
        <v>13179</v>
      </c>
      <c r="B4156" s="26" t="str">
        <f t="shared" si="64"/>
        <v>003010</v>
      </c>
      <c r="C4156" s="30" t="s">
        <v>7083</v>
      </c>
      <c r="D4156" s="31">
        <v>11.11</v>
      </c>
      <c r="E4156" s="31">
        <v>-2.37</v>
      </c>
      <c r="F4156" s="31">
        <v>1410288500</v>
      </c>
    </row>
    <row r="4157" spans="1:6" ht="15" thickBot="1" x14ac:dyDescent="0.2">
      <c r="A4157" s="30" t="s">
        <v>13180</v>
      </c>
      <c r="B4157" s="26" t="str">
        <f t="shared" si="64"/>
        <v>300554</v>
      </c>
      <c r="C4157" s="30" t="s">
        <v>6885</v>
      </c>
      <c r="D4157" s="31">
        <v>17.89</v>
      </c>
      <c r="E4157" s="31">
        <v>0.17</v>
      </c>
      <c r="F4157" s="31">
        <v>1409990500</v>
      </c>
    </row>
    <row r="4158" spans="1:6" ht="15" thickBot="1" x14ac:dyDescent="0.2">
      <c r="A4158" s="30" t="s">
        <v>13181</v>
      </c>
      <c r="B4158" s="26" t="str">
        <f t="shared" si="64"/>
        <v>301509</v>
      </c>
      <c r="C4158" s="30" t="s">
        <v>13182</v>
      </c>
      <c r="D4158" s="31">
        <v>24.82</v>
      </c>
      <c r="E4158" s="31">
        <v>-1.39</v>
      </c>
      <c r="F4158" s="31">
        <v>1408309800</v>
      </c>
    </row>
    <row r="4159" spans="1:6" ht="15" thickBot="1" x14ac:dyDescent="0.2">
      <c r="A4159" s="30" t="s">
        <v>13183</v>
      </c>
      <c r="B4159" s="26" t="str">
        <f t="shared" si="64"/>
        <v>688092</v>
      </c>
      <c r="C4159" s="30" t="s">
        <v>13184</v>
      </c>
      <c r="D4159" s="31">
        <v>16.940000000000001</v>
      </c>
      <c r="E4159" s="31">
        <v>0.42</v>
      </c>
      <c r="F4159" s="31">
        <v>1400779700</v>
      </c>
    </row>
    <row r="4160" spans="1:6" ht="15" thickBot="1" x14ac:dyDescent="0.2">
      <c r="A4160" s="30" t="s">
        <v>13185</v>
      </c>
      <c r="B4160" s="26" t="str">
        <f t="shared" si="64"/>
        <v>301408</v>
      </c>
      <c r="C4160" s="30" t="s">
        <v>13186</v>
      </c>
      <c r="D4160" s="31">
        <v>9.39</v>
      </c>
      <c r="E4160" s="31">
        <v>-3.89</v>
      </c>
      <c r="F4160" s="31">
        <v>1400718500</v>
      </c>
    </row>
    <row r="4161" spans="1:6" ht="15" thickBot="1" x14ac:dyDescent="0.2">
      <c r="A4161" s="30" t="s">
        <v>13187</v>
      </c>
      <c r="B4161" s="26" t="str">
        <f t="shared" si="64"/>
        <v>002105</v>
      </c>
      <c r="C4161" s="30" t="s">
        <v>7895</v>
      </c>
      <c r="D4161" s="31">
        <v>3.84</v>
      </c>
      <c r="E4161" s="31">
        <v>-2.04</v>
      </c>
      <c r="F4161" s="31">
        <v>1399572400</v>
      </c>
    </row>
    <row r="4162" spans="1:6" ht="15" thickBot="1" x14ac:dyDescent="0.2">
      <c r="A4162" s="30" t="s">
        <v>13188</v>
      </c>
      <c r="B4162" s="26" t="str">
        <f t="shared" si="64"/>
        <v>688480</v>
      </c>
      <c r="C4162" s="30" t="s">
        <v>13189</v>
      </c>
      <c r="D4162" s="31">
        <v>22.33</v>
      </c>
      <c r="E4162" s="31">
        <v>-1.5</v>
      </c>
      <c r="F4162" s="31">
        <v>1399216700</v>
      </c>
    </row>
    <row r="4163" spans="1:6" ht="15" thickBot="1" x14ac:dyDescent="0.2">
      <c r="A4163" s="30" t="s">
        <v>13190</v>
      </c>
      <c r="B4163" s="26" t="str">
        <f t="shared" ref="B4163:B4226" si="65">LEFT(A4163,6)</f>
        <v>000586</v>
      </c>
      <c r="C4163" s="30" t="s">
        <v>7905</v>
      </c>
      <c r="D4163" s="31">
        <v>7.23</v>
      </c>
      <c r="E4163" s="31">
        <v>-0.69</v>
      </c>
      <c r="F4163" s="31">
        <v>1398571200</v>
      </c>
    </row>
    <row r="4164" spans="1:6" ht="15" thickBot="1" x14ac:dyDescent="0.2">
      <c r="A4164" s="30" t="s">
        <v>13191</v>
      </c>
      <c r="B4164" s="26" t="str">
        <f t="shared" si="65"/>
        <v>605138</v>
      </c>
      <c r="C4164" s="30" t="s">
        <v>13192</v>
      </c>
      <c r="D4164" s="31">
        <v>4.7</v>
      </c>
      <c r="E4164" s="31">
        <v>1.08</v>
      </c>
      <c r="F4164" s="31">
        <v>1397422000</v>
      </c>
    </row>
    <row r="4165" spans="1:6" ht="15" thickBot="1" x14ac:dyDescent="0.2">
      <c r="A4165" s="30" t="s">
        <v>13193</v>
      </c>
      <c r="B4165" s="26" t="str">
        <f t="shared" si="65"/>
        <v>301070</v>
      </c>
      <c r="C4165" s="30" t="s">
        <v>6320</v>
      </c>
      <c r="D4165" s="31">
        <v>37.29</v>
      </c>
      <c r="E4165" s="31">
        <v>-0.72</v>
      </c>
      <c r="F4165" s="31">
        <v>1396356900</v>
      </c>
    </row>
    <row r="4166" spans="1:6" ht="15" thickBot="1" x14ac:dyDescent="0.2">
      <c r="A4166" s="30" t="s">
        <v>13194</v>
      </c>
      <c r="B4166" s="26" t="str">
        <f t="shared" si="65"/>
        <v>002828</v>
      </c>
      <c r="C4166" s="30" t="s">
        <v>7885</v>
      </c>
      <c r="D4166" s="31">
        <v>7.25</v>
      </c>
      <c r="E4166" s="31">
        <v>-2.5499999999999998</v>
      </c>
      <c r="F4166" s="31">
        <v>1394039100</v>
      </c>
    </row>
    <row r="4167" spans="1:6" ht="15" thickBot="1" x14ac:dyDescent="0.2">
      <c r="A4167" s="30" t="s">
        <v>13195</v>
      </c>
      <c r="B4167" s="26" t="str">
        <f t="shared" si="65"/>
        <v>688459</v>
      </c>
      <c r="C4167" s="30" t="s">
        <v>13196</v>
      </c>
      <c r="D4167" s="31">
        <v>8.1300000000000008</v>
      </c>
      <c r="E4167" s="31">
        <v>-2.17</v>
      </c>
      <c r="F4167" s="31">
        <v>1391585300</v>
      </c>
    </row>
    <row r="4168" spans="1:6" ht="15" thickBot="1" x14ac:dyDescent="0.2">
      <c r="A4168" s="30" t="s">
        <v>13197</v>
      </c>
      <c r="B4168" s="26" t="str">
        <f t="shared" si="65"/>
        <v>003042</v>
      </c>
      <c r="C4168" s="30" t="s">
        <v>7679</v>
      </c>
      <c r="D4168" s="31">
        <v>10.92</v>
      </c>
      <c r="E4168" s="31">
        <v>-2.59</v>
      </c>
      <c r="F4168" s="31">
        <v>1390833900</v>
      </c>
    </row>
    <row r="4169" spans="1:6" ht="15" thickBot="1" x14ac:dyDescent="0.2">
      <c r="A4169" s="30" t="s">
        <v>13198</v>
      </c>
      <c r="B4169" s="26" t="str">
        <f t="shared" si="65"/>
        <v>300270</v>
      </c>
      <c r="C4169" s="30" t="s">
        <v>7689</v>
      </c>
      <c r="D4169" s="31">
        <v>5.42</v>
      </c>
      <c r="E4169" s="31">
        <v>-5.25</v>
      </c>
      <c r="F4169" s="31">
        <v>1390032000</v>
      </c>
    </row>
    <row r="4170" spans="1:6" ht="15" thickBot="1" x14ac:dyDescent="0.2">
      <c r="A4170" s="30" t="s">
        <v>13199</v>
      </c>
      <c r="B4170" s="26" t="str">
        <f t="shared" si="65"/>
        <v>603717</v>
      </c>
      <c r="C4170" s="30" t="s">
        <v>7851</v>
      </c>
      <c r="D4170" s="31">
        <v>4.79</v>
      </c>
      <c r="E4170" s="31">
        <v>-3.43</v>
      </c>
      <c r="F4170" s="31">
        <v>1389800500</v>
      </c>
    </row>
    <row r="4171" spans="1:6" ht="15" thickBot="1" x14ac:dyDescent="0.2">
      <c r="A4171" s="30" t="s">
        <v>13200</v>
      </c>
      <c r="B4171" s="26" t="str">
        <f t="shared" si="65"/>
        <v>300621</v>
      </c>
      <c r="C4171" s="30" t="s">
        <v>7857</v>
      </c>
      <c r="D4171" s="31">
        <v>7.08</v>
      </c>
      <c r="E4171" s="31">
        <v>-0.56000000000000005</v>
      </c>
      <c r="F4171" s="31">
        <v>1388726300</v>
      </c>
    </row>
    <row r="4172" spans="1:6" ht="15" thickBot="1" x14ac:dyDescent="0.2">
      <c r="A4172" s="30" t="s">
        <v>13201</v>
      </c>
      <c r="B4172" s="26" t="str">
        <f t="shared" si="65"/>
        <v>000880</v>
      </c>
      <c r="C4172" s="30" t="s">
        <v>5663</v>
      </c>
      <c r="D4172" s="31">
        <v>8.56</v>
      </c>
      <c r="E4172" s="31">
        <v>-0.12</v>
      </c>
      <c r="F4172" s="31">
        <v>1388106700</v>
      </c>
    </row>
    <row r="4173" spans="1:6" ht="15" thickBot="1" x14ac:dyDescent="0.2">
      <c r="A4173" s="30" t="s">
        <v>13202</v>
      </c>
      <c r="B4173" s="26" t="str">
        <f t="shared" si="65"/>
        <v>300501</v>
      </c>
      <c r="C4173" s="30" t="s">
        <v>6686</v>
      </c>
      <c r="D4173" s="31">
        <v>11.08</v>
      </c>
      <c r="E4173" s="31">
        <v>-1.77</v>
      </c>
      <c r="F4173" s="31">
        <v>1387229000</v>
      </c>
    </row>
    <row r="4174" spans="1:6" ht="15" thickBot="1" x14ac:dyDescent="0.2">
      <c r="A4174" s="30" t="s">
        <v>13203</v>
      </c>
      <c r="B4174" s="26" t="str">
        <f t="shared" si="65"/>
        <v>002278</v>
      </c>
      <c r="C4174" s="30" t="s">
        <v>7789</v>
      </c>
      <c r="D4174" s="31">
        <v>4.1500000000000004</v>
      </c>
      <c r="E4174" s="31">
        <v>-1.43</v>
      </c>
      <c r="F4174" s="31">
        <v>1386957100</v>
      </c>
    </row>
    <row r="4175" spans="1:6" ht="15" thickBot="1" x14ac:dyDescent="0.2">
      <c r="A4175" s="30" t="s">
        <v>13204</v>
      </c>
      <c r="B4175" s="26" t="str">
        <f t="shared" si="65"/>
        <v>003041</v>
      </c>
      <c r="C4175" s="30" t="s">
        <v>7849</v>
      </c>
      <c r="D4175" s="31">
        <v>10.130000000000001</v>
      </c>
      <c r="E4175" s="31">
        <v>0</v>
      </c>
      <c r="F4175" s="31">
        <v>1386021000</v>
      </c>
    </row>
    <row r="4176" spans="1:6" ht="15" thickBot="1" x14ac:dyDescent="0.2">
      <c r="A4176" s="30" t="s">
        <v>13205</v>
      </c>
      <c r="B4176" s="26" t="str">
        <f t="shared" si="65"/>
        <v>000619</v>
      </c>
      <c r="C4176" s="30" t="s">
        <v>7541</v>
      </c>
      <c r="D4176" s="31">
        <v>3.85</v>
      </c>
      <c r="E4176" s="31">
        <v>-1.79</v>
      </c>
      <c r="F4176" s="31">
        <v>1386000000</v>
      </c>
    </row>
    <row r="4177" spans="1:6" ht="15" thickBot="1" x14ac:dyDescent="0.2">
      <c r="A4177" s="30" t="s">
        <v>13206</v>
      </c>
      <c r="B4177" s="26" t="str">
        <f t="shared" si="65"/>
        <v>603065</v>
      </c>
      <c r="C4177" s="30" t="s">
        <v>13207</v>
      </c>
      <c r="D4177" s="31">
        <v>7.04</v>
      </c>
      <c r="E4177" s="31">
        <v>-0.99</v>
      </c>
      <c r="F4177" s="31">
        <v>1384581100</v>
      </c>
    </row>
    <row r="4178" spans="1:6" ht="15" thickBot="1" x14ac:dyDescent="0.2">
      <c r="A4178" s="30" t="s">
        <v>13208</v>
      </c>
      <c r="B4178" s="26" t="str">
        <f t="shared" si="65"/>
        <v>301391</v>
      </c>
      <c r="C4178" s="30" t="s">
        <v>13209</v>
      </c>
      <c r="D4178" s="31">
        <v>28.04</v>
      </c>
      <c r="E4178" s="31">
        <v>-1.02</v>
      </c>
      <c r="F4178" s="31">
        <v>1382840100</v>
      </c>
    </row>
    <row r="4179" spans="1:6" ht="15" thickBot="1" x14ac:dyDescent="0.2">
      <c r="A4179" s="30" t="s">
        <v>13210</v>
      </c>
      <c r="B4179" s="26" t="str">
        <f t="shared" si="65"/>
        <v>300644</v>
      </c>
      <c r="C4179" s="30" t="s">
        <v>7337</v>
      </c>
      <c r="D4179" s="31">
        <v>16.11</v>
      </c>
      <c r="E4179" s="31">
        <v>-1.04</v>
      </c>
      <c r="F4179" s="31">
        <v>1381297600</v>
      </c>
    </row>
    <row r="4180" spans="1:6" ht="15" thickBot="1" x14ac:dyDescent="0.2">
      <c r="A4180" s="30" t="s">
        <v>13211</v>
      </c>
      <c r="B4180" s="26" t="str">
        <f t="shared" si="65"/>
        <v>300283</v>
      </c>
      <c r="C4180" s="30" t="s">
        <v>6979</v>
      </c>
      <c r="D4180" s="31">
        <v>4.49</v>
      </c>
      <c r="E4180" s="31">
        <v>0.22</v>
      </c>
      <c r="F4180" s="31">
        <v>1380389100</v>
      </c>
    </row>
    <row r="4181" spans="1:6" ht="15" thickBot="1" x14ac:dyDescent="0.2">
      <c r="A4181" s="30" t="s">
        <v>13212</v>
      </c>
      <c r="B4181" s="26" t="str">
        <f t="shared" si="65"/>
        <v>000573</v>
      </c>
      <c r="C4181" s="30" t="s">
        <v>7977</v>
      </c>
      <c r="D4181" s="31">
        <v>2.1800000000000002</v>
      </c>
      <c r="E4181" s="31">
        <v>-1.36</v>
      </c>
      <c r="F4181" s="31">
        <v>1379863300</v>
      </c>
    </row>
    <row r="4182" spans="1:6" ht="15" thickBot="1" x14ac:dyDescent="0.2">
      <c r="A4182" s="30" t="s">
        <v>13213</v>
      </c>
      <c r="B4182" s="26" t="str">
        <f t="shared" si="65"/>
        <v>301008</v>
      </c>
      <c r="C4182" s="30" t="s">
        <v>7559</v>
      </c>
      <c r="D4182" s="31">
        <v>14.29</v>
      </c>
      <c r="E4182" s="31">
        <v>-1.52</v>
      </c>
      <c r="F4182" s="31">
        <v>1379308300</v>
      </c>
    </row>
    <row r="4183" spans="1:6" ht="15" thickBot="1" x14ac:dyDescent="0.2">
      <c r="A4183" s="30" t="s">
        <v>13214</v>
      </c>
      <c r="B4183" s="26" t="str">
        <f t="shared" si="65"/>
        <v>300839</v>
      </c>
      <c r="C4183" s="30" t="s">
        <v>7877</v>
      </c>
      <c r="D4183" s="31">
        <v>5.74</v>
      </c>
      <c r="E4183" s="31">
        <v>-1.38</v>
      </c>
      <c r="F4183" s="31">
        <v>1378783900</v>
      </c>
    </row>
    <row r="4184" spans="1:6" ht="15" thickBot="1" x14ac:dyDescent="0.2">
      <c r="A4184" s="30" t="s">
        <v>13215</v>
      </c>
      <c r="B4184" s="26" t="str">
        <f t="shared" si="65"/>
        <v>688373</v>
      </c>
      <c r="C4184" s="30" t="s">
        <v>13216</v>
      </c>
      <c r="D4184" s="31">
        <v>3.77</v>
      </c>
      <c r="E4184" s="31">
        <v>-3.33</v>
      </c>
      <c r="F4184" s="31">
        <v>1378507000</v>
      </c>
    </row>
    <row r="4185" spans="1:6" ht="15" thickBot="1" x14ac:dyDescent="0.2">
      <c r="A4185" s="30" t="s">
        <v>13217</v>
      </c>
      <c r="B4185" s="26" t="str">
        <f t="shared" si="65"/>
        <v>300963</v>
      </c>
      <c r="C4185" s="30" t="s">
        <v>13218</v>
      </c>
      <c r="D4185" s="31">
        <v>6.87</v>
      </c>
      <c r="E4185" s="31">
        <v>-2.14</v>
      </c>
      <c r="F4185" s="31">
        <v>1377654800</v>
      </c>
    </row>
    <row r="4186" spans="1:6" ht="15" thickBot="1" x14ac:dyDescent="0.2">
      <c r="A4186" s="30" t="s">
        <v>13219</v>
      </c>
      <c r="B4186" s="26" t="str">
        <f t="shared" si="65"/>
        <v>002702</v>
      </c>
      <c r="C4186" s="30" t="s">
        <v>7525</v>
      </c>
      <c r="D4186" s="31">
        <v>2.98</v>
      </c>
      <c r="E4186" s="31">
        <v>0.34</v>
      </c>
      <c r="F4186" s="31">
        <v>1376461900</v>
      </c>
    </row>
    <row r="4187" spans="1:6" ht="15" thickBot="1" x14ac:dyDescent="0.2">
      <c r="A4187" s="30" t="s">
        <v>13220</v>
      </c>
      <c r="B4187" s="26" t="str">
        <f t="shared" si="65"/>
        <v>688429</v>
      </c>
      <c r="C4187" s="30" t="s">
        <v>13221</v>
      </c>
      <c r="D4187" s="31">
        <v>16.82</v>
      </c>
      <c r="E4187" s="31">
        <v>0.3</v>
      </c>
      <c r="F4187" s="31">
        <v>1376359700</v>
      </c>
    </row>
    <row r="4188" spans="1:6" ht="15" thickBot="1" x14ac:dyDescent="0.2">
      <c r="A4188" s="30" t="s">
        <v>13222</v>
      </c>
      <c r="B4188" s="26" t="str">
        <f t="shared" si="65"/>
        <v>300885</v>
      </c>
      <c r="C4188" s="30" t="s">
        <v>6777</v>
      </c>
      <c r="D4188" s="31">
        <v>8.11</v>
      </c>
      <c r="E4188" s="31">
        <v>-6.24</v>
      </c>
      <c r="F4188" s="31">
        <v>1375991100</v>
      </c>
    </row>
    <row r="4189" spans="1:6" ht="15" thickBot="1" x14ac:dyDescent="0.2">
      <c r="A4189" s="30" t="s">
        <v>13223</v>
      </c>
      <c r="B4189" s="26" t="str">
        <f t="shared" si="65"/>
        <v>300923</v>
      </c>
      <c r="C4189" s="30" t="s">
        <v>7893</v>
      </c>
      <c r="D4189" s="31">
        <v>17.97</v>
      </c>
      <c r="E4189" s="31">
        <v>-0.5</v>
      </c>
      <c r="F4189" s="31">
        <v>1374138900</v>
      </c>
    </row>
    <row r="4190" spans="1:6" ht="15" thickBot="1" x14ac:dyDescent="0.2">
      <c r="A4190" s="30" t="s">
        <v>13224</v>
      </c>
      <c r="B4190" s="26" t="str">
        <f t="shared" si="65"/>
        <v>300243</v>
      </c>
      <c r="C4190" s="30" t="s">
        <v>7227</v>
      </c>
      <c r="D4190" s="31">
        <v>7.2</v>
      </c>
      <c r="E4190" s="31">
        <v>-0.83</v>
      </c>
      <c r="F4190" s="31">
        <v>1372988500</v>
      </c>
    </row>
    <row r="4191" spans="1:6" ht="15" thickBot="1" x14ac:dyDescent="0.2">
      <c r="A4191" s="30" t="s">
        <v>13225</v>
      </c>
      <c r="B4191" s="26" t="str">
        <f t="shared" si="65"/>
        <v>600202</v>
      </c>
      <c r="C4191" s="30" t="s">
        <v>7967</v>
      </c>
      <c r="D4191" s="31">
        <v>3.58</v>
      </c>
      <c r="E4191" s="31">
        <v>-1.92</v>
      </c>
      <c r="F4191" s="31">
        <v>1372359600</v>
      </c>
    </row>
    <row r="4192" spans="1:6" ht="15" thickBot="1" x14ac:dyDescent="0.2">
      <c r="A4192" s="30" t="s">
        <v>13226</v>
      </c>
      <c r="B4192" s="26" t="str">
        <f t="shared" si="65"/>
        <v>002858</v>
      </c>
      <c r="C4192" s="30" t="s">
        <v>7693</v>
      </c>
      <c r="D4192" s="31">
        <v>9.35</v>
      </c>
      <c r="E4192" s="31">
        <v>-1.79</v>
      </c>
      <c r="F4192" s="31">
        <v>1371898700</v>
      </c>
    </row>
    <row r="4193" spans="1:6" ht="15" thickBot="1" x14ac:dyDescent="0.2">
      <c r="A4193" s="30" t="s">
        <v>13227</v>
      </c>
      <c r="B4193" s="26" t="str">
        <f t="shared" si="65"/>
        <v>603637</v>
      </c>
      <c r="C4193" s="30" t="s">
        <v>7939</v>
      </c>
      <c r="D4193" s="31">
        <v>5.74</v>
      </c>
      <c r="E4193" s="31">
        <v>-2.0499999999999998</v>
      </c>
      <c r="F4193" s="31">
        <v>1370056900</v>
      </c>
    </row>
    <row r="4194" spans="1:6" ht="15" thickBot="1" x14ac:dyDescent="0.2">
      <c r="A4194" s="30" t="s">
        <v>13228</v>
      </c>
      <c r="B4194" s="26" t="str">
        <f t="shared" si="65"/>
        <v>605255</v>
      </c>
      <c r="C4194" s="30" t="s">
        <v>7933</v>
      </c>
      <c r="D4194" s="31">
        <v>10.210000000000001</v>
      </c>
      <c r="E4194" s="31">
        <v>-0.1</v>
      </c>
      <c r="F4194" s="31">
        <v>1368956800</v>
      </c>
    </row>
    <row r="4195" spans="1:6" ht="15" thickBot="1" x14ac:dyDescent="0.2">
      <c r="A4195" s="30" t="s">
        <v>13229</v>
      </c>
      <c r="B4195" s="26" t="str">
        <f t="shared" si="65"/>
        <v>605298</v>
      </c>
      <c r="C4195" s="30" t="s">
        <v>13230</v>
      </c>
      <c r="D4195" s="31">
        <v>7.5</v>
      </c>
      <c r="E4195" s="31">
        <v>1.35</v>
      </c>
      <c r="F4195" s="31">
        <v>1368900000</v>
      </c>
    </row>
    <row r="4196" spans="1:6" ht="15" thickBot="1" x14ac:dyDescent="0.2">
      <c r="A4196" s="30" t="s">
        <v>13231</v>
      </c>
      <c r="B4196" s="26" t="str">
        <f t="shared" si="65"/>
        <v>603655</v>
      </c>
      <c r="C4196" s="30" t="s">
        <v>7919</v>
      </c>
      <c r="D4196" s="31">
        <v>12.91</v>
      </c>
      <c r="E4196" s="31">
        <v>-1.83</v>
      </c>
      <c r="F4196" s="31">
        <v>1368460000</v>
      </c>
    </row>
    <row r="4197" spans="1:6" ht="15" thickBot="1" x14ac:dyDescent="0.2">
      <c r="A4197" s="30" t="s">
        <v>13232</v>
      </c>
      <c r="B4197" s="26" t="str">
        <f t="shared" si="65"/>
        <v>300921</v>
      </c>
      <c r="C4197" s="30" t="s">
        <v>13233</v>
      </c>
      <c r="D4197" s="31">
        <v>17.22</v>
      </c>
      <c r="E4197" s="31">
        <v>-0.46</v>
      </c>
      <c r="F4197" s="31">
        <v>1367562500</v>
      </c>
    </row>
    <row r="4198" spans="1:6" ht="15" thickBot="1" x14ac:dyDescent="0.2">
      <c r="A4198" s="30" t="s">
        <v>13234</v>
      </c>
      <c r="B4198" s="26" t="str">
        <f t="shared" si="65"/>
        <v>002820</v>
      </c>
      <c r="C4198" s="30" t="s">
        <v>7931</v>
      </c>
      <c r="D4198" s="31">
        <v>6.83</v>
      </c>
      <c r="E4198" s="31">
        <v>-1.3</v>
      </c>
      <c r="F4198" s="31">
        <v>1367079200</v>
      </c>
    </row>
    <row r="4199" spans="1:6" ht="15" thickBot="1" x14ac:dyDescent="0.2">
      <c r="A4199" s="30" t="s">
        <v>13235</v>
      </c>
      <c r="B4199" s="26" t="str">
        <f t="shared" si="65"/>
        <v>001308</v>
      </c>
      <c r="C4199" s="30" t="s">
        <v>13236</v>
      </c>
      <c r="D4199" s="31">
        <v>17.79</v>
      </c>
      <c r="E4199" s="31">
        <v>-0.67</v>
      </c>
      <c r="F4199" s="31">
        <v>1366730000</v>
      </c>
    </row>
    <row r="4200" spans="1:6" ht="15" thickBot="1" x14ac:dyDescent="0.2">
      <c r="A4200" s="30" t="s">
        <v>13237</v>
      </c>
      <c r="B4200" s="26" t="str">
        <f t="shared" si="65"/>
        <v>002566</v>
      </c>
      <c r="C4200" s="30" t="s">
        <v>7075</v>
      </c>
      <c r="D4200" s="31">
        <v>5.89</v>
      </c>
      <c r="E4200" s="31">
        <v>-1.83</v>
      </c>
      <c r="F4200" s="31">
        <v>1365245900</v>
      </c>
    </row>
    <row r="4201" spans="1:6" ht="15" thickBot="1" x14ac:dyDescent="0.2">
      <c r="A4201" s="30" t="s">
        <v>13238</v>
      </c>
      <c r="B4201" s="26" t="str">
        <f t="shared" si="65"/>
        <v>301053</v>
      </c>
      <c r="C4201" s="30" t="s">
        <v>13239</v>
      </c>
      <c r="D4201" s="31">
        <v>17.22</v>
      </c>
      <c r="E4201" s="31">
        <v>-1.82</v>
      </c>
      <c r="F4201" s="31">
        <v>1363506100</v>
      </c>
    </row>
    <row r="4202" spans="1:6" ht="15" thickBot="1" x14ac:dyDescent="0.2">
      <c r="A4202" s="30" t="s">
        <v>13240</v>
      </c>
      <c r="B4202" s="26" t="str">
        <f t="shared" si="65"/>
        <v>300689</v>
      </c>
      <c r="C4202" s="30" t="s">
        <v>7637</v>
      </c>
      <c r="D4202" s="31">
        <v>13.47</v>
      </c>
      <c r="E4202" s="31">
        <v>-2.5299999999999998</v>
      </c>
      <c r="F4202" s="31">
        <v>1362934000</v>
      </c>
    </row>
    <row r="4203" spans="1:6" ht="15" thickBot="1" x14ac:dyDescent="0.2">
      <c r="A4203" s="30" t="s">
        <v>13241</v>
      </c>
      <c r="B4203" s="26" t="str">
        <f t="shared" si="65"/>
        <v>301318</v>
      </c>
      <c r="C4203" s="30" t="s">
        <v>13242</v>
      </c>
      <c r="D4203" s="31">
        <v>23.28</v>
      </c>
      <c r="E4203" s="31">
        <v>-1.73</v>
      </c>
      <c r="F4203" s="31">
        <v>1362199400</v>
      </c>
    </row>
    <row r="4204" spans="1:6" ht="15" thickBot="1" x14ac:dyDescent="0.2">
      <c r="A4204" s="30" t="s">
        <v>13243</v>
      </c>
      <c r="B4204" s="26" t="str">
        <f t="shared" si="65"/>
        <v>600692</v>
      </c>
      <c r="C4204" s="30" t="s">
        <v>7405</v>
      </c>
      <c r="D4204" s="31">
        <v>5.33</v>
      </c>
      <c r="E4204" s="31">
        <v>2.9</v>
      </c>
      <c r="F4204" s="31">
        <v>1359206100</v>
      </c>
    </row>
    <row r="4205" spans="1:6" ht="15" thickBot="1" x14ac:dyDescent="0.2">
      <c r="A4205" s="30" t="s">
        <v>13244</v>
      </c>
      <c r="B4205" s="26" t="str">
        <f t="shared" si="65"/>
        <v>002900</v>
      </c>
      <c r="C4205" s="30" t="s">
        <v>6214</v>
      </c>
      <c r="D4205" s="31">
        <v>7.94</v>
      </c>
      <c r="E4205" s="31">
        <v>-1</v>
      </c>
      <c r="F4205" s="31">
        <v>1356872400</v>
      </c>
    </row>
    <row r="4206" spans="1:6" ht="15" thickBot="1" x14ac:dyDescent="0.2">
      <c r="A4206" s="30" t="s">
        <v>13245</v>
      </c>
      <c r="B4206" s="26" t="str">
        <f t="shared" si="65"/>
        <v>002199</v>
      </c>
      <c r="C4206" s="30" t="s">
        <v>7867</v>
      </c>
      <c r="D4206" s="31">
        <v>5.57</v>
      </c>
      <c r="E4206" s="31">
        <v>-2.4500000000000002</v>
      </c>
      <c r="F4206" s="31">
        <v>1355974000</v>
      </c>
    </row>
    <row r="4207" spans="1:6" ht="15" thickBot="1" x14ac:dyDescent="0.2">
      <c r="A4207" s="30" t="s">
        <v>13246</v>
      </c>
      <c r="B4207" s="26" t="str">
        <f t="shared" si="65"/>
        <v>300437</v>
      </c>
      <c r="C4207" s="30" t="s">
        <v>6929</v>
      </c>
      <c r="D4207" s="31">
        <v>7.7</v>
      </c>
      <c r="E4207" s="31">
        <v>-1.28</v>
      </c>
      <c r="F4207" s="31">
        <v>1353741600</v>
      </c>
    </row>
    <row r="4208" spans="1:6" ht="15" thickBot="1" x14ac:dyDescent="0.2">
      <c r="A4208" s="30" t="s">
        <v>13247</v>
      </c>
      <c r="B4208" s="26" t="str">
        <f t="shared" si="65"/>
        <v>832491</v>
      </c>
      <c r="C4208" s="30" t="s">
        <v>7457</v>
      </c>
      <c r="D4208" s="31">
        <v>11.85</v>
      </c>
      <c r="E4208" s="31">
        <v>-1.82</v>
      </c>
      <c r="F4208" s="31">
        <v>1352653500</v>
      </c>
    </row>
    <row r="4209" spans="1:6" ht="15" thickBot="1" x14ac:dyDescent="0.2">
      <c r="A4209" s="30" t="s">
        <v>13248</v>
      </c>
      <c r="B4209" s="26" t="str">
        <f t="shared" si="65"/>
        <v>001313</v>
      </c>
      <c r="C4209" s="30" t="s">
        <v>13249</v>
      </c>
      <c r="D4209" s="31">
        <v>6.2</v>
      </c>
      <c r="E4209" s="31">
        <v>-2.21</v>
      </c>
      <c r="F4209" s="31">
        <v>1352170400</v>
      </c>
    </row>
    <row r="4210" spans="1:6" ht="15" thickBot="1" x14ac:dyDescent="0.2">
      <c r="A4210" s="30" t="s">
        <v>13250</v>
      </c>
      <c r="B4210" s="26" t="str">
        <f t="shared" si="65"/>
        <v>605033</v>
      </c>
      <c r="C4210" s="30" t="s">
        <v>13251</v>
      </c>
      <c r="D4210" s="31">
        <v>10</v>
      </c>
      <c r="E4210" s="31">
        <v>-1.48</v>
      </c>
      <c r="F4210" s="31">
        <v>1352000000</v>
      </c>
    </row>
    <row r="4211" spans="1:6" ht="15" thickBot="1" x14ac:dyDescent="0.2">
      <c r="A4211" s="30" t="s">
        <v>13252</v>
      </c>
      <c r="B4211" s="26" t="str">
        <f t="shared" si="65"/>
        <v>000663</v>
      </c>
      <c r="C4211" s="30" t="s">
        <v>7899</v>
      </c>
      <c r="D4211" s="31">
        <v>4.41</v>
      </c>
      <c r="E4211" s="31">
        <v>-0.9</v>
      </c>
      <c r="F4211" s="31">
        <v>1350788300</v>
      </c>
    </row>
    <row r="4212" spans="1:6" ht="15" thickBot="1" x14ac:dyDescent="0.2">
      <c r="A4212" s="30" t="s">
        <v>13253</v>
      </c>
      <c r="B4212" s="26" t="str">
        <f t="shared" si="65"/>
        <v>003004</v>
      </c>
      <c r="C4212" s="30" t="s">
        <v>7641</v>
      </c>
      <c r="D4212" s="31">
        <v>19.41</v>
      </c>
      <c r="E4212" s="31">
        <v>-0.97</v>
      </c>
      <c r="F4212" s="31">
        <v>1350513600</v>
      </c>
    </row>
    <row r="4213" spans="1:6" ht="15" thickBot="1" x14ac:dyDescent="0.2">
      <c r="A4213" s="30" t="s">
        <v>13254</v>
      </c>
      <c r="B4213" s="26" t="str">
        <f t="shared" si="65"/>
        <v>002836</v>
      </c>
      <c r="C4213" s="30" t="s">
        <v>7945</v>
      </c>
      <c r="D4213" s="31">
        <v>5.86</v>
      </c>
      <c r="E4213" s="31">
        <v>-1.84</v>
      </c>
      <c r="F4213" s="31">
        <v>1350144000</v>
      </c>
    </row>
    <row r="4214" spans="1:6" ht="15" thickBot="1" x14ac:dyDescent="0.2">
      <c r="A4214" s="30" t="s">
        <v>13255</v>
      </c>
      <c r="B4214" s="26" t="str">
        <f t="shared" si="65"/>
        <v>603177</v>
      </c>
      <c r="C4214" s="30" t="s">
        <v>7901</v>
      </c>
      <c r="D4214" s="31">
        <v>6.61</v>
      </c>
      <c r="E4214" s="31">
        <v>-2.94</v>
      </c>
      <c r="F4214" s="31">
        <v>1349709100</v>
      </c>
    </row>
    <row r="4215" spans="1:6" ht="15" thickBot="1" x14ac:dyDescent="0.2">
      <c r="A4215" s="30" t="s">
        <v>13256</v>
      </c>
      <c r="B4215" s="26" t="str">
        <f t="shared" si="65"/>
        <v>300340</v>
      </c>
      <c r="C4215" s="30" t="s">
        <v>6781</v>
      </c>
      <c r="D4215" s="31">
        <v>7.2</v>
      </c>
      <c r="E4215" s="31">
        <v>-2.97</v>
      </c>
      <c r="F4215" s="31">
        <v>1349606100</v>
      </c>
    </row>
    <row r="4216" spans="1:6" ht="15" thickBot="1" x14ac:dyDescent="0.2">
      <c r="A4216" s="30" t="s">
        <v>13257</v>
      </c>
      <c r="B4216" s="26" t="str">
        <f t="shared" si="65"/>
        <v>301109</v>
      </c>
      <c r="C4216" s="30" t="s">
        <v>13258</v>
      </c>
      <c r="D4216" s="31">
        <v>13.68</v>
      </c>
      <c r="E4216" s="31">
        <v>-1.8</v>
      </c>
      <c r="F4216" s="31">
        <v>1349543400</v>
      </c>
    </row>
    <row r="4217" spans="1:6" ht="15" thickBot="1" x14ac:dyDescent="0.2">
      <c r="A4217" s="30" t="s">
        <v>13259</v>
      </c>
      <c r="B4217" s="26" t="str">
        <f t="shared" si="65"/>
        <v>300819</v>
      </c>
      <c r="C4217" s="30" t="s">
        <v>7761</v>
      </c>
      <c r="D4217" s="31">
        <v>10.01</v>
      </c>
      <c r="E4217" s="31">
        <v>-1.86</v>
      </c>
      <c r="F4217" s="31">
        <v>1348970100</v>
      </c>
    </row>
    <row r="4218" spans="1:6" ht="15" thickBot="1" x14ac:dyDescent="0.2">
      <c r="A4218" s="30" t="s">
        <v>13260</v>
      </c>
      <c r="B4218" s="26" t="str">
        <f t="shared" si="65"/>
        <v>688056</v>
      </c>
      <c r="C4218" s="30" t="s">
        <v>7965</v>
      </c>
      <c r="D4218" s="31">
        <v>20.059999999999999</v>
      </c>
      <c r="E4218" s="31">
        <v>0.25</v>
      </c>
      <c r="F4218" s="31">
        <v>1348762200</v>
      </c>
    </row>
    <row r="4219" spans="1:6" ht="15" thickBot="1" x14ac:dyDescent="0.2">
      <c r="A4219" s="30" t="s">
        <v>13261</v>
      </c>
      <c r="B4219" s="26" t="str">
        <f t="shared" si="65"/>
        <v>301019</v>
      </c>
      <c r="C4219" s="30" t="s">
        <v>13262</v>
      </c>
      <c r="D4219" s="31">
        <v>12.14</v>
      </c>
      <c r="E4219" s="31">
        <v>-0.49</v>
      </c>
      <c r="F4219" s="31">
        <v>1348366600</v>
      </c>
    </row>
    <row r="4220" spans="1:6" ht="15" thickBot="1" x14ac:dyDescent="0.2">
      <c r="A4220" s="30" t="s">
        <v>13263</v>
      </c>
      <c r="B4220" s="26" t="str">
        <f t="shared" si="65"/>
        <v>603506</v>
      </c>
      <c r="C4220" s="30" t="s">
        <v>8021</v>
      </c>
      <c r="D4220" s="31">
        <v>7.18</v>
      </c>
      <c r="E4220" s="31">
        <v>0.56000000000000005</v>
      </c>
      <c r="F4220" s="31">
        <v>1348244500</v>
      </c>
    </row>
    <row r="4221" spans="1:6" ht="15" thickBot="1" x14ac:dyDescent="0.2">
      <c r="A4221" s="30" t="s">
        <v>13264</v>
      </c>
      <c r="B4221" s="26" t="str">
        <f t="shared" si="65"/>
        <v>603090</v>
      </c>
      <c r="C4221" s="30" t="s">
        <v>7913</v>
      </c>
      <c r="D4221" s="31">
        <v>13.48</v>
      </c>
      <c r="E4221" s="31">
        <v>0.9</v>
      </c>
      <c r="F4221" s="31">
        <v>1348000000</v>
      </c>
    </row>
    <row r="4222" spans="1:6" ht="15" thickBot="1" x14ac:dyDescent="0.2">
      <c r="A4222" s="30" t="s">
        <v>13265</v>
      </c>
      <c r="B4222" s="26" t="str">
        <f t="shared" si="65"/>
        <v>300774</v>
      </c>
      <c r="C4222" s="30" t="s">
        <v>13266</v>
      </c>
      <c r="D4222" s="31">
        <v>6.9</v>
      </c>
      <c r="E4222" s="31">
        <v>-3.5</v>
      </c>
      <c r="F4222" s="31">
        <v>1344818700</v>
      </c>
    </row>
    <row r="4223" spans="1:6" ht="15" thickBot="1" x14ac:dyDescent="0.2">
      <c r="A4223" s="30" t="s">
        <v>13267</v>
      </c>
      <c r="B4223" s="26" t="str">
        <f t="shared" si="65"/>
        <v>300828</v>
      </c>
      <c r="C4223" s="30" t="s">
        <v>7229</v>
      </c>
      <c r="D4223" s="31">
        <v>10.78</v>
      </c>
      <c r="E4223" s="31">
        <v>-1.82</v>
      </c>
      <c r="F4223" s="31">
        <v>1344580700</v>
      </c>
    </row>
    <row r="4224" spans="1:6" ht="15" thickBot="1" x14ac:dyDescent="0.2">
      <c r="A4224" s="30" t="s">
        <v>13268</v>
      </c>
      <c r="B4224" s="26" t="str">
        <f t="shared" si="65"/>
        <v>688376</v>
      </c>
      <c r="C4224" s="30" t="s">
        <v>13269</v>
      </c>
      <c r="D4224" s="31">
        <v>27.1</v>
      </c>
      <c r="E4224" s="31">
        <v>-0.91</v>
      </c>
      <c r="F4224" s="31">
        <v>1344573500</v>
      </c>
    </row>
    <row r="4225" spans="1:6" ht="15" thickBot="1" x14ac:dyDescent="0.2">
      <c r="A4225" s="30" t="s">
        <v>13270</v>
      </c>
      <c r="B4225" s="26" t="str">
        <f t="shared" si="65"/>
        <v>688129</v>
      </c>
      <c r="C4225" s="30" t="s">
        <v>7969</v>
      </c>
      <c r="D4225" s="31">
        <v>11.15</v>
      </c>
      <c r="E4225" s="31">
        <v>-1.5</v>
      </c>
      <c r="F4225" s="31">
        <v>1343338600</v>
      </c>
    </row>
    <row r="4226" spans="1:6" ht="15" thickBot="1" x14ac:dyDescent="0.2">
      <c r="A4226" s="30" t="s">
        <v>13271</v>
      </c>
      <c r="B4226" s="26" t="str">
        <f t="shared" si="65"/>
        <v>000856</v>
      </c>
      <c r="C4226" s="30" t="s">
        <v>7995</v>
      </c>
      <c r="D4226" s="31">
        <v>5.9</v>
      </c>
      <c r="E4226" s="31">
        <v>-1.01</v>
      </c>
      <c r="F4226" s="31">
        <v>1339300000</v>
      </c>
    </row>
    <row r="4227" spans="1:6" ht="15" thickBot="1" x14ac:dyDescent="0.2">
      <c r="A4227" s="30" t="s">
        <v>13272</v>
      </c>
      <c r="B4227" s="26" t="str">
        <f t="shared" ref="B4227:B4290" si="66">LEFT(A4227,6)</f>
        <v>300650</v>
      </c>
      <c r="C4227" s="30" t="s">
        <v>7079</v>
      </c>
      <c r="D4227" s="31">
        <v>8.52</v>
      </c>
      <c r="E4227" s="31">
        <v>-2.52</v>
      </c>
      <c r="F4227" s="31">
        <v>1339027330</v>
      </c>
    </row>
    <row r="4228" spans="1:6" ht="15" thickBot="1" x14ac:dyDescent="0.2">
      <c r="A4228" s="30" t="s">
        <v>13273</v>
      </c>
      <c r="B4228" s="26" t="str">
        <f t="shared" si="66"/>
        <v>601133</v>
      </c>
      <c r="C4228" s="30" t="s">
        <v>13274</v>
      </c>
      <c r="D4228" s="31">
        <v>9.07</v>
      </c>
      <c r="E4228" s="31">
        <v>-0.98</v>
      </c>
      <c r="F4228" s="31">
        <v>1337825000</v>
      </c>
    </row>
    <row r="4229" spans="1:6" ht="15" thickBot="1" x14ac:dyDescent="0.2">
      <c r="A4229" s="30" t="s">
        <v>13275</v>
      </c>
      <c r="B4229" s="26" t="str">
        <f t="shared" si="66"/>
        <v>301057</v>
      </c>
      <c r="C4229" s="30" t="s">
        <v>13276</v>
      </c>
      <c r="D4229" s="31">
        <v>11.44</v>
      </c>
      <c r="E4229" s="31">
        <v>-1.97</v>
      </c>
      <c r="F4229" s="31">
        <v>1333314130</v>
      </c>
    </row>
    <row r="4230" spans="1:6" ht="15" thickBot="1" x14ac:dyDescent="0.2">
      <c r="A4230" s="30" t="s">
        <v>13277</v>
      </c>
      <c r="B4230" s="26" t="str">
        <f t="shared" si="66"/>
        <v>300716</v>
      </c>
      <c r="C4230" s="30" t="s">
        <v>8025</v>
      </c>
      <c r="D4230" s="31">
        <v>8.33</v>
      </c>
      <c r="E4230" s="31">
        <v>4</v>
      </c>
      <c r="F4230" s="31">
        <v>1332966600</v>
      </c>
    </row>
    <row r="4231" spans="1:6" ht="15" thickBot="1" x14ac:dyDescent="0.2">
      <c r="A4231" s="30" t="s">
        <v>13278</v>
      </c>
      <c r="B4231" s="26" t="str">
        <f t="shared" si="66"/>
        <v>002826</v>
      </c>
      <c r="C4231" s="30" t="s">
        <v>7823</v>
      </c>
      <c r="D4231" s="31">
        <v>7.57</v>
      </c>
      <c r="E4231" s="31">
        <v>-3.07</v>
      </c>
      <c r="F4231" s="31">
        <v>1332764240</v>
      </c>
    </row>
    <row r="4232" spans="1:6" ht="15" thickBot="1" x14ac:dyDescent="0.2">
      <c r="A4232" s="30" t="s">
        <v>13279</v>
      </c>
      <c r="B4232" s="26" t="str">
        <f t="shared" si="66"/>
        <v>300069</v>
      </c>
      <c r="C4232" s="30" t="s">
        <v>8077</v>
      </c>
      <c r="D4232" s="31">
        <v>11.39</v>
      </c>
      <c r="E4232" s="31">
        <v>-0.35</v>
      </c>
      <c r="F4232" s="31">
        <v>1332630000</v>
      </c>
    </row>
    <row r="4233" spans="1:6" ht="15" thickBot="1" x14ac:dyDescent="0.2">
      <c r="A4233" s="30" t="s">
        <v>13280</v>
      </c>
      <c r="B4233" s="26" t="str">
        <f t="shared" si="66"/>
        <v>300198</v>
      </c>
      <c r="C4233" s="30" t="s">
        <v>7963</v>
      </c>
      <c r="D4233" s="31">
        <v>1.3</v>
      </c>
      <c r="E4233" s="31">
        <v>-4.41</v>
      </c>
      <c r="F4233" s="31">
        <v>1331806330</v>
      </c>
    </row>
    <row r="4234" spans="1:6" ht="15" thickBot="1" x14ac:dyDescent="0.2">
      <c r="A4234" s="30" t="s">
        <v>13281</v>
      </c>
      <c r="B4234" s="26" t="str">
        <f t="shared" si="66"/>
        <v>688523</v>
      </c>
      <c r="C4234" s="30" t="s">
        <v>13282</v>
      </c>
      <c r="D4234" s="31">
        <v>15.6</v>
      </c>
      <c r="E4234" s="31">
        <v>0.39</v>
      </c>
      <c r="F4234" s="31">
        <v>1331074600</v>
      </c>
    </row>
    <row r="4235" spans="1:6" ht="15" thickBot="1" x14ac:dyDescent="0.2">
      <c r="A4235" s="30" t="s">
        <v>13283</v>
      </c>
      <c r="B4235" s="26" t="str">
        <f t="shared" si="66"/>
        <v>834033</v>
      </c>
      <c r="C4235" s="30" t="s">
        <v>13284</v>
      </c>
      <c r="D4235" s="31">
        <v>15.96</v>
      </c>
      <c r="E4235" s="31">
        <v>0.38</v>
      </c>
      <c r="F4235" s="31">
        <v>1330873470</v>
      </c>
    </row>
    <row r="4236" spans="1:6" ht="15" thickBot="1" x14ac:dyDescent="0.2">
      <c r="A4236" s="30" t="s">
        <v>13285</v>
      </c>
      <c r="B4236" s="26" t="str">
        <f t="shared" si="66"/>
        <v>688393</v>
      </c>
      <c r="C4236" s="30" t="s">
        <v>7991</v>
      </c>
      <c r="D4236" s="31">
        <v>14.22</v>
      </c>
      <c r="E4236" s="31">
        <v>-0.56000000000000005</v>
      </c>
      <c r="F4236" s="31">
        <v>1330532680</v>
      </c>
    </row>
    <row r="4237" spans="1:6" ht="15" thickBot="1" x14ac:dyDescent="0.2">
      <c r="A4237" s="30" t="s">
        <v>13286</v>
      </c>
      <c r="B4237" s="26" t="str">
        <f t="shared" si="66"/>
        <v>873122</v>
      </c>
      <c r="C4237" s="30" t="s">
        <v>13287</v>
      </c>
      <c r="D4237" s="31">
        <v>39.03</v>
      </c>
      <c r="E4237" s="31">
        <v>0.39</v>
      </c>
      <c r="F4237" s="31">
        <v>1330499060</v>
      </c>
    </row>
    <row r="4238" spans="1:6" ht="15" thickBot="1" x14ac:dyDescent="0.2">
      <c r="A4238" s="30" t="s">
        <v>13288</v>
      </c>
      <c r="B4238" s="26" t="str">
        <f t="shared" si="66"/>
        <v>301185</v>
      </c>
      <c r="C4238" s="30" t="s">
        <v>6734</v>
      </c>
      <c r="D4238" s="31">
        <v>14.38</v>
      </c>
      <c r="E4238" s="31">
        <v>-1.71</v>
      </c>
      <c r="F4238" s="31">
        <v>1330390420</v>
      </c>
    </row>
    <row r="4239" spans="1:6" ht="15" thickBot="1" x14ac:dyDescent="0.2">
      <c r="A4239" s="30" t="s">
        <v>13289</v>
      </c>
      <c r="B4239" s="26" t="str">
        <f t="shared" si="66"/>
        <v>300840</v>
      </c>
      <c r="C4239" s="30" t="s">
        <v>7017</v>
      </c>
      <c r="D4239" s="31">
        <v>7.77</v>
      </c>
      <c r="E4239" s="31">
        <v>-2.75</v>
      </c>
      <c r="F4239" s="31">
        <v>1330271640</v>
      </c>
    </row>
    <row r="4240" spans="1:6" ht="15" thickBot="1" x14ac:dyDescent="0.2">
      <c r="A4240" s="30" t="s">
        <v>13290</v>
      </c>
      <c r="B4240" s="26" t="str">
        <f t="shared" si="66"/>
        <v>688646</v>
      </c>
      <c r="C4240" s="30" t="s">
        <v>13291</v>
      </c>
      <c r="D4240" s="31">
        <v>23.68</v>
      </c>
      <c r="E4240" s="31">
        <v>-0.8</v>
      </c>
      <c r="F4240" s="31">
        <v>1329639620</v>
      </c>
    </row>
    <row r="4241" spans="1:6" ht="15" thickBot="1" x14ac:dyDescent="0.2">
      <c r="A4241" s="30" t="s">
        <v>13292</v>
      </c>
      <c r="B4241" s="26" t="str">
        <f t="shared" si="66"/>
        <v>600421</v>
      </c>
      <c r="C4241" s="30" t="s">
        <v>8091</v>
      </c>
      <c r="D4241" s="31">
        <v>6.79</v>
      </c>
      <c r="E4241" s="31">
        <v>-0.15</v>
      </c>
      <c r="F4241" s="31">
        <v>1328124000</v>
      </c>
    </row>
    <row r="4242" spans="1:6" ht="15" thickBot="1" x14ac:dyDescent="0.2">
      <c r="A4242" s="30" t="s">
        <v>13293</v>
      </c>
      <c r="B4242" s="26" t="str">
        <f t="shared" si="66"/>
        <v>688501</v>
      </c>
      <c r="C4242" s="30" t="s">
        <v>13294</v>
      </c>
      <c r="D4242" s="31">
        <v>10.78</v>
      </c>
      <c r="E4242" s="31">
        <v>-0.83</v>
      </c>
      <c r="F4242" s="31">
        <v>1326705380</v>
      </c>
    </row>
    <row r="4243" spans="1:6" ht="15" thickBot="1" x14ac:dyDescent="0.2">
      <c r="A4243" s="30" t="s">
        <v>13295</v>
      </c>
      <c r="B4243" s="26" t="str">
        <f t="shared" si="66"/>
        <v>002360</v>
      </c>
      <c r="C4243" s="30" t="s">
        <v>7621</v>
      </c>
      <c r="D4243" s="31">
        <v>4.04</v>
      </c>
      <c r="E4243" s="31">
        <v>-0.98</v>
      </c>
      <c r="F4243" s="31">
        <v>1326183600</v>
      </c>
    </row>
    <row r="4244" spans="1:6" ht="15" thickBot="1" x14ac:dyDescent="0.2">
      <c r="A4244" s="30" t="s">
        <v>13296</v>
      </c>
      <c r="B4244" s="26" t="str">
        <f t="shared" si="66"/>
        <v>688071</v>
      </c>
      <c r="C4244" s="30" t="s">
        <v>7947</v>
      </c>
      <c r="D4244" s="31">
        <v>15.62</v>
      </c>
      <c r="E4244" s="31">
        <v>-0.83</v>
      </c>
      <c r="F4244" s="31">
        <v>1324415490</v>
      </c>
    </row>
    <row r="4245" spans="1:6" ht="15" thickBot="1" x14ac:dyDescent="0.2">
      <c r="A4245" s="30" t="s">
        <v>13297</v>
      </c>
      <c r="B4245" s="26" t="str">
        <f t="shared" si="66"/>
        <v>688576</v>
      </c>
      <c r="C4245" s="30" t="s">
        <v>13298</v>
      </c>
      <c r="D4245" s="31">
        <v>52.56</v>
      </c>
      <c r="E4245" s="31">
        <v>1.92</v>
      </c>
      <c r="F4245" s="31">
        <v>1321621780</v>
      </c>
    </row>
    <row r="4246" spans="1:6" ht="15" thickBot="1" x14ac:dyDescent="0.2">
      <c r="A4246" s="30" t="s">
        <v>13299</v>
      </c>
      <c r="B4246" s="26" t="str">
        <f t="shared" si="66"/>
        <v>603657</v>
      </c>
      <c r="C4246" s="30" t="s">
        <v>7951</v>
      </c>
      <c r="D4246" s="31">
        <v>9.77</v>
      </c>
      <c r="E4246" s="31">
        <v>-2.1</v>
      </c>
      <c r="F4246" s="31">
        <v>1320806790</v>
      </c>
    </row>
    <row r="4247" spans="1:6" ht="15" thickBot="1" x14ac:dyDescent="0.2">
      <c r="A4247" s="30" t="s">
        <v>13300</v>
      </c>
      <c r="B4247" s="26" t="str">
        <f t="shared" si="66"/>
        <v>002982</v>
      </c>
      <c r="C4247" s="30" t="s">
        <v>6877</v>
      </c>
      <c r="D4247" s="31">
        <v>14.3</v>
      </c>
      <c r="E4247" s="31">
        <v>-1.45</v>
      </c>
      <c r="F4247" s="31">
        <v>1319851720</v>
      </c>
    </row>
    <row r="4248" spans="1:6" ht="15" thickBot="1" x14ac:dyDescent="0.2">
      <c r="A4248" s="30" t="s">
        <v>13301</v>
      </c>
      <c r="B4248" s="26" t="str">
        <f t="shared" si="66"/>
        <v>600149</v>
      </c>
      <c r="C4248" s="30" t="s">
        <v>8119</v>
      </c>
      <c r="D4248" s="31">
        <v>3.47</v>
      </c>
      <c r="E4248" s="31">
        <v>2.36</v>
      </c>
      <c r="F4248" s="31">
        <v>1319155200</v>
      </c>
    </row>
    <row r="4249" spans="1:6" ht="15" thickBot="1" x14ac:dyDescent="0.2">
      <c r="A4249" s="30" t="s">
        <v>13302</v>
      </c>
      <c r="B4249" s="26" t="str">
        <f t="shared" si="66"/>
        <v>301130</v>
      </c>
      <c r="C4249" s="30" t="s">
        <v>13303</v>
      </c>
      <c r="D4249" s="31">
        <v>22.7</v>
      </c>
      <c r="E4249" s="31">
        <v>-2.83</v>
      </c>
      <c r="F4249" s="31">
        <v>1317238640</v>
      </c>
    </row>
    <row r="4250" spans="1:6" ht="15" thickBot="1" x14ac:dyDescent="0.2">
      <c r="A4250" s="30" t="s">
        <v>13304</v>
      </c>
      <c r="B4250" s="26" t="str">
        <f t="shared" si="66"/>
        <v>002973</v>
      </c>
      <c r="C4250" s="30" t="s">
        <v>5098</v>
      </c>
      <c r="D4250" s="31">
        <v>7.63</v>
      </c>
      <c r="E4250" s="31">
        <v>-3.54</v>
      </c>
      <c r="F4250" s="31">
        <v>1316985120</v>
      </c>
    </row>
    <row r="4251" spans="1:6" ht="15" thickBot="1" x14ac:dyDescent="0.2">
      <c r="A4251" s="30" t="s">
        <v>13305</v>
      </c>
      <c r="B4251" s="26" t="str">
        <f t="shared" si="66"/>
        <v>301508</v>
      </c>
      <c r="C4251" s="30" t="s">
        <v>13306</v>
      </c>
      <c r="D4251" s="31">
        <v>29.11</v>
      </c>
      <c r="E4251" s="31">
        <v>0.8</v>
      </c>
      <c r="F4251" s="31">
        <v>1316268030</v>
      </c>
    </row>
    <row r="4252" spans="1:6" ht="15" thickBot="1" x14ac:dyDescent="0.2">
      <c r="A4252" s="30" t="s">
        <v>13307</v>
      </c>
      <c r="B4252" s="26" t="str">
        <f t="shared" si="66"/>
        <v>301529</v>
      </c>
      <c r="C4252" s="30" t="s">
        <v>13308</v>
      </c>
      <c r="D4252" s="31">
        <v>30.84</v>
      </c>
      <c r="E4252" s="31">
        <v>-0.8</v>
      </c>
      <c r="F4252" s="31">
        <v>1314006360</v>
      </c>
    </row>
    <row r="4253" spans="1:6" ht="15" thickBot="1" x14ac:dyDescent="0.2">
      <c r="A4253" s="30" t="s">
        <v>13309</v>
      </c>
      <c r="B4253" s="26" t="str">
        <f t="shared" si="66"/>
        <v>688718</v>
      </c>
      <c r="C4253" s="30" t="s">
        <v>7971</v>
      </c>
      <c r="D4253" s="31">
        <v>7.56</v>
      </c>
      <c r="E4253" s="31">
        <v>-2.83</v>
      </c>
      <c r="F4253" s="31">
        <v>1313583180</v>
      </c>
    </row>
    <row r="4254" spans="1:6" ht="15" thickBot="1" x14ac:dyDescent="0.2">
      <c r="A4254" s="30" t="s">
        <v>13310</v>
      </c>
      <c r="B4254" s="26" t="str">
        <f t="shared" si="66"/>
        <v>002800</v>
      </c>
      <c r="C4254" s="30" t="s">
        <v>7997</v>
      </c>
      <c r="D4254" s="31">
        <v>9.27</v>
      </c>
      <c r="E4254" s="31">
        <v>1.76</v>
      </c>
      <c r="F4254" s="31">
        <v>1313133510</v>
      </c>
    </row>
    <row r="4255" spans="1:6" ht="15" thickBot="1" x14ac:dyDescent="0.2">
      <c r="A4255" s="30" t="s">
        <v>13311</v>
      </c>
      <c r="B4255" s="26" t="str">
        <f t="shared" si="66"/>
        <v>002715</v>
      </c>
      <c r="C4255" s="30" t="s">
        <v>8023</v>
      </c>
      <c r="D4255" s="31">
        <v>9.51</v>
      </c>
      <c r="E4255" s="31">
        <v>-1.76</v>
      </c>
      <c r="F4255" s="31">
        <v>1312380000</v>
      </c>
    </row>
    <row r="4256" spans="1:6" ht="15" thickBot="1" x14ac:dyDescent="0.2">
      <c r="A4256" s="30" t="s">
        <v>13312</v>
      </c>
      <c r="B4256" s="26" t="str">
        <f t="shared" si="66"/>
        <v>688287</v>
      </c>
      <c r="C4256" s="30" t="s">
        <v>7927</v>
      </c>
      <c r="D4256" s="31">
        <v>3.54</v>
      </c>
      <c r="E4256" s="31">
        <v>-2.75</v>
      </c>
      <c r="F4256" s="31">
        <v>1311625220</v>
      </c>
    </row>
    <row r="4257" spans="1:6" ht="15" thickBot="1" x14ac:dyDescent="0.2">
      <c r="A4257" s="30" t="s">
        <v>13313</v>
      </c>
      <c r="B4257" s="26" t="str">
        <f t="shared" si="66"/>
        <v>300472</v>
      </c>
      <c r="C4257" s="30" t="s">
        <v>7795</v>
      </c>
      <c r="D4257" s="31">
        <v>5.23</v>
      </c>
      <c r="E4257" s="31">
        <v>-2.79</v>
      </c>
      <c r="F4257" s="31">
        <v>1310717570</v>
      </c>
    </row>
    <row r="4258" spans="1:6" ht="15" thickBot="1" x14ac:dyDescent="0.2">
      <c r="A4258" s="30" t="s">
        <v>13314</v>
      </c>
      <c r="B4258" s="26" t="str">
        <f t="shared" si="66"/>
        <v>600778</v>
      </c>
      <c r="C4258" s="30" t="s">
        <v>8029</v>
      </c>
      <c r="D4258" s="31">
        <v>4.21</v>
      </c>
      <c r="E4258" s="31">
        <v>-0.94</v>
      </c>
      <c r="F4258" s="31">
        <v>1310214650</v>
      </c>
    </row>
    <row r="4259" spans="1:6" ht="15" thickBot="1" x14ac:dyDescent="0.2">
      <c r="A4259" s="30" t="s">
        <v>13315</v>
      </c>
      <c r="B4259" s="26" t="str">
        <f t="shared" si="66"/>
        <v>002890</v>
      </c>
      <c r="C4259" s="30" t="s">
        <v>7961</v>
      </c>
      <c r="D4259" s="31">
        <v>8.11</v>
      </c>
      <c r="E4259" s="31">
        <v>-0.25</v>
      </c>
      <c r="F4259" s="31">
        <v>1309636960</v>
      </c>
    </row>
    <row r="4260" spans="1:6" ht="15" thickBot="1" x14ac:dyDescent="0.2">
      <c r="A4260" s="30" t="s">
        <v>13316</v>
      </c>
      <c r="B4260" s="26" t="str">
        <f t="shared" si="66"/>
        <v>002652</v>
      </c>
      <c r="C4260" s="30" t="s">
        <v>8009</v>
      </c>
      <c r="D4260" s="31">
        <v>2.56</v>
      </c>
      <c r="E4260" s="31">
        <v>-0.39</v>
      </c>
      <c r="F4260" s="31">
        <v>1309482810</v>
      </c>
    </row>
    <row r="4261" spans="1:6" ht="15" thickBot="1" x14ac:dyDescent="0.2">
      <c r="A4261" s="30" t="s">
        <v>13317</v>
      </c>
      <c r="B4261" s="26" t="str">
        <f t="shared" si="66"/>
        <v>300539</v>
      </c>
      <c r="C4261" s="30" t="s">
        <v>7481</v>
      </c>
      <c r="D4261" s="31">
        <v>7.64</v>
      </c>
      <c r="E4261" s="31">
        <v>1.87</v>
      </c>
      <c r="F4261" s="31">
        <v>1308968930</v>
      </c>
    </row>
    <row r="4262" spans="1:6" ht="15" thickBot="1" x14ac:dyDescent="0.2">
      <c r="A4262" s="30" t="s">
        <v>13318</v>
      </c>
      <c r="B4262" s="26" t="str">
        <f t="shared" si="66"/>
        <v>300868</v>
      </c>
      <c r="C4262" s="30" t="s">
        <v>6744</v>
      </c>
      <c r="D4262" s="31">
        <v>15.92</v>
      </c>
      <c r="E4262" s="31">
        <v>-2.21</v>
      </c>
      <c r="F4262" s="31">
        <v>1308309310</v>
      </c>
    </row>
    <row r="4263" spans="1:6" ht="15" thickBot="1" x14ac:dyDescent="0.2">
      <c r="A4263" s="30" t="s">
        <v>13319</v>
      </c>
      <c r="B4263" s="26" t="str">
        <f t="shared" si="66"/>
        <v>600302</v>
      </c>
      <c r="C4263" s="30" t="s">
        <v>8111</v>
      </c>
      <c r="D4263" s="31">
        <v>3.78</v>
      </c>
      <c r="E4263" s="31">
        <v>-0.53</v>
      </c>
      <c r="F4263" s="31">
        <v>1307917060</v>
      </c>
    </row>
    <row r="4264" spans="1:6" ht="15" thickBot="1" x14ac:dyDescent="0.2">
      <c r="A4264" s="30" t="s">
        <v>13320</v>
      </c>
      <c r="B4264" s="26" t="str">
        <f t="shared" si="66"/>
        <v>300461</v>
      </c>
      <c r="C4264" s="30" t="s">
        <v>6052</v>
      </c>
      <c r="D4264" s="31">
        <v>16.25</v>
      </c>
      <c r="E4264" s="31">
        <v>-1.34</v>
      </c>
      <c r="F4264" s="31">
        <v>1307559420</v>
      </c>
    </row>
    <row r="4265" spans="1:6" ht="15" thickBot="1" x14ac:dyDescent="0.2">
      <c r="A4265" s="30" t="s">
        <v>13321</v>
      </c>
      <c r="B4265" s="26" t="str">
        <f t="shared" si="66"/>
        <v>300922</v>
      </c>
      <c r="C4265" s="30" t="s">
        <v>7323</v>
      </c>
      <c r="D4265" s="31">
        <v>11.35</v>
      </c>
      <c r="E4265" s="31">
        <v>-1.05</v>
      </c>
      <c r="F4265" s="31">
        <v>1306199020</v>
      </c>
    </row>
    <row r="4266" spans="1:6" ht="15" thickBot="1" x14ac:dyDescent="0.2">
      <c r="A4266" s="30" t="s">
        <v>13322</v>
      </c>
      <c r="B4266" s="26" t="str">
        <f t="shared" si="66"/>
        <v>300106</v>
      </c>
      <c r="C4266" s="30" t="s">
        <v>8001</v>
      </c>
      <c r="D4266" s="31">
        <v>6.18</v>
      </c>
      <c r="E4266" s="31">
        <v>-0.96</v>
      </c>
      <c r="F4266" s="31">
        <v>1306033680</v>
      </c>
    </row>
    <row r="4267" spans="1:6" ht="15" thickBot="1" x14ac:dyDescent="0.2">
      <c r="A4267" s="30" t="s">
        <v>13323</v>
      </c>
      <c r="B4267" s="26" t="str">
        <f t="shared" si="66"/>
        <v>688345</v>
      </c>
      <c r="C4267" s="30" t="s">
        <v>7955</v>
      </c>
      <c r="D4267" s="31">
        <v>13.06</v>
      </c>
      <c r="E4267" s="31">
        <v>-4.04</v>
      </c>
      <c r="F4267" s="31">
        <v>1306000000</v>
      </c>
    </row>
    <row r="4268" spans="1:6" ht="15" thickBot="1" x14ac:dyDescent="0.2">
      <c r="A4268" s="30" t="s">
        <v>13324</v>
      </c>
      <c r="B4268" s="26" t="str">
        <f t="shared" si="66"/>
        <v>688151</v>
      </c>
      <c r="C4268" s="30" t="s">
        <v>4108</v>
      </c>
      <c r="D4268" s="31">
        <v>12.78</v>
      </c>
      <c r="E4268" s="31">
        <v>-0.85</v>
      </c>
      <c r="F4268" s="31">
        <v>1305517900</v>
      </c>
    </row>
    <row r="4269" spans="1:6" ht="15" thickBot="1" x14ac:dyDescent="0.2">
      <c r="A4269" s="30" t="s">
        <v>13325</v>
      </c>
      <c r="B4269" s="26" t="str">
        <f t="shared" si="66"/>
        <v>300152</v>
      </c>
      <c r="C4269" s="30" t="s">
        <v>8015</v>
      </c>
      <c r="D4269" s="31">
        <v>1.83</v>
      </c>
      <c r="E4269" s="31">
        <v>-3.68</v>
      </c>
      <c r="F4269" s="31">
        <v>1303875100</v>
      </c>
    </row>
    <row r="4270" spans="1:6" ht="15" thickBot="1" x14ac:dyDescent="0.2">
      <c r="A4270" s="30" t="s">
        <v>13326</v>
      </c>
      <c r="B4270" s="26" t="str">
        <f t="shared" si="66"/>
        <v>301221</v>
      </c>
      <c r="C4270" s="30" t="s">
        <v>13327</v>
      </c>
      <c r="D4270" s="31">
        <v>29.86</v>
      </c>
      <c r="E4270" s="31">
        <v>-1.58</v>
      </c>
      <c r="F4270" s="31">
        <v>1303356900</v>
      </c>
    </row>
    <row r="4271" spans="1:6" ht="15" thickBot="1" x14ac:dyDescent="0.2">
      <c r="A4271" s="30" t="s">
        <v>13328</v>
      </c>
      <c r="B4271" s="26" t="str">
        <f t="shared" si="66"/>
        <v>002861</v>
      </c>
      <c r="C4271" s="30" t="s">
        <v>7471</v>
      </c>
      <c r="D4271" s="31">
        <v>10.91</v>
      </c>
      <c r="E4271" s="31">
        <v>3.12</v>
      </c>
      <c r="F4271" s="31">
        <v>1303122890</v>
      </c>
    </row>
    <row r="4272" spans="1:6" ht="15" thickBot="1" x14ac:dyDescent="0.2">
      <c r="A4272" s="30" t="s">
        <v>13329</v>
      </c>
      <c r="B4272" s="26" t="str">
        <f t="shared" si="66"/>
        <v>301090</v>
      </c>
      <c r="C4272" s="30" t="s">
        <v>2322</v>
      </c>
      <c r="D4272" s="31">
        <v>5.87</v>
      </c>
      <c r="E4272" s="31">
        <v>-2.82</v>
      </c>
      <c r="F4272" s="31">
        <v>1302582250</v>
      </c>
    </row>
    <row r="4273" spans="1:6" ht="15" thickBot="1" x14ac:dyDescent="0.2">
      <c r="A4273" s="30" t="s">
        <v>13330</v>
      </c>
      <c r="B4273" s="26" t="str">
        <f t="shared" si="66"/>
        <v>300710</v>
      </c>
      <c r="C4273" s="30" t="s">
        <v>7805</v>
      </c>
      <c r="D4273" s="31">
        <v>14.61</v>
      </c>
      <c r="E4273" s="31">
        <v>-2.4700000000000002</v>
      </c>
      <c r="F4273" s="31">
        <v>1302265100</v>
      </c>
    </row>
    <row r="4274" spans="1:6" ht="15" thickBot="1" x14ac:dyDescent="0.2">
      <c r="A4274" s="30" t="s">
        <v>13331</v>
      </c>
      <c r="B4274" s="26" t="str">
        <f t="shared" si="66"/>
        <v>688132</v>
      </c>
      <c r="C4274" s="30" t="s">
        <v>13332</v>
      </c>
      <c r="D4274" s="31">
        <v>12.16</v>
      </c>
      <c r="E4274" s="31">
        <v>-2.88</v>
      </c>
      <c r="F4274" s="31">
        <v>1300797350</v>
      </c>
    </row>
    <row r="4275" spans="1:6" ht="15" thickBot="1" x14ac:dyDescent="0.2">
      <c r="A4275" s="30" t="s">
        <v>13333</v>
      </c>
      <c r="B4275" s="26" t="str">
        <f t="shared" si="66"/>
        <v>688121</v>
      </c>
      <c r="C4275" s="30" t="s">
        <v>6720</v>
      </c>
      <c r="D4275" s="31">
        <v>9.18</v>
      </c>
      <c r="E4275" s="31">
        <v>0</v>
      </c>
      <c r="F4275" s="31">
        <v>1299692160</v>
      </c>
    </row>
    <row r="4276" spans="1:6" ht="15" thickBot="1" x14ac:dyDescent="0.2">
      <c r="A4276" s="30" t="s">
        <v>13334</v>
      </c>
      <c r="B4276" s="26" t="str">
        <f t="shared" si="66"/>
        <v>002949</v>
      </c>
      <c r="C4276" s="30" t="s">
        <v>7485</v>
      </c>
      <c r="D4276" s="31">
        <v>8.65</v>
      </c>
      <c r="E4276" s="31">
        <v>-1.48</v>
      </c>
      <c r="F4276" s="31">
        <v>1293510340</v>
      </c>
    </row>
    <row r="4277" spans="1:6" ht="15" thickBot="1" x14ac:dyDescent="0.2">
      <c r="A4277" s="30" t="s">
        <v>13335</v>
      </c>
      <c r="B4277" s="26" t="str">
        <f t="shared" si="66"/>
        <v>000691</v>
      </c>
      <c r="C4277" s="30" t="s">
        <v>8069</v>
      </c>
      <c r="D4277" s="31">
        <v>4</v>
      </c>
      <c r="E4277" s="31">
        <v>-0.5</v>
      </c>
      <c r="F4277" s="31">
        <v>1293080000</v>
      </c>
    </row>
    <row r="4278" spans="1:6" ht="15" thickBot="1" x14ac:dyDescent="0.2">
      <c r="A4278" s="30" t="s">
        <v>13336</v>
      </c>
      <c r="B4278" s="26" t="str">
        <f t="shared" si="66"/>
        <v>300871</v>
      </c>
      <c r="C4278" s="30" t="s">
        <v>8017</v>
      </c>
      <c r="D4278" s="31">
        <v>7.77</v>
      </c>
      <c r="E4278" s="31">
        <v>-2.2599999999999998</v>
      </c>
      <c r="F4278" s="31">
        <v>1287987600</v>
      </c>
    </row>
    <row r="4279" spans="1:6" ht="15" thickBot="1" x14ac:dyDescent="0.2">
      <c r="A4279" s="30" t="s">
        <v>13337</v>
      </c>
      <c r="B4279" s="26" t="str">
        <f t="shared" si="66"/>
        <v>688616</v>
      </c>
      <c r="C4279" s="30" t="s">
        <v>7999</v>
      </c>
      <c r="D4279" s="31">
        <v>7.17</v>
      </c>
      <c r="E4279" s="31">
        <v>-0.69</v>
      </c>
      <c r="F4279" s="31">
        <v>1286142160</v>
      </c>
    </row>
    <row r="4280" spans="1:6" ht="15" thickBot="1" x14ac:dyDescent="0.2">
      <c r="A4280" s="30" t="s">
        <v>13338</v>
      </c>
      <c r="B4280" s="26" t="str">
        <f t="shared" si="66"/>
        <v>300943</v>
      </c>
      <c r="C4280" s="30" t="s">
        <v>6837</v>
      </c>
      <c r="D4280" s="31">
        <v>10.33</v>
      </c>
      <c r="E4280" s="31">
        <v>-0.1</v>
      </c>
      <c r="F4280" s="31">
        <v>1285732480</v>
      </c>
    </row>
    <row r="4281" spans="1:6" ht="15" thickBot="1" x14ac:dyDescent="0.2">
      <c r="A4281" s="30" t="s">
        <v>13339</v>
      </c>
      <c r="B4281" s="26" t="str">
        <f t="shared" si="66"/>
        <v>603810</v>
      </c>
      <c r="C4281" s="30" t="s">
        <v>7911</v>
      </c>
      <c r="D4281" s="31">
        <v>7.77</v>
      </c>
      <c r="E4281" s="31">
        <v>-4.07</v>
      </c>
      <c r="F4281" s="31">
        <v>1283950110</v>
      </c>
    </row>
    <row r="4282" spans="1:6" ht="15" thickBot="1" x14ac:dyDescent="0.2">
      <c r="A4282" s="30" t="s">
        <v>13340</v>
      </c>
      <c r="B4282" s="26" t="str">
        <f t="shared" si="66"/>
        <v>301139</v>
      </c>
      <c r="C4282" s="30" t="s">
        <v>13341</v>
      </c>
      <c r="D4282" s="31">
        <v>17.899999999999999</v>
      </c>
      <c r="E4282" s="31">
        <v>-1.1100000000000001</v>
      </c>
      <c r="F4282" s="31">
        <v>1283824120</v>
      </c>
    </row>
    <row r="4283" spans="1:6" ht="15" thickBot="1" x14ac:dyDescent="0.2">
      <c r="A4283" s="30" t="s">
        <v>13342</v>
      </c>
      <c r="B4283" s="26" t="str">
        <f t="shared" si="66"/>
        <v>301073</v>
      </c>
      <c r="C4283" s="30" t="s">
        <v>5497</v>
      </c>
      <c r="D4283" s="31">
        <v>14.94</v>
      </c>
      <c r="E4283" s="31">
        <v>0</v>
      </c>
      <c r="F4283" s="31">
        <v>1282517790</v>
      </c>
    </row>
    <row r="4284" spans="1:6" ht="15" thickBot="1" x14ac:dyDescent="0.2">
      <c r="A4284" s="30" t="s">
        <v>13343</v>
      </c>
      <c r="B4284" s="26" t="str">
        <f t="shared" si="66"/>
        <v>688466</v>
      </c>
      <c r="C4284" s="30" t="s">
        <v>8033</v>
      </c>
      <c r="D4284" s="31">
        <v>10.41</v>
      </c>
      <c r="E4284" s="31">
        <v>-1.05</v>
      </c>
      <c r="F4284" s="31">
        <v>1281669050</v>
      </c>
    </row>
    <row r="4285" spans="1:6" ht="15" thickBot="1" x14ac:dyDescent="0.2">
      <c r="A4285" s="30" t="s">
        <v>13344</v>
      </c>
      <c r="B4285" s="26" t="str">
        <f t="shared" si="66"/>
        <v>300906</v>
      </c>
      <c r="C4285" s="30" t="s">
        <v>7863</v>
      </c>
      <c r="D4285" s="31">
        <v>17.87</v>
      </c>
      <c r="E4285" s="31">
        <v>-1.65</v>
      </c>
      <c r="F4285" s="31">
        <v>1281035990</v>
      </c>
    </row>
    <row r="4286" spans="1:6" ht="15" thickBot="1" x14ac:dyDescent="0.2">
      <c r="A4286" s="30" t="s">
        <v>13345</v>
      </c>
      <c r="B4286" s="26" t="str">
        <f t="shared" si="66"/>
        <v>300780</v>
      </c>
      <c r="C4286" s="30" t="s">
        <v>7261</v>
      </c>
      <c r="D4286" s="31">
        <v>12.2</v>
      </c>
      <c r="E4286" s="31">
        <v>-1.22</v>
      </c>
      <c r="F4286" s="31">
        <v>1279532020</v>
      </c>
    </row>
    <row r="4287" spans="1:6" ht="15" thickBot="1" x14ac:dyDescent="0.2">
      <c r="A4287" s="30" t="s">
        <v>13346</v>
      </c>
      <c r="B4287" s="26" t="str">
        <f t="shared" si="66"/>
        <v>301115</v>
      </c>
      <c r="C4287" s="30" t="s">
        <v>13347</v>
      </c>
      <c r="D4287" s="31">
        <v>12.09</v>
      </c>
      <c r="E4287" s="31">
        <v>-0.41</v>
      </c>
      <c r="F4287" s="31">
        <v>1278540640</v>
      </c>
    </row>
    <row r="4288" spans="1:6" ht="15" thickBot="1" x14ac:dyDescent="0.2">
      <c r="A4288" s="30" t="s">
        <v>13348</v>
      </c>
      <c r="B4288" s="26" t="str">
        <f t="shared" si="66"/>
        <v>002696</v>
      </c>
      <c r="C4288" s="30" t="s">
        <v>8039</v>
      </c>
      <c r="D4288" s="31">
        <v>3.71</v>
      </c>
      <c r="E4288" s="31">
        <v>-1.59</v>
      </c>
      <c r="F4288" s="31">
        <v>1276755500</v>
      </c>
    </row>
    <row r="4289" spans="1:6" ht="15" thickBot="1" x14ac:dyDescent="0.2">
      <c r="A4289" s="30" t="s">
        <v>13349</v>
      </c>
      <c r="B4289" s="26" t="str">
        <f t="shared" si="66"/>
        <v>300817</v>
      </c>
      <c r="C4289" s="30" t="s">
        <v>6664</v>
      </c>
      <c r="D4289" s="31">
        <v>10.27</v>
      </c>
      <c r="E4289" s="31">
        <v>2.19</v>
      </c>
      <c r="F4289" s="31">
        <v>1275622730</v>
      </c>
    </row>
    <row r="4290" spans="1:6" ht="15" thickBot="1" x14ac:dyDescent="0.2">
      <c r="A4290" s="30" t="s">
        <v>13350</v>
      </c>
      <c r="B4290" s="26" t="str">
        <f t="shared" si="66"/>
        <v>300883</v>
      </c>
      <c r="C4290" s="30" t="s">
        <v>7979</v>
      </c>
      <c r="D4290" s="31">
        <v>3.89</v>
      </c>
      <c r="E4290" s="31">
        <v>-1.27</v>
      </c>
      <c r="F4290" s="31">
        <v>1275394270</v>
      </c>
    </row>
    <row r="4291" spans="1:6" ht="15" thickBot="1" x14ac:dyDescent="0.2">
      <c r="A4291" s="30" t="s">
        <v>13351</v>
      </c>
      <c r="B4291" s="26" t="str">
        <f t="shared" ref="B4291:B4354" si="67">LEFT(A4291,6)</f>
        <v>603107</v>
      </c>
      <c r="C4291" s="30" t="s">
        <v>13352</v>
      </c>
      <c r="D4291" s="31">
        <v>15.11</v>
      </c>
      <c r="E4291" s="31">
        <v>1.34</v>
      </c>
      <c r="F4291" s="31">
        <v>1274301850</v>
      </c>
    </row>
    <row r="4292" spans="1:6" ht="15" thickBot="1" x14ac:dyDescent="0.2">
      <c r="A4292" s="30" t="s">
        <v>13353</v>
      </c>
      <c r="B4292" s="26" t="str">
        <f t="shared" si="67"/>
        <v>002806</v>
      </c>
      <c r="C4292" s="30" t="s">
        <v>7437</v>
      </c>
      <c r="D4292" s="31">
        <v>8.39</v>
      </c>
      <c r="E4292" s="31">
        <v>-1.64</v>
      </c>
      <c r="F4292" s="31">
        <v>1273447620</v>
      </c>
    </row>
    <row r="4293" spans="1:6" ht="15" thickBot="1" x14ac:dyDescent="0.2">
      <c r="A4293" s="30" t="s">
        <v>13354</v>
      </c>
      <c r="B4293" s="26" t="str">
        <f t="shared" si="67"/>
        <v>002753</v>
      </c>
      <c r="C4293" s="30" t="s">
        <v>7001</v>
      </c>
      <c r="D4293" s="31">
        <v>5.24</v>
      </c>
      <c r="E4293" s="31">
        <v>-1.1299999999999999</v>
      </c>
      <c r="F4293" s="31">
        <v>1272265940</v>
      </c>
    </row>
    <row r="4294" spans="1:6" ht="15" thickBot="1" x14ac:dyDescent="0.2">
      <c r="A4294" s="30" t="s">
        <v>13355</v>
      </c>
      <c r="B4294" s="26" t="str">
        <f t="shared" si="67"/>
        <v>300246</v>
      </c>
      <c r="C4294" s="30" t="s">
        <v>7617</v>
      </c>
      <c r="D4294" s="31">
        <v>6.02</v>
      </c>
      <c r="E4294" s="31">
        <v>-2.11</v>
      </c>
      <c r="F4294" s="31">
        <v>1272003610</v>
      </c>
    </row>
    <row r="4295" spans="1:6" ht="15" thickBot="1" x14ac:dyDescent="0.2">
      <c r="A4295" s="30" t="s">
        <v>13356</v>
      </c>
      <c r="B4295" s="26" t="str">
        <f t="shared" si="67"/>
        <v>300881</v>
      </c>
      <c r="C4295" s="30" t="s">
        <v>6284</v>
      </c>
      <c r="D4295" s="31">
        <v>22.11</v>
      </c>
      <c r="E4295" s="31">
        <v>-0.72</v>
      </c>
      <c r="F4295" s="31">
        <v>1269252190</v>
      </c>
    </row>
    <row r="4296" spans="1:6" ht="15" thickBot="1" x14ac:dyDescent="0.2">
      <c r="A4296" s="30" t="s">
        <v>13357</v>
      </c>
      <c r="B4296" s="26" t="str">
        <f t="shared" si="67"/>
        <v>301193</v>
      </c>
      <c r="C4296" s="30" t="s">
        <v>13358</v>
      </c>
      <c r="D4296" s="31">
        <v>13.18</v>
      </c>
      <c r="E4296" s="31">
        <v>-0.68</v>
      </c>
      <c r="F4296" s="31">
        <v>1268445340</v>
      </c>
    </row>
    <row r="4297" spans="1:6" ht="15" thickBot="1" x14ac:dyDescent="0.2">
      <c r="A4297" s="30" t="s">
        <v>13359</v>
      </c>
      <c r="B4297" s="26" t="str">
        <f t="shared" si="67"/>
        <v>301265</v>
      </c>
      <c r="C4297" s="30" t="s">
        <v>13360</v>
      </c>
      <c r="D4297" s="31">
        <v>7.47</v>
      </c>
      <c r="E4297" s="31">
        <v>-1.06</v>
      </c>
      <c r="F4297" s="31">
        <v>1268384730</v>
      </c>
    </row>
    <row r="4298" spans="1:6" ht="15" thickBot="1" x14ac:dyDescent="0.2">
      <c r="A4298" s="30" t="s">
        <v>13361</v>
      </c>
      <c r="B4298" s="26" t="str">
        <f t="shared" si="67"/>
        <v>300549</v>
      </c>
      <c r="C4298" s="30" t="s">
        <v>7465</v>
      </c>
      <c r="D4298" s="31">
        <v>12.54</v>
      </c>
      <c r="E4298" s="31">
        <v>-1.1000000000000001</v>
      </c>
      <c r="F4298" s="31">
        <v>1267225620</v>
      </c>
    </row>
    <row r="4299" spans="1:6" ht="15" thickBot="1" x14ac:dyDescent="0.2">
      <c r="A4299" s="30" t="s">
        <v>13362</v>
      </c>
      <c r="B4299" s="26" t="str">
        <f t="shared" si="67"/>
        <v>301110</v>
      </c>
      <c r="C4299" s="30" t="s">
        <v>13363</v>
      </c>
      <c r="D4299" s="31">
        <v>25.79</v>
      </c>
      <c r="E4299" s="31">
        <v>-1.57</v>
      </c>
      <c r="F4299" s="31">
        <v>1266555490</v>
      </c>
    </row>
    <row r="4300" spans="1:6" ht="15" thickBot="1" x14ac:dyDescent="0.2">
      <c r="A4300" s="30" t="s">
        <v>13364</v>
      </c>
      <c r="B4300" s="26" t="str">
        <f t="shared" si="67"/>
        <v>688502</v>
      </c>
      <c r="C4300" s="30" t="s">
        <v>13365</v>
      </c>
      <c r="D4300" s="31">
        <v>77.989999999999995</v>
      </c>
      <c r="E4300" s="31">
        <v>5.59</v>
      </c>
      <c r="F4300" s="31">
        <v>1265487340</v>
      </c>
    </row>
    <row r="4301" spans="1:6" ht="15" thickBot="1" x14ac:dyDescent="0.2">
      <c r="A4301" s="30" t="s">
        <v>13366</v>
      </c>
      <c r="B4301" s="26" t="str">
        <f t="shared" si="67"/>
        <v>000702</v>
      </c>
      <c r="C4301" s="30" t="s">
        <v>7827</v>
      </c>
      <c r="D4301" s="31">
        <v>4.74</v>
      </c>
      <c r="E4301" s="31">
        <v>-3.85</v>
      </c>
      <c r="F4301" s="31">
        <v>1263847890</v>
      </c>
    </row>
    <row r="4302" spans="1:6" ht="15" thickBot="1" x14ac:dyDescent="0.2">
      <c r="A4302" s="30" t="s">
        <v>13367</v>
      </c>
      <c r="B4302" s="26" t="str">
        <f t="shared" si="67"/>
        <v>301299</v>
      </c>
      <c r="C4302" s="30" t="s">
        <v>13368</v>
      </c>
      <c r="D4302" s="31">
        <v>35.86</v>
      </c>
      <c r="E4302" s="31">
        <v>-0.83</v>
      </c>
      <c r="F4302" s="31">
        <v>1263013870</v>
      </c>
    </row>
    <row r="4303" spans="1:6" ht="15" thickBot="1" x14ac:dyDescent="0.2">
      <c r="A4303" s="30" t="s">
        <v>13369</v>
      </c>
      <c r="B4303" s="26" t="str">
        <f t="shared" si="67"/>
        <v>002862</v>
      </c>
      <c r="C4303" s="30" t="s">
        <v>7645</v>
      </c>
      <c r="D4303" s="31">
        <v>14</v>
      </c>
      <c r="E4303" s="31">
        <v>4.17</v>
      </c>
      <c r="F4303" s="31">
        <v>1262479160</v>
      </c>
    </row>
    <row r="4304" spans="1:6" ht="15" thickBot="1" x14ac:dyDescent="0.2">
      <c r="A4304" s="30" t="s">
        <v>13370</v>
      </c>
      <c r="B4304" s="26" t="str">
        <f t="shared" si="67"/>
        <v>300956</v>
      </c>
      <c r="C4304" s="30" t="s">
        <v>6066</v>
      </c>
      <c r="D4304" s="31">
        <v>14.1</v>
      </c>
      <c r="E4304" s="31">
        <v>-1.33</v>
      </c>
      <c r="F4304" s="31">
        <v>1262188840</v>
      </c>
    </row>
    <row r="4305" spans="1:6" ht="15" thickBot="1" x14ac:dyDescent="0.2">
      <c r="A4305" s="30" t="s">
        <v>13371</v>
      </c>
      <c r="B4305" s="26" t="str">
        <f t="shared" si="67"/>
        <v>600753</v>
      </c>
      <c r="C4305" s="30" t="s">
        <v>8067</v>
      </c>
      <c r="D4305" s="31">
        <v>5.48</v>
      </c>
      <c r="E4305" s="31">
        <v>-0.9</v>
      </c>
      <c r="F4305" s="31">
        <v>1262083320</v>
      </c>
    </row>
    <row r="4306" spans="1:6" ht="15" thickBot="1" x14ac:dyDescent="0.2">
      <c r="A4306" s="30" t="s">
        <v>13372</v>
      </c>
      <c r="B4306" s="26" t="str">
        <f t="shared" si="67"/>
        <v>002207</v>
      </c>
      <c r="C4306" s="30" t="s">
        <v>8209</v>
      </c>
      <c r="D4306" s="31">
        <v>4.83</v>
      </c>
      <c r="E4306" s="31">
        <v>-1.63</v>
      </c>
      <c r="F4306" s="31">
        <v>1259700350</v>
      </c>
    </row>
    <row r="4307" spans="1:6" ht="15" thickBot="1" x14ac:dyDescent="0.2">
      <c r="A4307" s="30" t="s">
        <v>13373</v>
      </c>
      <c r="B4307" s="26" t="str">
        <f t="shared" si="67"/>
        <v>600448</v>
      </c>
      <c r="C4307" s="30" t="s">
        <v>8117</v>
      </c>
      <c r="D4307" s="31">
        <v>2</v>
      </c>
      <c r="E4307" s="31">
        <v>-0.99</v>
      </c>
      <c r="F4307" s="31">
        <v>1259639320</v>
      </c>
    </row>
    <row r="4308" spans="1:6" ht="15" thickBot="1" x14ac:dyDescent="0.2">
      <c r="A4308" s="30" t="s">
        <v>13374</v>
      </c>
      <c r="B4308" s="26" t="str">
        <f t="shared" si="67"/>
        <v>300614</v>
      </c>
      <c r="C4308" s="30" t="s">
        <v>7993</v>
      </c>
      <c r="D4308" s="31">
        <v>7.85</v>
      </c>
      <c r="E4308" s="31">
        <v>-2.97</v>
      </c>
      <c r="F4308" s="31">
        <v>1259415100</v>
      </c>
    </row>
    <row r="4309" spans="1:6" ht="15" thickBot="1" x14ac:dyDescent="0.2">
      <c r="A4309" s="30" t="s">
        <v>13375</v>
      </c>
      <c r="B4309" s="26" t="str">
        <f t="shared" si="67"/>
        <v>301290</v>
      </c>
      <c r="C4309" s="30" t="s">
        <v>13376</v>
      </c>
      <c r="D4309" s="31">
        <v>18.47</v>
      </c>
      <c r="E4309" s="31">
        <v>-1.86</v>
      </c>
      <c r="F4309" s="31">
        <v>1259268900</v>
      </c>
    </row>
    <row r="4310" spans="1:6" ht="15" thickBot="1" x14ac:dyDescent="0.2">
      <c r="A4310" s="30" t="s">
        <v>13377</v>
      </c>
      <c r="B4310" s="26" t="str">
        <f t="shared" si="67"/>
        <v>300195</v>
      </c>
      <c r="C4310" s="30" t="s">
        <v>7427</v>
      </c>
      <c r="D4310" s="31">
        <v>4.01</v>
      </c>
      <c r="E4310" s="31">
        <v>-3.14</v>
      </c>
      <c r="F4310" s="31">
        <v>1258789050</v>
      </c>
    </row>
    <row r="4311" spans="1:6" ht="15" thickBot="1" x14ac:dyDescent="0.2">
      <c r="A4311" s="30" t="s">
        <v>13378</v>
      </c>
      <c r="B4311" s="26" t="str">
        <f t="shared" si="67"/>
        <v>300853</v>
      </c>
      <c r="C4311" s="30" t="s">
        <v>7453</v>
      </c>
      <c r="D4311" s="31">
        <v>11.4</v>
      </c>
      <c r="E4311" s="31">
        <v>-0.7</v>
      </c>
      <c r="F4311" s="31">
        <v>1256896500</v>
      </c>
    </row>
    <row r="4312" spans="1:6" ht="15" thickBot="1" x14ac:dyDescent="0.2">
      <c r="A4312" s="30" t="s">
        <v>13379</v>
      </c>
      <c r="B4312" s="26" t="str">
        <f t="shared" si="67"/>
        <v>002205</v>
      </c>
      <c r="C4312" s="30" t="s">
        <v>8163</v>
      </c>
      <c r="D4312" s="31">
        <v>6.76</v>
      </c>
      <c r="E4312" s="31">
        <v>3.84</v>
      </c>
      <c r="F4312" s="31">
        <v>1256300220</v>
      </c>
    </row>
    <row r="4313" spans="1:6" ht="15" thickBot="1" x14ac:dyDescent="0.2">
      <c r="A4313" s="30" t="s">
        <v>13380</v>
      </c>
      <c r="B4313" s="26" t="str">
        <f t="shared" si="67"/>
        <v>688084</v>
      </c>
      <c r="C4313" s="30" t="s">
        <v>13381</v>
      </c>
      <c r="D4313" s="31">
        <v>34.799999999999997</v>
      </c>
      <c r="E4313" s="31">
        <v>7.08</v>
      </c>
      <c r="F4313" s="31">
        <v>1255905900</v>
      </c>
    </row>
    <row r="4314" spans="1:6" ht="15" thickBot="1" x14ac:dyDescent="0.2">
      <c r="A4314" s="30" t="s">
        <v>13382</v>
      </c>
      <c r="B4314" s="26" t="str">
        <f t="shared" si="67"/>
        <v>300946</v>
      </c>
      <c r="C4314" s="30" t="s">
        <v>5986</v>
      </c>
      <c r="D4314" s="31">
        <v>22.02</v>
      </c>
      <c r="E4314" s="31">
        <v>0.78</v>
      </c>
      <c r="F4314" s="31">
        <v>1254281220</v>
      </c>
    </row>
    <row r="4315" spans="1:6" ht="15" thickBot="1" x14ac:dyDescent="0.2">
      <c r="A4315" s="30" t="s">
        <v>13383</v>
      </c>
      <c r="B4315" s="26" t="str">
        <f t="shared" si="67"/>
        <v>300717</v>
      </c>
      <c r="C4315" s="30" t="s">
        <v>8051</v>
      </c>
      <c r="D4315" s="31">
        <v>12.31</v>
      </c>
      <c r="E4315" s="31">
        <v>-1.52</v>
      </c>
      <c r="F4315" s="31">
        <v>1253815350</v>
      </c>
    </row>
    <row r="4316" spans="1:6" ht="15" thickBot="1" x14ac:dyDescent="0.2">
      <c r="A4316" s="30" t="s">
        <v>13384</v>
      </c>
      <c r="B4316" s="26" t="str">
        <f t="shared" si="67"/>
        <v>300670</v>
      </c>
      <c r="C4316" s="30" t="s">
        <v>7601</v>
      </c>
      <c r="D4316" s="31">
        <v>5.58</v>
      </c>
      <c r="E4316" s="31">
        <v>5.09</v>
      </c>
      <c r="F4316" s="31">
        <v>1253793780</v>
      </c>
    </row>
    <row r="4317" spans="1:6" ht="15" thickBot="1" x14ac:dyDescent="0.2">
      <c r="A4317" s="30" t="s">
        <v>13385</v>
      </c>
      <c r="B4317" s="26" t="str">
        <f t="shared" si="67"/>
        <v>688058</v>
      </c>
      <c r="C4317" s="30" t="s">
        <v>8053</v>
      </c>
      <c r="D4317" s="31">
        <v>16.12</v>
      </c>
      <c r="E4317" s="31">
        <v>-2.36</v>
      </c>
      <c r="F4317" s="31">
        <v>1252247930</v>
      </c>
    </row>
    <row r="4318" spans="1:6" ht="15" thickBot="1" x14ac:dyDescent="0.2">
      <c r="A4318" s="30" t="s">
        <v>13386</v>
      </c>
      <c r="B4318" s="26" t="str">
        <f t="shared" si="67"/>
        <v>000590</v>
      </c>
      <c r="C4318" s="30" t="s">
        <v>8115</v>
      </c>
      <c r="D4318" s="31">
        <v>5.23</v>
      </c>
      <c r="E4318" s="31">
        <v>-2.06</v>
      </c>
      <c r="F4318" s="31">
        <v>1251937670</v>
      </c>
    </row>
    <row r="4319" spans="1:6" ht="15" thickBot="1" x14ac:dyDescent="0.2">
      <c r="A4319" s="30" t="s">
        <v>13387</v>
      </c>
      <c r="B4319" s="26" t="str">
        <f t="shared" si="67"/>
        <v>603045</v>
      </c>
      <c r="C4319" s="30" t="s">
        <v>8055</v>
      </c>
      <c r="D4319" s="31">
        <v>9.24</v>
      </c>
      <c r="E4319" s="31">
        <v>-1.7</v>
      </c>
      <c r="F4319" s="31">
        <v>1251513230</v>
      </c>
    </row>
    <row r="4320" spans="1:6" ht="15" thickBot="1" x14ac:dyDescent="0.2">
      <c r="A4320" s="30" t="s">
        <v>13388</v>
      </c>
      <c r="B4320" s="26" t="str">
        <f t="shared" si="67"/>
        <v>003008</v>
      </c>
      <c r="C4320" s="30" t="s">
        <v>7523</v>
      </c>
      <c r="D4320" s="31">
        <v>16.07</v>
      </c>
      <c r="E4320" s="31">
        <v>-0.62</v>
      </c>
      <c r="F4320" s="31">
        <v>1251022580</v>
      </c>
    </row>
    <row r="4321" spans="1:6" ht="15" thickBot="1" x14ac:dyDescent="0.2">
      <c r="A4321" s="30" t="s">
        <v>13389</v>
      </c>
      <c r="B4321" s="26" t="str">
        <f t="shared" si="67"/>
        <v>301559</v>
      </c>
      <c r="C4321" s="30" t="s">
        <v>13390</v>
      </c>
      <c r="D4321" s="31">
        <v>13.9</v>
      </c>
      <c r="E4321" s="31">
        <v>-1.42</v>
      </c>
      <c r="F4321" s="31">
        <v>1251000000</v>
      </c>
    </row>
    <row r="4322" spans="1:6" ht="15" thickBot="1" x14ac:dyDescent="0.2">
      <c r="A4322" s="30" t="s">
        <v>13391</v>
      </c>
      <c r="B4322" s="26" t="str">
        <f t="shared" si="67"/>
        <v>301179</v>
      </c>
      <c r="C4322" s="30" t="s">
        <v>13392</v>
      </c>
      <c r="D4322" s="31">
        <v>14.8</v>
      </c>
      <c r="E4322" s="31">
        <v>0</v>
      </c>
      <c r="F4322" s="31">
        <v>1248395410</v>
      </c>
    </row>
    <row r="4323" spans="1:6" ht="15" thickBot="1" x14ac:dyDescent="0.2">
      <c r="A4323" s="30" t="s">
        <v>13393</v>
      </c>
      <c r="B4323" s="26" t="str">
        <f t="shared" si="67"/>
        <v>688073</v>
      </c>
      <c r="C4323" s="30" t="s">
        <v>13394</v>
      </c>
      <c r="D4323" s="31">
        <v>29.46</v>
      </c>
      <c r="E4323" s="31">
        <v>7.0000000000000007E-2</v>
      </c>
      <c r="F4323" s="31">
        <v>1246904580</v>
      </c>
    </row>
    <row r="4324" spans="1:6" ht="15" thickBot="1" x14ac:dyDescent="0.2">
      <c r="A4324" s="30" t="s">
        <v>13395</v>
      </c>
      <c r="B4324" s="26" t="str">
        <f t="shared" si="67"/>
        <v>603159</v>
      </c>
      <c r="C4324" s="30" t="s">
        <v>8081</v>
      </c>
      <c r="D4324" s="31">
        <v>8.9</v>
      </c>
      <c r="E4324" s="31">
        <v>-1.77</v>
      </c>
      <c r="F4324" s="31">
        <v>1246000000</v>
      </c>
    </row>
    <row r="4325" spans="1:6" ht="15" thickBot="1" x14ac:dyDescent="0.2">
      <c r="A4325" s="30" t="s">
        <v>13396</v>
      </c>
      <c r="B4325" s="26" t="str">
        <f t="shared" si="67"/>
        <v>002857</v>
      </c>
      <c r="C4325" s="30" t="s">
        <v>8075</v>
      </c>
      <c r="D4325" s="31">
        <v>9.73</v>
      </c>
      <c r="E4325" s="31">
        <v>-1.1200000000000001</v>
      </c>
      <c r="F4325" s="31">
        <v>1245440000</v>
      </c>
    </row>
    <row r="4326" spans="1:6" ht="15" thickBot="1" x14ac:dyDescent="0.2">
      <c r="A4326" s="30" t="s">
        <v>13397</v>
      </c>
      <c r="B4326" s="26" t="str">
        <f t="shared" si="67"/>
        <v>001389</v>
      </c>
      <c r="C4326" s="30" t="s">
        <v>13398</v>
      </c>
      <c r="D4326" s="31">
        <v>33.71</v>
      </c>
      <c r="E4326" s="31">
        <v>-2.38</v>
      </c>
      <c r="F4326" s="31">
        <v>1244781290</v>
      </c>
    </row>
    <row r="4327" spans="1:6" ht="15" thickBot="1" x14ac:dyDescent="0.2">
      <c r="A4327" s="30" t="s">
        <v>13399</v>
      </c>
      <c r="B4327" s="26" t="str">
        <f t="shared" si="67"/>
        <v>688379</v>
      </c>
      <c r="C4327" s="30" t="s">
        <v>8071</v>
      </c>
      <c r="D4327" s="31">
        <v>13.88</v>
      </c>
      <c r="E4327" s="31">
        <v>-0.72</v>
      </c>
      <c r="F4327" s="31">
        <v>1241456630</v>
      </c>
    </row>
    <row r="4328" spans="1:6" ht="15" thickBot="1" x14ac:dyDescent="0.2">
      <c r="A4328" s="30" t="s">
        <v>13400</v>
      </c>
      <c r="B4328" s="26" t="str">
        <f t="shared" si="67"/>
        <v>000953</v>
      </c>
      <c r="C4328" s="30" t="s">
        <v>8147</v>
      </c>
      <c r="D4328" s="31">
        <v>3.39</v>
      </c>
      <c r="E4328" s="31">
        <v>-4.78</v>
      </c>
      <c r="F4328" s="31">
        <v>1241154240</v>
      </c>
    </row>
    <row r="4329" spans="1:6" ht="15" thickBot="1" x14ac:dyDescent="0.2">
      <c r="A4329" s="30" t="s">
        <v>13401</v>
      </c>
      <c r="B4329" s="26" t="str">
        <f t="shared" si="67"/>
        <v>300391</v>
      </c>
      <c r="C4329" s="30" t="s">
        <v>7983</v>
      </c>
      <c r="D4329" s="31">
        <v>3.54</v>
      </c>
      <c r="E4329" s="31">
        <v>-6.84</v>
      </c>
      <c r="F4329" s="31">
        <v>1240189840</v>
      </c>
    </row>
    <row r="4330" spans="1:6" ht="15" thickBot="1" x14ac:dyDescent="0.2">
      <c r="A4330" s="30" t="s">
        <v>13402</v>
      </c>
      <c r="B4330" s="26" t="str">
        <f t="shared" si="67"/>
        <v>301505</v>
      </c>
      <c r="C4330" s="30" t="s">
        <v>13403</v>
      </c>
      <c r="D4330" s="31">
        <v>20.53</v>
      </c>
      <c r="E4330" s="31">
        <v>-2.2400000000000002</v>
      </c>
      <c r="F4330" s="31">
        <v>1239271110</v>
      </c>
    </row>
    <row r="4331" spans="1:6" ht="15" thickBot="1" x14ac:dyDescent="0.2">
      <c r="A4331" s="30" t="s">
        <v>13404</v>
      </c>
      <c r="B4331" s="26" t="str">
        <f t="shared" si="67"/>
        <v>600802</v>
      </c>
      <c r="C4331" s="30" t="s">
        <v>8123</v>
      </c>
      <c r="D4331" s="31">
        <v>2.7</v>
      </c>
      <c r="E4331" s="31">
        <v>-1.1000000000000001</v>
      </c>
      <c r="F4331" s="31">
        <v>1237270680</v>
      </c>
    </row>
    <row r="4332" spans="1:6" ht="15" thickBot="1" x14ac:dyDescent="0.2">
      <c r="A4332" s="30" t="s">
        <v>13405</v>
      </c>
      <c r="B4332" s="26" t="str">
        <f t="shared" si="67"/>
        <v>300610</v>
      </c>
      <c r="C4332" s="30" t="s">
        <v>7491</v>
      </c>
      <c r="D4332" s="31">
        <v>7.66</v>
      </c>
      <c r="E4332" s="31">
        <v>-2.0499999999999998</v>
      </c>
      <c r="F4332" s="31">
        <v>1235079800</v>
      </c>
    </row>
    <row r="4333" spans="1:6" ht="15" thickBot="1" x14ac:dyDescent="0.2">
      <c r="A4333" s="30" t="s">
        <v>13406</v>
      </c>
      <c r="B4333" s="26" t="str">
        <f t="shared" si="67"/>
        <v>300234</v>
      </c>
      <c r="C4333" s="30" t="s">
        <v>7329</v>
      </c>
      <c r="D4333" s="31">
        <v>3.58</v>
      </c>
      <c r="E4333" s="31">
        <v>-1.1100000000000001</v>
      </c>
      <c r="F4333" s="31">
        <v>1231473620</v>
      </c>
    </row>
    <row r="4334" spans="1:6" ht="15" thickBot="1" x14ac:dyDescent="0.2">
      <c r="A4334" s="30" t="s">
        <v>13407</v>
      </c>
      <c r="B4334" s="26" t="str">
        <f t="shared" si="67"/>
        <v>301195</v>
      </c>
      <c r="C4334" s="30" t="s">
        <v>13408</v>
      </c>
      <c r="D4334" s="31">
        <v>25.06</v>
      </c>
      <c r="E4334" s="31">
        <v>0.28000000000000003</v>
      </c>
      <c r="F4334" s="31">
        <v>1230330470</v>
      </c>
    </row>
    <row r="4335" spans="1:6" ht="15" thickBot="1" x14ac:dyDescent="0.2">
      <c r="A4335" s="30" t="s">
        <v>13409</v>
      </c>
      <c r="B4335" s="26" t="str">
        <f t="shared" si="67"/>
        <v>600883</v>
      </c>
      <c r="C4335" s="30" t="s">
        <v>8105</v>
      </c>
      <c r="D4335" s="31">
        <v>5.21</v>
      </c>
      <c r="E4335" s="31">
        <v>-2.25</v>
      </c>
      <c r="F4335" s="31">
        <v>1230018480</v>
      </c>
    </row>
    <row r="4336" spans="1:6" ht="15" thickBot="1" x14ac:dyDescent="0.2">
      <c r="A4336" s="30" t="s">
        <v>13410</v>
      </c>
      <c r="B4336" s="26" t="str">
        <f t="shared" si="67"/>
        <v>688722</v>
      </c>
      <c r="C4336" s="30" t="s">
        <v>13411</v>
      </c>
      <c r="D4336" s="31">
        <v>9.61</v>
      </c>
      <c r="E4336" s="31">
        <v>-0.72</v>
      </c>
      <c r="F4336" s="31">
        <v>1228702890</v>
      </c>
    </row>
    <row r="4337" spans="1:6" ht="15" thickBot="1" x14ac:dyDescent="0.2">
      <c r="A4337" s="30" t="s">
        <v>13412</v>
      </c>
      <c r="B4337" s="26" t="str">
        <f t="shared" si="67"/>
        <v>002976</v>
      </c>
      <c r="C4337" s="30" t="s">
        <v>6376</v>
      </c>
      <c r="D4337" s="31">
        <v>18.86</v>
      </c>
      <c r="E4337" s="31">
        <v>-2.0299999999999998</v>
      </c>
      <c r="F4337" s="31">
        <v>1228019390</v>
      </c>
    </row>
    <row r="4338" spans="1:6" ht="15" thickBot="1" x14ac:dyDescent="0.2">
      <c r="A4338" s="30" t="s">
        <v>13413</v>
      </c>
      <c r="B4338" s="26" t="str">
        <f t="shared" si="67"/>
        <v>603150</v>
      </c>
      <c r="C4338" s="30" t="s">
        <v>13414</v>
      </c>
      <c r="D4338" s="31">
        <v>22.94</v>
      </c>
      <c r="E4338" s="31">
        <v>-0.52</v>
      </c>
      <c r="F4338" s="31">
        <v>1227665760</v>
      </c>
    </row>
    <row r="4339" spans="1:6" ht="15" thickBot="1" x14ac:dyDescent="0.2">
      <c r="A4339" s="30" t="s">
        <v>13415</v>
      </c>
      <c r="B4339" s="26" t="str">
        <f t="shared" si="67"/>
        <v>301016</v>
      </c>
      <c r="C4339" s="30" t="s">
        <v>5878</v>
      </c>
      <c r="D4339" s="31">
        <v>17.059999999999999</v>
      </c>
      <c r="E4339" s="31">
        <v>-0.35</v>
      </c>
      <c r="F4339" s="31">
        <v>1224225620</v>
      </c>
    </row>
    <row r="4340" spans="1:6" ht="15" thickBot="1" x14ac:dyDescent="0.2">
      <c r="A4340" s="30" t="s">
        <v>13416</v>
      </c>
      <c r="B4340" s="26" t="str">
        <f t="shared" si="67"/>
        <v>300877</v>
      </c>
      <c r="C4340" s="30" t="s">
        <v>8097</v>
      </c>
      <c r="D4340" s="31">
        <v>10.199999999999999</v>
      </c>
      <c r="E4340" s="31">
        <v>-1.35</v>
      </c>
      <c r="F4340" s="31">
        <v>1223989290</v>
      </c>
    </row>
    <row r="4341" spans="1:6" ht="15" thickBot="1" x14ac:dyDescent="0.2">
      <c r="A4341" s="30" t="s">
        <v>13417</v>
      </c>
      <c r="B4341" s="26" t="str">
        <f t="shared" si="67"/>
        <v>001206</v>
      </c>
      <c r="C4341" s="30" t="s">
        <v>13418</v>
      </c>
      <c r="D4341" s="31">
        <v>11.51</v>
      </c>
      <c r="E4341" s="31">
        <v>-1.37</v>
      </c>
      <c r="F4341" s="31">
        <v>1223779870</v>
      </c>
    </row>
    <row r="4342" spans="1:6" ht="15" thickBot="1" x14ac:dyDescent="0.2">
      <c r="A4342" s="30" t="s">
        <v>13419</v>
      </c>
      <c r="B4342" s="26" t="str">
        <f t="shared" si="67"/>
        <v>301003</v>
      </c>
      <c r="C4342" s="30" t="s">
        <v>7301</v>
      </c>
      <c r="D4342" s="31">
        <v>18.09</v>
      </c>
      <c r="E4342" s="31">
        <v>0.72</v>
      </c>
      <c r="F4342" s="31">
        <v>1222100020</v>
      </c>
    </row>
    <row r="4343" spans="1:6" ht="15" thickBot="1" x14ac:dyDescent="0.2">
      <c r="A4343" s="30" t="s">
        <v>13420</v>
      </c>
      <c r="B4343" s="26" t="str">
        <f t="shared" si="67"/>
        <v>603838</v>
      </c>
      <c r="C4343" s="30" t="s">
        <v>8107</v>
      </c>
      <c r="D4343" s="31">
        <v>3.81</v>
      </c>
      <c r="E4343" s="31">
        <v>-4.03</v>
      </c>
      <c r="F4343" s="31">
        <v>1219260960</v>
      </c>
    </row>
    <row r="4344" spans="1:6" ht="15" thickBot="1" x14ac:dyDescent="0.2">
      <c r="A4344" s="30" t="s">
        <v>13421</v>
      </c>
      <c r="B4344" s="26" t="str">
        <f t="shared" si="67"/>
        <v>002634</v>
      </c>
      <c r="C4344" s="30" t="s">
        <v>8049</v>
      </c>
      <c r="D4344" s="31">
        <v>2.73</v>
      </c>
      <c r="E4344" s="31">
        <v>-2.15</v>
      </c>
      <c r="F4344" s="31">
        <v>1218984690</v>
      </c>
    </row>
    <row r="4345" spans="1:6" ht="15" thickBot="1" x14ac:dyDescent="0.2">
      <c r="A4345" s="30" t="s">
        <v>13422</v>
      </c>
      <c r="B4345" s="26" t="str">
        <f t="shared" si="67"/>
        <v>605081</v>
      </c>
      <c r="C4345" s="30" t="s">
        <v>8045</v>
      </c>
      <c r="D4345" s="31">
        <v>10.75</v>
      </c>
      <c r="E4345" s="31">
        <v>-4.7</v>
      </c>
      <c r="F4345" s="31">
        <v>1217406020</v>
      </c>
    </row>
    <row r="4346" spans="1:6" ht="15" thickBot="1" x14ac:dyDescent="0.2">
      <c r="A4346" s="30" t="s">
        <v>13423</v>
      </c>
      <c r="B4346" s="26" t="str">
        <f t="shared" si="67"/>
        <v>600561</v>
      </c>
      <c r="C4346" s="30" t="s">
        <v>8037</v>
      </c>
      <c r="D4346" s="31">
        <v>4.26</v>
      </c>
      <c r="E4346" s="31">
        <v>-3.18</v>
      </c>
      <c r="F4346" s="31">
        <v>1211871170</v>
      </c>
    </row>
    <row r="4347" spans="1:6" ht="15" thickBot="1" x14ac:dyDescent="0.2">
      <c r="A4347" s="30" t="s">
        <v>13424</v>
      </c>
      <c r="B4347" s="26" t="str">
        <f t="shared" si="67"/>
        <v>002972</v>
      </c>
      <c r="C4347" s="30" t="s">
        <v>6564</v>
      </c>
      <c r="D4347" s="31">
        <v>9.1</v>
      </c>
      <c r="E4347" s="31">
        <v>-0.44</v>
      </c>
      <c r="F4347" s="31">
        <v>1211548650</v>
      </c>
    </row>
    <row r="4348" spans="1:6" ht="15" thickBot="1" x14ac:dyDescent="0.2">
      <c r="A4348" s="30" t="s">
        <v>13425</v>
      </c>
      <c r="B4348" s="26" t="str">
        <f t="shared" si="67"/>
        <v>300703</v>
      </c>
      <c r="C4348" s="30" t="s">
        <v>8031</v>
      </c>
      <c r="D4348" s="31">
        <v>7.14</v>
      </c>
      <c r="E4348" s="31">
        <v>-0.56000000000000005</v>
      </c>
      <c r="F4348" s="31">
        <v>1211383700</v>
      </c>
    </row>
    <row r="4349" spans="1:6" ht="15" thickBot="1" x14ac:dyDescent="0.2">
      <c r="A4349" s="30" t="s">
        <v>13426</v>
      </c>
      <c r="B4349" s="26" t="str">
        <f t="shared" si="67"/>
        <v>002622</v>
      </c>
      <c r="C4349" s="30" t="s">
        <v>7925</v>
      </c>
      <c r="D4349" s="31">
        <v>1.44</v>
      </c>
      <c r="E4349" s="31">
        <v>-0.69</v>
      </c>
      <c r="F4349" s="31">
        <v>1209564360</v>
      </c>
    </row>
    <row r="4350" spans="1:6" ht="15" thickBot="1" x14ac:dyDescent="0.2">
      <c r="A4350" s="30" t="s">
        <v>13427</v>
      </c>
      <c r="B4350" s="26" t="str">
        <f t="shared" si="67"/>
        <v>688489</v>
      </c>
      <c r="C4350" s="30" t="s">
        <v>13428</v>
      </c>
      <c r="D4350" s="31">
        <v>24.48</v>
      </c>
      <c r="E4350" s="31">
        <v>-0.73</v>
      </c>
      <c r="F4350" s="31">
        <v>1209492050</v>
      </c>
    </row>
    <row r="4351" spans="1:6" ht="15" thickBot="1" x14ac:dyDescent="0.2">
      <c r="A4351" s="30" t="s">
        <v>13429</v>
      </c>
      <c r="B4351" s="26" t="str">
        <f t="shared" si="67"/>
        <v>603022</v>
      </c>
      <c r="C4351" s="30" t="s">
        <v>8103</v>
      </c>
      <c r="D4351" s="31">
        <v>6.02</v>
      </c>
      <c r="E4351" s="31">
        <v>-2.4300000000000002</v>
      </c>
      <c r="F4351" s="31">
        <v>1204000000</v>
      </c>
    </row>
    <row r="4352" spans="1:6" ht="15" thickBot="1" x14ac:dyDescent="0.2">
      <c r="A4352" s="30" t="s">
        <v>13430</v>
      </c>
      <c r="B4352" s="26" t="str">
        <f t="shared" si="67"/>
        <v>301261</v>
      </c>
      <c r="C4352" s="30" t="s">
        <v>13431</v>
      </c>
      <c r="D4352" s="31">
        <v>31.77</v>
      </c>
      <c r="E4352" s="31">
        <v>-0.72</v>
      </c>
      <c r="F4352" s="31">
        <v>1203771530</v>
      </c>
    </row>
    <row r="4353" spans="1:6" ht="15" thickBot="1" x14ac:dyDescent="0.2">
      <c r="A4353" s="30" t="s">
        <v>13432</v>
      </c>
      <c r="B4353" s="26" t="str">
        <f t="shared" si="67"/>
        <v>301507</v>
      </c>
      <c r="C4353" s="30" t="s">
        <v>13433</v>
      </c>
      <c r="D4353" s="31">
        <v>10.87</v>
      </c>
      <c r="E4353" s="31">
        <v>0.18</v>
      </c>
      <c r="F4353" s="31">
        <v>1201481300</v>
      </c>
    </row>
    <row r="4354" spans="1:6" ht="15" thickBot="1" x14ac:dyDescent="0.2">
      <c r="A4354" s="30" t="s">
        <v>13434</v>
      </c>
      <c r="B4354" s="26" t="str">
        <f t="shared" si="67"/>
        <v>688622</v>
      </c>
      <c r="C4354" s="30" t="s">
        <v>8143</v>
      </c>
      <c r="D4354" s="31">
        <v>17.13</v>
      </c>
      <c r="E4354" s="31">
        <v>0.35</v>
      </c>
      <c r="F4354" s="31">
        <v>1199058990</v>
      </c>
    </row>
    <row r="4355" spans="1:6" ht="15" thickBot="1" x14ac:dyDescent="0.2">
      <c r="A4355" s="30" t="s">
        <v>13435</v>
      </c>
      <c r="B4355" s="26" t="str">
        <f t="shared" ref="B4355:B4418" si="68">LEFT(A4355,6)</f>
        <v>300990</v>
      </c>
      <c r="C4355" s="30" t="s">
        <v>4286</v>
      </c>
      <c r="D4355" s="31">
        <v>28.43</v>
      </c>
      <c r="E4355" s="31">
        <v>20.010000000000002</v>
      </c>
      <c r="F4355" s="31">
        <v>1197471600</v>
      </c>
    </row>
    <row r="4356" spans="1:6" ht="15" thickBot="1" x14ac:dyDescent="0.2">
      <c r="A4356" s="30" t="s">
        <v>13436</v>
      </c>
      <c r="B4356" s="26" t="str">
        <f t="shared" si="68"/>
        <v>300519</v>
      </c>
      <c r="C4356" s="30" t="s">
        <v>7469</v>
      </c>
      <c r="D4356" s="31">
        <v>10.49</v>
      </c>
      <c r="E4356" s="31">
        <v>-1.78</v>
      </c>
      <c r="F4356" s="31">
        <v>1196909000</v>
      </c>
    </row>
    <row r="4357" spans="1:6" ht="15" thickBot="1" x14ac:dyDescent="0.2">
      <c r="A4357" s="30" t="s">
        <v>13437</v>
      </c>
      <c r="B4357" s="26" t="str">
        <f t="shared" si="68"/>
        <v>600796</v>
      </c>
      <c r="C4357" s="30" t="s">
        <v>4954</v>
      </c>
      <c r="D4357" s="31">
        <v>3.97</v>
      </c>
      <c r="E4357" s="31">
        <v>-1.49</v>
      </c>
      <c r="F4357" s="31">
        <v>1196566510</v>
      </c>
    </row>
    <row r="4358" spans="1:6" ht="15" thickBot="1" x14ac:dyDescent="0.2">
      <c r="A4358" s="30" t="s">
        <v>13438</v>
      </c>
      <c r="B4358" s="26" t="str">
        <f t="shared" si="68"/>
        <v>301393</v>
      </c>
      <c r="C4358" s="30" t="s">
        <v>13439</v>
      </c>
      <c r="D4358" s="31">
        <v>33.56</v>
      </c>
      <c r="E4358" s="31">
        <v>-1.53</v>
      </c>
      <c r="F4358" s="31">
        <v>1196514680</v>
      </c>
    </row>
    <row r="4359" spans="1:6" ht="15" thickBot="1" x14ac:dyDescent="0.2">
      <c r="A4359" s="30" t="s">
        <v>13440</v>
      </c>
      <c r="B4359" s="26" t="str">
        <f t="shared" si="68"/>
        <v>000632</v>
      </c>
      <c r="C4359" s="30" t="s">
        <v>8159</v>
      </c>
      <c r="D4359" s="31">
        <v>2.57</v>
      </c>
      <c r="E4359" s="31">
        <v>-1.1499999999999999</v>
      </c>
      <c r="F4359" s="31">
        <v>1196287730</v>
      </c>
    </row>
    <row r="4360" spans="1:6" ht="15" thickBot="1" x14ac:dyDescent="0.2">
      <c r="A4360" s="30" t="s">
        <v>13441</v>
      </c>
      <c r="B4360" s="26" t="str">
        <f t="shared" si="68"/>
        <v>300321</v>
      </c>
      <c r="C4360" s="30" t="s">
        <v>8125</v>
      </c>
      <c r="D4360" s="31">
        <v>13.47</v>
      </c>
      <c r="E4360" s="31">
        <v>-0.66</v>
      </c>
      <c r="F4360" s="31">
        <v>1195820800</v>
      </c>
    </row>
    <row r="4361" spans="1:6" ht="15" thickBot="1" x14ac:dyDescent="0.2">
      <c r="A4361" s="30" t="s">
        <v>13442</v>
      </c>
      <c r="B4361" s="26" t="str">
        <f t="shared" si="68"/>
        <v>605598</v>
      </c>
      <c r="C4361" s="30" t="s">
        <v>13443</v>
      </c>
      <c r="D4361" s="31">
        <v>15.95</v>
      </c>
      <c r="E4361" s="31">
        <v>-1.73</v>
      </c>
      <c r="F4361" s="31">
        <v>1194285610</v>
      </c>
    </row>
    <row r="4362" spans="1:6" ht="15" thickBot="1" x14ac:dyDescent="0.2">
      <c r="A4362" s="30" t="s">
        <v>13444</v>
      </c>
      <c r="B4362" s="26" t="str">
        <f t="shared" si="68"/>
        <v>603051</v>
      </c>
      <c r="C4362" s="30" t="s">
        <v>13445</v>
      </c>
      <c r="D4362" s="31">
        <v>23.95</v>
      </c>
      <c r="E4362" s="31">
        <v>-3.12</v>
      </c>
      <c r="F4362" s="31">
        <v>1192023210</v>
      </c>
    </row>
    <row r="4363" spans="1:6" ht="15" thickBot="1" x14ac:dyDescent="0.2">
      <c r="A4363" s="30" t="s">
        <v>13446</v>
      </c>
      <c r="B4363" s="26" t="str">
        <f t="shared" si="68"/>
        <v>002295</v>
      </c>
      <c r="C4363" s="30" t="s">
        <v>8121</v>
      </c>
      <c r="D4363" s="31">
        <v>4.76</v>
      </c>
      <c r="E4363" s="31">
        <v>-2.2599999999999998</v>
      </c>
      <c r="F4363" s="31">
        <v>1191399440</v>
      </c>
    </row>
    <row r="4364" spans="1:6" ht="15" thickBot="1" x14ac:dyDescent="0.2">
      <c r="A4364" s="30" t="s">
        <v>13447</v>
      </c>
      <c r="B4364" s="26" t="str">
        <f t="shared" si="68"/>
        <v>300807</v>
      </c>
      <c r="C4364" s="30" t="s">
        <v>7489</v>
      </c>
      <c r="D4364" s="31">
        <v>24.26</v>
      </c>
      <c r="E4364" s="31">
        <v>-1.58</v>
      </c>
      <c r="F4364" s="31">
        <v>1190049770</v>
      </c>
    </row>
    <row r="4365" spans="1:6" ht="15" thickBot="1" x14ac:dyDescent="0.2">
      <c r="A4365" s="30" t="s">
        <v>13448</v>
      </c>
      <c r="B4365" s="26" t="str">
        <f t="shared" si="68"/>
        <v>300615</v>
      </c>
      <c r="C4365" s="30" t="s">
        <v>7265</v>
      </c>
      <c r="D4365" s="31">
        <v>9.0500000000000007</v>
      </c>
      <c r="E4365" s="31">
        <v>-2.69</v>
      </c>
      <c r="F4365" s="31">
        <v>1189134680</v>
      </c>
    </row>
    <row r="4366" spans="1:6" ht="15" thickBot="1" x14ac:dyDescent="0.2">
      <c r="A4366" s="30" t="s">
        <v>13449</v>
      </c>
      <c r="B4366" s="26" t="str">
        <f t="shared" si="68"/>
        <v>300948</v>
      </c>
      <c r="C4366" s="30" t="s">
        <v>8089</v>
      </c>
      <c r="D4366" s="31">
        <v>9.09</v>
      </c>
      <c r="E4366" s="31">
        <v>-0.98</v>
      </c>
      <c r="F4366" s="31">
        <v>1188907880</v>
      </c>
    </row>
    <row r="4367" spans="1:6" ht="15" thickBot="1" x14ac:dyDescent="0.2">
      <c r="A4367" s="30" t="s">
        <v>13450</v>
      </c>
      <c r="B4367" s="26" t="str">
        <f t="shared" si="68"/>
        <v>002231</v>
      </c>
      <c r="C4367" s="30" t="s">
        <v>7817</v>
      </c>
      <c r="D4367" s="31">
        <v>4.03</v>
      </c>
      <c r="E4367" s="31">
        <v>-2.89</v>
      </c>
      <c r="F4367" s="31">
        <v>1188119630</v>
      </c>
    </row>
    <row r="4368" spans="1:6" ht="15" thickBot="1" x14ac:dyDescent="0.2">
      <c r="A4368" s="30" t="s">
        <v>13451</v>
      </c>
      <c r="B4368" s="26" t="str">
        <f t="shared" si="68"/>
        <v>301120</v>
      </c>
      <c r="C4368" s="30" t="s">
        <v>13452</v>
      </c>
      <c r="D4368" s="31">
        <v>7.53</v>
      </c>
      <c r="E4368" s="31">
        <v>-1.05</v>
      </c>
      <c r="F4368" s="31">
        <v>1185894200</v>
      </c>
    </row>
    <row r="4369" spans="1:6" ht="15" thickBot="1" x14ac:dyDescent="0.2">
      <c r="A4369" s="30" t="s">
        <v>13453</v>
      </c>
      <c r="B4369" s="26" t="str">
        <f t="shared" si="68"/>
        <v>301168</v>
      </c>
      <c r="C4369" s="30" t="s">
        <v>13454</v>
      </c>
      <c r="D4369" s="31">
        <v>23.88</v>
      </c>
      <c r="E4369" s="31">
        <v>-2.4500000000000002</v>
      </c>
      <c r="F4369" s="31">
        <v>1185713640</v>
      </c>
    </row>
    <row r="4370" spans="1:6" ht="15" thickBot="1" x14ac:dyDescent="0.2">
      <c r="A4370" s="30" t="s">
        <v>13455</v>
      </c>
      <c r="B4370" s="26" t="str">
        <f t="shared" si="68"/>
        <v>002998</v>
      </c>
      <c r="C4370" s="30" t="s">
        <v>7627</v>
      </c>
      <c r="D4370" s="31">
        <v>4.8499999999999996</v>
      </c>
      <c r="E4370" s="31">
        <v>-2.42</v>
      </c>
      <c r="F4370" s="31">
        <v>1185700190</v>
      </c>
    </row>
    <row r="4371" spans="1:6" ht="15" thickBot="1" x14ac:dyDescent="0.2">
      <c r="A4371" s="30" t="s">
        <v>13456</v>
      </c>
      <c r="B4371" s="26" t="str">
        <f t="shared" si="68"/>
        <v>300611</v>
      </c>
      <c r="C4371" s="30" t="s">
        <v>7455</v>
      </c>
      <c r="D4371" s="31">
        <v>7.98</v>
      </c>
      <c r="E4371" s="31">
        <v>-0.62</v>
      </c>
      <c r="F4371" s="31">
        <v>1183457780</v>
      </c>
    </row>
    <row r="4372" spans="1:6" ht="15" thickBot="1" x14ac:dyDescent="0.2">
      <c r="A4372" s="30" t="s">
        <v>13457</v>
      </c>
      <c r="B4372" s="26" t="str">
        <f t="shared" si="68"/>
        <v>300511</v>
      </c>
      <c r="C4372" s="30" t="s">
        <v>7847</v>
      </c>
      <c r="D4372" s="31">
        <v>2.83</v>
      </c>
      <c r="E4372" s="31">
        <v>-2.41</v>
      </c>
      <c r="F4372" s="31">
        <v>1183024900</v>
      </c>
    </row>
    <row r="4373" spans="1:6" ht="15" thickBot="1" x14ac:dyDescent="0.2">
      <c r="A4373" s="30" t="s">
        <v>13458</v>
      </c>
      <c r="B4373" s="26" t="str">
        <f t="shared" si="68"/>
        <v>300594</v>
      </c>
      <c r="C4373" s="30" t="s">
        <v>8113</v>
      </c>
      <c r="D4373" s="31">
        <v>13.07</v>
      </c>
      <c r="E4373" s="31">
        <v>-1.66</v>
      </c>
      <c r="F4373" s="31">
        <v>1182890220</v>
      </c>
    </row>
    <row r="4374" spans="1:6" ht="15" thickBot="1" x14ac:dyDescent="0.2">
      <c r="A4374" s="30" t="s">
        <v>13459</v>
      </c>
      <c r="B4374" s="26" t="str">
        <f t="shared" si="68"/>
        <v>003027</v>
      </c>
      <c r="C4374" s="30" t="s">
        <v>7687</v>
      </c>
      <c r="D4374" s="31">
        <v>11.61</v>
      </c>
      <c r="E4374" s="31">
        <v>-2.93</v>
      </c>
      <c r="F4374" s="31">
        <v>1182726920</v>
      </c>
    </row>
    <row r="4375" spans="1:6" ht="15" thickBot="1" x14ac:dyDescent="0.2">
      <c r="A4375" s="30" t="s">
        <v>13460</v>
      </c>
      <c r="B4375" s="26" t="str">
        <f t="shared" si="68"/>
        <v>688371</v>
      </c>
      <c r="C4375" s="30" t="s">
        <v>13461</v>
      </c>
      <c r="D4375" s="31">
        <v>9.31</v>
      </c>
      <c r="E4375" s="31">
        <v>-2.21</v>
      </c>
      <c r="F4375" s="31">
        <v>1181802290</v>
      </c>
    </row>
    <row r="4376" spans="1:6" ht="15" thickBot="1" x14ac:dyDescent="0.2">
      <c r="A4376" s="30" t="s">
        <v>13462</v>
      </c>
      <c r="B4376" s="26" t="str">
        <f t="shared" si="68"/>
        <v>301281</v>
      </c>
      <c r="C4376" s="30" t="s">
        <v>13463</v>
      </c>
      <c r="D4376" s="31">
        <v>18.88</v>
      </c>
      <c r="E4376" s="31">
        <v>-0.68</v>
      </c>
      <c r="F4376" s="31">
        <v>1180981760</v>
      </c>
    </row>
    <row r="4377" spans="1:6" ht="15" thickBot="1" x14ac:dyDescent="0.2">
      <c r="A4377" s="30" t="s">
        <v>13464</v>
      </c>
      <c r="B4377" s="26" t="str">
        <f t="shared" si="68"/>
        <v>001311</v>
      </c>
      <c r="C4377" s="30" t="s">
        <v>13465</v>
      </c>
      <c r="D4377" s="31">
        <v>19.47</v>
      </c>
      <c r="E4377" s="31">
        <v>-1.37</v>
      </c>
      <c r="F4377" s="31">
        <v>1180377450</v>
      </c>
    </row>
    <row r="4378" spans="1:6" ht="15" thickBot="1" x14ac:dyDescent="0.2">
      <c r="A4378" s="30" t="s">
        <v>13466</v>
      </c>
      <c r="B4378" s="26" t="str">
        <f t="shared" si="68"/>
        <v>301282</v>
      </c>
      <c r="C4378" s="30" t="s">
        <v>13467</v>
      </c>
      <c r="D4378" s="31">
        <v>16.36</v>
      </c>
      <c r="E4378" s="31">
        <v>-0.85</v>
      </c>
      <c r="F4378" s="31">
        <v>1180209880</v>
      </c>
    </row>
    <row r="4379" spans="1:6" ht="15" thickBot="1" x14ac:dyDescent="0.2">
      <c r="A4379" s="30" t="s">
        <v>13468</v>
      </c>
      <c r="B4379" s="26" t="str">
        <f t="shared" si="68"/>
        <v>301257</v>
      </c>
      <c r="C4379" s="30" t="s">
        <v>13469</v>
      </c>
      <c r="D4379" s="31">
        <v>25.08</v>
      </c>
      <c r="E4379" s="31">
        <v>4.24</v>
      </c>
      <c r="F4379" s="31">
        <v>1179833850</v>
      </c>
    </row>
    <row r="4380" spans="1:6" ht="15" thickBot="1" x14ac:dyDescent="0.2">
      <c r="A4380" s="30" t="s">
        <v>13470</v>
      </c>
      <c r="B4380" s="26" t="str">
        <f t="shared" si="68"/>
        <v>301010</v>
      </c>
      <c r="C4380" s="30" t="s">
        <v>8139</v>
      </c>
      <c r="D4380" s="31">
        <v>10.92</v>
      </c>
      <c r="E4380" s="31">
        <v>-0.82</v>
      </c>
      <c r="F4380" s="31">
        <v>1179360000</v>
      </c>
    </row>
    <row r="4381" spans="1:6" ht="15" thickBot="1" x14ac:dyDescent="0.2">
      <c r="A4381" s="30" t="s">
        <v>13471</v>
      </c>
      <c r="B4381" s="26" t="str">
        <f t="shared" si="68"/>
        <v>603291</v>
      </c>
      <c r="C4381" s="30" t="s">
        <v>13472</v>
      </c>
      <c r="D4381" s="31">
        <v>9.07</v>
      </c>
      <c r="E4381" s="31">
        <v>-0.55000000000000004</v>
      </c>
      <c r="F4381" s="31">
        <v>1178583710</v>
      </c>
    </row>
    <row r="4382" spans="1:6" ht="15" thickBot="1" x14ac:dyDescent="0.2">
      <c r="A4382" s="30" t="s">
        <v>13473</v>
      </c>
      <c r="B4382" s="26" t="str">
        <f t="shared" si="68"/>
        <v>301042</v>
      </c>
      <c r="C4382" s="30" t="s">
        <v>6947</v>
      </c>
      <c r="D4382" s="31">
        <v>27.55</v>
      </c>
      <c r="E4382" s="31">
        <v>-1.26</v>
      </c>
      <c r="F4382" s="31">
        <v>1178446480</v>
      </c>
    </row>
    <row r="4383" spans="1:6" ht="15" thickBot="1" x14ac:dyDescent="0.2">
      <c r="A4383" s="30" t="s">
        <v>13474</v>
      </c>
      <c r="B4383" s="26" t="str">
        <f t="shared" si="68"/>
        <v>300837</v>
      </c>
      <c r="C4383" s="30" t="s">
        <v>7467</v>
      </c>
      <c r="D4383" s="31">
        <v>16.68</v>
      </c>
      <c r="E4383" s="31">
        <v>-1.77</v>
      </c>
      <c r="F4383" s="31">
        <v>1177314600</v>
      </c>
    </row>
    <row r="4384" spans="1:6" ht="15" thickBot="1" x14ac:dyDescent="0.2">
      <c r="A4384" s="30" t="s">
        <v>13475</v>
      </c>
      <c r="B4384" s="26" t="str">
        <f t="shared" si="68"/>
        <v>688670</v>
      </c>
      <c r="C4384" s="30" t="s">
        <v>13476</v>
      </c>
      <c r="D4384" s="31">
        <v>9.5500000000000007</v>
      </c>
      <c r="E4384" s="31">
        <v>-2.4500000000000002</v>
      </c>
      <c r="F4384" s="31">
        <v>1176560000</v>
      </c>
    </row>
    <row r="4385" spans="1:6" ht="15" thickBot="1" x14ac:dyDescent="0.2">
      <c r="A4385" s="30" t="s">
        <v>13477</v>
      </c>
      <c r="B4385" s="26" t="str">
        <f t="shared" si="68"/>
        <v>301313</v>
      </c>
      <c r="C4385" s="30" t="s">
        <v>13478</v>
      </c>
      <c r="D4385" s="31">
        <v>17.64</v>
      </c>
      <c r="E4385" s="31">
        <v>-0.23</v>
      </c>
      <c r="F4385" s="31">
        <v>1176530070</v>
      </c>
    </row>
    <row r="4386" spans="1:6" ht="15" thickBot="1" x14ac:dyDescent="0.2">
      <c r="A4386" s="30" t="s">
        <v>13479</v>
      </c>
      <c r="B4386" s="26" t="str">
        <f t="shared" si="68"/>
        <v>002209</v>
      </c>
      <c r="C4386" s="30" t="s">
        <v>7809</v>
      </c>
      <c r="D4386" s="31">
        <v>7.57</v>
      </c>
      <c r="E4386" s="31">
        <v>0</v>
      </c>
      <c r="F4386" s="31">
        <v>1175369550</v>
      </c>
    </row>
    <row r="4387" spans="1:6" ht="15" thickBot="1" x14ac:dyDescent="0.2">
      <c r="A4387" s="30" t="s">
        <v>13480</v>
      </c>
      <c r="B4387" s="26" t="str">
        <f t="shared" si="68"/>
        <v>300509</v>
      </c>
      <c r="C4387" s="30" t="s">
        <v>7907</v>
      </c>
      <c r="D4387" s="31">
        <v>4.75</v>
      </c>
      <c r="E4387" s="31">
        <v>-0.84</v>
      </c>
      <c r="F4387" s="31">
        <v>1173741730</v>
      </c>
    </row>
    <row r="4388" spans="1:6" ht="15" thickBot="1" x14ac:dyDescent="0.2">
      <c r="A4388" s="30" t="s">
        <v>13481</v>
      </c>
      <c r="B4388" s="26" t="str">
        <f t="shared" si="68"/>
        <v>688288</v>
      </c>
      <c r="C4388" s="30" t="s">
        <v>8131</v>
      </c>
      <c r="D4388" s="31">
        <v>11.65</v>
      </c>
      <c r="E4388" s="31">
        <v>-1.44</v>
      </c>
      <c r="F4388" s="31">
        <v>1172501670</v>
      </c>
    </row>
    <row r="4389" spans="1:6" ht="15" thickBot="1" x14ac:dyDescent="0.2">
      <c r="A4389" s="30" t="s">
        <v>13482</v>
      </c>
      <c r="B4389" s="26" t="str">
        <f t="shared" si="68"/>
        <v>301248</v>
      </c>
      <c r="C4389" s="30" t="s">
        <v>13483</v>
      </c>
      <c r="D4389" s="31">
        <v>11.5</v>
      </c>
      <c r="E4389" s="31">
        <v>-2.71</v>
      </c>
      <c r="F4389" s="31">
        <v>1170718690</v>
      </c>
    </row>
    <row r="4390" spans="1:6" ht="15" thickBot="1" x14ac:dyDescent="0.2">
      <c r="A4390" s="30" t="s">
        <v>13484</v>
      </c>
      <c r="B4390" s="26" t="str">
        <f t="shared" si="68"/>
        <v>688255</v>
      </c>
      <c r="C4390" s="30" t="s">
        <v>7239</v>
      </c>
      <c r="D4390" s="31">
        <v>16.7</v>
      </c>
      <c r="E4390" s="31">
        <v>0.3</v>
      </c>
      <c r="F4390" s="31">
        <v>1170712640</v>
      </c>
    </row>
    <row r="4391" spans="1:6" ht="15" thickBot="1" x14ac:dyDescent="0.2">
      <c r="A4391" s="30" t="s">
        <v>13485</v>
      </c>
      <c r="B4391" s="26" t="str">
        <f t="shared" si="68"/>
        <v>300464</v>
      </c>
      <c r="C4391" s="30" t="s">
        <v>7101</v>
      </c>
      <c r="D4391" s="31">
        <v>3.63</v>
      </c>
      <c r="E4391" s="31">
        <v>-6.2</v>
      </c>
      <c r="F4391" s="31">
        <v>1170549500</v>
      </c>
    </row>
    <row r="4392" spans="1:6" ht="15" thickBot="1" x14ac:dyDescent="0.2">
      <c r="A4392" s="30" t="s">
        <v>13486</v>
      </c>
      <c r="B4392" s="26" t="str">
        <f t="shared" si="68"/>
        <v>603213</v>
      </c>
      <c r="C4392" s="30" t="s">
        <v>13487</v>
      </c>
      <c r="D4392" s="31">
        <v>7.51</v>
      </c>
      <c r="E4392" s="31">
        <v>0.27</v>
      </c>
      <c r="F4392" s="31">
        <v>1170018290</v>
      </c>
    </row>
    <row r="4393" spans="1:6" ht="15" thickBot="1" x14ac:dyDescent="0.2">
      <c r="A4393" s="30" t="s">
        <v>13488</v>
      </c>
      <c r="B4393" s="26" t="str">
        <f t="shared" si="68"/>
        <v>301121</v>
      </c>
      <c r="C4393" s="30" t="s">
        <v>13489</v>
      </c>
      <c r="D4393" s="31">
        <v>32.39</v>
      </c>
      <c r="E4393" s="31">
        <v>0.22</v>
      </c>
      <c r="F4393" s="31">
        <v>1168605840</v>
      </c>
    </row>
    <row r="4394" spans="1:6" ht="15" thickBot="1" x14ac:dyDescent="0.2">
      <c r="A4394" s="30" t="s">
        <v>13490</v>
      </c>
      <c r="B4394" s="26" t="str">
        <f t="shared" si="68"/>
        <v>301065</v>
      </c>
      <c r="C4394" s="30" t="s">
        <v>13491</v>
      </c>
      <c r="D4394" s="31">
        <v>16.95</v>
      </c>
      <c r="E4394" s="31">
        <v>-3.09</v>
      </c>
      <c r="F4394" s="31">
        <v>1168146540</v>
      </c>
    </row>
    <row r="4395" spans="1:6" ht="15" thickBot="1" x14ac:dyDescent="0.2">
      <c r="A4395" s="30" t="s">
        <v>13492</v>
      </c>
      <c r="B4395" s="26" t="str">
        <f t="shared" si="68"/>
        <v>002571</v>
      </c>
      <c r="C4395" s="30" t="s">
        <v>7731</v>
      </c>
      <c r="D4395" s="31">
        <v>3.91</v>
      </c>
      <c r="E4395" s="31">
        <v>-1.51</v>
      </c>
      <c r="F4395" s="31">
        <v>1166377200</v>
      </c>
    </row>
    <row r="4396" spans="1:6" ht="15" thickBot="1" x14ac:dyDescent="0.2">
      <c r="A4396" s="30" t="s">
        <v>13493</v>
      </c>
      <c r="B4396" s="26" t="str">
        <f t="shared" si="68"/>
        <v>001322</v>
      </c>
      <c r="C4396" s="30" t="s">
        <v>13494</v>
      </c>
      <c r="D4396" s="31">
        <v>7.04</v>
      </c>
      <c r="E4396" s="31">
        <v>0</v>
      </c>
      <c r="F4396" s="31">
        <v>1165914110</v>
      </c>
    </row>
    <row r="4397" spans="1:6" ht="15" thickBot="1" x14ac:dyDescent="0.2">
      <c r="A4397" s="30" t="s">
        <v>13495</v>
      </c>
      <c r="B4397" s="26" t="str">
        <f t="shared" si="68"/>
        <v>600857</v>
      </c>
      <c r="C4397" s="30" t="s">
        <v>8167</v>
      </c>
      <c r="D4397" s="31">
        <v>5.19</v>
      </c>
      <c r="E4397" s="31">
        <v>-5.64</v>
      </c>
      <c r="F4397" s="31">
        <v>1164220380</v>
      </c>
    </row>
    <row r="4398" spans="1:6" ht="15" thickBot="1" x14ac:dyDescent="0.2">
      <c r="A4398" s="30" t="s">
        <v>13496</v>
      </c>
      <c r="B4398" s="26" t="str">
        <f t="shared" si="68"/>
        <v>300991</v>
      </c>
      <c r="C4398" s="30" t="s">
        <v>13497</v>
      </c>
      <c r="D4398" s="31">
        <v>12.95</v>
      </c>
      <c r="E4398" s="31">
        <v>-1.97</v>
      </c>
      <c r="F4398" s="31">
        <v>1164101400</v>
      </c>
    </row>
    <row r="4399" spans="1:6" ht="15" thickBot="1" x14ac:dyDescent="0.2">
      <c r="A4399" s="30" t="s">
        <v>13498</v>
      </c>
      <c r="B4399" s="26" t="str">
        <f t="shared" si="68"/>
        <v>001324</v>
      </c>
      <c r="C4399" s="30" t="s">
        <v>13499</v>
      </c>
      <c r="D4399" s="31">
        <v>14.24</v>
      </c>
      <c r="E4399" s="31">
        <v>-2.4</v>
      </c>
      <c r="F4399" s="31">
        <v>1162747260</v>
      </c>
    </row>
    <row r="4400" spans="1:6" ht="15" thickBot="1" x14ac:dyDescent="0.2">
      <c r="A4400" s="30" t="s">
        <v>13500</v>
      </c>
      <c r="B4400" s="26" t="str">
        <f t="shared" si="68"/>
        <v>300022</v>
      </c>
      <c r="C4400" s="30" t="s">
        <v>7289</v>
      </c>
      <c r="D4400" s="31">
        <v>3.63</v>
      </c>
      <c r="E4400" s="31">
        <v>-0.55000000000000004</v>
      </c>
      <c r="F4400" s="31">
        <v>1160392000</v>
      </c>
    </row>
    <row r="4401" spans="1:6" ht="15" thickBot="1" x14ac:dyDescent="0.2">
      <c r="A4401" s="30" t="s">
        <v>13501</v>
      </c>
      <c r="B4401" s="26" t="str">
        <f t="shared" si="68"/>
        <v>872190</v>
      </c>
      <c r="C4401" s="30" t="s">
        <v>13502</v>
      </c>
      <c r="D4401" s="31">
        <v>11.75</v>
      </c>
      <c r="E4401" s="31">
        <v>-1.84</v>
      </c>
      <c r="F4401" s="31">
        <v>1159431850</v>
      </c>
    </row>
    <row r="4402" spans="1:6" ht="15" thickBot="1" x14ac:dyDescent="0.2">
      <c r="A4402" s="30" t="s">
        <v>13503</v>
      </c>
      <c r="B4402" s="26" t="str">
        <f t="shared" si="68"/>
        <v>688013</v>
      </c>
      <c r="C4402" s="30" t="s">
        <v>8133</v>
      </c>
      <c r="D4402" s="31">
        <v>14.28</v>
      </c>
      <c r="E4402" s="31">
        <v>-3.06</v>
      </c>
      <c r="F4402" s="31">
        <v>1158901970</v>
      </c>
    </row>
    <row r="4403" spans="1:6" ht="15" thickBot="1" x14ac:dyDescent="0.2">
      <c r="A4403" s="30" t="s">
        <v>13504</v>
      </c>
      <c r="B4403" s="26" t="str">
        <f t="shared" si="68"/>
        <v>688325</v>
      </c>
      <c r="C4403" s="30" t="s">
        <v>13505</v>
      </c>
      <c r="D4403" s="31">
        <v>30.18</v>
      </c>
      <c r="E4403" s="31">
        <v>-0.66</v>
      </c>
      <c r="F4403" s="31">
        <v>1156018250</v>
      </c>
    </row>
    <row r="4404" spans="1:6" ht="15" thickBot="1" x14ac:dyDescent="0.2">
      <c r="A4404" s="30" t="s">
        <v>13506</v>
      </c>
      <c r="B4404" s="26" t="str">
        <f t="shared" si="68"/>
        <v>688603</v>
      </c>
      <c r="C4404" s="30" t="s">
        <v>13507</v>
      </c>
      <c r="D4404" s="31">
        <v>58.09</v>
      </c>
      <c r="E4404" s="31">
        <v>0.33</v>
      </c>
      <c r="F4404" s="31">
        <v>1155869940</v>
      </c>
    </row>
    <row r="4405" spans="1:6" ht="15" thickBot="1" x14ac:dyDescent="0.2">
      <c r="A4405" s="30" t="s">
        <v>13508</v>
      </c>
      <c r="B4405" s="26" t="str">
        <f t="shared" si="68"/>
        <v>301306</v>
      </c>
      <c r="C4405" s="30" t="s">
        <v>13509</v>
      </c>
      <c r="D4405" s="31">
        <v>29.35</v>
      </c>
      <c r="E4405" s="31">
        <v>-0.91</v>
      </c>
      <c r="F4405" s="31">
        <v>1152868000</v>
      </c>
    </row>
    <row r="4406" spans="1:6" ht="15" thickBot="1" x14ac:dyDescent="0.2">
      <c r="A4406" s="30" t="s">
        <v>13510</v>
      </c>
      <c r="B4406" s="26" t="str">
        <f t="shared" si="68"/>
        <v>300789</v>
      </c>
      <c r="C4406" s="30" t="s">
        <v>7451</v>
      </c>
      <c r="D4406" s="31">
        <v>11.63</v>
      </c>
      <c r="E4406" s="31">
        <v>-2.27</v>
      </c>
      <c r="F4406" s="31">
        <v>1149296720</v>
      </c>
    </row>
    <row r="4407" spans="1:6" ht="15" thickBot="1" x14ac:dyDescent="0.2">
      <c r="A4407" s="30" t="s">
        <v>13511</v>
      </c>
      <c r="B4407" s="26" t="str">
        <f t="shared" si="68"/>
        <v>688350</v>
      </c>
      <c r="C4407" s="30" t="s">
        <v>8157</v>
      </c>
      <c r="D4407" s="31">
        <v>9.4</v>
      </c>
      <c r="E4407" s="31">
        <v>-1.57</v>
      </c>
      <c r="F4407" s="31">
        <v>1148210930</v>
      </c>
    </row>
    <row r="4408" spans="1:6" ht="15" thickBot="1" x14ac:dyDescent="0.2">
      <c r="A4408" s="30" t="s">
        <v>13512</v>
      </c>
      <c r="B4408" s="26" t="str">
        <f t="shared" si="68"/>
        <v>688669</v>
      </c>
      <c r="C4408" s="30" t="s">
        <v>8173</v>
      </c>
      <c r="D4408" s="31">
        <v>9.42</v>
      </c>
      <c r="E4408" s="31">
        <v>-1.36</v>
      </c>
      <c r="F4408" s="31">
        <v>1142960010</v>
      </c>
    </row>
    <row r="4409" spans="1:6" ht="15" thickBot="1" x14ac:dyDescent="0.2">
      <c r="A4409" s="30" t="s">
        <v>13513</v>
      </c>
      <c r="B4409" s="26" t="str">
        <f t="shared" si="68"/>
        <v>301251</v>
      </c>
      <c r="C4409" s="30" t="s">
        <v>13514</v>
      </c>
      <c r="D4409" s="31">
        <v>24.33</v>
      </c>
      <c r="E4409" s="31">
        <v>-1.74</v>
      </c>
      <c r="F4409" s="31">
        <v>1142805400</v>
      </c>
    </row>
    <row r="4410" spans="1:6" ht="15" thickBot="1" x14ac:dyDescent="0.2">
      <c r="A4410" s="30" t="s">
        <v>13515</v>
      </c>
      <c r="B4410" s="26" t="str">
        <f t="shared" si="68"/>
        <v>300713</v>
      </c>
      <c r="C4410" s="30" t="s">
        <v>6576</v>
      </c>
      <c r="D4410" s="31">
        <v>13.03</v>
      </c>
      <c r="E4410" s="31">
        <v>-2.25</v>
      </c>
      <c r="F4410" s="31">
        <v>1141875950</v>
      </c>
    </row>
    <row r="4411" spans="1:6" ht="15" thickBot="1" x14ac:dyDescent="0.2">
      <c r="A4411" s="30" t="s">
        <v>13516</v>
      </c>
      <c r="B4411" s="26" t="str">
        <f t="shared" si="68"/>
        <v>002963</v>
      </c>
      <c r="C4411" s="30" t="s">
        <v>7891</v>
      </c>
      <c r="D4411" s="31">
        <v>9.2799999999999994</v>
      </c>
      <c r="E4411" s="31">
        <v>-2.21</v>
      </c>
      <c r="F4411" s="31">
        <v>1141384770</v>
      </c>
    </row>
    <row r="4412" spans="1:6" ht="15" thickBot="1" x14ac:dyDescent="0.2">
      <c r="A4412" s="30" t="s">
        <v>13517</v>
      </c>
      <c r="B4412" s="26" t="str">
        <f t="shared" si="68"/>
        <v>301315</v>
      </c>
      <c r="C4412" s="30" t="s">
        <v>13518</v>
      </c>
      <c r="D4412" s="31">
        <v>30.82</v>
      </c>
      <c r="E4412" s="31">
        <v>-0.42</v>
      </c>
      <c r="F4412" s="31">
        <v>1140340000</v>
      </c>
    </row>
    <row r="4413" spans="1:6" ht="15" thickBot="1" x14ac:dyDescent="0.2">
      <c r="A4413" s="30" t="s">
        <v>13519</v>
      </c>
      <c r="B4413" s="26" t="str">
        <f t="shared" si="68"/>
        <v>300155</v>
      </c>
      <c r="C4413" s="30" t="s">
        <v>7011</v>
      </c>
      <c r="D4413" s="31">
        <v>3.45</v>
      </c>
      <c r="E4413" s="31">
        <v>0.57999999999999996</v>
      </c>
      <c r="F4413" s="31">
        <v>1139697450</v>
      </c>
    </row>
    <row r="4414" spans="1:6" ht="15" thickBot="1" x14ac:dyDescent="0.2">
      <c r="A4414" s="30" t="s">
        <v>13520</v>
      </c>
      <c r="B4414" s="26" t="str">
        <f t="shared" si="68"/>
        <v>300937</v>
      </c>
      <c r="C4414" s="30" t="s">
        <v>7373</v>
      </c>
      <c r="D4414" s="31">
        <v>18.18</v>
      </c>
      <c r="E4414" s="31">
        <v>-2.31</v>
      </c>
      <c r="F4414" s="31">
        <v>1138938310</v>
      </c>
    </row>
    <row r="4415" spans="1:6" ht="15" thickBot="1" x14ac:dyDescent="0.2">
      <c r="A4415" s="30" t="s">
        <v>13521</v>
      </c>
      <c r="B4415" s="26" t="str">
        <f t="shared" si="68"/>
        <v>301286</v>
      </c>
      <c r="C4415" s="30" t="s">
        <v>13522</v>
      </c>
      <c r="D4415" s="31">
        <v>28.6</v>
      </c>
      <c r="E4415" s="31">
        <v>-0.24</v>
      </c>
      <c r="F4415" s="31">
        <v>1136135000</v>
      </c>
    </row>
    <row r="4416" spans="1:6" ht="15" thickBot="1" x14ac:dyDescent="0.2">
      <c r="A4416" s="30" t="s">
        <v>13523</v>
      </c>
      <c r="B4416" s="26" t="str">
        <f t="shared" si="68"/>
        <v>688011</v>
      </c>
      <c r="C4416" s="30" t="s">
        <v>8171</v>
      </c>
      <c r="D4416" s="31">
        <v>11.36</v>
      </c>
      <c r="E4416" s="31">
        <v>-1.22</v>
      </c>
      <c r="F4416" s="31">
        <v>1136000000</v>
      </c>
    </row>
    <row r="4417" spans="1:6" ht="15" thickBot="1" x14ac:dyDescent="0.2">
      <c r="A4417" s="30" t="s">
        <v>13524</v>
      </c>
      <c r="B4417" s="26" t="str">
        <f t="shared" si="68"/>
        <v>830799</v>
      </c>
      <c r="C4417" s="30" t="s">
        <v>7099</v>
      </c>
      <c r="D4417" s="31">
        <v>9.4</v>
      </c>
      <c r="E4417" s="31">
        <v>0</v>
      </c>
      <c r="F4417" s="31">
        <v>1134622970</v>
      </c>
    </row>
    <row r="4418" spans="1:6" ht="15" thickBot="1" x14ac:dyDescent="0.2">
      <c r="A4418" s="30" t="s">
        <v>13525</v>
      </c>
      <c r="B4418" s="26" t="str">
        <f t="shared" si="68"/>
        <v>300103</v>
      </c>
      <c r="C4418" s="30" t="s">
        <v>7711</v>
      </c>
      <c r="D4418" s="31">
        <v>5.1100000000000003</v>
      </c>
      <c r="E4418" s="31">
        <v>1.59</v>
      </c>
      <c r="F4418" s="31">
        <v>1132230610</v>
      </c>
    </row>
    <row r="4419" spans="1:6" ht="15" thickBot="1" x14ac:dyDescent="0.2">
      <c r="A4419" s="30" t="s">
        <v>13526</v>
      </c>
      <c r="B4419" s="26" t="str">
        <f t="shared" ref="B4419:B4482" si="69">LEFT(A4419,6)</f>
        <v>002780</v>
      </c>
      <c r="C4419" s="30" t="s">
        <v>7935</v>
      </c>
      <c r="D4419" s="31">
        <v>8.64</v>
      </c>
      <c r="E4419" s="31">
        <v>-1.6</v>
      </c>
      <c r="F4419" s="31">
        <v>1128796850</v>
      </c>
    </row>
    <row r="4420" spans="1:6" ht="15" thickBot="1" x14ac:dyDescent="0.2">
      <c r="A4420" s="30" t="s">
        <v>13527</v>
      </c>
      <c r="B4420" s="26" t="str">
        <f t="shared" si="69"/>
        <v>002762</v>
      </c>
      <c r="C4420" s="30" t="s">
        <v>7353</v>
      </c>
      <c r="D4420" s="31">
        <v>5.34</v>
      </c>
      <c r="E4420" s="31">
        <v>1.52</v>
      </c>
      <c r="F4420" s="31">
        <v>1128760840</v>
      </c>
    </row>
    <row r="4421" spans="1:6" ht="15" thickBot="1" x14ac:dyDescent="0.2">
      <c r="A4421" s="30" t="s">
        <v>13528</v>
      </c>
      <c r="B4421" s="26" t="str">
        <f t="shared" si="69"/>
        <v>001217</v>
      </c>
      <c r="C4421" s="30" t="s">
        <v>13529</v>
      </c>
      <c r="D4421" s="31">
        <v>8.49</v>
      </c>
      <c r="E4421" s="31">
        <v>-0.82</v>
      </c>
      <c r="F4421" s="31">
        <v>1128580960</v>
      </c>
    </row>
    <row r="4422" spans="1:6" ht="15" thickBot="1" x14ac:dyDescent="0.2">
      <c r="A4422" s="30" t="s">
        <v>13530</v>
      </c>
      <c r="B4422" s="26" t="str">
        <f t="shared" si="69"/>
        <v>603139</v>
      </c>
      <c r="C4422" s="30" t="s">
        <v>8179</v>
      </c>
      <c r="D4422" s="31">
        <v>11.29</v>
      </c>
      <c r="E4422" s="31">
        <v>-1.91</v>
      </c>
      <c r="F4422" s="31">
        <v>1127645200</v>
      </c>
    </row>
    <row r="4423" spans="1:6" ht="15" thickBot="1" x14ac:dyDescent="0.2">
      <c r="A4423" s="30" t="s">
        <v>13531</v>
      </c>
      <c r="B4423" s="26" t="str">
        <f t="shared" si="69"/>
        <v>301571</v>
      </c>
      <c r="C4423" s="30" t="s">
        <v>13532</v>
      </c>
      <c r="D4423" s="31">
        <v>33.07</v>
      </c>
      <c r="E4423" s="31">
        <v>0.49</v>
      </c>
      <c r="F4423" s="31">
        <v>1127356200</v>
      </c>
    </row>
    <row r="4424" spans="1:6" ht="15" thickBot="1" x14ac:dyDescent="0.2">
      <c r="A4424" s="30" t="s">
        <v>13533</v>
      </c>
      <c r="B4424" s="26" t="str">
        <f t="shared" si="69"/>
        <v>301116</v>
      </c>
      <c r="C4424" s="30" t="s">
        <v>13534</v>
      </c>
      <c r="D4424" s="31">
        <v>9.67</v>
      </c>
      <c r="E4424" s="31">
        <v>-1.43</v>
      </c>
      <c r="F4424" s="31">
        <v>1126541140</v>
      </c>
    </row>
    <row r="4425" spans="1:6" ht="15" thickBot="1" x14ac:dyDescent="0.2">
      <c r="A4425" s="30" t="s">
        <v>13535</v>
      </c>
      <c r="B4425" s="26" t="str">
        <f t="shared" si="69"/>
        <v>002144</v>
      </c>
      <c r="C4425" s="30" t="s">
        <v>7869</v>
      </c>
      <c r="D4425" s="31">
        <v>8.24</v>
      </c>
      <c r="E4425" s="31">
        <v>-1.08</v>
      </c>
      <c r="F4425" s="31">
        <v>1126235080</v>
      </c>
    </row>
    <row r="4426" spans="1:6" ht="15" thickBot="1" x14ac:dyDescent="0.2">
      <c r="A4426" s="30" t="s">
        <v>13536</v>
      </c>
      <c r="B4426" s="26" t="str">
        <f t="shared" si="69"/>
        <v>688292</v>
      </c>
      <c r="C4426" s="30" t="s">
        <v>13537</v>
      </c>
      <c r="D4426" s="31">
        <v>12.5</v>
      </c>
      <c r="E4426" s="31">
        <v>-1.96</v>
      </c>
      <c r="F4426" s="31">
        <v>1125255360</v>
      </c>
    </row>
    <row r="4427" spans="1:6" ht="15" thickBot="1" x14ac:dyDescent="0.2">
      <c r="A4427" s="30" t="s">
        <v>13538</v>
      </c>
      <c r="B4427" s="26" t="str">
        <f t="shared" si="69"/>
        <v>000608</v>
      </c>
      <c r="C4427" s="30" t="s">
        <v>8235</v>
      </c>
      <c r="D4427" s="31">
        <v>1.51</v>
      </c>
      <c r="E4427" s="31">
        <v>0.67</v>
      </c>
      <c r="F4427" s="31">
        <v>1124587010</v>
      </c>
    </row>
    <row r="4428" spans="1:6" ht="15" thickBot="1" x14ac:dyDescent="0.2">
      <c r="A4428" s="30" t="s">
        <v>13539</v>
      </c>
      <c r="B4428" s="26" t="str">
        <f t="shared" si="69"/>
        <v>301123</v>
      </c>
      <c r="C4428" s="30" t="s">
        <v>13540</v>
      </c>
      <c r="D4428" s="31">
        <v>14.68</v>
      </c>
      <c r="E4428" s="31">
        <v>-1.48</v>
      </c>
      <c r="F4428" s="31">
        <v>1121790010</v>
      </c>
    </row>
    <row r="4429" spans="1:6" ht="15" thickBot="1" x14ac:dyDescent="0.2">
      <c r="A4429" s="30" t="s">
        <v>13541</v>
      </c>
      <c r="B4429" s="26" t="str">
        <f t="shared" si="69"/>
        <v>301302</v>
      </c>
      <c r="C4429" s="30" t="s">
        <v>13542</v>
      </c>
      <c r="D4429" s="31">
        <v>13.31</v>
      </c>
      <c r="E4429" s="31">
        <v>-1.63</v>
      </c>
      <c r="F4429" s="31">
        <v>1121234400</v>
      </c>
    </row>
    <row r="4430" spans="1:6" ht="15" thickBot="1" x14ac:dyDescent="0.2">
      <c r="A4430" s="30" t="s">
        <v>13543</v>
      </c>
      <c r="B4430" s="26" t="str">
        <f t="shared" si="69"/>
        <v>002778</v>
      </c>
      <c r="C4430" s="30" t="s">
        <v>8187</v>
      </c>
      <c r="D4430" s="31">
        <v>9.08</v>
      </c>
      <c r="E4430" s="31">
        <v>-2.4700000000000002</v>
      </c>
      <c r="F4430" s="31">
        <v>1120756110</v>
      </c>
    </row>
    <row r="4431" spans="1:6" ht="15" thickBot="1" x14ac:dyDescent="0.2">
      <c r="A4431" s="30" t="s">
        <v>13544</v>
      </c>
      <c r="B4431" s="26" t="str">
        <f t="shared" si="69"/>
        <v>603716</v>
      </c>
      <c r="C4431" s="30" t="s">
        <v>8193</v>
      </c>
      <c r="D4431" s="31">
        <v>5.56</v>
      </c>
      <c r="E4431" s="31">
        <v>-3.97</v>
      </c>
      <c r="F4431" s="31">
        <v>1119448790</v>
      </c>
    </row>
    <row r="4432" spans="1:6" ht="15" thickBot="1" x14ac:dyDescent="0.2">
      <c r="A4432" s="30" t="s">
        <v>13545</v>
      </c>
      <c r="B4432" s="26" t="str">
        <f t="shared" si="69"/>
        <v>000679</v>
      </c>
      <c r="C4432" s="30" t="s">
        <v>8255</v>
      </c>
      <c r="D4432" s="31">
        <v>3.14</v>
      </c>
      <c r="E4432" s="31">
        <v>3.97</v>
      </c>
      <c r="F4432" s="31">
        <v>1119096000</v>
      </c>
    </row>
    <row r="4433" spans="1:6" ht="15" thickBot="1" x14ac:dyDescent="0.2">
      <c r="A4433" s="30" t="s">
        <v>13546</v>
      </c>
      <c r="B4433" s="26" t="str">
        <f t="shared" si="69"/>
        <v>000637</v>
      </c>
      <c r="C4433" s="30" t="s">
        <v>7703</v>
      </c>
      <c r="D4433" s="31">
        <v>3.04</v>
      </c>
      <c r="E4433" s="31">
        <v>-0.98</v>
      </c>
      <c r="F4433" s="31">
        <v>1118763340</v>
      </c>
    </row>
    <row r="4434" spans="1:6" ht="15" thickBot="1" x14ac:dyDescent="0.2">
      <c r="A4434" s="30" t="s">
        <v>13547</v>
      </c>
      <c r="B4434" s="26" t="str">
        <f t="shared" si="69"/>
        <v>301369</v>
      </c>
      <c r="C4434" s="30" t="s">
        <v>13548</v>
      </c>
      <c r="D4434" s="31">
        <v>46</v>
      </c>
      <c r="E4434" s="31">
        <v>3.35</v>
      </c>
      <c r="F4434" s="31">
        <v>1116087330</v>
      </c>
    </row>
    <row r="4435" spans="1:6" ht="15" thickBot="1" x14ac:dyDescent="0.2">
      <c r="A4435" s="30" t="s">
        <v>13549</v>
      </c>
      <c r="B4435" s="26" t="str">
        <f t="shared" si="69"/>
        <v>002883</v>
      </c>
      <c r="C4435" s="30" t="s">
        <v>8061</v>
      </c>
      <c r="D4435" s="31">
        <v>8.19</v>
      </c>
      <c r="E4435" s="31">
        <v>-2.73</v>
      </c>
      <c r="F4435" s="31">
        <v>1115963020</v>
      </c>
    </row>
    <row r="4436" spans="1:6" ht="15" thickBot="1" x14ac:dyDescent="0.2">
      <c r="A4436" s="30" t="s">
        <v>13550</v>
      </c>
      <c r="B4436" s="26" t="str">
        <f t="shared" si="69"/>
        <v>002760</v>
      </c>
      <c r="C4436" s="30" t="s">
        <v>7915</v>
      </c>
      <c r="D4436" s="31">
        <v>12.67</v>
      </c>
      <c r="E4436" s="31">
        <v>-3.36</v>
      </c>
      <c r="F4436" s="31">
        <v>1114718380</v>
      </c>
    </row>
    <row r="4437" spans="1:6" ht="15" thickBot="1" x14ac:dyDescent="0.2">
      <c r="A4437" s="30" t="s">
        <v>13551</v>
      </c>
      <c r="B4437" s="26" t="str">
        <f t="shared" si="69"/>
        <v>688051</v>
      </c>
      <c r="C4437" s="30" t="s">
        <v>8183</v>
      </c>
      <c r="D4437" s="31">
        <v>14.41</v>
      </c>
      <c r="E4437" s="31">
        <v>-3.09</v>
      </c>
      <c r="F4437" s="31">
        <v>1114382940</v>
      </c>
    </row>
    <row r="4438" spans="1:6" ht="15" thickBot="1" x14ac:dyDescent="0.2">
      <c r="A4438" s="30" t="s">
        <v>13552</v>
      </c>
      <c r="B4438" s="26" t="str">
        <f t="shared" si="69"/>
        <v>837821</v>
      </c>
      <c r="C4438" s="30" t="s">
        <v>13553</v>
      </c>
      <c r="D4438" s="31">
        <v>21.89</v>
      </c>
      <c r="E4438" s="31">
        <v>-5.97</v>
      </c>
      <c r="F4438" s="31">
        <v>1113718240</v>
      </c>
    </row>
    <row r="4439" spans="1:6" ht="15" thickBot="1" x14ac:dyDescent="0.2">
      <c r="A4439" s="30" t="s">
        <v>13554</v>
      </c>
      <c r="B4439" s="26" t="str">
        <f t="shared" si="69"/>
        <v>000638</v>
      </c>
      <c r="C4439" s="30" t="s">
        <v>8201</v>
      </c>
      <c r="D4439" s="31">
        <v>3.59</v>
      </c>
      <c r="E4439" s="31">
        <v>-1.91</v>
      </c>
      <c r="F4439" s="31">
        <v>1113422710</v>
      </c>
    </row>
    <row r="4440" spans="1:6" ht="15" thickBot="1" x14ac:dyDescent="0.2">
      <c r="A4440" s="30" t="s">
        <v>13555</v>
      </c>
      <c r="B4440" s="26" t="str">
        <f t="shared" si="69"/>
        <v>688184</v>
      </c>
      <c r="C4440" s="30" t="s">
        <v>13556</v>
      </c>
      <c r="D4440" s="31">
        <v>10.99</v>
      </c>
      <c r="E4440" s="31">
        <v>-1.35</v>
      </c>
      <c r="F4440" s="31">
        <v>1113353560</v>
      </c>
    </row>
    <row r="4441" spans="1:6" ht="15" thickBot="1" x14ac:dyDescent="0.2">
      <c r="A4441" s="30" t="s">
        <v>13557</v>
      </c>
      <c r="B4441" s="26" t="str">
        <f t="shared" si="69"/>
        <v>600493</v>
      </c>
      <c r="C4441" s="30" t="s">
        <v>8191</v>
      </c>
      <c r="D4441" s="31">
        <v>4.09</v>
      </c>
      <c r="E4441" s="31">
        <v>-2.39</v>
      </c>
      <c r="F4441" s="31">
        <v>1112480000</v>
      </c>
    </row>
    <row r="4442" spans="1:6" ht="15" thickBot="1" x14ac:dyDescent="0.2">
      <c r="A4442" s="30" t="s">
        <v>13558</v>
      </c>
      <c r="B4442" s="26" t="str">
        <f t="shared" si="69"/>
        <v>002789</v>
      </c>
      <c r="C4442" s="30" t="s">
        <v>7937</v>
      </c>
      <c r="D4442" s="31">
        <v>8.4600000000000009</v>
      </c>
      <c r="E4442" s="31">
        <v>-1.86</v>
      </c>
      <c r="F4442" s="31">
        <v>1112318990</v>
      </c>
    </row>
    <row r="4443" spans="1:6" ht="15" thickBot="1" x14ac:dyDescent="0.2">
      <c r="A4443" s="30" t="s">
        <v>13559</v>
      </c>
      <c r="B4443" s="26" t="str">
        <f t="shared" si="69"/>
        <v>301298</v>
      </c>
      <c r="C4443" s="30" t="s">
        <v>13560</v>
      </c>
      <c r="D4443" s="31">
        <v>11.54</v>
      </c>
      <c r="E4443" s="31">
        <v>-1.28</v>
      </c>
      <c r="F4443" s="31">
        <v>1111407880</v>
      </c>
    </row>
    <row r="4444" spans="1:6" ht="15" thickBot="1" x14ac:dyDescent="0.2">
      <c r="A4444" s="30" t="s">
        <v>13561</v>
      </c>
      <c r="B4444" s="26" t="str">
        <f t="shared" si="69"/>
        <v>002397</v>
      </c>
      <c r="C4444" s="30" t="s">
        <v>7903</v>
      </c>
      <c r="D4444" s="31">
        <v>1.89</v>
      </c>
      <c r="E4444" s="31">
        <v>-1.56</v>
      </c>
      <c r="F4444" s="31">
        <v>1111040660</v>
      </c>
    </row>
    <row r="4445" spans="1:6" ht="15" thickBot="1" x14ac:dyDescent="0.2">
      <c r="A4445" s="30" t="s">
        <v>13562</v>
      </c>
      <c r="B4445" s="26" t="str">
        <f t="shared" si="69"/>
        <v>300588</v>
      </c>
      <c r="C4445" s="30" t="s">
        <v>7713</v>
      </c>
      <c r="D4445" s="31">
        <v>8.31</v>
      </c>
      <c r="E4445" s="31">
        <v>-2.2400000000000002</v>
      </c>
      <c r="F4445" s="31">
        <v>1110882090</v>
      </c>
    </row>
    <row r="4446" spans="1:6" ht="15" thickBot="1" x14ac:dyDescent="0.2">
      <c r="A4446" s="30" t="s">
        <v>13563</v>
      </c>
      <c r="B4446" s="26" t="str">
        <f t="shared" si="69"/>
        <v>605169</v>
      </c>
      <c r="C4446" s="30" t="s">
        <v>6438</v>
      </c>
      <c r="D4446" s="31">
        <v>8.3699999999999992</v>
      </c>
      <c r="E4446" s="31">
        <v>-1.53</v>
      </c>
      <c r="F4446" s="31">
        <v>1108024310</v>
      </c>
    </row>
    <row r="4447" spans="1:6" ht="15" thickBot="1" x14ac:dyDescent="0.2">
      <c r="A4447" s="30" t="s">
        <v>13564</v>
      </c>
      <c r="B4447" s="26" t="str">
        <f t="shared" si="69"/>
        <v>688655</v>
      </c>
      <c r="C4447" s="30" t="s">
        <v>8197</v>
      </c>
      <c r="D4447" s="31">
        <v>8.3000000000000007</v>
      </c>
      <c r="E4447" s="31">
        <v>-1.89</v>
      </c>
      <c r="F4447" s="31">
        <v>1107137000</v>
      </c>
    </row>
    <row r="4448" spans="1:6" ht="15" thickBot="1" x14ac:dyDescent="0.2">
      <c r="A4448" s="30" t="s">
        <v>13565</v>
      </c>
      <c r="B4448" s="26" t="str">
        <f t="shared" si="69"/>
        <v>688328</v>
      </c>
      <c r="C4448" s="30" t="s">
        <v>8195</v>
      </c>
      <c r="D4448" s="31">
        <v>11.7</v>
      </c>
      <c r="E4448" s="31">
        <v>-1.1000000000000001</v>
      </c>
      <c r="F4448" s="31">
        <v>1105138650</v>
      </c>
    </row>
    <row r="4449" spans="1:6" ht="15" thickBot="1" x14ac:dyDescent="0.2">
      <c r="A4449" s="30" t="s">
        <v>13566</v>
      </c>
      <c r="B4449" s="26" t="str">
        <f t="shared" si="69"/>
        <v>688395</v>
      </c>
      <c r="C4449" s="30" t="s">
        <v>8211</v>
      </c>
      <c r="D4449" s="31">
        <v>12.83</v>
      </c>
      <c r="E4449" s="31">
        <v>-2.06</v>
      </c>
      <c r="F4449" s="31">
        <v>1103380000</v>
      </c>
    </row>
    <row r="4450" spans="1:6" ht="15" thickBot="1" x14ac:dyDescent="0.2">
      <c r="A4450" s="30" t="s">
        <v>13567</v>
      </c>
      <c r="B4450" s="26" t="str">
        <f t="shared" si="69"/>
        <v>600319</v>
      </c>
      <c r="C4450" s="30" t="s">
        <v>8035</v>
      </c>
      <c r="D4450" s="31">
        <v>3.49</v>
      </c>
      <c r="E4450" s="31">
        <v>0.57999999999999996</v>
      </c>
      <c r="F4450" s="31">
        <v>1101423060</v>
      </c>
    </row>
    <row r="4451" spans="1:6" ht="15" thickBot="1" x14ac:dyDescent="0.2">
      <c r="A4451" s="30" t="s">
        <v>13568</v>
      </c>
      <c r="B4451" s="26" t="str">
        <f t="shared" si="69"/>
        <v>002058</v>
      </c>
      <c r="C4451" s="30" t="s">
        <v>8221</v>
      </c>
      <c r="D4451" s="31">
        <v>7.69</v>
      </c>
      <c r="E4451" s="31">
        <v>2.13</v>
      </c>
      <c r="F4451" s="31">
        <v>1100575740</v>
      </c>
    </row>
    <row r="4452" spans="1:6" ht="15" thickBot="1" x14ac:dyDescent="0.2">
      <c r="A4452" s="30" t="s">
        <v>13569</v>
      </c>
      <c r="B4452" s="26" t="str">
        <f t="shared" si="69"/>
        <v>002072</v>
      </c>
      <c r="C4452" s="30" t="s">
        <v>7569</v>
      </c>
      <c r="D4452" s="31">
        <v>4.29</v>
      </c>
      <c r="E4452" s="31">
        <v>-2.5</v>
      </c>
      <c r="F4452" s="31">
        <v>1100201390</v>
      </c>
    </row>
    <row r="4453" spans="1:6" ht="15" thickBot="1" x14ac:dyDescent="0.2">
      <c r="A4453" s="30" t="s">
        <v>13570</v>
      </c>
      <c r="B4453" s="26" t="str">
        <f t="shared" si="69"/>
        <v>300967</v>
      </c>
      <c r="C4453" s="30" t="s">
        <v>7477</v>
      </c>
      <c r="D4453" s="31">
        <v>8.8000000000000007</v>
      </c>
      <c r="E4453" s="31">
        <v>-2.0099999999999998</v>
      </c>
      <c r="F4453" s="31">
        <v>1098460010</v>
      </c>
    </row>
    <row r="4454" spans="1:6" ht="15" thickBot="1" x14ac:dyDescent="0.2">
      <c r="A4454" s="30" t="s">
        <v>13571</v>
      </c>
      <c r="B4454" s="26" t="str">
        <f t="shared" si="69"/>
        <v>600847</v>
      </c>
      <c r="C4454" s="30" t="s">
        <v>8079</v>
      </c>
      <c r="D4454" s="31">
        <v>7.16</v>
      </c>
      <c r="E4454" s="31">
        <v>-5.79</v>
      </c>
      <c r="F4454" s="31">
        <v>1097537780</v>
      </c>
    </row>
    <row r="4455" spans="1:6" ht="15" thickBot="1" x14ac:dyDescent="0.2">
      <c r="A4455" s="30" t="s">
        <v>13572</v>
      </c>
      <c r="B4455" s="26" t="str">
        <f t="shared" si="69"/>
        <v>301128</v>
      </c>
      <c r="C4455" s="30" t="s">
        <v>13573</v>
      </c>
      <c r="D4455" s="31">
        <v>40.25</v>
      </c>
      <c r="E4455" s="31">
        <v>0.65</v>
      </c>
      <c r="F4455" s="31">
        <v>1097084150</v>
      </c>
    </row>
    <row r="4456" spans="1:6" ht="15" thickBot="1" x14ac:dyDescent="0.2">
      <c r="A4456" s="30" t="s">
        <v>13574</v>
      </c>
      <c r="B4456" s="26" t="str">
        <f t="shared" si="69"/>
        <v>301136</v>
      </c>
      <c r="C4456" s="30" t="s">
        <v>13575</v>
      </c>
      <c r="D4456" s="31">
        <v>10.55</v>
      </c>
      <c r="E4456" s="31">
        <v>-0.94</v>
      </c>
      <c r="F4456" s="31">
        <v>1096037600</v>
      </c>
    </row>
    <row r="4457" spans="1:6" ht="15" thickBot="1" x14ac:dyDescent="0.2">
      <c r="A4457" s="30" t="s">
        <v>13576</v>
      </c>
      <c r="B4457" s="26" t="str">
        <f t="shared" si="69"/>
        <v>300508</v>
      </c>
      <c r="C4457" s="30" t="s">
        <v>6835</v>
      </c>
      <c r="D4457" s="31">
        <v>19.14</v>
      </c>
      <c r="E4457" s="31">
        <v>-0.26</v>
      </c>
      <c r="F4457" s="31">
        <v>1095329490</v>
      </c>
    </row>
    <row r="4458" spans="1:6" ht="15" thickBot="1" x14ac:dyDescent="0.2">
      <c r="A4458" s="30" t="s">
        <v>13577</v>
      </c>
      <c r="B4458" s="26" t="str">
        <f t="shared" si="69"/>
        <v>600137</v>
      </c>
      <c r="C4458" s="30" t="s">
        <v>8217</v>
      </c>
      <c r="D4458" s="31">
        <v>11.26</v>
      </c>
      <c r="E4458" s="31">
        <v>-1.32</v>
      </c>
      <c r="F4458" s="31">
        <v>1094670040</v>
      </c>
    </row>
    <row r="4459" spans="1:6" ht="15" thickBot="1" x14ac:dyDescent="0.2">
      <c r="A4459" s="30" t="s">
        <v>13578</v>
      </c>
      <c r="B4459" s="26" t="str">
        <f t="shared" si="69"/>
        <v>300971</v>
      </c>
      <c r="C4459" s="30" t="s">
        <v>13579</v>
      </c>
      <c r="D4459" s="31">
        <v>16.63</v>
      </c>
      <c r="E4459" s="31">
        <v>-0.89</v>
      </c>
      <c r="F4459" s="31">
        <v>1093562820</v>
      </c>
    </row>
    <row r="4460" spans="1:6" ht="15" thickBot="1" x14ac:dyDescent="0.2">
      <c r="A4460" s="30" t="s">
        <v>13580</v>
      </c>
      <c r="B4460" s="26" t="str">
        <f t="shared" si="69"/>
        <v>688335</v>
      </c>
      <c r="C4460" s="30" t="s">
        <v>8205</v>
      </c>
      <c r="D4460" s="31">
        <v>7.37</v>
      </c>
      <c r="E4460" s="31">
        <v>-2.5099999999999998</v>
      </c>
      <c r="F4460" s="31">
        <v>1091014940</v>
      </c>
    </row>
    <row r="4461" spans="1:6" ht="15" thickBot="1" x14ac:dyDescent="0.2">
      <c r="A4461" s="30" t="s">
        <v>13581</v>
      </c>
      <c r="B4461" s="26" t="str">
        <f t="shared" si="69"/>
        <v>301397</v>
      </c>
      <c r="C4461" s="30" t="s">
        <v>13582</v>
      </c>
      <c r="D4461" s="31">
        <v>20.010000000000002</v>
      </c>
      <c r="E4461" s="31">
        <v>-0.84</v>
      </c>
      <c r="F4461" s="31">
        <v>1089709900</v>
      </c>
    </row>
    <row r="4462" spans="1:6" ht="15" thickBot="1" x14ac:dyDescent="0.2">
      <c r="A4462" s="30" t="s">
        <v>13583</v>
      </c>
      <c r="B4462" s="26" t="str">
        <f t="shared" si="69"/>
        <v>301117</v>
      </c>
      <c r="C4462" s="30" t="s">
        <v>13584</v>
      </c>
      <c r="D4462" s="31">
        <v>23.7</v>
      </c>
      <c r="E4462" s="31">
        <v>-0.21</v>
      </c>
      <c r="F4462" s="31">
        <v>1085899490</v>
      </c>
    </row>
    <row r="4463" spans="1:6" ht="15" thickBot="1" x14ac:dyDescent="0.2">
      <c r="A4463" s="30" t="s">
        <v>13585</v>
      </c>
      <c r="B4463" s="26" t="str">
        <f t="shared" si="69"/>
        <v>688528</v>
      </c>
      <c r="C4463" s="30" t="s">
        <v>8249</v>
      </c>
      <c r="D4463" s="31">
        <v>6.46</v>
      </c>
      <c r="E4463" s="31">
        <v>-0.77</v>
      </c>
      <c r="F4463" s="31">
        <v>1085280000</v>
      </c>
    </row>
    <row r="4464" spans="1:6" ht="15" thickBot="1" x14ac:dyDescent="0.2">
      <c r="A4464" s="30" t="s">
        <v>13586</v>
      </c>
      <c r="B4464" s="26" t="str">
        <f t="shared" si="69"/>
        <v>603903</v>
      </c>
      <c r="C4464" s="30" t="s">
        <v>7941</v>
      </c>
      <c r="D4464" s="31">
        <v>5.36</v>
      </c>
      <c r="E4464" s="31">
        <v>-1.47</v>
      </c>
      <c r="F4464" s="31">
        <v>1084348110</v>
      </c>
    </row>
    <row r="4465" spans="1:6" ht="15" thickBot="1" x14ac:dyDescent="0.2">
      <c r="A4465" s="30" t="s">
        <v>13587</v>
      </c>
      <c r="B4465" s="26" t="str">
        <f t="shared" si="69"/>
        <v>301006</v>
      </c>
      <c r="C4465" s="30" t="s">
        <v>13588</v>
      </c>
      <c r="D4465" s="31">
        <v>12.59</v>
      </c>
      <c r="E4465" s="31">
        <v>-1.26</v>
      </c>
      <c r="F4465" s="31">
        <v>1083824000</v>
      </c>
    </row>
    <row r="4466" spans="1:6" ht="15" thickBot="1" x14ac:dyDescent="0.2">
      <c r="A4466" s="30" t="s">
        <v>13589</v>
      </c>
      <c r="B4466" s="26" t="str">
        <f t="shared" si="69"/>
        <v>688334</v>
      </c>
      <c r="C4466" s="30" t="s">
        <v>13590</v>
      </c>
      <c r="D4466" s="31">
        <v>14.26</v>
      </c>
      <c r="E4466" s="31">
        <v>0.42</v>
      </c>
      <c r="F4466" s="31">
        <v>1083461570</v>
      </c>
    </row>
    <row r="4467" spans="1:6" ht="15" thickBot="1" x14ac:dyDescent="0.2">
      <c r="A4467" s="30" t="s">
        <v>13591</v>
      </c>
      <c r="B4467" s="26" t="str">
        <f t="shared" si="69"/>
        <v>301086</v>
      </c>
      <c r="C4467" s="30" t="s">
        <v>13592</v>
      </c>
      <c r="D4467" s="31">
        <v>33.270000000000003</v>
      </c>
      <c r="E4467" s="31">
        <v>-4.3099999999999996</v>
      </c>
      <c r="F4467" s="31">
        <v>1081166870</v>
      </c>
    </row>
    <row r="4468" spans="1:6" ht="15" thickBot="1" x14ac:dyDescent="0.2">
      <c r="A4468" s="30" t="s">
        <v>13593</v>
      </c>
      <c r="B4468" s="26" t="str">
        <f t="shared" si="69"/>
        <v>301377</v>
      </c>
      <c r="C4468" s="30" t="s">
        <v>13594</v>
      </c>
      <c r="D4468" s="31">
        <v>15.21</v>
      </c>
      <c r="E4468" s="31">
        <v>-0.33</v>
      </c>
      <c r="F4468" s="31">
        <v>1080275040</v>
      </c>
    </row>
    <row r="4469" spans="1:6" ht="15" thickBot="1" x14ac:dyDescent="0.2">
      <c r="A4469" s="30" t="s">
        <v>13595</v>
      </c>
      <c r="B4469" s="26" t="str">
        <f t="shared" si="69"/>
        <v>301208</v>
      </c>
      <c r="C4469" s="30" t="s">
        <v>13596</v>
      </c>
      <c r="D4469" s="31">
        <v>24.87</v>
      </c>
      <c r="E4469" s="31">
        <v>-1.07</v>
      </c>
      <c r="F4469" s="31">
        <v>1078712870</v>
      </c>
    </row>
    <row r="4470" spans="1:6" ht="15" thickBot="1" x14ac:dyDescent="0.2">
      <c r="A4470" s="30" t="s">
        <v>13597</v>
      </c>
      <c r="B4470" s="26" t="str">
        <f t="shared" si="69"/>
        <v>688182</v>
      </c>
      <c r="C4470" s="30" t="s">
        <v>13598</v>
      </c>
      <c r="D4470" s="31">
        <v>10.78</v>
      </c>
      <c r="E4470" s="31">
        <v>-3.32</v>
      </c>
      <c r="F4470" s="31">
        <v>1078000000</v>
      </c>
    </row>
    <row r="4471" spans="1:6" ht="15" thickBot="1" x14ac:dyDescent="0.2">
      <c r="A4471" s="30" t="s">
        <v>13599</v>
      </c>
      <c r="B4471" s="26" t="str">
        <f t="shared" si="69"/>
        <v>001379</v>
      </c>
      <c r="C4471" s="30" t="s">
        <v>13600</v>
      </c>
      <c r="D4471" s="31">
        <v>21.55</v>
      </c>
      <c r="E4471" s="31">
        <v>-1.24</v>
      </c>
      <c r="F4471" s="31">
        <v>1077500000</v>
      </c>
    </row>
    <row r="4472" spans="1:6" ht="15" thickBot="1" x14ac:dyDescent="0.2">
      <c r="A4472" s="30" t="s">
        <v>13601</v>
      </c>
      <c r="B4472" s="26" t="str">
        <f t="shared" si="69"/>
        <v>688118</v>
      </c>
      <c r="C4472" s="30" t="s">
        <v>8215</v>
      </c>
      <c r="D4472" s="31">
        <v>11.42</v>
      </c>
      <c r="E4472" s="31">
        <v>-2.89</v>
      </c>
      <c r="F4472" s="31">
        <v>1073137850</v>
      </c>
    </row>
    <row r="4473" spans="1:6" ht="15" thickBot="1" x14ac:dyDescent="0.2">
      <c r="A4473" s="30" t="s">
        <v>13602</v>
      </c>
      <c r="B4473" s="26" t="str">
        <f t="shared" si="69"/>
        <v>301220</v>
      </c>
      <c r="C4473" s="30" t="s">
        <v>13603</v>
      </c>
      <c r="D4473" s="31">
        <v>22.76</v>
      </c>
      <c r="E4473" s="31">
        <v>-3.31</v>
      </c>
      <c r="F4473" s="31">
        <v>1072223580</v>
      </c>
    </row>
    <row r="4474" spans="1:6" ht="15" thickBot="1" x14ac:dyDescent="0.2">
      <c r="A4474" s="30" t="s">
        <v>13604</v>
      </c>
      <c r="B4474" s="26" t="str">
        <f t="shared" si="69"/>
        <v>301099</v>
      </c>
      <c r="C4474" s="30" t="s">
        <v>13605</v>
      </c>
      <c r="D4474" s="31">
        <v>28.6</v>
      </c>
      <c r="E4474" s="31">
        <v>-1.04</v>
      </c>
      <c r="F4474" s="31">
        <v>1071462420</v>
      </c>
    </row>
    <row r="4475" spans="1:6" ht="15" thickBot="1" x14ac:dyDescent="0.2">
      <c r="A4475" s="30" t="s">
        <v>13606</v>
      </c>
      <c r="B4475" s="26" t="str">
        <f t="shared" si="69"/>
        <v>300989</v>
      </c>
      <c r="C4475" s="30" t="s">
        <v>13607</v>
      </c>
      <c r="D4475" s="31">
        <v>11.18</v>
      </c>
      <c r="E4475" s="31">
        <v>-2.27</v>
      </c>
      <c r="F4475" s="31">
        <v>1071225520</v>
      </c>
    </row>
    <row r="4476" spans="1:6" ht="15" thickBot="1" x14ac:dyDescent="0.2">
      <c r="A4476" s="30" t="s">
        <v>13608</v>
      </c>
      <c r="B4476" s="26" t="str">
        <f t="shared" si="69"/>
        <v>688509</v>
      </c>
      <c r="C4476" s="30" t="s">
        <v>6833</v>
      </c>
      <c r="D4476" s="31">
        <v>2.78</v>
      </c>
      <c r="E4476" s="31">
        <v>-2.46</v>
      </c>
      <c r="F4476" s="31">
        <v>1069722320</v>
      </c>
    </row>
    <row r="4477" spans="1:6" ht="15" thickBot="1" x14ac:dyDescent="0.2">
      <c r="A4477" s="30" t="s">
        <v>13609</v>
      </c>
      <c r="B4477" s="26" t="str">
        <f t="shared" si="69"/>
        <v>300969</v>
      </c>
      <c r="C4477" s="30" t="s">
        <v>13610</v>
      </c>
      <c r="D4477" s="31">
        <v>50.13</v>
      </c>
      <c r="E4477" s="31">
        <v>1.68</v>
      </c>
      <c r="F4477" s="31">
        <v>1068681770</v>
      </c>
    </row>
    <row r="4478" spans="1:6" ht="15" thickBot="1" x14ac:dyDescent="0.2">
      <c r="A4478" s="30" t="s">
        <v>13611</v>
      </c>
      <c r="B4478" s="26" t="str">
        <f t="shared" si="69"/>
        <v>300851</v>
      </c>
      <c r="C4478" s="30" t="s">
        <v>6823</v>
      </c>
      <c r="D4478" s="31">
        <v>24.39</v>
      </c>
      <c r="E4478" s="31">
        <v>0.25</v>
      </c>
      <c r="F4478" s="31">
        <v>1067931250</v>
      </c>
    </row>
    <row r="4479" spans="1:6" ht="15" thickBot="1" x14ac:dyDescent="0.2">
      <c r="A4479" s="30" t="s">
        <v>13612</v>
      </c>
      <c r="B4479" s="26" t="str">
        <f t="shared" si="69"/>
        <v>301360</v>
      </c>
      <c r="C4479" s="30" t="s">
        <v>13613</v>
      </c>
      <c r="D4479" s="31">
        <v>43.13</v>
      </c>
      <c r="E4479" s="31">
        <v>1.99</v>
      </c>
      <c r="F4479" s="31">
        <v>1064448400</v>
      </c>
    </row>
    <row r="4480" spans="1:6" ht="15" thickBot="1" x14ac:dyDescent="0.2">
      <c r="A4480" s="30" t="s">
        <v>13614</v>
      </c>
      <c r="B4480" s="26" t="str">
        <f t="shared" si="69"/>
        <v>300897</v>
      </c>
      <c r="C4480" s="30" t="s">
        <v>7415</v>
      </c>
      <c r="D4480" s="31">
        <v>16.91</v>
      </c>
      <c r="E4480" s="31">
        <v>-0.82</v>
      </c>
      <c r="F4480" s="31">
        <v>1064353110</v>
      </c>
    </row>
    <row r="4481" spans="1:6" ht="15" thickBot="1" x14ac:dyDescent="0.2">
      <c r="A4481" s="30" t="s">
        <v>13615</v>
      </c>
      <c r="B4481" s="26" t="str">
        <f t="shared" si="69"/>
        <v>603729</v>
      </c>
      <c r="C4481" s="30" t="s">
        <v>8225</v>
      </c>
      <c r="D4481" s="31">
        <v>11.4</v>
      </c>
      <c r="E4481" s="31">
        <v>-1.55</v>
      </c>
      <c r="F4481" s="31">
        <v>1064053200</v>
      </c>
    </row>
    <row r="4482" spans="1:6" ht="15" thickBot="1" x14ac:dyDescent="0.2">
      <c r="A4482" s="30" t="s">
        <v>13616</v>
      </c>
      <c r="B4482" s="26" t="str">
        <f t="shared" si="69"/>
        <v>301045</v>
      </c>
      <c r="C4482" s="30" t="s">
        <v>7375</v>
      </c>
      <c r="D4482" s="31">
        <v>15.64</v>
      </c>
      <c r="E4482" s="31">
        <v>-1.08</v>
      </c>
      <c r="F4482" s="31">
        <v>1062347440</v>
      </c>
    </row>
    <row r="4483" spans="1:6" ht="15" thickBot="1" x14ac:dyDescent="0.2">
      <c r="A4483" s="30" t="s">
        <v>13617</v>
      </c>
      <c r="B4483" s="26" t="str">
        <f t="shared" ref="B4483:B4546" si="70">LEFT(A4483,6)</f>
        <v>688247</v>
      </c>
      <c r="C4483" s="30" t="s">
        <v>13618</v>
      </c>
      <c r="D4483" s="31">
        <v>7.45</v>
      </c>
      <c r="E4483" s="31">
        <v>-1.72</v>
      </c>
      <c r="F4483" s="31">
        <v>1060295920</v>
      </c>
    </row>
    <row r="4484" spans="1:6" ht="15" thickBot="1" x14ac:dyDescent="0.2">
      <c r="A4484" s="30" t="s">
        <v>13619</v>
      </c>
      <c r="B4484" s="26" t="str">
        <f t="shared" si="70"/>
        <v>688619</v>
      </c>
      <c r="C4484" s="30" t="s">
        <v>8243</v>
      </c>
      <c r="D4484" s="31">
        <v>5.65</v>
      </c>
      <c r="E4484" s="31">
        <v>-1.74</v>
      </c>
      <c r="F4484" s="31">
        <v>1060196930</v>
      </c>
    </row>
    <row r="4485" spans="1:6" ht="15" thickBot="1" x14ac:dyDescent="0.2">
      <c r="A4485" s="30" t="s">
        <v>13620</v>
      </c>
      <c r="B4485" s="26" t="str">
        <f t="shared" si="70"/>
        <v>603052</v>
      </c>
      <c r="C4485" s="30" t="s">
        <v>13621</v>
      </c>
      <c r="D4485" s="31">
        <v>25.82</v>
      </c>
      <c r="E4485" s="31">
        <v>-0.16</v>
      </c>
      <c r="F4485" s="31">
        <v>1057690480</v>
      </c>
    </row>
    <row r="4486" spans="1:6" ht="15" thickBot="1" x14ac:dyDescent="0.2">
      <c r="A4486" s="30" t="s">
        <v>13622</v>
      </c>
      <c r="B4486" s="26" t="str">
        <f t="shared" si="70"/>
        <v>301076</v>
      </c>
      <c r="C4486" s="30" t="s">
        <v>13623</v>
      </c>
      <c r="D4486" s="31">
        <v>15.25</v>
      </c>
      <c r="E4486" s="31">
        <v>-0.65</v>
      </c>
      <c r="F4486" s="31">
        <v>1057252380</v>
      </c>
    </row>
    <row r="4487" spans="1:6" ht="15" thickBot="1" x14ac:dyDescent="0.2">
      <c r="A4487" s="30" t="s">
        <v>13624</v>
      </c>
      <c r="B4487" s="26" t="str">
        <f t="shared" si="70"/>
        <v>301196</v>
      </c>
      <c r="C4487" s="30" t="s">
        <v>13625</v>
      </c>
      <c r="D4487" s="31">
        <v>28.3</v>
      </c>
      <c r="E4487" s="31">
        <v>-0.39</v>
      </c>
      <c r="F4487" s="31">
        <v>1056079250</v>
      </c>
    </row>
    <row r="4488" spans="1:6" ht="15" thickBot="1" x14ac:dyDescent="0.2">
      <c r="A4488" s="30" t="s">
        <v>13626</v>
      </c>
      <c r="B4488" s="26" t="str">
        <f t="shared" si="70"/>
        <v>300950</v>
      </c>
      <c r="C4488" s="30" t="s">
        <v>13627</v>
      </c>
      <c r="D4488" s="31">
        <v>11.76</v>
      </c>
      <c r="E4488" s="31">
        <v>-0.76</v>
      </c>
      <c r="F4488" s="31">
        <v>1055224800</v>
      </c>
    </row>
    <row r="4489" spans="1:6" ht="15" thickBot="1" x14ac:dyDescent="0.2">
      <c r="A4489" s="30" t="s">
        <v>13628</v>
      </c>
      <c r="B4489" s="26" t="str">
        <f t="shared" si="70"/>
        <v>002633</v>
      </c>
      <c r="C4489" s="30" t="s">
        <v>8231</v>
      </c>
      <c r="D4489" s="31">
        <v>7.05</v>
      </c>
      <c r="E4489" s="31">
        <v>-4.08</v>
      </c>
      <c r="F4489" s="31">
        <v>1052503310</v>
      </c>
    </row>
    <row r="4490" spans="1:6" ht="15" thickBot="1" x14ac:dyDescent="0.2">
      <c r="A4490" s="30" t="s">
        <v>13629</v>
      </c>
      <c r="B4490" s="26" t="str">
        <f t="shared" si="70"/>
        <v>600455</v>
      </c>
      <c r="C4490" s="30" t="s">
        <v>8287</v>
      </c>
      <c r="D4490" s="31">
        <v>16.850000000000001</v>
      </c>
      <c r="E4490" s="31">
        <v>3.25</v>
      </c>
      <c r="F4490" s="31">
        <v>1052417300</v>
      </c>
    </row>
    <row r="4491" spans="1:6" ht="15" thickBot="1" x14ac:dyDescent="0.2">
      <c r="A4491" s="30" t="s">
        <v>13630</v>
      </c>
      <c r="B4491" s="26" t="str">
        <f t="shared" si="70"/>
        <v>300371</v>
      </c>
      <c r="C4491" s="30" t="s">
        <v>7657</v>
      </c>
      <c r="D4491" s="31">
        <v>7.75</v>
      </c>
      <c r="E4491" s="31">
        <v>-1.65</v>
      </c>
      <c r="F4491" s="31">
        <v>1052228520</v>
      </c>
    </row>
    <row r="4492" spans="1:6" ht="15" thickBot="1" x14ac:dyDescent="0.2">
      <c r="A4492" s="30" t="s">
        <v>13631</v>
      </c>
      <c r="B4492" s="26" t="str">
        <f t="shared" si="70"/>
        <v>301456</v>
      </c>
      <c r="C4492" s="30" t="s">
        <v>13632</v>
      </c>
      <c r="D4492" s="31">
        <v>18.600000000000001</v>
      </c>
      <c r="E4492" s="31">
        <v>-0.85</v>
      </c>
      <c r="F4492" s="31">
        <v>1050999380</v>
      </c>
    </row>
    <row r="4493" spans="1:6" ht="15" thickBot="1" x14ac:dyDescent="0.2">
      <c r="A4493" s="30" t="s">
        <v>13633</v>
      </c>
      <c r="B4493" s="26" t="str">
        <f t="shared" si="70"/>
        <v>301303</v>
      </c>
      <c r="C4493" s="30" t="s">
        <v>13634</v>
      </c>
      <c r="D4493" s="31">
        <v>10.28</v>
      </c>
      <c r="E4493" s="31">
        <v>-0.57999999999999996</v>
      </c>
      <c r="F4493" s="31">
        <v>1050616000</v>
      </c>
    </row>
    <row r="4494" spans="1:6" ht="15" thickBot="1" x14ac:dyDescent="0.2">
      <c r="A4494" s="30" t="s">
        <v>13635</v>
      </c>
      <c r="B4494" s="26" t="str">
        <f t="shared" si="70"/>
        <v>688152</v>
      </c>
      <c r="C4494" s="30" t="s">
        <v>13636</v>
      </c>
      <c r="D4494" s="31">
        <v>34.76</v>
      </c>
      <c r="E4494" s="31">
        <v>2.75</v>
      </c>
      <c r="F4494" s="31">
        <v>1049525820</v>
      </c>
    </row>
    <row r="4495" spans="1:6" ht="15" thickBot="1" x14ac:dyDescent="0.2">
      <c r="A4495" s="30" t="s">
        <v>13637</v>
      </c>
      <c r="B4495" s="26" t="str">
        <f t="shared" si="70"/>
        <v>002842</v>
      </c>
      <c r="C4495" s="30" t="s">
        <v>7957</v>
      </c>
      <c r="D4495" s="31">
        <v>4.9400000000000004</v>
      </c>
      <c r="E4495" s="31">
        <v>-1.79</v>
      </c>
      <c r="F4495" s="31">
        <v>1049186230</v>
      </c>
    </row>
    <row r="4496" spans="1:6" ht="15" thickBot="1" x14ac:dyDescent="0.2">
      <c r="A4496" s="30" t="s">
        <v>13638</v>
      </c>
      <c r="B4496" s="26" t="str">
        <f t="shared" si="70"/>
        <v>000890</v>
      </c>
      <c r="C4496" s="30" t="s">
        <v>8265</v>
      </c>
      <c r="D4496" s="31">
        <v>2.5</v>
      </c>
      <c r="E4496" s="31">
        <v>-3.1</v>
      </c>
      <c r="F4496" s="31">
        <v>1048727620</v>
      </c>
    </row>
    <row r="4497" spans="1:6" ht="15" thickBot="1" x14ac:dyDescent="0.2">
      <c r="A4497" s="30" t="s">
        <v>13639</v>
      </c>
      <c r="B4497" s="26" t="str">
        <f t="shared" si="70"/>
        <v>603193</v>
      </c>
      <c r="C4497" s="30" t="s">
        <v>13640</v>
      </c>
      <c r="D4497" s="31">
        <v>17.28</v>
      </c>
      <c r="E4497" s="31">
        <v>2.92</v>
      </c>
      <c r="F4497" s="31">
        <v>1048723200</v>
      </c>
    </row>
    <row r="4498" spans="1:6" ht="15" thickBot="1" x14ac:dyDescent="0.2">
      <c r="A4498" s="30" t="s">
        <v>13641</v>
      </c>
      <c r="B4498" s="26" t="str">
        <f t="shared" si="70"/>
        <v>603226</v>
      </c>
      <c r="C4498" s="30" t="s">
        <v>8253</v>
      </c>
      <c r="D4498" s="31">
        <v>2.95</v>
      </c>
      <c r="E4498" s="31">
        <v>-1.99</v>
      </c>
      <c r="F4498" s="31">
        <v>1048700720</v>
      </c>
    </row>
    <row r="4499" spans="1:6" ht="15" thickBot="1" x14ac:dyDescent="0.2">
      <c r="A4499" s="30" t="s">
        <v>13642</v>
      </c>
      <c r="B4499" s="26" t="str">
        <f t="shared" si="70"/>
        <v>300591</v>
      </c>
      <c r="C4499" s="30" t="s">
        <v>8127</v>
      </c>
      <c r="D4499" s="31">
        <v>2.99</v>
      </c>
      <c r="E4499" s="31">
        <v>-2.29</v>
      </c>
      <c r="F4499" s="31">
        <v>1048487310</v>
      </c>
    </row>
    <row r="4500" spans="1:6" ht="15" thickBot="1" x14ac:dyDescent="0.2">
      <c r="A4500" s="30" t="s">
        <v>13643</v>
      </c>
      <c r="B4500" s="26" t="str">
        <f t="shared" si="70"/>
        <v>688552</v>
      </c>
      <c r="C4500" s="30" t="s">
        <v>13644</v>
      </c>
      <c r="D4500" s="31">
        <v>12.48</v>
      </c>
      <c r="E4500" s="31">
        <v>-1.19</v>
      </c>
      <c r="F4500" s="31">
        <v>1048237030</v>
      </c>
    </row>
    <row r="4501" spans="1:6" ht="15" thickBot="1" x14ac:dyDescent="0.2">
      <c r="A4501" s="30" t="s">
        <v>13645</v>
      </c>
      <c r="B4501" s="26" t="str">
        <f t="shared" si="70"/>
        <v>001319</v>
      </c>
      <c r="C4501" s="30" t="s">
        <v>13646</v>
      </c>
      <c r="D4501" s="31">
        <v>17.190000000000001</v>
      </c>
      <c r="E4501" s="31">
        <v>-3.91</v>
      </c>
      <c r="F4501" s="31">
        <v>1048022730</v>
      </c>
    </row>
    <row r="4502" spans="1:6" ht="15" thickBot="1" x14ac:dyDescent="0.2">
      <c r="A4502" s="30" t="s">
        <v>13647</v>
      </c>
      <c r="B4502" s="26" t="str">
        <f t="shared" si="70"/>
        <v>300635</v>
      </c>
      <c r="C4502" s="30" t="s">
        <v>8257</v>
      </c>
      <c r="D4502" s="31">
        <v>8.7200000000000006</v>
      </c>
      <c r="E4502" s="31">
        <v>-11.2</v>
      </c>
      <c r="F4502" s="31">
        <v>1047344040</v>
      </c>
    </row>
    <row r="4503" spans="1:6" ht="15" thickBot="1" x14ac:dyDescent="0.2">
      <c r="A4503" s="30" t="s">
        <v>13648</v>
      </c>
      <c r="B4503" s="26" t="str">
        <f t="shared" si="70"/>
        <v>688709</v>
      </c>
      <c r="C4503" s="30" t="s">
        <v>13649</v>
      </c>
      <c r="D4503" s="31">
        <v>13.56</v>
      </c>
      <c r="E4503" s="31">
        <v>-0.88</v>
      </c>
      <c r="F4503" s="31">
        <v>1045709420</v>
      </c>
    </row>
    <row r="4504" spans="1:6" ht="15" thickBot="1" x14ac:dyDescent="0.2">
      <c r="A4504" s="30" t="s">
        <v>13650</v>
      </c>
      <c r="B4504" s="26" t="str">
        <f t="shared" si="70"/>
        <v>002848</v>
      </c>
      <c r="C4504" s="30" t="s">
        <v>8223</v>
      </c>
      <c r="D4504" s="31">
        <v>6.4</v>
      </c>
      <c r="E4504" s="31">
        <v>-4.4800000000000004</v>
      </c>
      <c r="F4504" s="31">
        <v>1045548840</v>
      </c>
    </row>
    <row r="4505" spans="1:6" ht="15" thickBot="1" x14ac:dyDescent="0.2">
      <c r="A4505" s="30" t="s">
        <v>13651</v>
      </c>
      <c r="B4505" s="26" t="str">
        <f t="shared" si="70"/>
        <v>603616</v>
      </c>
      <c r="C4505" s="30" t="s">
        <v>8239</v>
      </c>
      <c r="D4505" s="31">
        <v>2.74</v>
      </c>
      <c r="E4505" s="31">
        <v>-2.14</v>
      </c>
      <c r="F4505" s="31">
        <v>1044948320</v>
      </c>
    </row>
    <row r="4506" spans="1:6" ht="15" thickBot="1" x14ac:dyDescent="0.2">
      <c r="A4506" s="30" t="s">
        <v>13652</v>
      </c>
      <c r="B4506" s="26" t="str">
        <f t="shared" si="70"/>
        <v>603206</v>
      </c>
      <c r="C4506" s="30" t="s">
        <v>13653</v>
      </c>
      <c r="D4506" s="31">
        <v>11.98</v>
      </c>
      <c r="E4506" s="31">
        <v>-1.32</v>
      </c>
      <c r="F4506" s="31">
        <v>1044655860</v>
      </c>
    </row>
    <row r="4507" spans="1:6" ht="15" thickBot="1" x14ac:dyDescent="0.2">
      <c r="A4507" s="30" t="s">
        <v>13654</v>
      </c>
      <c r="B4507" s="26" t="str">
        <f t="shared" si="70"/>
        <v>301528</v>
      </c>
      <c r="C4507" s="30" t="s">
        <v>13655</v>
      </c>
      <c r="D4507" s="31">
        <v>33.92</v>
      </c>
      <c r="E4507" s="31">
        <v>0.24</v>
      </c>
      <c r="F4507" s="31">
        <v>1043760800</v>
      </c>
    </row>
    <row r="4508" spans="1:6" ht="15" thickBot="1" x14ac:dyDescent="0.2">
      <c r="A4508" s="30" t="s">
        <v>13656</v>
      </c>
      <c r="B4508" s="26" t="str">
        <f t="shared" si="70"/>
        <v>002888</v>
      </c>
      <c r="C4508" s="30" t="s">
        <v>6294</v>
      </c>
      <c r="D4508" s="31">
        <v>13.57</v>
      </c>
      <c r="E4508" s="31">
        <v>-10.01</v>
      </c>
      <c r="F4508" s="31">
        <v>1043414780</v>
      </c>
    </row>
    <row r="4509" spans="1:6" ht="15" thickBot="1" x14ac:dyDescent="0.2">
      <c r="A4509" s="30" t="s">
        <v>13657</v>
      </c>
      <c r="B4509" s="26" t="str">
        <f t="shared" si="70"/>
        <v>300845</v>
      </c>
      <c r="C4509" s="30" t="s">
        <v>7785</v>
      </c>
      <c r="D4509" s="31">
        <v>10.18</v>
      </c>
      <c r="E4509" s="31">
        <v>-1.45</v>
      </c>
      <c r="F4509" s="31">
        <v>1042649380</v>
      </c>
    </row>
    <row r="4510" spans="1:6" ht="15" thickBot="1" x14ac:dyDescent="0.2">
      <c r="A4510" s="30" t="s">
        <v>13658</v>
      </c>
      <c r="B4510" s="26" t="str">
        <f t="shared" si="70"/>
        <v>600689</v>
      </c>
      <c r="C4510" s="30" t="s">
        <v>8185</v>
      </c>
      <c r="D4510" s="31">
        <v>6.85</v>
      </c>
      <c r="E4510" s="31">
        <v>1.63</v>
      </c>
      <c r="F4510" s="31">
        <v>1042598380</v>
      </c>
    </row>
    <row r="4511" spans="1:6" ht="15" thickBot="1" x14ac:dyDescent="0.2">
      <c r="A4511" s="30" t="s">
        <v>13659</v>
      </c>
      <c r="B4511" s="26" t="str">
        <f t="shared" si="70"/>
        <v>301488</v>
      </c>
      <c r="C4511" s="30" t="s">
        <v>13660</v>
      </c>
      <c r="D4511" s="31">
        <v>44.49</v>
      </c>
      <c r="E4511" s="31">
        <v>-0.83</v>
      </c>
      <c r="F4511" s="31">
        <v>1041733350</v>
      </c>
    </row>
    <row r="4512" spans="1:6" ht="15" thickBot="1" x14ac:dyDescent="0.2">
      <c r="A4512" s="30" t="s">
        <v>13661</v>
      </c>
      <c r="B4512" s="26" t="str">
        <f t="shared" si="70"/>
        <v>603275</v>
      </c>
      <c r="C4512" s="30" t="s">
        <v>13662</v>
      </c>
      <c r="D4512" s="31">
        <v>24.67</v>
      </c>
      <c r="E4512" s="31">
        <v>-1</v>
      </c>
      <c r="F4512" s="31">
        <v>1040888060</v>
      </c>
    </row>
    <row r="4513" spans="1:6" ht="15" thickBot="1" x14ac:dyDescent="0.2">
      <c r="A4513" s="30" t="s">
        <v>13663</v>
      </c>
      <c r="B4513" s="26" t="str">
        <f t="shared" si="70"/>
        <v>605287</v>
      </c>
      <c r="C4513" s="30" t="s">
        <v>13664</v>
      </c>
      <c r="D4513" s="31">
        <v>10.41</v>
      </c>
      <c r="E4513" s="31">
        <v>-1.33</v>
      </c>
      <c r="F4513" s="31">
        <v>1039835030</v>
      </c>
    </row>
    <row r="4514" spans="1:6" ht="15" thickBot="1" x14ac:dyDescent="0.2">
      <c r="A4514" s="30" t="s">
        <v>13665</v>
      </c>
      <c r="B4514" s="26" t="str">
        <f t="shared" si="70"/>
        <v>301166</v>
      </c>
      <c r="C4514" s="30" t="s">
        <v>6606</v>
      </c>
      <c r="D4514" s="31">
        <v>25.19</v>
      </c>
      <c r="E4514" s="31">
        <v>-2.06</v>
      </c>
      <c r="F4514" s="31">
        <v>1039562780</v>
      </c>
    </row>
    <row r="4515" spans="1:6" ht="15" thickBot="1" x14ac:dyDescent="0.2">
      <c r="A4515" s="30" t="s">
        <v>13666</v>
      </c>
      <c r="B4515" s="26" t="str">
        <f t="shared" si="70"/>
        <v>603125</v>
      </c>
      <c r="C4515" s="30" t="s">
        <v>13667</v>
      </c>
      <c r="D4515" s="31">
        <v>14.89</v>
      </c>
      <c r="E4515" s="31">
        <v>-0.13</v>
      </c>
      <c r="F4515" s="31">
        <v>1039366670</v>
      </c>
    </row>
    <row r="4516" spans="1:6" ht="15" thickBot="1" x14ac:dyDescent="0.2">
      <c r="A4516" s="30" t="s">
        <v>13668</v>
      </c>
      <c r="B4516" s="26" t="str">
        <f t="shared" si="70"/>
        <v>300165</v>
      </c>
      <c r="C4516" s="30" t="s">
        <v>8083</v>
      </c>
      <c r="D4516" s="31">
        <v>2.4700000000000002</v>
      </c>
      <c r="E4516" s="31">
        <v>-5</v>
      </c>
      <c r="F4516" s="31">
        <v>1038714310</v>
      </c>
    </row>
    <row r="4517" spans="1:6" ht="15" thickBot="1" x14ac:dyDescent="0.2">
      <c r="A4517" s="30" t="s">
        <v>13669</v>
      </c>
      <c r="B4517" s="26" t="str">
        <f t="shared" si="70"/>
        <v>002910</v>
      </c>
      <c r="C4517" s="30" t="s">
        <v>8145</v>
      </c>
      <c r="D4517" s="31">
        <v>6.07</v>
      </c>
      <c r="E4517" s="31">
        <v>-2.1</v>
      </c>
      <c r="F4517" s="31">
        <v>1038346040</v>
      </c>
    </row>
    <row r="4518" spans="1:6" ht="15" thickBot="1" x14ac:dyDescent="0.2">
      <c r="A4518" s="30" t="s">
        <v>13670</v>
      </c>
      <c r="B4518" s="26" t="str">
        <f t="shared" si="70"/>
        <v>301002</v>
      </c>
      <c r="C4518" s="30" t="s">
        <v>7283</v>
      </c>
      <c r="D4518" s="31">
        <v>14.14</v>
      </c>
      <c r="E4518" s="31">
        <v>-1.81</v>
      </c>
      <c r="F4518" s="31">
        <v>1036795960</v>
      </c>
    </row>
    <row r="4519" spans="1:6" ht="15" thickBot="1" x14ac:dyDescent="0.2">
      <c r="A4519" s="30" t="s">
        <v>13671</v>
      </c>
      <c r="B4519" s="26" t="str">
        <f t="shared" si="70"/>
        <v>688570</v>
      </c>
      <c r="C4519" s="30" t="s">
        <v>13672</v>
      </c>
      <c r="D4519" s="31">
        <v>14.62</v>
      </c>
      <c r="E4519" s="31">
        <v>0</v>
      </c>
      <c r="F4519" s="31">
        <v>1035242200</v>
      </c>
    </row>
    <row r="4520" spans="1:6" ht="15" thickBot="1" x14ac:dyDescent="0.2">
      <c r="A4520" s="30" t="s">
        <v>13673</v>
      </c>
      <c r="B4520" s="26" t="str">
        <f t="shared" si="70"/>
        <v>002816</v>
      </c>
      <c r="C4520" s="30" t="s">
        <v>8329</v>
      </c>
      <c r="D4520" s="31">
        <v>10.35</v>
      </c>
      <c r="E4520" s="31">
        <v>4.6500000000000004</v>
      </c>
      <c r="F4520" s="31">
        <v>1035000000</v>
      </c>
    </row>
    <row r="4521" spans="1:6" ht="15" thickBot="1" x14ac:dyDescent="0.2">
      <c r="A4521" s="30" t="s">
        <v>13674</v>
      </c>
      <c r="B4521" s="26" t="str">
        <f t="shared" si="70"/>
        <v>300736</v>
      </c>
      <c r="C4521" s="30" t="s">
        <v>8141</v>
      </c>
      <c r="D4521" s="31">
        <v>8.01</v>
      </c>
      <c r="E4521" s="31">
        <v>-3.61</v>
      </c>
      <c r="F4521" s="31">
        <v>1033510230</v>
      </c>
    </row>
    <row r="4522" spans="1:6" ht="15" thickBot="1" x14ac:dyDescent="0.2">
      <c r="A4522" s="30" t="s">
        <v>13675</v>
      </c>
      <c r="B4522" s="26" t="str">
        <f t="shared" si="70"/>
        <v>002211</v>
      </c>
      <c r="C4522" s="30" t="s">
        <v>8251</v>
      </c>
      <c r="D4522" s="31">
        <v>2.39</v>
      </c>
      <c r="E4522" s="31">
        <v>-2.85</v>
      </c>
      <c r="F4522" s="31">
        <v>1032896530</v>
      </c>
    </row>
    <row r="4523" spans="1:6" ht="15" thickBot="1" x14ac:dyDescent="0.2">
      <c r="A4523" s="30" t="s">
        <v>13676</v>
      </c>
      <c r="B4523" s="26" t="str">
        <f t="shared" si="70"/>
        <v>301278</v>
      </c>
      <c r="C4523" s="30" t="s">
        <v>13677</v>
      </c>
      <c r="D4523" s="31">
        <v>30.58</v>
      </c>
      <c r="E4523" s="31">
        <v>-2.27</v>
      </c>
      <c r="F4523" s="31">
        <v>1031417530</v>
      </c>
    </row>
    <row r="4524" spans="1:6" ht="15" thickBot="1" x14ac:dyDescent="0.2">
      <c r="A4524" s="30" t="s">
        <v>13678</v>
      </c>
      <c r="B4524" s="26" t="str">
        <f t="shared" si="70"/>
        <v>301023</v>
      </c>
      <c r="C4524" s="30" t="s">
        <v>13679</v>
      </c>
      <c r="D4524" s="31">
        <v>33.9</v>
      </c>
      <c r="E4524" s="31">
        <v>-2.42</v>
      </c>
      <c r="F4524" s="31">
        <v>1030827500</v>
      </c>
    </row>
    <row r="4525" spans="1:6" ht="15" thickBot="1" x14ac:dyDescent="0.2">
      <c r="A4525" s="30" t="s">
        <v>13680</v>
      </c>
      <c r="B4525" s="26" t="str">
        <f t="shared" si="70"/>
        <v>688265</v>
      </c>
      <c r="C4525" s="30" t="s">
        <v>13681</v>
      </c>
      <c r="D4525" s="31">
        <v>20.87</v>
      </c>
      <c r="E4525" s="31">
        <v>-7.24</v>
      </c>
      <c r="F4525" s="31">
        <v>1030738270</v>
      </c>
    </row>
    <row r="4526" spans="1:6" ht="15" thickBot="1" x14ac:dyDescent="0.2">
      <c r="A4526" s="30" t="s">
        <v>13682</v>
      </c>
      <c r="B4526" s="26" t="str">
        <f t="shared" si="70"/>
        <v>001219</v>
      </c>
      <c r="C4526" s="30" t="s">
        <v>13683</v>
      </c>
      <c r="D4526" s="31">
        <v>10.44</v>
      </c>
      <c r="E4526" s="31">
        <v>-1.32</v>
      </c>
      <c r="F4526" s="31">
        <v>1029761150</v>
      </c>
    </row>
    <row r="4527" spans="1:6" ht="15" thickBot="1" x14ac:dyDescent="0.2">
      <c r="A4527" s="30" t="s">
        <v>13684</v>
      </c>
      <c r="B4527" s="26" t="str">
        <f t="shared" si="70"/>
        <v>300517</v>
      </c>
      <c r="C4527" s="30" t="s">
        <v>7527</v>
      </c>
      <c r="D4527" s="31">
        <v>8.3000000000000007</v>
      </c>
      <c r="E4527" s="31">
        <v>0</v>
      </c>
      <c r="F4527" s="31">
        <v>1029175640</v>
      </c>
    </row>
    <row r="4528" spans="1:6" ht="15" thickBot="1" x14ac:dyDescent="0.2">
      <c r="A4528" s="30" t="s">
        <v>13685</v>
      </c>
      <c r="B4528" s="26" t="str">
        <f t="shared" si="70"/>
        <v>002775</v>
      </c>
      <c r="C4528" s="30" t="s">
        <v>8003</v>
      </c>
      <c r="D4528" s="31">
        <v>2.29</v>
      </c>
      <c r="E4528" s="31">
        <v>-2.97</v>
      </c>
      <c r="F4528" s="31">
        <v>1026517810</v>
      </c>
    </row>
    <row r="4529" spans="1:6" ht="15" thickBot="1" x14ac:dyDescent="0.2">
      <c r="A4529" s="30" t="s">
        <v>13686</v>
      </c>
      <c r="B4529" s="26" t="str">
        <f t="shared" si="70"/>
        <v>300966</v>
      </c>
      <c r="C4529" s="30" t="s">
        <v>7655</v>
      </c>
      <c r="D4529" s="31">
        <v>13.66</v>
      </c>
      <c r="E4529" s="31">
        <v>-2.57</v>
      </c>
      <c r="F4529" s="31">
        <v>1026305590</v>
      </c>
    </row>
    <row r="4530" spans="1:6" ht="15" thickBot="1" x14ac:dyDescent="0.2">
      <c r="A4530" s="30" t="s">
        <v>13687</v>
      </c>
      <c r="B4530" s="26" t="str">
        <f t="shared" si="70"/>
        <v>301337</v>
      </c>
      <c r="C4530" s="30" t="s">
        <v>13688</v>
      </c>
      <c r="D4530" s="31">
        <v>26.42</v>
      </c>
      <c r="E4530" s="31">
        <v>4.26</v>
      </c>
      <c r="F4530" s="31">
        <v>1025722810</v>
      </c>
    </row>
    <row r="4531" spans="1:6" ht="15" thickBot="1" x14ac:dyDescent="0.2">
      <c r="A4531" s="30" t="s">
        <v>13689</v>
      </c>
      <c r="B4531" s="26" t="str">
        <f t="shared" si="70"/>
        <v>688455</v>
      </c>
      <c r="C4531" s="30" t="s">
        <v>13690</v>
      </c>
      <c r="D4531" s="31">
        <v>7.89</v>
      </c>
      <c r="E4531" s="31">
        <v>-1.5</v>
      </c>
      <c r="F4531" s="31">
        <v>1024509930</v>
      </c>
    </row>
    <row r="4532" spans="1:6" ht="15" thickBot="1" x14ac:dyDescent="0.2">
      <c r="A4532" s="30" t="s">
        <v>13691</v>
      </c>
      <c r="B4532" s="26" t="str">
        <f t="shared" si="70"/>
        <v>300605</v>
      </c>
      <c r="C4532" s="30" t="s">
        <v>7777</v>
      </c>
      <c r="D4532" s="31">
        <v>9.08</v>
      </c>
      <c r="E4532" s="31">
        <v>-8.84</v>
      </c>
      <c r="F4532" s="31">
        <v>1024207570</v>
      </c>
    </row>
    <row r="4533" spans="1:6" ht="15" thickBot="1" x14ac:dyDescent="0.2">
      <c r="A4533" s="30" t="s">
        <v>13692</v>
      </c>
      <c r="B4533" s="26" t="str">
        <f t="shared" si="70"/>
        <v>301266</v>
      </c>
      <c r="C4533" s="30" t="s">
        <v>13693</v>
      </c>
      <c r="D4533" s="31">
        <v>27.3</v>
      </c>
      <c r="E4533" s="31">
        <v>-2.71</v>
      </c>
      <c r="F4533" s="31">
        <v>1023768400</v>
      </c>
    </row>
    <row r="4534" spans="1:6" ht="15" thickBot="1" x14ac:dyDescent="0.2">
      <c r="A4534" s="30" t="s">
        <v>13694</v>
      </c>
      <c r="B4534" s="26" t="str">
        <f t="shared" si="70"/>
        <v>830809</v>
      </c>
      <c r="C4534" s="30" t="s">
        <v>7129</v>
      </c>
      <c r="D4534" s="31">
        <v>3.19</v>
      </c>
      <c r="E4534" s="31">
        <v>-1.24</v>
      </c>
      <c r="F4534" s="31">
        <v>1022658930</v>
      </c>
    </row>
    <row r="4535" spans="1:6" ht="15" thickBot="1" x14ac:dyDescent="0.2">
      <c r="A4535" s="30" t="s">
        <v>13695</v>
      </c>
      <c r="B4535" s="26" t="str">
        <f t="shared" si="70"/>
        <v>003030</v>
      </c>
      <c r="C4535" s="30" t="s">
        <v>7625</v>
      </c>
      <c r="D4535" s="31">
        <v>12.62</v>
      </c>
      <c r="E4535" s="31">
        <v>-3.52</v>
      </c>
      <c r="F4535" s="31">
        <v>1022199490</v>
      </c>
    </row>
    <row r="4536" spans="1:6" ht="15" thickBot="1" x14ac:dyDescent="0.2">
      <c r="A4536" s="30" t="s">
        <v>13696</v>
      </c>
      <c r="B4536" s="26" t="str">
        <f t="shared" si="70"/>
        <v>603381</v>
      </c>
      <c r="C4536" s="30" t="s">
        <v>13697</v>
      </c>
      <c r="D4536" s="31">
        <v>19.54</v>
      </c>
      <c r="E4536" s="31">
        <v>-1.46</v>
      </c>
      <c r="F4536" s="31">
        <v>1022191080</v>
      </c>
    </row>
    <row r="4537" spans="1:6" ht="15" thickBot="1" x14ac:dyDescent="0.2">
      <c r="A4537" s="30" t="s">
        <v>13698</v>
      </c>
      <c r="B4537" s="26" t="str">
        <f t="shared" si="70"/>
        <v>300462</v>
      </c>
      <c r="C4537" s="30" t="s">
        <v>7943</v>
      </c>
      <c r="D4537" s="31">
        <v>7.47</v>
      </c>
      <c r="E4537" s="31">
        <v>-1.45</v>
      </c>
      <c r="F4537" s="31">
        <v>1021406070</v>
      </c>
    </row>
    <row r="4538" spans="1:6" ht="15" thickBot="1" x14ac:dyDescent="0.2">
      <c r="A4538" s="30" t="s">
        <v>13699</v>
      </c>
      <c r="B4538" s="26" t="str">
        <f t="shared" si="70"/>
        <v>603057</v>
      </c>
      <c r="C4538" s="30" t="s">
        <v>13700</v>
      </c>
      <c r="D4538" s="31">
        <v>14.99</v>
      </c>
      <c r="E4538" s="31">
        <v>0.13</v>
      </c>
      <c r="F4538" s="31">
        <v>1020248260</v>
      </c>
    </row>
    <row r="4539" spans="1:6" ht="15" thickBot="1" x14ac:dyDescent="0.2">
      <c r="A4539" s="30" t="s">
        <v>13701</v>
      </c>
      <c r="B4539" s="26" t="str">
        <f t="shared" si="70"/>
        <v>301328</v>
      </c>
      <c r="C4539" s="30" t="s">
        <v>13702</v>
      </c>
      <c r="D4539" s="31">
        <v>29.88</v>
      </c>
      <c r="E4539" s="31">
        <v>-0.63</v>
      </c>
      <c r="F4539" s="31">
        <v>1019919170</v>
      </c>
    </row>
    <row r="4540" spans="1:6" ht="15" thickBot="1" x14ac:dyDescent="0.2">
      <c r="A4540" s="30" t="s">
        <v>13703</v>
      </c>
      <c r="B4540" s="26" t="str">
        <f t="shared" si="70"/>
        <v>603310</v>
      </c>
      <c r="C4540" s="30" t="s">
        <v>13704</v>
      </c>
      <c r="D4540" s="31">
        <v>14.99</v>
      </c>
      <c r="E4540" s="31">
        <v>-1.25</v>
      </c>
      <c r="F4540" s="31">
        <v>1014650480</v>
      </c>
    </row>
    <row r="4541" spans="1:6" ht="15" thickBot="1" x14ac:dyDescent="0.2">
      <c r="A4541" s="30" t="s">
        <v>13705</v>
      </c>
      <c r="B4541" s="26" t="str">
        <f t="shared" si="70"/>
        <v>603102</v>
      </c>
      <c r="C4541" s="30" t="s">
        <v>13706</v>
      </c>
      <c r="D4541" s="31">
        <v>28.35</v>
      </c>
      <c r="E4541" s="31">
        <v>-1.9</v>
      </c>
      <c r="F4541" s="31">
        <v>1014628070</v>
      </c>
    </row>
    <row r="4542" spans="1:6" ht="15" thickBot="1" x14ac:dyDescent="0.2">
      <c r="A4542" s="30" t="s">
        <v>13707</v>
      </c>
      <c r="B4542" s="26" t="str">
        <f t="shared" si="70"/>
        <v>301141</v>
      </c>
      <c r="C4542" s="30" t="s">
        <v>13708</v>
      </c>
      <c r="D4542" s="31">
        <v>25.83</v>
      </c>
      <c r="E4542" s="31">
        <v>0.31</v>
      </c>
      <c r="F4542" s="31">
        <v>1013667040</v>
      </c>
    </row>
    <row r="4543" spans="1:6" ht="15" thickBot="1" x14ac:dyDescent="0.2">
      <c r="A4543" s="30" t="s">
        <v>13709</v>
      </c>
      <c r="B4543" s="26" t="str">
        <f t="shared" si="70"/>
        <v>301211</v>
      </c>
      <c r="C4543" s="30" t="s">
        <v>13710</v>
      </c>
      <c r="D4543" s="31">
        <v>14.01</v>
      </c>
      <c r="E4543" s="31">
        <v>-4.04</v>
      </c>
      <c r="F4543" s="31">
        <v>1008720000</v>
      </c>
    </row>
    <row r="4544" spans="1:6" ht="15" thickBot="1" x14ac:dyDescent="0.2">
      <c r="A4544" s="30" t="s">
        <v>13711</v>
      </c>
      <c r="B4544" s="26" t="str">
        <f t="shared" si="70"/>
        <v>300889</v>
      </c>
      <c r="C4544" s="30" t="s">
        <v>7549</v>
      </c>
      <c r="D4544" s="31">
        <v>10.32</v>
      </c>
      <c r="E4544" s="31">
        <v>-3.37</v>
      </c>
      <c r="F4544" s="31">
        <v>1008505230</v>
      </c>
    </row>
    <row r="4545" spans="1:6" ht="15" thickBot="1" x14ac:dyDescent="0.2">
      <c r="A4545" s="30" t="s">
        <v>13712</v>
      </c>
      <c r="B4545" s="26" t="str">
        <f t="shared" si="70"/>
        <v>300992</v>
      </c>
      <c r="C4545" s="30" t="s">
        <v>8013</v>
      </c>
      <c r="D4545" s="31">
        <v>13.91</v>
      </c>
      <c r="E4545" s="31">
        <v>-3.07</v>
      </c>
      <c r="F4545" s="31">
        <v>1008025280</v>
      </c>
    </row>
    <row r="4546" spans="1:6" ht="15" thickBot="1" x14ac:dyDescent="0.2">
      <c r="A4546" s="30" t="s">
        <v>13713</v>
      </c>
      <c r="B4546" s="26" t="str">
        <f t="shared" si="70"/>
        <v>688416</v>
      </c>
      <c r="C4546" s="30" t="s">
        <v>13714</v>
      </c>
      <c r="D4546" s="31">
        <v>21.07</v>
      </c>
      <c r="E4546" s="31">
        <v>-2.63</v>
      </c>
      <c r="F4546" s="31">
        <v>1007181330</v>
      </c>
    </row>
    <row r="4547" spans="1:6" ht="15" thickBot="1" x14ac:dyDescent="0.2">
      <c r="A4547" s="30" t="s">
        <v>13715</v>
      </c>
      <c r="B4547" s="26" t="str">
        <f t="shared" ref="B4547:B4610" si="71">LEFT(A4547,6)</f>
        <v>300834</v>
      </c>
      <c r="C4547" s="30" t="s">
        <v>13716</v>
      </c>
      <c r="D4547" s="31">
        <v>16.399999999999999</v>
      </c>
      <c r="E4547" s="31">
        <v>-1.03</v>
      </c>
      <c r="F4547" s="31">
        <v>1007073270</v>
      </c>
    </row>
    <row r="4548" spans="1:6" ht="15" thickBot="1" x14ac:dyDescent="0.2">
      <c r="A4548" s="30" t="s">
        <v>13717</v>
      </c>
      <c r="B4548" s="26" t="str">
        <f t="shared" si="71"/>
        <v>003017</v>
      </c>
      <c r="C4548" s="30" t="s">
        <v>8047</v>
      </c>
      <c r="D4548" s="31">
        <v>14.89</v>
      </c>
      <c r="E4548" s="31">
        <v>-1.78</v>
      </c>
      <c r="F4548" s="31">
        <v>1006426360</v>
      </c>
    </row>
    <row r="4549" spans="1:6" ht="15" thickBot="1" x14ac:dyDescent="0.2">
      <c r="A4549" s="30" t="s">
        <v>13718</v>
      </c>
      <c r="B4549" s="26" t="str">
        <f t="shared" si="71"/>
        <v>300961</v>
      </c>
      <c r="C4549" s="30" t="s">
        <v>13719</v>
      </c>
      <c r="D4549" s="31">
        <v>6.66</v>
      </c>
      <c r="E4549" s="31">
        <v>-2.63</v>
      </c>
      <c r="F4549" s="31">
        <v>1005890490</v>
      </c>
    </row>
    <row r="4550" spans="1:6" ht="15" thickBot="1" x14ac:dyDescent="0.2">
      <c r="A4550" s="30" t="s">
        <v>13720</v>
      </c>
      <c r="B4550" s="26" t="str">
        <f t="shared" si="71"/>
        <v>301032</v>
      </c>
      <c r="C4550" s="30" t="s">
        <v>7741</v>
      </c>
      <c r="D4550" s="31">
        <v>6.34</v>
      </c>
      <c r="E4550" s="31">
        <v>-1.71</v>
      </c>
      <c r="F4550" s="31">
        <v>1005857010</v>
      </c>
    </row>
    <row r="4551" spans="1:6" ht="15" thickBot="1" x14ac:dyDescent="0.2">
      <c r="A4551" s="30" t="s">
        <v>13721</v>
      </c>
      <c r="B4551" s="26" t="str">
        <f t="shared" si="71"/>
        <v>300599</v>
      </c>
      <c r="C4551" s="30" t="s">
        <v>7461</v>
      </c>
      <c r="D4551" s="31">
        <v>4.74</v>
      </c>
      <c r="E4551" s="31">
        <v>-2.4700000000000002</v>
      </c>
      <c r="F4551" s="31">
        <v>1005783290</v>
      </c>
    </row>
    <row r="4552" spans="1:6" ht="15" thickBot="1" x14ac:dyDescent="0.2">
      <c r="A4552" s="30" t="s">
        <v>13722</v>
      </c>
      <c r="B4552" s="26" t="str">
        <f t="shared" si="71"/>
        <v>300329</v>
      </c>
      <c r="C4552" s="30" t="s">
        <v>8271</v>
      </c>
      <c r="D4552" s="31">
        <v>3.97</v>
      </c>
      <c r="E4552" s="31">
        <v>-2.46</v>
      </c>
      <c r="F4552" s="31">
        <v>1000893300</v>
      </c>
    </row>
    <row r="4553" spans="1:6" ht="15" thickBot="1" x14ac:dyDescent="0.2">
      <c r="A4553" s="30" t="s">
        <v>13723</v>
      </c>
      <c r="B4553" s="26" t="str">
        <f t="shared" si="71"/>
        <v>688244</v>
      </c>
      <c r="C4553" s="30" t="s">
        <v>13724</v>
      </c>
      <c r="D4553" s="31">
        <v>20.75</v>
      </c>
      <c r="E4553" s="31">
        <v>-2.9</v>
      </c>
      <c r="F4553" s="31">
        <v>1000206920</v>
      </c>
    </row>
    <row r="4554" spans="1:6" ht="15" thickBot="1" x14ac:dyDescent="0.2">
      <c r="A4554" s="30" t="s">
        <v>13725</v>
      </c>
      <c r="B4554" s="26" t="str">
        <f t="shared" si="71"/>
        <v>002495</v>
      </c>
      <c r="C4554" s="30" t="s">
        <v>8005</v>
      </c>
      <c r="D4554" s="31">
        <v>1.4</v>
      </c>
      <c r="E4554" s="31">
        <v>-2.78</v>
      </c>
      <c r="F4554" s="31">
        <v>999508860</v>
      </c>
    </row>
    <row r="4555" spans="1:6" ht="15" thickBot="1" x14ac:dyDescent="0.2">
      <c r="A4555" s="30" t="s">
        <v>13726</v>
      </c>
      <c r="B4555" s="26" t="str">
        <f t="shared" si="71"/>
        <v>603325</v>
      </c>
      <c r="C4555" s="30" t="s">
        <v>13727</v>
      </c>
      <c r="D4555" s="31">
        <v>59.93</v>
      </c>
      <c r="E4555" s="31">
        <v>0.42</v>
      </c>
      <c r="F4555" s="31">
        <v>999033100</v>
      </c>
    </row>
    <row r="4556" spans="1:6" ht="15" thickBot="1" x14ac:dyDescent="0.2">
      <c r="A4556" s="30" t="s">
        <v>13728</v>
      </c>
      <c r="B4556" s="26" t="str">
        <f t="shared" si="71"/>
        <v>301536</v>
      </c>
      <c r="C4556" s="30" t="s">
        <v>13729</v>
      </c>
      <c r="D4556" s="31">
        <v>28.06</v>
      </c>
      <c r="E4556" s="31">
        <v>-2.5</v>
      </c>
      <c r="F4556" s="31">
        <v>998309930</v>
      </c>
    </row>
    <row r="4557" spans="1:6" ht="15" thickBot="1" x14ac:dyDescent="0.2">
      <c r="A4557" s="30" t="s">
        <v>13730</v>
      </c>
      <c r="B4557" s="26" t="str">
        <f t="shared" si="71"/>
        <v>831305</v>
      </c>
      <c r="C4557" s="30" t="s">
        <v>8057</v>
      </c>
      <c r="D4557" s="31">
        <v>9.08</v>
      </c>
      <c r="E4557" s="31">
        <v>-1.63</v>
      </c>
      <c r="F4557" s="31">
        <v>998053220</v>
      </c>
    </row>
    <row r="4558" spans="1:6" ht="15" thickBot="1" x14ac:dyDescent="0.2">
      <c r="A4558" s="30" t="s">
        <v>13731</v>
      </c>
      <c r="B4558" s="26" t="str">
        <f t="shared" si="71"/>
        <v>300915</v>
      </c>
      <c r="C4558" s="30" t="s">
        <v>6620</v>
      </c>
      <c r="D4558" s="31">
        <v>24.32</v>
      </c>
      <c r="E4558" s="31">
        <v>-2.95</v>
      </c>
      <c r="F4558" s="31">
        <v>997253760</v>
      </c>
    </row>
    <row r="4559" spans="1:6" ht="15" thickBot="1" x14ac:dyDescent="0.2">
      <c r="A4559" s="30" t="s">
        <v>13732</v>
      </c>
      <c r="B4559" s="26" t="str">
        <f t="shared" si="71"/>
        <v>833171</v>
      </c>
      <c r="C4559" s="30" t="s">
        <v>13733</v>
      </c>
      <c r="D4559" s="31">
        <v>3.47</v>
      </c>
      <c r="E4559" s="31">
        <v>-0.56999999999999995</v>
      </c>
      <c r="F4559" s="31">
        <v>995676420</v>
      </c>
    </row>
    <row r="4560" spans="1:6" ht="15" thickBot="1" x14ac:dyDescent="0.2">
      <c r="A4560" s="30" t="s">
        <v>13734</v>
      </c>
      <c r="B4560" s="26" t="str">
        <f t="shared" si="71"/>
        <v>000929</v>
      </c>
      <c r="C4560" s="30" t="s">
        <v>8247</v>
      </c>
      <c r="D4560" s="31">
        <v>5.35</v>
      </c>
      <c r="E4560" s="31">
        <v>-2.19</v>
      </c>
      <c r="F4560" s="31">
        <v>993785090</v>
      </c>
    </row>
    <row r="4561" spans="1:6" ht="15" thickBot="1" x14ac:dyDescent="0.2">
      <c r="A4561" s="30" t="s">
        <v>13735</v>
      </c>
      <c r="B4561" s="26" t="str">
        <f t="shared" si="71"/>
        <v>603709</v>
      </c>
      <c r="C4561" s="30" t="s">
        <v>8277</v>
      </c>
      <c r="D4561" s="31">
        <v>7.94</v>
      </c>
      <c r="E4561" s="31">
        <v>-0.87</v>
      </c>
      <c r="F4561" s="31">
        <v>990912000</v>
      </c>
    </row>
    <row r="4562" spans="1:6" ht="15" thickBot="1" x14ac:dyDescent="0.2">
      <c r="A4562" s="30" t="s">
        <v>13736</v>
      </c>
      <c r="B4562" s="26" t="str">
        <f t="shared" si="71"/>
        <v>300553</v>
      </c>
      <c r="C4562" s="30" t="s">
        <v>7735</v>
      </c>
      <c r="D4562" s="31">
        <v>18.690000000000001</v>
      </c>
      <c r="E4562" s="31">
        <v>0.65</v>
      </c>
      <c r="F4562" s="31">
        <v>990457240</v>
      </c>
    </row>
    <row r="4563" spans="1:6" ht="15" thickBot="1" x14ac:dyDescent="0.2">
      <c r="A4563" s="30" t="s">
        <v>13737</v>
      </c>
      <c r="B4563" s="26" t="str">
        <f t="shared" si="71"/>
        <v>688038</v>
      </c>
      <c r="C4563" s="30" t="s">
        <v>8283</v>
      </c>
      <c r="D4563" s="31">
        <v>8.51</v>
      </c>
      <c r="E4563" s="31">
        <v>-1.73</v>
      </c>
      <c r="F4563" s="31">
        <v>990337630</v>
      </c>
    </row>
    <row r="4564" spans="1:6" ht="15" thickBot="1" x14ac:dyDescent="0.2">
      <c r="A4564" s="30" t="s">
        <v>13738</v>
      </c>
      <c r="B4564" s="26" t="str">
        <f t="shared" si="71"/>
        <v>301199</v>
      </c>
      <c r="C4564" s="30" t="s">
        <v>13739</v>
      </c>
      <c r="D4564" s="31">
        <v>21.19</v>
      </c>
      <c r="E4564" s="31">
        <v>-0.28000000000000003</v>
      </c>
      <c r="F4564" s="31">
        <v>989890850</v>
      </c>
    </row>
    <row r="4565" spans="1:6" ht="15" thickBot="1" x14ac:dyDescent="0.2">
      <c r="A4565" s="30" t="s">
        <v>13740</v>
      </c>
      <c r="B4565" s="26" t="str">
        <f t="shared" si="71"/>
        <v>301349</v>
      </c>
      <c r="C4565" s="30" t="s">
        <v>13741</v>
      </c>
      <c r="D4565" s="31">
        <v>23.49</v>
      </c>
      <c r="E4565" s="31">
        <v>2.8</v>
      </c>
      <c r="F4565" s="31">
        <v>989851050</v>
      </c>
    </row>
    <row r="4566" spans="1:6" ht="15" thickBot="1" x14ac:dyDescent="0.2">
      <c r="A4566" s="30" t="s">
        <v>13742</v>
      </c>
      <c r="B4566" s="26" t="str">
        <f t="shared" si="71"/>
        <v>003037</v>
      </c>
      <c r="C4566" s="30" t="s">
        <v>5549</v>
      </c>
      <c r="D4566" s="31">
        <v>4.92</v>
      </c>
      <c r="E4566" s="31">
        <v>-2.19</v>
      </c>
      <c r="F4566" s="31">
        <v>988967620</v>
      </c>
    </row>
    <row r="4567" spans="1:6" ht="15" thickBot="1" x14ac:dyDescent="0.2">
      <c r="A4567" s="30" t="s">
        <v>13743</v>
      </c>
      <c r="B4567" s="26" t="str">
        <f t="shared" si="71"/>
        <v>688511</v>
      </c>
      <c r="C4567" s="30" t="s">
        <v>13744</v>
      </c>
      <c r="D4567" s="31">
        <v>9.58</v>
      </c>
      <c r="E4567" s="31">
        <v>-3.82</v>
      </c>
      <c r="F4567" s="31">
        <v>988758770</v>
      </c>
    </row>
    <row r="4568" spans="1:6" ht="15" thickBot="1" x14ac:dyDescent="0.2">
      <c r="A4568" s="30" t="s">
        <v>13745</v>
      </c>
      <c r="B4568" s="26" t="str">
        <f t="shared" si="71"/>
        <v>301218</v>
      </c>
      <c r="C4568" s="30" t="s">
        <v>13746</v>
      </c>
      <c r="D4568" s="31">
        <v>17.34</v>
      </c>
      <c r="E4568" s="31">
        <v>-1.48</v>
      </c>
      <c r="F4568" s="31">
        <v>988589570</v>
      </c>
    </row>
    <row r="4569" spans="1:6" ht="15" thickBot="1" x14ac:dyDescent="0.2">
      <c r="A4569" s="30" t="s">
        <v>13747</v>
      </c>
      <c r="B4569" s="26" t="str">
        <f t="shared" si="71"/>
        <v>301395</v>
      </c>
      <c r="C4569" s="30" t="s">
        <v>13748</v>
      </c>
      <c r="D4569" s="31">
        <v>9.1</v>
      </c>
      <c r="E4569" s="31">
        <v>1.22</v>
      </c>
      <c r="F4569" s="31">
        <v>987604800</v>
      </c>
    </row>
    <row r="4570" spans="1:6" ht="15" thickBot="1" x14ac:dyDescent="0.2">
      <c r="A4570" s="30" t="s">
        <v>13749</v>
      </c>
      <c r="B4570" s="26" t="str">
        <f t="shared" si="71"/>
        <v>603312</v>
      </c>
      <c r="C4570" s="30" t="s">
        <v>13750</v>
      </c>
      <c r="D4570" s="31">
        <v>28.3</v>
      </c>
      <c r="E4570" s="31">
        <v>0.18</v>
      </c>
      <c r="F4570" s="31">
        <v>987289700</v>
      </c>
    </row>
    <row r="4571" spans="1:6" ht="15" thickBot="1" x14ac:dyDescent="0.2">
      <c r="A4571" s="30" t="s">
        <v>13751</v>
      </c>
      <c r="B4571" s="26" t="str">
        <f t="shared" si="71"/>
        <v>688075</v>
      </c>
      <c r="C4571" s="30" t="s">
        <v>13752</v>
      </c>
      <c r="D4571" s="31">
        <v>31</v>
      </c>
      <c r="E4571" s="31">
        <v>-3.16</v>
      </c>
      <c r="F4571" s="31">
        <v>984894960</v>
      </c>
    </row>
    <row r="4572" spans="1:6" ht="15" thickBot="1" x14ac:dyDescent="0.2">
      <c r="A4572" s="30" t="s">
        <v>13753</v>
      </c>
      <c r="B4572" s="26" t="str">
        <f t="shared" si="71"/>
        <v>001328</v>
      </c>
      <c r="C4572" s="30" t="s">
        <v>13754</v>
      </c>
      <c r="D4572" s="31">
        <v>22.88</v>
      </c>
      <c r="E4572" s="31">
        <v>3.53</v>
      </c>
      <c r="F4572" s="31">
        <v>984835280</v>
      </c>
    </row>
    <row r="4573" spans="1:6" ht="15" thickBot="1" x14ac:dyDescent="0.2">
      <c r="A4573" s="30" t="s">
        <v>13755</v>
      </c>
      <c r="B4573" s="26" t="str">
        <f t="shared" si="71"/>
        <v>001360</v>
      </c>
      <c r="C4573" s="30" t="s">
        <v>13756</v>
      </c>
      <c r="D4573" s="31">
        <v>11.93</v>
      </c>
      <c r="E4573" s="31">
        <v>-0.83</v>
      </c>
      <c r="F4573" s="31">
        <v>975649070</v>
      </c>
    </row>
    <row r="4574" spans="1:6" ht="15" thickBot="1" x14ac:dyDescent="0.2">
      <c r="A4574" s="30" t="s">
        <v>13757</v>
      </c>
      <c r="B4574" s="26" t="str">
        <f t="shared" si="71"/>
        <v>301232</v>
      </c>
      <c r="C4574" s="30" t="s">
        <v>13758</v>
      </c>
      <c r="D4574" s="31">
        <v>22.28</v>
      </c>
      <c r="E4574" s="31">
        <v>-0.57999999999999996</v>
      </c>
      <c r="F4574" s="31">
        <v>974911860</v>
      </c>
    </row>
    <row r="4575" spans="1:6" ht="15" thickBot="1" x14ac:dyDescent="0.2">
      <c r="A4575" s="30" t="s">
        <v>13759</v>
      </c>
      <c r="B4575" s="26" t="str">
        <f t="shared" si="71"/>
        <v>001218</v>
      </c>
      <c r="C4575" s="30" t="s">
        <v>13760</v>
      </c>
      <c r="D4575" s="31">
        <v>12.83</v>
      </c>
      <c r="E4575" s="31">
        <v>-1.99</v>
      </c>
      <c r="F4575" s="31">
        <v>974384230</v>
      </c>
    </row>
    <row r="4576" spans="1:6" ht="15" thickBot="1" x14ac:dyDescent="0.2">
      <c r="A4576" s="30" t="s">
        <v>13761</v>
      </c>
      <c r="B4576" s="26" t="str">
        <f t="shared" si="71"/>
        <v>605289</v>
      </c>
      <c r="C4576" s="30" t="s">
        <v>13762</v>
      </c>
      <c r="D4576" s="31">
        <v>19.239999999999998</v>
      </c>
      <c r="E4576" s="31">
        <v>0.89</v>
      </c>
      <c r="F4576" s="31">
        <v>973736400</v>
      </c>
    </row>
    <row r="4577" spans="1:6" ht="15" thickBot="1" x14ac:dyDescent="0.2">
      <c r="A4577" s="30" t="s">
        <v>13763</v>
      </c>
      <c r="B4577" s="26" t="str">
        <f t="shared" si="71"/>
        <v>002193</v>
      </c>
      <c r="C4577" s="30" t="s">
        <v>8285</v>
      </c>
      <c r="D4577" s="31">
        <v>3.72</v>
      </c>
      <c r="E4577" s="31">
        <v>-1.59</v>
      </c>
      <c r="F4577" s="31">
        <v>973576270</v>
      </c>
    </row>
    <row r="4578" spans="1:6" ht="15" thickBot="1" x14ac:dyDescent="0.2">
      <c r="A4578" s="30" t="s">
        <v>13764</v>
      </c>
      <c r="B4578" s="26" t="str">
        <f t="shared" si="71"/>
        <v>688367</v>
      </c>
      <c r="C4578" s="30" t="s">
        <v>13765</v>
      </c>
      <c r="D4578" s="31">
        <v>11.14</v>
      </c>
      <c r="E4578" s="31">
        <v>-1.59</v>
      </c>
      <c r="F4578" s="31">
        <v>973225160</v>
      </c>
    </row>
    <row r="4579" spans="1:6" ht="15" thickBot="1" x14ac:dyDescent="0.2">
      <c r="A4579" s="30" t="s">
        <v>13766</v>
      </c>
      <c r="B4579" s="26" t="str">
        <f t="shared" si="71"/>
        <v>301132</v>
      </c>
      <c r="C4579" s="30" t="s">
        <v>13767</v>
      </c>
      <c r="D4579" s="31">
        <v>21.63</v>
      </c>
      <c r="E4579" s="31">
        <v>-1.68</v>
      </c>
      <c r="F4579" s="31">
        <v>973030960</v>
      </c>
    </row>
    <row r="4580" spans="1:6" ht="15" thickBot="1" x14ac:dyDescent="0.2">
      <c r="A4580" s="30" t="s">
        <v>13768</v>
      </c>
      <c r="B4580" s="26" t="str">
        <f t="shared" si="71"/>
        <v>300220</v>
      </c>
      <c r="C4580" s="30" t="s">
        <v>8279</v>
      </c>
      <c r="D4580" s="31">
        <v>6.43</v>
      </c>
      <c r="E4580" s="31">
        <v>-2.4300000000000002</v>
      </c>
      <c r="F4580" s="31">
        <v>971054410</v>
      </c>
    </row>
    <row r="4581" spans="1:6" ht="15" thickBot="1" x14ac:dyDescent="0.2">
      <c r="A4581" s="30" t="s">
        <v>13769</v>
      </c>
      <c r="B4581" s="26" t="str">
        <f t="shared" si="71"/>
        <v>836892</v>
      </c>
      <c r="C4581" s="30" t="s">
        <v>13770</v>
      </c>
      <c r="D4581" s="31">
        <v>7.27</v>
      </c>
      <c r="E4581" s="31">
        <v>-1.76</v>
      </c>
      <c r="F4581" s="31">
        <v>970903720</v>
      </c>
    </row>
    <row r="4582" spans="1:6" ht="15" thickBot="1" x14ac:dyDescent="0.2">
      <c r="A4582" s="30" t="s">
        <v>13771</v>
      </c>
      <c r="B4582" s="26" t="str">
        <f t="shared" si="71"/>
        <v>600768</v>
      </c>
      <c r="C4582" s="30" t="s">
        <v>8307</v>
      </c>
      <c r="D4582" s="31">
        <v>7.25</v>
      </c>
      <c r="E4582" s="31">
        <v>-1.0900000000000001</v>
      </c>
      <c r="F4582" s="31">
        <v>969667200</v>
      </c>
    </row>
    <row r="4583" spans="1:6" ht="15" thickBot="1" x14ac:dyDescent="0.2">
      <c r="A4583" s="30" t="s">
        <v>13772</v>
      </c>
      <c r="B4583" s="26" t="str">
        <f t="shared" si="71"/>
        <v>836208</v>
      </c>
      <c r="C4583" s="30" t="s">
        <v>13773</v>
      </c>
      <c r="D4583" s="31">
        <v>17.5</v>
      </c>
      <c r="E4583" s="31">
        <v>-1.63</v>
      </c>
      <c r="F4583" s="31">
        <v>969165940</v>
      </c>
    </row>
    <row r="4584" spans="1:6" ht="15" thickBot="1" x14ac:dyDescent="0.2">
      <c r="A4584" s="30" t="s">
        <v>13774</v>
      </c>
      <c r="B4584" s="26" t="str">
        <f t="shared" si="71"/>
        <v>003018</v>
      </c>
      <c r="C4584" s="30" t="s">
        <v>7137</v>
      </c>
      <c r="D4584" s="31">
        <v>7.28</v>
      </c>
      <c r="E4584" s="31">
        <v>-0.95</v>
      </c>
      <c r="F4584" s="31">
        <v>966422000</v>
      </c>
    </row>
    <row r="4585" spans="1:6" ht="15" thickBot="1" x14ac:dyDescent="0.2">
      <c r="A4585" s="30" t="s">
        <v>13775</v>
      </c>
      <c r="B4585" s="26" t="str">
        <f t="shared" si="71"/>
        <v>688307</v>
      </c>
      <c r="C4585" s="30" t="s">
        <v>13776</v>
      </c>
      <c r="D4585" s="31">
        <v>16.940000000000001</v>
      </c>
      <c r="E4585" s="31">
        <v>-1.17</v>
      </c>
      <c r="F4585" s="31">
        <v>966415510</v>
      </c>
    </row>
    <row r="4586" spans="1:6" ht="15" thickBot="1" x14ac:dyDescent="0.2">
      <c r="A4586" s="30" t="s">
        <v>13777</v>
      </c>
      <c r="B4586" s="26" t="str">
        <f t="shared" si="71"/>
        <v>688112</v>
      </c>
      <c r="C4586" s="30" t="s">
        <v>13778</v>
      </c>
      <c r="D4586" s="31">
        <v>21</v>
      </c>
      <c r="E4586" s="31">
        <v>-3.05</v>
      </c>
      <c r="F4586" s="31">
        <v>964910080</v>
      </c>
    </row>
    <row r="4587" spans="1:6" ht="15" thickBot="1" x14ac:dyDescent="0.2">
      <c r="A4587" s="30" t="s">
        <v>13779</v>
      </c>
      <c r="B4587" s="26" t="str">
        <f t="shared" si="71"/>
        <v>002798</v>
      </c>
      <c r="C4587" s="30" t="s">
        <v>8149</v>
      </c>
      <c r="D4587" s="31">
        <v>3.06</v>
      </c>
      <c r="E4587" s="31">
        <v>-1.29</v>
      </c>
      <c r="F4587" s="31">
        <v>964703980</v>
      </c>
    </row>
    <row r="4588" spans="1:6" ht="15" thickBot="1" x14ac:dyDescent="0.2">
      <c r="A4588" s="30" t="s">
        <v>13780</v>
      </c>
      <c r="B4588" s="26" t="str">
        <f t="shared" si="71"/>
        <v>603316</v>
      </c>
      <c r="C4588" s="30" t="s">
        <v>8295</v>
      </c>
      <c r="D4588" s="31">
        <v>3.65</v>
      </c>
      <c r="E4588" s="31">
        <v>-1.88</v>
      </c>
      <c r="F4588" s="31">
        <v>964563600</v>
      </c>
    </row>
    <row r="4589" spans="1:6" ht="15" thickBot="1" x14ac:dyDescent="0.2">
      <c r="A4589" s="30" t="s">
        <v>13781</v>
      </c>
      <c r="B4589" s="26" t="str">
        <f t="shared" si="71"/>
        <v>002921</v>
      </c>
      <c r="C4589" s="30" t="s">
        <v>8151</v>
      </c>
      <c r="D4589" s="31">
        <v>8.73</v>
      </c>
      <c r="E4589" s="31">
        <v>-2.13</v>
      </c>
      <c r="F4589" s="31">
        <v>964095720</v>
      </c>
    </row>
    <row r="4590" spans="1:6" ht="15" thickBot="1" x14ac:dyDescent="0.2">
      <c r="A4590" s="30" t="s">
        <v>13782</v>
      </c>
      <c r="B4590" s="26" t="str">
        <f t="shared" si="71"/>
        <v>300385</v>
      </c>
      <c r="C4590" s="30" t="s">
        <v>8203</v>
      </c>
      <c r="D4590" s="31">
        <v>3.33</v>
      </c>
      <c r="E4590" s="31">
        <v>-2.06</v>
      </c>
      <c r="F4590" s="31">
        <v>964015460</v>
      </c>
    </row>
    <row r="4591" spans="1:6" ht="15" thickBot="1" x14ac:dyDescent="0.2">
      <c r="A4591" s="30" t="s">
        <v>13783</v>
      </c>
      <c r="B4591" s="26" t="str">
        <f t="shared" si="71"/>
        <v>001211</v>
      </c>
      <c r="C4591" s="30" t="s">
        <v>13784</v>
      </c>
      <c r="D4591" s="31">
        <v>13.91</v>
      </c>
      <c r="E4591" s="31">
        <v>-2.4500000000000002</v>
      </c>
      <c r="F4591" s="31">
        <v>963390130</v>
      </c>
    </row>
    <row r="4592" spans="1:6" ht="15" thickBot="1" x14ac:dyDescent="0.2">
      <c r="A4592" s="30" t="s">
        <v>13785</v>
      </c>
      <c r="B4592" s="26" t="str">
        <f t="shared" si="71"/>
        <v>300658</v>
      </c>
      <c r="C4592" s="30" t="s">
        <v>7889</v>
      </c>
      <c r="D4592" s="31">
        <v>4.26</v>
      </c>
      <c r="E4592" s="31">
        <v>-1.39</v>
      </c>
      <c r="F4592" s="31">
        <v>960216930</v>
      </c>
    </row>
    <row r="4593" spans="1:6" ht="15" thickBot="1" x14ac:dyDescent="0.2">
      <c r="A4593" s="30" t="s">
        <v>13786</v>
      </c>
      <c r="B4593" s="26" t="str">
        <f t="shared" si="71"/>
        <v>603122</v>
      </c>
      <c r="C4593" s="30" t="s">
        <v>13787</v>
      </c>
      <c r="D4593" s="31">
        <v>5.36</v>
      </c>
      <c r="E4593" s="31">
        <v>-4.46</v>
      </c>
      <c r="F4593" s="31">
        <v>960055050</v>
      </c>
    </row>
    <row r="4594" spans="1:6" ht="15" thickBot="1" x14ac:dyDescent="0.2">
      <c r="A4594" s="30" t="s">
        <v>13788</v>
      </c>
      <c r="B4594" s="26" t="str">
        <f t="shared" si="71"/>
        <v>603880</v>
      </c>
      <c r="C4594" s="30" t="s">
        <v>8291</v>
      </c>
      <c r="D4594" s="31">
        <v>3.32</v>
      </c>
      <c r="E4594" s="31">
        <v>-2.35</v>
      </c>
      <c r="F4594" s="31">
        <v>959619440</v>
      </c>
    </row>
    <row r="4595" spans="1:6" ht="15" thickBot="1" x14ac:dyDescent="0.2">
      <c r="A4595" s="30" t="s">
        <v>13789</v>
      </c>
      <c r="B4595" s="26" t="str">
        <f t="shared" si="71"/>
        <v>300838</v>
      </c>
      <c r="C4595" s="30" t="s">
        <v>7989</v>
      </c>
      <c r="D4595" s="31">
        <v>9.4700000000000006</v>
      </c>
      <c r="E4595" s="31">
        <v>-1.46</v>
      </c>
      <c r="F4595" s="31">
        <v>959591550</v>
      </c>
    </row>
    <row r="4596" spans="1:6" ht="15" thickBot="1" x14ac:dyDescent="0.2">
      <c r="A4596" s="30" t="s">
        <v>13790</v>
      </c>
      <c r="B4596" s="26" t="str">
        <f t="shared" si="71"/>
        <v>002871</v>
      </c>
      <c r="C4596" s="30" t="s">
        <v>7515</v>
      </c>
      <c r="D4596" s="31">
        <v>8.01</v>
      </c>
      <c r="E4596" s="31">
        <v>-5.88</v>
      </c>
      <c r="F4596" s="31">
        <v>956882390</v>
      </c>
    </row>
    <row r="4597" spans="1:6" ht="15" thickBot="1" x14ac:dyDescent="0.2">
      <c r="A4597" s="30" t="s">
        <v>13791</v>
      </c>
      <c r="B4597" s="26" t="str">
        <f t="shared" si="71"/>
        <v>301389</v>
      </c>
      <c r="C4597" s="30" t="s">
        <v>13792</v>
      </c>
      <c r="D4597" s="31">
        <v>11.65</v>
      </c>
      <c r="E4597" s="31">
        <v>-2.02</v>
      </c>
      <c r="F4597" s="31">
        <v>956197600</v>
      </c>
    </row>
    <row r="4598" spans="1:6" ht="15" thickBot="1" x14ac:dyDescent="0.2">
      <c r="A4598" s="30" t="s">
        <v>13793</v>
      </c>
      <c r="B4598" s="26" t="str">
        <f t="shared" si="71"/>
        <v>688156</v>
      </c>
      <c r="C4598" s="30" t="s">
        <v>8273</v>
      </c>
      <c r="D4598" s="31">
        <v>10.35</v>
      </c>
      <c r="E4598" s="31">
        <v>-0.48</v>
      </c>
      <c r="F4598" s="31">
        <v>956068420</v>
      </c>
    </row>
    <row r="4599" spans="1:6" ht="15" thickBot="1" x14ac:dyDescent="0.2">
      <c r="A4599" s="30" t="s">
        <v>13794</v>
      </c>
      <c r="B4599" s="26" t="str">
        <f t="shared" si="71"/>
        <v>301283</v>
      </c>
      <c r="C4599" s="30" t="s">
        <v>13795</v>
      </c>
      <c r="D4599" s="31">
        <v>21.03</v>
      </c>
      <c r="E4599" s="31">
        <v>-1.78</v>
      </c>
      <c r="F4599" s="31">
        <v>955899280</v>
      </c>
    </row>
    <row r="4600" spans="1:6" ht="15" thickBot="1" x14ac:dyDescent="0.2">
      <c r="A4600" s="30" t="s">
        <v>13796</v>
      </c>
      <c r="B4600" s="26" t="str">
        <f t="shared" si="71"/>
        <v>000668</v>
      </c>
      <c r="C4600" s="30" t="s">
        <v>8281</v>
      </c>
      <c r="D4600" s="31">
        <v>6.5</v>
      </c>
      <c r="E4600" s="31">
        <v>-1.37</v>
      </c>
      <c r="F4600" s="31">
        <v>954472290</v>
      </c>
    </row>
    <row r="4601" spans="1:6" ht="15" thickBot="1" x14ac:dyDescent="0.2">
      <c r="A4601" s="30" t="s">
        <v>13797</v>
      </c>
      <c r="B4601" s="26" t="str">
        <f t="shared" si="71"/>
        <v>002713</v>
      </c>
      <c r="C4601" s="30" t="s">
        <v>8275</v>
      </c>
      <c r="D4601" s="31">
        <v>2.3199999999999998</v>
      </c>
      <c r="E4601" s="31">
        <v>-0.86</v>
      </c>
      <c r="F4601" s="31">
        <v>954364080</v>
      </c>
    </row>
    <row r="4602" spans="1:6" ht="15" thickBot="1" x14ac:dyDescent="0.2">
      <c r="A4602" s="30" t="s">
        <v>13798</v>
      </c>
      <c r="B4602" s="26" t="str">
        <f t="shared" si="71"/>
        <v>300931</v>
      </c>
      <c r="C4602" s="30" t="s">
        <v>8137</v>
      </c>
      <c r="D4602" s="31">
        <v>4.8600000000000003</v>
      </c>
      <c r="E4602" s="31">
        <v>-1.82</v>
      </c>
      <c r="F4602" s="31">
        <v>954309180</v>
      </c>
    </row>
    <row r="4603" spans="1:6" ht="15" thickBot="1" x14ac:dyDescent="0.2">
      <c r="A4603" s="30" t="s">
        <v>13799</v>
      </c>
      <c r="B4603" s="26" t="str">
        <f t="shared" si="71"/>
        <v>002188</v>
      </c>
      <c r="C4603" s="30" t="s">
        <v>8181</v>
      </c>
      <c r="D4603" s="31">
        <v>3.96</v>
      </c>
      <c r="E4603" s="31">
        <v>-0.75</v>
      </c>
      <c r="F4603" s="31">
        <v>953996850</v>
      </c>
    </row>
    <row r="4604" spans="1:6" ht="15" thickBot="1" x14ac:dyDescent="0.2">
      <c r="A4604" s="30" t="s">
        <v>13800</v>
      </c>
      <c r="B4604" s="26" t="str">
        <f t="shared" si="71"/>
        <v>688137</v>
      </c>
      <c r="C4604" s="30" t="s">
        <v>13801</v>
      </c>
      <c r="D4604" s="31">
        <v>29.7</v>
      </c>
      <c r="E4604" s="31">
        <v>0.51</v>
      </c>
      <c r="F4604" s="31">
        <v>953679330</v>
      </c>
    </row>
    <row r="4605" spans="1:6" ht="15" thickBot="1" x14ac:dyDescent="0.2">
      <c r="A4605" s="30" t="s">
        <v>13802</v>
      </c>
      <c r="B4605" s="26" t="str">
        <f t="shared" si="71"/>
        <v>002247</v>
      </c>
      <c r="C4605" s="30" t="s">
        <v>8063</v>
      </c>
      <c r="D4605" s="31">
        <v>1.48</v>
      </c>
      <c r="E4605" s="31">
        <v>-0.67</v>
      </c>
      <c r="F4605" s="31">
        <v>952440190</v>
      </c>
    </row>
    <row r="4606" spans="1:6" ht="15" thickBot="1" x14ac:dyDescent="0.2">
      <c r="A4606" s="30" t="s">
        <v>13803</v>
      </c>
      <c r="B4606" s="26" t="str">
        <f t="shared" si="71"/>
        <v>430418</v>
      </c>
      <c r="C4606" s="30" t="s">
        <v>7459</v>
      </c>
      <c r="D4606" s="31">
        <v>13.3</v>
      </c>
      <c r="E4606" s="31">
        <v>-1.19</v>
      </c>
      <c r="F4606" s="31">
        <v>952273670</v>
      </c>
    </row>
    <row r="4607" spans="1:6" ht="15" thickBot="1" x14ac:dyDescent="0.2">
      <c r="A4607" s="30" t="s">
        <v>13804</v>
      </c>
      <c r="B4607" s="26" t="str">
        <f t="shared" si="71"/>
        <v>300970</v>
      </c>
      <c r="C4607" s="30" t="s">
        <v>13805</v>
      </c>
      <c r="D4607" s="31">
        <v>10.49</v>
      </c>
      <c r="E4607" s="31">
        <v>-2.2400000000000002</v>
      </c>
      <c r="F4607" s="31">
        <v>951937380</v>
      </c>
    </row>
    <row r="4608" spans="1:6" ht="15" thickBot="1" x14ac:dyDescent="0.2">
      <c r="A4608" s="30" t="s">
        <v>13806</v>
      </c>
      <c r="B4608" s="26" t="str">
        <f t="shared" si="71"/>
        <v>301292</v>
      </c>
      <c r="C4608" s="30" t="s">
        <v>13807</v>
      </c>
      <c r="D4608" s="31">
        <v>11.21</v>
      </c>
      <c r="E4608" s="31">
        <v>-2.1</v>
      </c>
      <c r="F4608" s="31">
        <v>950489620</v>
      </c>
    </row>
    <row r="4609" spans="1:6" ht="15" thickBot="1" x14ac:dyDescent="0.2">
      <c r="A4609" s="30" t="s">
        <v>13808</v>
      </c>
      <c r="B4609" s="26" t="str">
        <f t="shared" si="71"/>
        <v>301068</v>
      </c>
      <c r="C4609" s="30" t="s">
        <v>13809</v>
      </c>
      <c r="D4609" s="31">
        <v>18.45</v>
      </c>
      <c r="E4609" s="31">
        <v>-2.38</v>
      </c>
      <c r="F4609" s="31">
        <v>945743480</v>
      </c>
    </row>
    <row r="4610" spans="1:6" ht="15" thickBot="1" x14ac:dyDescent="0.2">
      <c r="A4610" s="30" t="s">
        <v>13810</v>
      </c>
      <c r="B4610" s="26" t="str">
        <f t="shared" si="71"/>
        <v>301516</v>
      </c>
      <c r="C4610" s="30" t="s">
        <v>13811</v>
      </c>
      <c r="D4610" s="31">
        <v>14.48</v>
      </c>
      <c r="E4610" s="31">
        <v>-1.5</v>
      </c>
      <c r="F4610" s="31">
        <v>945679470</v>
      </c>
    </row>
    <row r="4611" spans="1:6" ht="15" thickBot="1" x14ac:dyDescent="0.2">
      <c r="A4611" s="30" t="s">
        <v>13812</v>
      </c>
      <c r="B4611" s="26" t="str">
        <f t="shared" ref="B4611:B4674" si="72">LEFT(A4611,6)</f>
        <v>001282</v>
      </c>
      <c r="C4611" s="30" t="s">
        <v>13813</v>
      </c>
      <c r="D4611" s="31">
        <v>16.899999999999999</v>
      </c>
      <c r="E4611" s="31">
        <v>-0.3</v>
      </c>
      <c r="F4611" s="31">
        <v>943560800</v>
      </c>
    </row>
    <row r="4612" spans="1:6" ht="15" thickBot="1" x14ac:dyDescent="0.2">
      <c r="A4612" s="30" t="s">
        <v>13814</v>
      </c>
      <c r="B4612" s="26" t="str">
        <f t="shared" si="72"/>
        <v>301396</v>
      </c>
      <c r="C4612" s="30" t="s">
        <v>13815</v>
      </c>
      <c r="D4612" s="31">
        <v>18.489999999999998</v>
      </c>
      <c r="E4612" s="31">
        <v>-1.54</v>
      </c>
      <c r="F4612" s="31">
        <v>941948990</v>
      </c>
    </row>
    <row r="4613" spans="1:6" ht="15" thickBot="1" x14ac:dyDescent="0.2">
      <c r="A4613" s="30" t="s">
        <v>13816</v>
      </c>
      <c r="B4613" s="26" t="str">
        <f t="shared" si="72"/>
        <v>603955</v>
      </c>
      <c r="C4613" s="30" t="s">
        <v>8293</v>
      </c>
      <c r="D4613" s="31">
        <v>6.94</v>
      </c>
      <c r="E4613" s="31">
        <v>-2.39</v>
      </c>
      <c r="F4613" s="31">
        <v>941896800</v>
      </c>
    </row>
    <row r="4614" spans="1:6" ht="15" thickBot="1" x14ac:dyDescent="0.2">
      <c r="A4614" s="30" t="s">
        <v>13817</v>
      </c>
      <c r="B4614" s="26" t="str">
        <f t="shared" si="72"/>
        <v>603182</v>
      </c>
      <c r="C4614" s="30" t="s">
        <v>13818</v>
      </c>
      <c r="D4614" s="31">
        <v>10.11</v>
      </c>
      <c r="E4614" s="31">
        <v>-0.79</v>
      </c>
      <c r="F4614" s="31">
        <v>941025370</v>
      </c>
    </row>
    <row r="4615" spans="1:6" ht="15" thickBot="1" x14ac:dyDescent="0.2">
      <c r="A4615" s="30" t="s">
        <v>13819</v>
      </c>
      <c r="B4615" s="26" t="str">
        <f t="shared" si="72"/>
        <v>605303</v>
      </c>
      <c r="C4615" s="30" t="s">
        <v>8303</v>
      </c>
      <c r="D4615" s="31">
        <v>5.83</v>
      </c>
      <c r="E4615" s="31">
        <v>-2.35</v>
      </c>
      <c r="F4615" s="31">
        <v>940014090</v>
      </c>
    </row>
    <row r="4616" spans="1:6" ht="15" thickBot="1" x14ac:dyDescent="0.2">
      <c r="A4616" s="30" t="s">
        <v>13820</v>
      </c>
      <c r="B4616" s="26" t="str">
        <f t="shared" si="72"/>
        <v>603215</v>
      </c>
      <c r="C4616" s="30" t="s">
        <v>13821</v>
      </c>
      <c r="D4616" s="31">
        <v>13.23</v>
      </c>
      <c r="E4616" s="31">
        <v>0.61</v>
      </c>
      <c r="F4616" s="31">
        <v>939760370</v>
      </c>
    </row>
    <row r="4617" spans="1:6" ht="15" thickBot="1" x14ac:dyDescent="0.2">
      <c r="A4617" s="30" t="s">
        <v>13822</v>
      </c>
      <c r="B4617" s="26" t="str">
        <f t="shared" si="72"/>
        <v>301126</v>
      </c>
      <c r="C4617" s="30" t="s">
        <v>7315</v>
      </c>
      <c r="D4617" s="31">
        <v>8.64</v>
      </c>
      <c r="E4617" s="31">
        <v>-2.48</v>
      </c>
      <c r="F4617" s="31">
        <v>938487290</v>
      </c>
    </row>
    <row r="4618" spans="1:6" ht="15" thickBot="1" x14ac:dyDescent="0.2">
      <c r="A4618" s="30" t="s">
        <v>13823</v>
      </c>
      <c r="B4618" s="26" t="str">
        <f t="shared" si="72"/>
        <v>001202</v>
      </c>
      <c r="C4618" s="30" t="s">
        <v>7975</v>
      </c>
      <c r="D4618" s="31">
        <v>10.37</v>
      </c>
      <c r="E4618" s="31">
        <v>-2.2599999999999998</v>
      </c>
      <c r="F4618" s="31">
        <v>937869540</v>
      </c>
    </row>
    <row r="4619" spans="1:6" ht="15" thickBot="1" x14ac:dyDescent="0.2">
      <c r="A4619" s="30" t="s">
        <v>13824</v>
      </c>
      <c r="B4619" s="26" t="str">
        <f t="shared" si="72"/>
        <v>301187</v>
      </c>
      <c r="C4619" s="30" t="s">
        <v>13825</v>
      </c>
      <c r="D4619" s="31">
        <v>19.579999999999998</v>
      </c>
      <c r="E4619" s="31">
        <v>0.15</v>
      </c>
      <c r="F4619" s="31">
        <v>937377270</v>
      </c>
    </row>
    <row r="4620" spans="1:6" ht="15" thickBot="1" x14ac:dyDescent="0.2">
      <c r="A4620" s="30" t="s">
        <v>13826</v>
      </c>
      <c r="B4620" s="26" t="str">
        <f t="shared" si="72"/>
        <v>603004</v>
      </c>
      <c r="C4620" s="30" t="s">
        <v>13827</v>
      </c>
      <c r="D4620" s="31">
        <v>15.89</v>
      </c>
      <c r="E4620" s="31">
        <v>-3.05</v>
      </c>
      <c r="F4620" s="31">
        <v>935603200</v>
      </c>
    </row>
    <row r="4621" spans="1:6" ht="15" thickBot="1" x14ac:dyDescent="0.2">
      <c r="A4621" s="30" t="s">
        <v>13828</v>
      </c>
      <c r="B4621" s="26" t="str">
        <f t="shared" si="72"/>
        <v>301355</v>
      </c>
      <c r="C4621" s="30" t="s">
        <v>13829</v>
      </c>
      <c r="D4621" s="31">
        <v>9.6300000000000008</v>
      </c>
      <c r="E4621" s="31">
        <v>-0.72</v>
      </c>
      <c r="F4621" s="31">
        <v>934186350</v>
      </c>
    </row>
    <row r="4622" spans="1:6" ht="15" thickBot="1" x14ac:dyDescent="0.2">
      <c r="A4622" s="30" t="s">
        <v>13830</v>
      </c>
      <c r="B4622" s="26" t="str">
        <f t="shared" si="72"/>
        <v>300564</v>
      </c>
      <c r="C4622" s="30" t="s">
        <v>7973</v>
      </c>
      <c r="D4622" s="31">
        <v>8.24</v>
      </c>
      <c r="E4622" s="31">
        <v>-2.95</v>
      </c>
      <c r="F4622" s="31">
        <v>932729680</v>
      </c>
    </row>
    <row r="4623" spans="1:6" ht="15" thickBot="1" x14ac:dyDescent="0.2">
      <c r="A4623" s="30" t="s">
        <v>13831</v>
      </c>
      <c r="B4623" s="26" t="str">
        <f t="shared" si="72"/>
        <v>301565</v>
      </c>
      <c r="C4623" s="30" t="s">
        <v>13832</v>
      </c>
      <c r="D4623" s="31">
        <v>16.54</v>
      </c>
      <c r="E4623" s="31">
        <v>-1.84</v>
      </c>
      <c r="F4623" s="31">
        <v>931953330</v>
      </c>
    </row>
    <row r="4624" spans="1:6" ht="15" thickBot="1" x14ac:dyDescent="0.2">
      <c r="A4624" s="30" t="s">
        <v>13833</v>
      </c>
      <c r="B4624" s="26" t="str">
        <f t="shared" si="72"/>
        <v>300813</v>
      </c>
      <c r="C4624" s="30" t="s">
        <v>7307</v>
      </c>
      <c r="D4624" s="31">
        <v>16.12</v>
      </c>
      <c r="E4624" s="31">
        <v>-2.0699999999999998</v>
      </c>
      <c r="F4624" s="31">
        <v>929861940</v>
      </c>
    </row>
    <row r="4625" spans="1:6" ht="15" thickBot="1" x14ac:dyDescent="0.2">
      <c r="A4625" s="30" t="s">
        <v>13834</v>
      </c>
      <c r="B4625" s="26" t="str">
        <f t="shared" si="72"/>
        <v>688353</v>
      </c>
      <c r="C4625" s="30" t="s">
        <v>13835</v>
      </c>
      <c r="D4625" s="31">
        <v>14.82</v>
      </c>
      <c r="E4625" s="31">
        <v>-0.67</v>
      </c>
      <c r="F4625" s="31">
        <v>926463300</v>
      </c>
    </row>
    <row r="4626" spans="1:6" ht="15" thickBot="1" x14ac:dyDescent="0.2">
      <c r="A4626" s="30" t="s">
        <v>13836</v>
      </c>
      <c r="B4626" s="26" t="str">
        <f t="shared" si="72"/>
        <v>301515</v>
      </c>
      <c r="C4626" s="30" t="s">
        <v>13837</v>
      </c>
      <c r="D4626" s="31">
        <v>15.47</v>
      </c>
      <c r="E4626" s="31">
        <v>-2.77</v>
      </c>
      <c r="F4626" s="31">
        <v>924119790</v>
      </c>
    </row>
    <row r="4627" spans="1:6" ht="15" thickBot="1" x14ac:dyDescent="0.2">
      <c r="A4627" s="30" t="s">
        <v>13838</v>
      </c>
      <c r="B4627" s="26" t="str">
        <f t="shared" si="72"/>
        <v>830879</v>
      </c>
      <c r="C4627" s="30" t="s">
        <v>8219</v>
      </c>
      <c r="D4627" s="31">
        <v>8.0399999999999991</v>
      </c>
      <c r="E4627" s="31">
        <v>-1.71</v>
      </c>
      <c r="F4627" s="31">
        <v>923655280</v>
      </c>
    </row>
    <row r="4628" spans="1:6" ht="15" thickBot="1" x14ac:dyDescent="0.2">
      <c r="A4628" s="30" t="s">
        <v>13839</v>
      </c>
      <c r="B4628" s="26" t="str">
        <f t="shared" si="72"/>
        <v>838163</v>
      </c>
      <c r="C4628" s="30" t="s">
        <v>7153</v>
      </c>
      <c r="D4628" s="31">
        <v>15.04</v>
      </c>
      <c r="E4628" s="31">
        <v>-0.4</v>
      </c>
      <c r="F4628" s="31">
        <v>923116620</v>
      </c>
    </row>
    <row r="4629" spans="1:6" ht="15" thickBot="1" x14ac:dyDescent="0.2">
      <c r="A4629" s="30" t="s">
        <v>13840</v>
      </c>
      <c r="B4629" s="26" t="str">
        <f t="shared" si="72"/>
        <v>688203</v>
      </c>
      <c r="C4629" s="30" t="s">
        <v>13841</v>
      </c>
      <c r="D4629" s="31">
        <v>7.84</v>
      </c>
      <c r="E4629" s="31">
        <v>-2.12</v>
      </c>
      <c r="F4629" s="31">
        <v>922986790</v>
      </c>
    </row>
    <row r="4630" spans="1:6" ht="15" thickBot="1" x14ac:dyDescent="0.2">
      <c r="A4630" s="30" t="s">
        <v>13842</v>
      </c>
      <c r="B4630" s="26" t="str">
        <f t="shared" si="72"/>
        <v>301111</v>
      </c>
      <c r="C4630" s="30" t="s">
        <v>13843</v>
      </c>
      <c r="D4630" s="31">
        <v>13.15</v>
      </c>
      <c r="E4630" s="31">
        <v>-2.23</v>
      </c>
      <c r="F4630" s="31">
        <v>922321010</v>
      </c>
    </row>
    <row r="4631" spans="1:6" ht="15" thickBot="1" x14ac:dyDescent="0.2">
      <c r="A4631" s="30" t="s">
        <v>13844</v>
      </c>
      <c r="B4631" s="26" t="str">
        <f t="shared" si="72"/>
        <v>301272</v>
      </c>
      <c r="C4631" s="30" t="s">
        <v>13845</v>
      </c>
      <c r="D4631" s="31">
        <v>29.15</v>
      </c>
      <c r="E4631" s="31">
        <v>-2.15</v>
      </c>
      <c r="F4631" s="31">
        <v>921734660</v>
      </c>
    </row>
    <row r="4632" spans="1:6" ht="15" thickBot="1" x14ac:dyDescent="0.2">
      <c r="A4632" s="30" t="s">
        <v>13846</v>
      </c>
      <c r="B4632" s="26" t="str">
        <f t="shared" si="72"/>
        <v>688681</v>
      </c>
      <c r="C4632" s="30" t="s">
        <v>8313</v>
      </c>
      <c r="D4632" s="31">
        <v>8.7799999999999994</v>
      </c>
      <c r="E4632" s="31">
        <v>-1.1299999999999999</v>
      </c>
      <c r="F4632" s="31">
        <v>919002600</v>
      </c>
    </row>
    <row r="4633" spans="1:6" ht="15" thickBot="1" x14ac:dyDescent="0.2">
      <c r="A4633" s="30" t="s">
        <v>13847</v>
      </c>
      <c r="B4633" s="26" t="str">
        <f t="shared" si="72"/>
        <v>300980</v>
      </c>
      <c r="C4633" s="30" t="s">
        <v>7755</v>
      </c>
      <c r="D4633" s="31">
        <v>13.46</v>
      </c>
      <c r="E4633" s="31">
        <v>-2.89</v>
      </c>
      <c r="F4633" s="31">
        <v>917004020</v>
      </c>
    </row>
    <row r="4634" spans="1:6" ht="15" thickBot="1" x14ac:dyDescent="0.2">
      <c r="A4634" s="30" t="s">
        <v>13848</v>
      </c>
      <c r="B4634" s="26" t="str">
        <f t="shared" si="72"/>
        <v>300935</v>
      </c>
      <c r="C4634" s="30" t="s">
        <v>8095</v>
      </c>
      <c r="D4634" s="31">
        <v>15.2</v>
      </c>
      <c r="E4634" s="31">
        <v>-3.37</v>
      </c>
      <c r="F4634" s="31">
        <v>916159560</v>
      </c>
    </row>
    <row r="4635" spans="1:6" ht="15" thickBot="1" x14ac:dyDescent="0.2">
      <c r="A4635" s="30" t="s">
        <v>13849</v>
      </c>
      <c r="B4635" s="26" t="str">
        <f t="shared" si="72"/>
        <v>300998</v>
      </c>
      <c r="C4635" s="30" t="s">
        <v>13850</v>
      </c>
      <c r="D4635" s="31">
        <v>12.4</v>
      </c>
      <c r="E4635" s="31">
        <v>-2.44</v>
      </c>
      <c r="F4635" s="31">
        <v>915623190</v>
      </c>
    </row>
    <row r="4636" spans="1:6" ht="15" thickBot="1" x14ac:dyDescent="0.2">
      <c r="A4636" s="30" t="s">
        <v>13851</v>
      </c>
      <c r="B4636" s="26" t="str">
        <f t="shared" si="72"/>
        <v>300876</v>
      </c>
      <c r="C4636" s="30" t="s">
        <v>8011</v>
      </c>
      <c r="D4636" s="31">
        <v>13.38</v>
      </c>
      <c r="E4636" s="31">
        <v>-2.62</v>
      </c>
      <c r="F4636" s="31">
        <v>915021270</v>
      </c>
    </row>
    <row r="4637" spans="1:6" ht="15" thickBot="1" x14ac:dyDescent="0.2">
      <c r="A4637" s="30" t="s">
        <v>13852</v>
      </c>
      <c r="B4637" s="26" t="str">
        <f t="shared" si="72"/>
        <v>002591</v>
      </c>
      <c r="C4637" s="30" t="s">
        <v>8087</v>
      </c>
      <c r="D4637" s="31">
        <v>4.08</v>
      </c>
      <c r="E4637" s="31">
        <v>-2.63</v>
      </c>
      <c r="F4637" s="31">
        <v>911961440</v>
      </c>
    </row>
    <row r="4638" spans="1:6" ht="15" thickBot="1" x14ac:dyDescent="0.2">
      <c r="A4638" s="30" t="s">
        <v>13853</v>
      </c>
      <c r="B4638" s="26" t="str">
        <f t="shared" si="72"/>
        <v>605567</v>
      </c>
      <c r="C4638" s="30" t="s">
        <v>13854</v>
      </c>
      <c r="D4638" s="31">
        <v>7.37</v>
      </c>
      <c r="E4638" s="31">
        <v>-1.34</v>
      </c>
      <c r="F4638" s="31">
        <v>910843930</v>
      </c>
    </row>
    <row r="4639" spans="1:6" ht="15" thickBot="1" x14ac:dyDescent="0.2">
      <c r="A4639" s="30" t="s">
        <v>13855</v>
      </c>
      <c r="B4639" s="26" t="str">
        <f t="shared" si="72"/>
        <v>301380</v>
      </c>
      <c r="C4639" s="30" t="s">
        <v>13856</v>
      </c>
      <c r="D4639" s="31">
        <v>30.13</v>
      </c>
      <c r="E4639" s="31">
        <v>-2.11</v>
      </c>
      <c r="F4639" s="31">
        <v>908627310</v>
      </c>
    </row>
    <row r="4640" spans="1:6" ht="15" thickBot="1" x14ac:dyDescent="0.2">
      <c r="A4640" s="30" t="s">
        <v>13857</v>
      </c>
      <c r="B4640" s="26" t="str">
        <f t="shared" si="72"/>
        <v>301319</v>
      </c>
      <c r="C4640" s="30" t="s">
        <v>13858</v>
      </c>
      <c r="D4640" s="31">
        <v>23.47</v>
      </c>
      <c r="E4640" s="31">
        <v>-0.64</v>
      </c>
      <c r="F4640" s="31">
        <v>906905160</v>
      </c>
    </row>
    <row r="4641" spans="1:6" ht="15" thickBot="1" x14ac:dyDescent="0.2">
      <c r="A4641" s="30" t="s">
        <v>13859</v>
      </c>
      <c r="B4641" s="26" t="str">
        <f t="shared" si="72"/>
        <v>301329</v>
      </c>
      <c r="C4641" s="30" t="s">
        <v>13860</v>
      </c>
      <c r="D4641" s="31">
        <v>15.12</v>
      </c>
      <c r="E4641" s="31">
        <v>-0.79</v>
      </c>
      <c r="F4641" s="31">
        <v>906353280</v>
      </c>
    </row>
    <row r="4642" spans="1:6" ht="15" thickBot="1" x14ac:dyDescent="0.2">
      <c r="A4642" s="30" t="s">
        <v>13861</v>
      </c>
      <c r="B4642" s="26" t="str">
        <f t="shared" si="72"/>
        <v>688115</v>
      </c>
      <c r="C4642" s="30" t="s">
        <v>13862</v>
      </c>
      <c r="D4642" s="31">
        <v>21.5</v>
      </c>
      <c r="E4642" s="30" t="s">
        <v>8665</v>
      </c>
      <c r="F4642" s="31">
        <v>905999250</v>
      </c>
    </row>
    <row r="4643" spans="1:6" ht="15" thickBot="1" x14ac:dyDescent="0.2">
      <c r="A4643" s="30" t="s">
        <v>13863</v>
      </c>
      <c r="B4643" s="26" t="str">
        <f t="shared" si="72"/>
        <v>001228</v>
      </c>
      <c r="C4643" s="30" t="s">
        <v>13864</v>
      </c>
      <c r="D4643" s="31">
        <v>16.510000000000002</v>
      </c>
      <c r="E4643" s="31">
        <v>-0.24</v>
      </c>
      <c r="F4643" s="31">
        <v>905814690</v>
      </c>
    </row>
    <row r="4644" spans="1:6" ht="15" thickBot="1" x14ac:dyDescent="0.2">
      <c r="A4644" s="30" t="s">
        <v>13865</v>
      </c>
      <c r="B4644" s="26" t="str">
        <f t="shared" si="72"/>
        <v>000010</v>
      </c>
      <c r="C4644" s="30" t="s">
        <v>7147</v>
      </c>
      <c r="D4644" s="31">
        <v>1.72</v>
      </c>
      <c r="E4644" s="31">
        <v>0.59</v>
      </c>
      <c r="F4644" s="31">
        <v>904636340</v>
      </c>
    </row>
    <row r="4645" spans="1:6" ht="15" thickBot="1" x14ac:dyDescent="0.2">
      <c r="A4645" s="30" t="s">
        <v>13866</v>
      </c>
      <c r="B4645" s="26" t="str">
        <f t="shared" si="72"/>
        <v>300649</v>
      </c>
      <c r="C4645" s="30" t="s">
        <v>8175</v>
      </c>
      <c r="D4645" s="31">
        <v>8.52</v>
      </c>
      <c r="E4645" s="31">
        <v>-3.29</v>
      </c>
      <c r="F4645" s="31">
        <v>904115260</v>
      </c>
    </row>
    <row r="4646" spans="1:6" ht="15" thickBot="1" x14ac:dyDescent="0.2">
      <c r="A4646" s="30" t="s">
        <v>13867</v>
      </c>
      <c r="B4646" s="26" t="str">
        <f t="shared" si="72"/>
        <v>301289</v>
      </c>
      <c r="C4646" s="30" t="s">
        <v>13868</v>
      </c>
      <c r="D4646" s="31">
        <v>35.659999999999997</v>
      </c>
      <c r="E4646" s="31">
        <v>-2.57</v>
      </c>
      <c r="F4646" s="31">
        <v>903977470</v>
      </c>
    </row>
    <row r="4647" spans="1:6" ht="15" thickBot="1" x14ac:dyDescent="0.2">
      <c r="A4647" s="30" t="s">
        <v>13869</v>
      </c>
      <c r="B4647" s="26" t="str">
        <f t="shared" si="72"/>
        <v>301312</v>
      </c>
      <c r="C4647" s="30" t="s">
        <v>13870</v>
      </c>
      <c r="D4647" s="31">
        <v>35</v>
      </c>
      <c r="E4647" s="31">
        <v>-1.33</v>
      </c>
      <c r="F4647" s="31">
        <v>903607810</v>
      </c>
    </row>
    <row r="4648" spans="1:6" ht="15" thickBot="1" x14ac:dyDescent="0.2">
      <c r="A4648" s="30" t="s">
        <v>13871</v>
      </c>
      <c r="B4648" s="26" t="str">
        <f t="shared" si="72"/>
        <v>300753</v>
      </c>
      <c r="C4648" s="30" t="s">
        <v>7887</v>
      </c>
      <c r="D4648" s="31">
        <v>10.96</v>
      </c>
      <c r="E4648" s="31">
        <v>-1.97</v>
      </c>
      <c r="F4648" s="31">
        <v>903201680</v>
      </c>
    </row>
    <row r="4649" spans="1:6" ht="15" thickBot="1" x14ac:dyDescent="0.2">
      <c r="A4649" s="30" t="s">
        <v>13872</v>
      </c>
      <c r="B4649" s="26" t="str">
        <f t="shared" si="72"/>
        <v>301176</v>
      </c>
      <c r="C4649" s="30" t="s">
        <v>13873</v>
      </c>
      <c r="D4649" s="31">
        <v>16</v>
      </c>
      <c r="E4649" s="31">
        <v>-1.6</v>
      </c>
      <c r="F4649" s="31">
        <v>901688900</v>
      </c>
    </row>
    <row r="4650" spans="1:6" ht="15" thickBot="1" x14ac:dyDescent="0.2">
      <c r="A4650" s="30" t="s">
        <v>13874</v>
      </c>
      <c r="B4650" s="26" t="str">
        <f t="shared" si="72"/>
        <v>301517</v>
      </c>
      <c r="C4650" s="30" t="s">
        <v>13875</v>
      </c>
      <c r="D4650" s="31">
        <v>40.36</v>
      </c>
      <c r="E4650" s="31">
        <v>0.6</v>
      </c>
      <c r="F4650" s="31">
        <v>901633840</v>
      </c>
    </row>
    <row r="4651" spans="1:6" ht="15" thickBot="1" x14ac:dyDescent="0.2">
      <c r="A4651" s="30" t="s">
        <v>13876</v>
      </c>
      <c r="B4651" s="26" t="str">
        <f t="shared" si="72"/>
        <v>839167</v>
      </c>
      <c r="C4651" s="30" t="s">
        <v>7833</v>
      </c>
      <c r="D4651" s="31">
        <v>13.8</v>
      </c>
      <c r="E4651" s="31">
        <v>-1.29</v>
      </c>
      <c r="F4651" s="31">
        <v>900787230</v>
      </c>
    </row>
    <row r="4652" spans="1:6" ht="15" thickBot="1" x14ac:dyDescent="0.2">
      <c r="A4652" s="30" t="s">
        <v>13877</v>
      </c>
      <c r="B4652" s="26" t="str">
        <f t="shared" si="72"/>
        <v>300959</v>
      </c>
      <c r="C4652" s="30" t="s">
        <v>7055</v>
      </c>
      <c r="D4652" s="31">
        <v>23.58</v>
      </c>
      <c r="E4652" s="31">
        <v>-0.55000000000000004</v>
      </c>
      <c r="F4652" s="31">
        <v>898975620</v>
      </c>
    </row>
    <row r="4653" spans="1:6" ht="15" thickBot="1" x14ac:dyDescent="0.2">
      <c r="A4653" s="30" t="s">
        <v>13878</v>
      </c>
      <c r="B4653" s="26" t="str">
        <f t="shared" si="72"/>
        <v>603230</v>
      </c>
      <c r="C4653" s="30" t="s">
        <v>13879</v>
      </c>
      <c r="D4653" s="31">
        <v>10.050000000000001</v>
      </c>
      <c r="E4653" s="31">
        <v>-0.1</v>
      </c>
      <c r="F4653" s="31">
        <v>898480050</v>
      </c>
    </row>
    <row r="4654" spans="1:6" ht="15" thickBot="1" x14ac:dyDescent="0.2">
      <c r="A4654" s="30" t="s">
        <v>13880</v>
      </c>
      <c r="B4654" s="26" t="str">
        <f t="shared" si="72"/>
        <v>301202</v>
      </c>
      <c r="C4654" s="30" t="s">
        <v>13881</v>
      </c>
      <c r="D4654" s="31">
        <v>24.16</v>
      </c>
      <c r="E4654" s="31">
        <v>-0.98</v>
      </c>
      <c r="F4654" s="31">
        <v>898268800</v>
      </c>
    </row>
    <row r="4655" spans="1:6" ht="15" thickBot="1" x14ac:dyDescent="0.2">
      <c r="A4655" s="30" t="s">
        <v>13882</v>
      </c>
      <c r="B4655" s="26" t="str">
        <f t="shared" si="72"/>
        <v>301158</v>
      </c>
      <c r="C4655" s="30" t="s">
        <v>13883</v>
      </c>
      <c r="D4655" s="31">
        <v>11.2</v>
      </c>
      <c r="E4655" s="31">
        <v>-0.36</v>
      </c>
      <c r="F4655" s="31">
        <v>897548080</v>
      </c>
    </row>
    <row r="4656" spans="1:6" ht="15" thickBot="1" x14ac:dyDescent="0.2">
      <c r="A4656" s="30" t="s">
        <v>13884</v>
      </c>
      <c r="B4656" s="26" t="str">
        <f t="shared" si="72"/>
        <v>688081</v>
      </c>
      <c r="C4656" s="30" t="s">
        <v>8321</v>
      </c>
      <c r="D4656" s="31">
        <v>8.7100000000000009</v>
      </c>
      <c r="E4656" s="31">
        <v>0.23</v>
      </c>
      <c r="F4656" s="31">
        <v>897478400</v>
      </c>
    </row>
    <row r="4657" spans="1:6" ht="15" thickBot="1" x14ac:dyDescent="0.2">
      <c r="A4657" s="30" t="s">
        <v>13885</v>
      </c>
      <c r="B4657" s="26" t="str">
        <f t="shared" si="72"/>
        <v>300930</v>
      </c>
      <c r="C4657" s="30" t="s">
        <v>7051</v>
      </c>
      <c r="D4657" s="31">
        <v>19</v>
      </c>
      <c r="E4657" s="31">
        <v>-0.89</v>
      </c>
      <c r="F4657" s="31">
        <v>895375020</v>
      </c>
    </row>
    <row r="4658" spans="1:6" ht="15" thickBot="1" x14ac:dyDescent="0.2">
      <c r="A4658" s="30" t="s">
        <v>13886</v>
      </c>
      <c r="B4658" s="26" t="str">
        <f t="shared" si="72"/>
        <v>002853</v>
      </c>
      <c r="C4658" s="30" t="s">
        <v>8073</v>
      </c>
      <c r="D4658" s="31">
        <v>6.75</v>
      </c>
      <c r="E4658" s="31">
        <v>-0.74</v>
      </c>
      <c r="F4658" s="31">
        <v>893238400</v>
      </c>
    </row>
    <row r="4659" spans="1:6" ht="15" thickBot="1" x14ac:dyDescent="0.2">
      <c r="A4659" s="30" t="s">
        <v>13887</v>
      </c>
      <c r="B4659" s="26" t="str">
        <f t="shared" si="72"/>
        <v>300912</v>
      </c>
      <c r="C4659" s="30" t="s">
        <v>8245</v>
      </c>
      <c r="D4659" s="31">
        <v>10.47</v>
      </c>
      <c r="E4659" s="31">
        <v>3.56</v>
      </c>
      <c r="F4659" s="31">
        <v>890959050</v>
      </c>
    </row>
    <row r="4660" spans="1:6" ht="15" thickBot="1" x14ac:dyDescent="0.2">
      <c r="A4660" s="30" t="s">
        <v>13888</v>
      </c>
      <c r="B4660" s="26" t="str">
        <f t="shared" si="72"/>
        <v>301362</v>
      </c>
      <c r="C4660" s="30" t="s">
        <v>13889</v>
      </c>
      <c r="D4660" s="31">
        <v>29.98</v>
      </c>
      <c r="E4660" s="31">
        <v>-1.45</v>
      </c>
      <c r="F4660" s="31">
        <v>889506600</v>
      </c>
    </row>
    <row r="4661" spans="1:6" ht="15" thickBot="1" x14ac:dyDescent="0.2">
      <c r="A4661" s="30" t="s">
        <v>13890</v>
      </c>
      <c r="B4661" s="26" t="str">
        <f t="shared" si="72"/>
        <v>301197</v>
      </c>
      <c r="C4661" s="30" t="s">
        <v>13891</v>
      </c>
      <c r="D4661" s="31">
        <v>10.86</v>
      </c>
      <c r="E4661" s="31">
        <v>-0.91</v>
      </c>
      <c r="F4661" s="31">
        <v>889295540</v>
      </c>
    </row>
    <row r="4662" spans="1:6" ht="15" thickBot="1" x14ac:dyDescent="0.2">
      <c r="A4662" s="30" t="s">
        <v>13892</v>
      </c>
      <c r="B4662" s="26" t="str">
        <f t="shared" si="72"/>
        <v>002809</v>
      </c>
      <c r="C4662" s="30" t="s">
        <v>7959</v>
      </c>
      <c r="D4662" s="31">
        <v>6.44</v>
      </c>
      <c r="E4662" s="31">
        <v>-0.46</v>
      </c>
      <c r="F4662" s="31">
        <v>887010680</v>
      </c>
    </row>
    <row r="4663" spans="1:6" ht="15" thickBot="1" x14ac:dyDescent="0.2">
      <c r="A4663" s="30" t="s">
        <v>13893</v>
      </c>
      <c r="B4663" s="26" t="str">
        <f t="shared" si="72"/>
        <v>300865</v>
      </c>
      <c r="C4663" s="30" t="s">
        <v>8027</v>
      </c>
      <c r="D4663" s="31">
        <v>13.09</v>
      </c>
      <c r="E4663" s="31">
        <v>-1.65</v>
      </c>
      <c r="F4663" s="31">
        <v>886825930</v>
      </c>
    </row>
    <row r="4664" spans="1:6" ht="15" thickBot="1" x14ac:dyDescent="0.2">
      <c r="A4664" s="30" t="s">
        <v>13894</v>
      </c>
      <c r="B4664" s="26" t="str">
        <f t="shared" si="72"/>
        <v>003011</v>
      </c>
      <c r="C4664" s="30" t="s">
        <v>8135</v>
      </c>
      <c r="D4664" s="31">
        <v>11.39</v>
      </c>
      <c r="E4664" s="31">
        <v>-1.1299999999999999</v>
      </c>
      <c r="F4664" s="31">
        <v>884967080</v>
      </c>
    </row>
    <row r="4665" spans="1:6" ht="15" thickBot="1" x14ac:dyDescent="0.2">
      <c r="A4665" s="30" t="s">
        <v>13895</v>
      </c>
      <c r="B4665" s="26" t="str">
        <f t="shared" si="72"/>
        <v>688607</v>
      </c>
      <c r="C4665" s="30" t="s">
        <v>8319</v>
      </c>
      <c r="D4665" s="31">
        <v>10.039999999999999</v>
      </c>
      <c r="E4665" s="31">
        <v>-1.08</v>
      </c>
      <c r="F4665" s="31">
        <v>884815430</v>
      </c>
    </row>
    <row r="4666" spans="1:6" ht="15" thickBot="1" x14ac:dyDescent="0.2">
      <c r="A4666" s="30" t="s">
        <v>13896</v>
      </c>
      <c r="B4666" s="26" t="str">
        <f t="shared" si="72"/>
        <v>301001</v>
      </c>
      <c r="C4666" s="30" t="s">
        <v>7839</v>
      </c>
      <c r="D4666" s="31">
        <v>17.59</v>
      </c>
      <c r="E4666" s="31">
        <v>-4.6100000000000003</v>
      </c>
      <c r="F4666" s="31">
        <v>884777000</v>
      </c>
    </row>
    <row r="4667" spans="1:6" ht="15" thickBot="1" x14ac:dyDescent="0.2">
      <c r="A4667" s="30" t="s">
        <v>13897</v>
      </c>
      <c r="B4667" s="26" t="str">
        <f t="shared" si="72"/>
        <v>600193</v>
      </c>
      <c r="C4667" s="30" t="s">
        <v>8263</v>
      </c>
      <c r="D4667" s="31">
        <v>2.08</v>
      </c>
      <c r="E4667" s="31">
        <v>-7.97</v>
      </c>
      <c r="F4667" s="31">
        <v>884775840</v>
      </c>
    </row>
    <row r="4668" spans="1:6" ht="15" thickBot="1" x14ac:dyDescent="0.2">
      <c r="A4668" s="30" t="s">
        <v>13898</v>
      </c>
      <c r="B4668" s="26" t="str">
        <f t="shared" si="72"/>
        <v>301009</v>
      </c>
      <c r="C4668" s="30" t="s">
        <v>7069</v>
      </c>
      <c r="D4668" s="31">
        <v>6.91</v>
      </c>
      <c r="E4668" s="31">
        <v>-6.5</v>
      </c>
      <c r="F4668" s="31">
        <v>884011050</v>
      </c>
    </row>
    <row r="4669" spans="1:6" ht="15" thickBot="1" x14ac:dyDescent="0.2">
      <c r="A4669" s="30" t="s">
        <v>13899</v>
      </c>
      <c r="B4669" s="26" t="str">
        <f t="shared" si="72"/>
        <v>300952</v>
      </c>
      <c r="C4669" s="30" t="s">
        <v>6444</v>
      </c>
      <c r="D4669" s="31">
        <v>16.11</v>
      </c>
      <c r="E4669" s="31">
        <v>-0.68</v>
      </c>
      <c r="F4669" s="31">
        <v>883676240</v>
      </c>
    </row>
    <row r="4670" spans="1:6" ht="15" thickBot="1" x14ac:dyDescent="0.2">
      <c r="A4670" s="30" t="s">
        <v>13900</v>
      </c>
      <c r="B4670" s="26" t="str">
        <f t="shared" si="72"/>
        <v>301600</v>
      </c>
      <c r="C4670" s="30" t="s">
        <v>13901</v>
      </c>
      <c r="D4670" s="31">
        <v>50.26</v>
      </c>
      <c r="E4670" s="31">
        <v>-8.25</v>
      </c>
      <c r="F4670" s="31">
        <v>882063000</v>
      </c>
    </row>
    <row r="4671" spans="1:6" ht="15" thickBot="1" x14ac:dyDescent="0.2">
      <c r="A4671" s="30" t="s">
        <v>13902</v>
      </c>
      <c r="B4671" s="26" t="str">
        <f t="shared" si="72"/>
        <v>002898</v>
      </c>
      <c r="C4671" s="30" t="s">
        <v>7649</v>
      </c>
      <c r="D4671" s="31">
        <v>8.7100000000000009</v>
      </c>
      <c r="E4671" s="31">
        <v>-1.8</v>
      </c>
      <c r="F4671" s="31">
        <v>881996910</v>
      </c>
    </row>
    <row r="4672" spans="1:6" ht="15" thickBot="1" x14ac:dyDescent="0.2">
      <c r="A4672" s="30" t="s">
        <v>13903</v>
      </c>
      <c r="B4672" s="26" t="str">
        <f t="shared" si="72"/>
        <v>603344</v>
      </c>
      <c r="C4672" s="30" t="s">
        <v>13904</v>
      </c>
      <c r="D4672" s="31">
        <v>18.41</v>
      </c>
      <c r="E4672" s="31">
        <v>-1.6</v>
      </c>
      <c r="F4672" s="31">
        <v>877351890</v>
      </c>
    </row>
    <row r="4673" spans="1:6" ht="15" thickBot="1" x14ac:dyDescent="0.2">
      <c r="A4673" s="30" t="s">
        <v>13905</v>
      </c>
      <c r="B4673" s="26" t="str">
        <f t="shared" si="72"/>
        <v>301067</v>
      </c>
      <c r="C4673" s="30" t="s">
        <v>13906</v>
      </c>
      <c r="D4673" s="31">
        <v>19.38</v>
      </c>
      <c r="E4673" s="31">
        <v>-1.57</v>
      </c>
      <c r="F4673" s="31">
        <v>875998290</v>
      </c>
    </row>
    <row r="4674" spans="1:6" ht="15" thickBot="1" x14ac:dyDescent="0.2">
      <c r="A4674" s="30" t="s">
        <v>13907</v>
      </c>
      <c r="B4674" s="26" t="str">
        <f t="shared" si="72"/>
        <v>834261</v>
      </c>
      <c r="C4674" s="30" t="s">
        <v>13908</v>
      </c>
      <c r="D4674" s="31">
        <v>6.89</v>
      </c>
      <c r="E4674" s="31">
        <v>-1.29</v>
      </c>
      <c r="F4674" s="31">
        <v>875560070</v>
      </c>
    </row>
    <row r="4675" spans="1:6" ht="15" thickBot="1" x14ac:dyDescent="0.2">
      <c r="A4675" s="30" t="s">
        <v>13909</v>
      </c>
      <c r="B4675" s="26" t="str">
        <f t="shared" ref="B4675:B4738" si="73">LEFT(A4675,6)</f>
        <v>002719</v>
      </c>
      <c r="C4675" s="30" t="s">
        <v>8289</v>
      </c>
      <c r="D4675" s="31">
        <v>5.4</v>
      </c>
      <c r="E4675" s="31">
        <v>-3.57</v>
      </c>
      <c r="F4675" s="31">
        <v>874110390</v>
      </c>
    </row>
    <row r="4676" spans="1:6" ht="15" thickBot="1" x14ac:dyDescent="0.2">
      <c r="A4676" s="30" t="s">
        <v>13910</v>
      </c>
      <c r="B4676" s="26" t="str">
        <f t="shared" si="73"/>
        <v>688435</v>
      </c>
      <c r="C4676" s="30" t="s">
        <v>13911</v>
      </c>
      <c r="D4676" s="31">
        <v>18.940000000000001</v>
      </c>
      <c r="E4676" s="31">
        <v>-2.57</v>
      </c>
      <c r="F4676" s="31">
        <v>874041510</v>
      </c>
    </row>
    <row r="4677" spans="1:6" ht="15" thickBot="1" x14ac:dyDescent="0.2">
      <c r="A4677" s="30" t="s">
        <v>13912</v>
      </c>
      <c r="B4677" s="26" t="str">
        <f t="shared" si="73"/>
        <v>603211</v>
      </c>
      <c r="C4677" s="30" t="s">
        <v>13913</v>
      </c>
      <c r="D4677" s="31">
        <v>12.86</v>
      </c>
      <c r="E4677" s="31">
        <v>-1.53</v>
      </c>
      <c r="F4677" s="31">
        <v>873862720</v>
      </c>
    </row>
    <row r="4678" spans="1:6" ht="15" thickBot="1" x14ac:dyDescent="0.2">
      <c r="A4678" s="30" t="s">
        <v>13914</v>
      </c>
      <c r="B4678" s="26" t="str">
        <f t="shared" si="73"/>
        <v>300958</v>
      </c>
      <c r="C4678" s="30" t="s">
        <v>7749</v>
      </c>
      <c r="D4678" s="31">
        <v>9.59</v>
      </c>
      <c r="E4678" s="31">
        <v>-3.33</v>
      </c>
      <c r="F4678" s="31">
        <v>873164000</v>
      </c>
    </row>
    <row r="4679" spans="1:6" ht="15" thickBot="1" x14ac:dyDescent="0.2">
      <c r="A4679" s="30" t="s">
        <v>13915</v>
      </c>
      <c r="B4679" s="26" t="str">
        <f t="shared" si="73"/>
        <v>603070</v>
      </c>
      <c r="C4679" s="30" t="s">
        <v>13916</v>
      </c>
      <c r="D4679" s="31">
        <v>10.18</v>
      </c>
      <c r="E4679" s="31">
        <v>-0.78</v>
      </c>
      <c r="F4679" s="31">
        <v>872818290</v>
      </c>
    </row>
    <row r="4680" spans="1:6" ht="15" thickBot="1" x14ac:dyDescent="0.2">
      <c r="A4680" s="30" t="s">
        <v>13917</v>
      </c>
      <c r="B4680" s="26" t="str">
        <f t="shared" si="73"/>
        <v>301022</v>
      </c>
      <c r="C4680" s="30" t="s">
        <v>13918</v>
      </c>
      <c r="D4680" s="31">
        <v>16.87</v>
      </c>
      <c r="E4680" s="31">
        <v>0.54</v>
      </c>
      <c r="F4680" s="31">
        <v>872337530</v>
      </c>
    </row>
    <row r="4681" spans="1:6" ht="15" thickBot="1" x14ac:dyDescent="0.2">
      <c r="A4681" s="30" t="s">
        <v>13919</v>
      </c>
      <c r="B4681" s="26" t="str">
        <f t="shared" si="73"/>
        <v>301135</v>
      </c>
      <c r="C4681" s="30" t="s">
        <v>13920</v>
      </c>
      <c r="D4681" s="31">
        <v>17.62</v>
      </c>
      <c r="E4681" s="31">
        <v>-0.84</v>
      </c>
      <c r="F4681" s="31">
        <v>871427050</v>
      </c>
    </row>
    <row r="4682" spans="1:6" ht="15" thickBot="1" x14ac:dyDescent="0.2">
      <c r="A4682" s="30" t="s">
        <v>13921</v>
      </c>
      <c r="B4682" s="26" t="str">
        <f t="shared" si="73"/>
        <v>301519</v>
      </c>
      <c r="C4682" s="30" t="s">
        <v>13922</v>
      </c>
      <c r="D4682" s="31">
        <v>11.18</v>
      </c>
      <c r="E4682" s="31">
        <v>-1.24</v>
      </c>
      <c r="F4682" s="31">
        <v>871341250</v>
      </c>
    </row>
    <row r="4683" spans="1:6" ht="15" thickBot="1" x14ac:dyDescent="0.2">
      <c r="A4683" s="30" t="s">
        <v>13923</v>
      </c>
      <c r="B4683" s="26" t="str">
        <f t="shared" si="73"/>
        <v>430510</v>
      </c>
      <c r="C4683" s="30" t="s">
        <v>13924</v>
      </c>
      <c r="D4683" s="31">
        <v>9.94</v>
      </c>
      <c r="E4683" s="31">
        <v>-1.68</v>
      </c>
      <c r="F4683" s="31">
        <v>871158290</v>
      </c>
    </row>
    <row r="4684" spans="1:6" ht="15" thickBot="1" x14ac:dyDescent="0.2">
      <c r="A4684" s="30" t="s">
        <v>13925</v>
      </c>
      <c r="B4684" s="26" t="str">
        <f t="shared" si="73"/>
        <v>300640</v>
      </c>
      <c r="C4684" s="30" t="s">
        <v>8101</v>
      </c>
      <c r="D4684" s="31">
        <v>3.92</v>
      </c>
      <c r="E4684" s="31">
        <v>-2</v>
      </c>
      <c r="F4684" s="31">
        <v>870963260</v>
      </c>
    </row>
    <row r="4685" spans="1:6" ht="15" thickBot="1" x14ac:dyDescent="0.2">
      <c r="A4685" s="30" t="s">
        <v>13926</v>
      </c>
      <c r="B4685" s="26" t="str">
        <f t="shared" si="73"/>
        <v>301027</v>
      </c>
      <c r="C4685" s="30" t="s">
        <v>13927</v>
      </c>
      <c r="D4685" s="31">
        <v>7.36</v>
      </c>
      <c r="E4685" s="31">
        <v>1.38</v>
      </c>
      <c r="F4685" s="31">
        <v>869607140</v>
      </c>
    </row>
    <row r="4686" spans="1:6" ht="15" thickBot="1" x14ac:dyDescent="0.2">
      <c r="A4686" s="30" t="s">
        <v>13928</v>
      </c>
      <c r="B4686" s="26" t="str">
        <f t="shared" si="73"/>
        <v>300478</v>
      </c>
      <c r="C4686" s="30" t="s">
        <v>8323</v>
      </c>
      <c r="D4686" s="31">
        <v>6.86</v>
      </c>
      <c r="E4686" s="31">
        <v>-2</v>
      </c>
      <c r="F4686" s="31">
        <v>868976780</v>
      </c>
    </row>
    <row r="4687" spans="1:6" ht="15" thickBot="1" x14ac:dyDescent="0.2">
      <c r="A4687" s="30" t="s">
        <v>13929</v>
      </c>
      <c r="B4687" s="26" t="str">
        <f t="shared" si="73"/>
        <v>301190</v>
      </c>
      <c r="C4687" s="30" t="s">
        <v>13930</v>
      </c>
      <c r="D4687" s="31">
        <v>12.21</v>
      </c>
      <c r="E4687" s="31">
        <v>-2.0099999999999998</v>
      </c>
      <c r="F4687" s="31">
        <v>867482650</v>
      </c>
    </row>
    <row r="4688" spans="1:6" ht="15" thickBot="1" x14ac:dyDescent="0.2">
      <c r="A4688" s="30" t="s">
        <v>13931</v>
      </c>
      <c r="B4688" s="26" t="str">
        <f t="shared" si="73"/>
        <v>603270</v>
      </c>
      <c r="C4688" s="30" t="s">
        <v>13932</v>
      </c>
      <c r="D4688" s="31">
        <v>15.82</v>
      </c>
      <c r="E4688" s="31">
        <v>-0.82</v>
      </c>
      <c r="F4688" s="31">
        <v>866566870</v>
      </c>
    </row>
    <row r="4689" spans="1:6" ht="15" thickBot="1" x14ac:dyDescent="0.2">
      <c r="A4689" s="30" t="s">
        <v>13933</v>
      </c>
      <c r="B4689" s="26" t="str">
        <f t="shared" si="73"/>
        <v>688061</v>
      </c>
      <c r="C4689" s="30" t="s">
        <v>13934</v>
      </c>
      <c r="D4689" s="31">
        <v>20.39</v>
      </c>
      <c r="E4689" s="31">
        <v>-1.97</v>
      </c>
      <c r="F4689" s="31">
        <v>865272020</v>
      </c>
    </row>
    <row r="4690" spans="1:6" ht="15" thickBot="1" x14ac:dyDescent="0.2">
      <c r="A4690" s="30" t="s">
        <v>13935</v>
      </c>
      <c r="B4690" s="26" t="str">
        <f t="shared" si="73"/>
        <v>300892</v>
      </c>
      <c r="C4690" s="30" t="s">
        <v>7923</v>
      </c>
      <c r="D4690" s="31">
        <v>13.4</v>
      </c>
      <c r="E4690" s="31">
        <v>-2.69</v>
      </c>
      <c r="F4690" s="31">
        <v>865137500</v>
      </c>
    </row>
    <row r="4691" spans="1:6" ht="15" thickBot="1" x14ac:dyDescent="0.2">
      <c r="A4691" s="30" t="s">
        <v>13936</v>
      </c>
      <c r="B4691" s="26" t="str">
        <f t="shared" si="73"/>
        <v>300126</v>
      </c>
      <c r="C4691" s="30" t="s">
        <v>8059</v>
      </c>
      <c r="D4691" s="31">
        <v>4.1100000000000003</v>
      </c>
      <c r="E4691" s="31">
        <v>-2.84</v>
      </c>
      <c r="F4691" s="31">
        <v>864877280</v>
      </c>
    </row>
    <row r="4692" spans="1:6" ht="15" thickBot="1" x14ac:dyDescent="0.2">
      <c r="A4692" s="30" t="s">
        <v>13937</v>
      </c>
      <c r="B4692" s="26" t="str">
        <f t="shared" si="73"/>
        <v>002513</v>
      </c>
      <c r="C4692" s="30" t="s">
        <v>8099</v>
      </c>
      <c r="D4692" s="31">
        <v>3.27</v>
      </c>
      <c r="E4692" s="31">
        <v>-2.68</v>
      </c>
      <c r="F4692" s="31">
        <v>862979630</v>
      </c>
    </row>
    <row r="4693" spans="1:6" ht="15" thickBot="1" x14ac:dyDescent="0.2">
      <c r="A4693" s="30" t="s">
        <v>13938</v>
      </c>
      <c r="B4693" s="26" t="str">
        <f t="shared" si="73"/>
        <v>001380</v>
      </c>
      <c r="C4693" s="30" t="s">
        <v>13939</v>
      </c>
      <c r="D4693" s="31">
        <v>14.51</v>
      </c>
      <c r="E4693" s="31">
        <v>1.47</v>
      </c>
      <c r="F4693" s="31">
        <v>862903900</v>
      </c>
    </row>
    <row r="4694" spans="1:6" ht="15" thickBot="1" x14ac:dyDescent="0.2">
      <c r="A4694" s="30" t="s">
        <v>13940</v>
      </c>
      <c r="B4694" s="26" t="str">
        <f t="shared" si="73"/>
        <v>603130</v>
      </c>
      <c r="C4694" s="30" t="s">
        <v>13941</v>
      </c>
      <c r="D4694" s="31">
        <v>16.88</v>
      </c>
      <c r="E4694" s="31">
        <v>-1.34</v>
      </c>
      <c r="F4694" s="31">
        <v>861951040</v>
      </c>
    </row>
    <row r="4695" spans="1:6" ht="15" thickBot="1" x14ac:dyDescent="0.2">
      <c r="A4695" s="30" t="s">
        <v>13942</v>
      </c>
      <c r="B4695" s="26" t="str">
        <f t="shared" si="73"/>
        <v>603082</v>
      </c>
      <c r="C4695" s="30" t="s">
        <v>13943</v>
      </c>
      <c r="D4695" s="31">
        <v>26.55</v>
      </c>
      <c r="E4695" s="31">
        <v>-0.26</v>
      </c>
      <c r="F4695" s="31">
        <v>861428560</v>
      </c>
    </row>
    <row r="4696" spans="1:6" ht="15" thickBot="1" x14ac:dyDescent="0.2">
      <c r="A4696" s="30" t="s">
        <v>13944</v>
      </c>
      <c r="B4696" s="26" t="str">
        <f t="shared" si="73"/>
        <v>002887</v>
      </c>
      <c r="C4696" s="30" t="s">
        <v>7539</v>
      </c>
      <c r="D4696" s="31">
        <v>5.4</v>
      </c>
      <c r="E4696" s="31">
        <v>-2.35</v>
      </c>
      <c r="F4696" s="31">
        <v>861107800</v>
      </c>
    </row>
    <row r="4697" spans="1:6" ht="15" thickBot="1" x14ac:dyDescent="0.2">
      <c r="A4697" s="30" t="s">
        <v>13945</v>
      </c>
      <c r="B4697" s="26" t="str">
        <f t="shared" si="73"/>
        <v>301338</v>
      </c>
      <c r="C4697" s="30" t="s">
        <v>13946</v>
      </c>
      <c r="D4697" s="31">
        <v>25.09</v>
      </c>
      <c r="E4697" s="31">
        <v>-0.83</v>
      </c>
      <c r="F4697" s="31">
        <v>860587000</v>
      </c>
    </row>
    <row r="4698" spans="1:6" ht="15" thickBot="1" x14ac:dyDescent="0.2">
      <c r="A4698" s="30" t="s">
        <v>13947</v>
      </c>
      <c r="B4698" s="26" t="str">
        <f t="shared" si="73"/>
        <v>831961</v>
      </c>
      <c r="C4698" s="30" t="s">
        <v>8177</v>
      </c>
      <c r="D4698" s="31">
        <v>8.15</v>
      </c>
      <c r="E4698" s="31">
        <v>-0.37</v>
      </c>
      <c r="F4698" s="31">
        <v>859326290</v>
      </c>
    </row>
    <row r="4699" spans="1:6" ht="15" thickBot="1" x14ac:dyDescent="0.2">
      <c r="A4699" s="30" t="s">
        <v>13948</v>
      </c>
      <c r="B4699" s="26" t="str">
        <f t="shared" si="73"/>
        <v>603173</v>
      </c>
      <c r="C4699" s="30" t="s">
        <v>13949</v>
      </c>
      <c r="D4699" s="31">
        <v>17.29</v>
      </c>
      <c r="E4699" s="31">
        <v>0.52</v>
      </c>
      <c r="F4699" s="31">
        <v>856546600</v>
      </c>
    </row>
    <row r="4700" spans="1:6" ht="15" thickBot="1" x14ac:dyDescent="0.2">
      <c r="A4700" s="30" t="s">
        <v>13950</v>
      </c>
      <c r="B4700" s="26" t="str">
        <f t="shared" si="73"/>
        <v>600539</v>
      </c>
      <c r="C4700" s="30" t="s">
        <v>8337</v>
      </c>
      <c r="D4700" s="31">
        <v>3.72</v>
      </c>
      <c r="E4700" s="31">
        <v>-2.62</v>
      </c>
      <c r="F4700" s="31">
        <v>855600000</v>
      </c>
    </row>
    <row r="4701" spans="1:6" ht="15" thickBot="1" x14ac:dyDescent="0.2">
      <c r="A4701" s="30" t="s">
        <v>13951</v>
      </c>
      <c r="B4701" s="26" t="str">
        <f t="shared" si="73"/>
        <v>301280</v>
      </c>
      <c r="C4701" s="30" t="s">
        <v>13952</v>
      </c>
      <c r="D4701" s="31">
        <v>32.39</v>
      </c>
      <c r="E4701" s="31">
        <v>-0.37</v>
      </c>
      <c r="F4701" s="31">
        <v>855504110</v>
      </c>
    </row>
    <row r="4702" spans="1:6" ht="15" thickBot="1" x14ac:dyDescent="0.2">
      <c r="A4702" s="30" t="s">
        <v>13953</v>
      </c>
      <c r="B4702" s="26" t="str">
        <f t="shared" si="73"/>
        <v>001210</v>
      </c>
      <c r="C4702" s="30" t="s">
        <v>13954</v>
      </c>
      <c r="D4702" s="31">
        <v>10.77</v>
      </c>
      <c r="E4702" s="31">
        <v>-1.19</v>
      </c>
      <c r="F4702" s="31">
        <v>855340490</v>
      </c>
    </row>
    <row r="4703" spans="1:6" ht="15" thickBot="1" x14ac:dyDescent="0.2">
      <c r="A4703" s="30" t="s">
        <v>13955</v>
      </c>
      <c r="B4703" s="26" t="str">
        <f t="shared" si="73"/>
        <v>301392</v>
      </c>
      <c r="C4703" s="30" t="s">
        <v>13956</v>
      </c>
      <c r="D4703" s="31">
        <v>40.07</v>
      </c>
      <c r="E4703" s="31">
        <v>0.65</v>
      </c>
      <c r="F4703" s="31">
        <v>854949190</v>
      </c>
    </row>
    <row r="4704" spans="1:6" ht="15" thickBot="1" x14ac:dyDescent="0.2">
      <c r="A4704" s="30" t="s">
        <v>13957</v>
      </c>
      <c r="B4704" s="26" t="str">
        <f t="shared" si="73"/>
        <v>301335</v>
      </c>
      <c r="C4704" s="30" t="s">
        <v>13958</v>
      </c>
      <c r="D4704" s="31">
        <v>17.12</v>
      </c>
      <c r="E4704" s="31">
        <v>-0.57999999999999996</v>
      </c>
      <c r="F4704" s="31">
        <v>853860070</v>
      </c>
    </row>
    <row r="4705" spans="1:6" ht="15" thickBot="1" x14ac:dyDescent="0.2">
      <c r="A4705" s="30" t="s">
        <v>13959</v>
      </c>
      <c r="B4705" s="26" t="str">
        <f t="shared" si="73"/>
        <v>603282</v>
      </c>
      <c r="C4705" s="30" t="s">
        <v>13960</v>
      </c>
      <c r="D4705" s="31">
        <v>13.3</v>
      </c>
      <c r="E4705" s="31">
        <v>-2.35</v>
      </c>
      <c r="F4705" s="31">
        <v>853653300</v>
      </c>
    </row>
    <row r="4706" spans="1:6" ht="15" thickBot="1" x14ac:dyDescent="0.2">
      <c r="A4706" s="30" t="s">
        <v>13961</v>
      </c>
      <c r="B4706" s="26" t="str">
        <f t="shared" si="73"/>
        <v>688067</v>
      </c>
      <c r="C4706" s="30" t="s">
        <v>8327</v>
      </c>
      <c r="D4706" s="31">
        <v>12.55</v>
      </c>
      <c r="E4706" s="31">
        <v>-3.83</v>
      </c>
      <c r="F4706" s="31">
        <v>853400000</v>
      </c>
    </row>
    <row r="4707" spans="1:6" ht="15" thickBot="1" x14ac:dyDescent="0.2">
      <c r="A4707" s="30" t="s">
        <v>13962</v>
      </c>
      <c r="B4707" s="26" t="str">
        <f t="shared" si="73"/>
        <v>301548</v>
      </c>
      <c r="C4707" s="30" t="s">
        <v>13963</v>
      </c>
      <c r="D4707" s="31">
        <v>39.18</v>
      </c>
      <c r="E4707" s="31">
        <v>-2.39</v>
      </c>
      <c r="F4707" s="31">
        <v>852165000</v>
      </c>
    </row>
    <row r="4708" spans="1:6" ht="15" thickBot="1" x14ac:dyDescent="0.2">
      <c r="A4708" s="30" t="s">
        <v>13964</v>
      </c>
      <c r="B4708" s="26" t="str">
        <f t="shared" si="73"/>
        <v>300984</v>
      </c>
      <c r="C4708" s="30" t="s">
        <v>13965</v>
      </c>
      <c r="D4708" s="31">
        <v>18.5</v>
      </c>
      <c r="E4708" s="31">
        <v>-1.6</v>
      </c>
      <c r="F4708" s="31">
        <v>851707960</v>
      </c>
    </row>
    <row r="4709" spans="1:6" ht="15" thickBot="1" x14ac:dyDescent="0.2">
      <c r="A4709" s="30" t="s">
        <v>13966</v>
      </c>
      <c r="B4709" s="26" t="str">
        <f t="shared" si="73"/>
        <v>301580</v>
      </c>
      <c r="C4709" s="30" t="s">
        <v>13967</v>
      </c>
      <c r="D4709" s="31">
        <v>47.19</v>
      </c>
      <c r="E4709" s="31">
        <v>-1.99</v>
      </c>
      <c r="F4709" s="31">
        <v>851667520</v>
      </c>
    </row>
    <row r="4710" spans="1:6" ht="15" thickBot="1" x14ac:dyDescent="0.2">
      <c r="A4710" s="30" t="s">
        <v>13968</v>
      </c>
      <c r="B4710" s="26" t="str">
        <f t="shared" si="73"/>
        <v>603021</v>
      </c>
      <c r="C4710" s="30" t="s">
        <v>8335</v>
      </c>
      <c r="D4710" s="31">
        <v>2.66</v>
      </c>
      <c r="E4710" s="31">
        <v>-2.21</v>
      </c>
      <c r="F4710" s="31">
        <v>851061870</v>
      </c>
    </row>
    <row r="4711" spans="1:6" ht="15" thickBot="1" x14ac:dyDescent="0.2">
      <c r="A4711" s="30" t="s">
        <v>13969</v>
      </c>
      <c r="B4711" s="26" t="str">
        <f t="shared" si="73"/>
        <v>301320</v>
      </c>
      <c r="C4711" s="30" t="s">
        <v>13970</v>
      </c>
      <c r="D4711" s="31">
        <v>12.57</v>
      </c>
      <c r="E4711" s="31">
        <v>-2.1</v>
      </c>
      <c r="F4711" s="31">
        <v>850989000</v>
      </c>
    </row>
    <row r="4712" spans="1:6" ht="15" thickBot="1" x14ac:dyDescent="0.2">
      <c r="A4712" s="30" t="s">
        <v>13971</v>
      </c>
      <c r="B4712" s="26" t="str">
        <f t="shared" si="73"/>
        <v>301277</v>
      </c>
      <c r="C4712" s="30" t="s">
        <v>13972</v>
      </c>
      <c r="D4712" s="31">
        <v>11.76</v>
      </c>
      <c r="E4712" s="31">
        <v>-1.59</v>
      </c>
      <c r="F4712" s="31">
        <v>848554560</v>
      </c>
    </row>
    <row r="4713" spans="1:6" ht="15" thickBot="1" x14ac:dyDescent="0.2">
      <c r="A4713" s="30" t="s">
        <v>13973</v>
      </c>
      <c r="B4713" s="26" t="str">
        <f t="shared" si="73"/>
        <v>603273</v>
      </c>
      <c r="C4713" s="30" t="s">
        <v>13974</v>
      </c>
      <c r="D4713" s="31">
        <v>15.81</v>
      </c>
      <c r="E4713" s="31">
        <v>-0.38</v>
      </c>
      <c r="F4713" s="31">
        <v>847074500</v>
      </c>
    </row>
    <row r="4714" spans="1:6" ht="15" thickBot="1" x14ac:dyDescent="0.2">
      <c r="A4714" s="30" t="s">
        <v>13975</v>
      </c>
      <c r="B4714" s="26" t="str">
        <f t="shared" si="73"/>
        <v>871753</v>
      </c>
      <c r="C4714" s="30" t="s">
        <v>13976</v>
      </c>
      <c r="D4714" s="31">
        <v>26.85</v>
      </c>
      <c r="E4714" s="31">
        <v>-0.11</v>
      </c>
      <c r="F4714" s="31">
        <v>845342720</v>
      </c>
    </row>
    <row r="4715" spans="1:6" ht="15" thickBot="1" x14ac:dyDescent="0.2">
      <c r="A4715" s="30" t="s">
        <v>13977</v>
      </c>
      <c r="B4715" s="26" t="str">
        <f t="shared" si="73"/>
        <v>001359</v>
      </c>
      <c r="C4715" s="30" t="s">
        <v>13978</v>
      </c>
      <c r="D4715" s="31">
        <v>18.600000000000001</v>
      </c>
      <c r="E4715" s="31">
        <v>-2.11</v>
      </c>
      <c r="F4715" s="31">
        <v>845341820</v>
      </c>
    </row>
    <row r="4716" spans="1:6" ht="15" thickBot="1" x14ac:dyDescent="0.2">
      <c r="A4716" s="30" t="s">
        <v>13979</v>
      </c>
      <c r="B4716" s="26" t="str">
        <f t="shared" si="73"/>
        <v>603201</v>
      </c>
      <c r="C4716" s="30" t="s">
        <v>13980</v>
      </c>
      <c r="D4716" s="31">
        <v>13.14</v>
      </c>
      <c r="E4716" s="31">
        <v>0.15</v>
      </c>
      <c r="F4716" s="31">
        <v>844315100</v>
      </c>
    </row>
    <row r="4717" spans="1:6" ht="15" thickBot="1" x14ac:dyDescent="0.2">
      <c r="A4717" s="30" t="s">
        <v>13981</v>
      </c>
      <c r="B4717" s="26" t="str">
        <f t="shared" si="73"/>
        <v>301178</v>
      </c>
      <c r="C4717" s="30" t="s">
        <v>13982</v>
      </c>
      <c r="D4717" s="31">
        <v>19.350000000000001</v>
      </c>
      <c r="E4717" s="31">
        <v>-1.78</v>
      </c>
      <c r="F4717" s="31">
        <v>843637860</v>
      </c>
    </row>
    <row r="4718" spans="1:6" ht="15" thickBot="1" x14ac:dyDescent="0.2">
      <c r="A4718" s="30" t="s">
        <v>13983</v>
      </c>
      <c r="B4718" s="26" t="str">
        <f t="shared" si="73"/>
        <v>688737</v>
      </c>
      <c r="C4718" s="30" t="s">
        <v>13984</v>
      </c>
      <c r="D4718" s="31">
        <v>11.85</v>
      </c>
      <c r="E4718" s="31">
        <v>-2.5499999999999998</v>
      </c>
      <c r="F4718" s="31">
        <v>843091110</v>
      </c>
    </row>
    <row r="4719" spans="1:6" ht="15" thickBot="1" x14ac:dyDescent="0.2">
      <c r="A4719" s="30" t="s">
        <v>13985</v>
      </c>
      <c r="B4719" s="26" t="str">
        <f t="shared" si="73"/>
        <v>831087</v>
      </c>
      <c r="C4719" s="30" t="s">
        <v>13986</v>
      </c>
      <c r="D4719" s="31">
        <v>5.25</v>
      </c>
      <c r="E4719" s="31">
        <v>-0.38</v>
      </c>
      <c r="F4719" s="31">
        <v>842946960</v>
      </c>
    </row>
    <row r="4720" spans="1:6" ht="15" thickBot="1" x14ac:dyDescent="0.2">
      <c r="A4720" s="30" t="s">
        <v>13987</v>
      </c>
      <c r="B4720" s="26" t="str">
        <f t="shared" si="73"/>
        <v>688296</v>
      </c>
      <c r="C4720" s="30" t="s">
        <v>13988</v>
      </c>
      <c r="D4720" s="31">
        <v>7.83</v>
      </c>
      <c r="E4720" s="31">
        <v>-0.89</v>
      </c>
      <c r="F4720" s="31">
        <v>840888440</v>
      </c>
    </row>
    <row r="4721" spans="1:6" ht="15" thickBot="1" x14ac:dyDescent="0.2">
      <c r="A4721" s="30" t="s">
        <v>13989</v>
      </c>
      <c r="B4721" s="26" t="str">
        <f t="shared" si="73"/>
        <v>835174</v>
      </c>
      <c r="C4721" s="30" t="s">
        <v>7865</v>
      </c>
      <c r="D4721" s="31">
        <v>16.32</v>
      </c>
      <c r="E4721" s="31">
        <v>-1.0900000000000001</v>
      </c>
      <c r="F4721" s="31">
        <v>840114560</v>
      </c>
    </row>
    <row r="4722" spans="1:6" ht="15" thickBot="1" x14ac:dyDescent="0.2">
      <c r="A4722" s="30" t="s">
        <v>13990</v>
      </c>
      <c r="B4722" s="26" t="str">
        <f t="shared" si="73"/>
        <v>832522</v>
      </c>
      <c r="C4722" s="30" t="s">
        <v>13991</v>
      </c>
      <c r="D4722" s="31">
        <v>12.76</v>
      </c>
      <c r="E4722" s="31">
        <v>-0.78</v>
      </c>
      <c r="F4722" s="31">
        <v>839089940</v>
      </c>
    </row>
    <row r="4723" spans="1:6" ht="15" thickBot="1" x14ac:dyDescent="0.2">
      <c r="A4723" s="30" t="s">
        <v>13992</v>
      </c>
      <c r="B4723" s="26" t="str">
        <f t="shared" si="73"/>
        <v>835179</v>
      </c>
      <c r="C4723" s="30" t="s">
        <v>13993</v>
      </c>
      <c r="D4723" s="31">
        <v>14.08</v>
      </c>
      <c r="E4723" s="31">
        <v>0.93</v>
      </c>
      <c r="F4723" s="31">
        <v>837890310</v>
      </c>
    </row>
    <row r="4724" spans="1:6" ht="15" thickBot="1" x14ac:dyDescent="0.2">
      <c r="A4724" s="30" t="s">
        <v>13994</v>
      </c>
      <c r="B4724" s="26" t="str">
        <f t="shared" si="73"/>
        <v>300535</v>
      </c>
      <c r="C4724" s="30" t="s">
        <v>8165</v>
      </c>
      <c r="D4724" s="31">
        <v>10.96</v>
      </c>
      <c r="E4724" s="31">
        <v>-1.26</v>
      </c>
      <c r="F4724" s="31">
        <v>837837700</v>
      </c>
    </row>
    <row r="4725" spans="1:6" ht="15" thickBot="1" x14ac:dyDescent="0.2">
      <c r="A4725" s="30" t="s">
        <v>13995</v>
      </c>
      <c r="B4725" s="26" t="str">
        <f t="shared" si="73"/>
        <v>301418</v>
      </c>
      <c r="C4725" s="30" t="s">
        <v>13996</v>
      </c>
      <c r="D4725" s="31">
        <v>28.4</v>
      </c>
      <c r="E4725" s="31">
        <v>-1.49</v>
      </c>
      <c r="F4725" s="31">
        <v>835991890</v>
      </c>
    </row>
    <row r="4726" spans="1:6" ht="15" thickBot="1" x14ac:dyDescent="0.2">
      <c r="A4726" s="30" t="s">
        <v>13997</v>
      </c>
      <c r="B4726" s="26" t="str">
        <f t="shared" si="73"/>
        <v>605566</v>
      </c>
      <c r="C4726" s="30" t="s">
        <v>13998</v>
      </c>
      <c r="D4726" s="31">
        <v>13.42</v>
      </c>
      <c r="E4726" s="31">
        <v>-0.96</v>
      </c>
      <c r="F4726" s="31">
        <v>835904580</v>
      </c>
    </row>
    <row r="4727" spans="1:6" ht="15" thickBot="1" x14ac:dyDescent="0.2">
      <c r="A4727" s="30" t="s">
        <v>13999</v>
      </c>
      <c r="B4727" s="26" t="str">
        <f t="shared" si="73"/>
        <v>301226</v>
      </c>
      <c r="C4727" s="30" t="s">
        <v>14000</v>
      </c>
      <c r="D4727" s="31">
        <v>17.02</v>
      </c>
      <c r="E4727" s="31">
        <v>-3.3</v>
      </c>
      <c r="F4727" s="31">
        <v>835339290</v>
      </c>
    </row>
    <row r="4728" spans="1:6" ht="15" thickBot="1" x14ac:dyDescent="0.2">
      <c r="A4728" s="30" t="s">
        <v>14001</v>
      </c>
      <c r="B4728" s="26" t="str">
        <f t="shared" si="73"/>
        <v>301092</v>
      </c>
      <c r="C4728" s="30" t="s">
        <v>14002</v>
      </c>
      <c r="D4728" s="31">
        <v>19.3</v>
      </c>
      <c r="E4728" s="31">
        <v>-1.38</v>
      </c>
      <c r="F4728" s="31">
        <v>833371760</v>
      </c>
    </row>
    <row r="4729" spans="1:6" ht="15" thickBot="1" x14ac:dyDescent="0.2">
      <c r="A4729" s="30" t="s">
        <v>14003</v>
      </c>
      <c r="B4729" s="26" t="str">
        <f t="shared" si="73"/>
        <v>688236</v>
      </c>
      <c r="C4729" s="30" t="s">
        <v>14004</v>
      </c>
      <c r="D4729" s="31">
        <v>10.49</v>
      </c>
      <c r="E4729" s="31">
        <v>-1.22</v>
      </c>
      <c r="F4729" s="31">
        <v>831801040</v>
      </c>
    </row>
    <row r="4730" spans="1:6" ht="15" thickBot="1" x14ac:dyDescent="0.2">
      <c r="A4730" s="30" t="s">
        <v>14005</v>
      </c>
      <c r="B4730" s="26" t="str">
        <f t="shared" si="73"/>
        <v>300816</v>
      </c>
      <c r="C4730" s="30" t="s">
        <v>7929</v>
      </c>
      <c r="D4730" s="31">
        <v>17.190000000000001</v>
      </c>
      <c r="E4730" s="31">
        <v>-1.49</v>
      </c>
      <c r="F4730" s="31">
        <v>831415030</v>
      </c>
    </row>
    <row r="4731" spans="1:6" ht="15" thickBot="1" x14ac:dyDescent="0.2">
      <c r="A4731" s="30" t="s">
        <v>14006</v>
      </c>
      <c r="B4731" s="26" t="str">
        <f t="shared" si="73"/>
        <v>300929</v>
      </c>
      <c r="C4731" s="30" t="s">
        <v>14007</v>
      </c>
      <c r="D4731" s="31">
        <v>6.75</v>
      </c>
      <c r="E4731" s="31">
        <v>-2.46</v>
      </c>
      <c r="F4731" s="31">
        <v>831174300</v>
      </c>
    </row>
    <row r="4732" spans="1:6" ht="15" thickBot="1" x14ac:dyDescent="0.2">
      <c r="A4732" s="30" t="s">
        <v>14008</v>
      </c>
      <c r="B4732" s="26" t="str">
        <f t="shared" si="73"/>
        <v>688316</v>
      </c>
      <c r="C4732" s="30" t="s">
        <v>8189</v>
      </c>
      <c r="D4732" s="31">
        <v>23.11</v>
      </c>
      <c r="E4732" s="31">
        <v>-0.73</v>
      </c>
      <c r="F4732" s="31">
        <v>830476710</v>
      </c>
    </row>
    <row r="4733" spans="1:6" ht="15" thickBot="1" x14ac:dyDescent="0.2">
      <c r="A4733" s="30" t="s">
        <v>14009</v>
      </c>
      <c r="B4733" s="26" t="str">
        <f t="shared" si="73"/>
        <v>301538</v>
      </c>
      <c r="C4733" s="30" t="s">
        <v>14010</v>
      </c>
      <c r="D4733" s="31">
        <v>62.51</v>
      </c>
      <c r="E4733" s="31">
        <v>-1.39</v>
      </c>
      <c r="F4733" s="31">
        <v>829904640</v>
      </c>
    </row>
    <row r="4734" spans="1:6" ht="15" thickBot="1" x14ac:dyDescent="0.2">
      <c r="A4734" s="30" t="s">
        <v>14011</v>
      </c>
      <c r="B4734" s="26" t="str">
        <f t="shared" si="73"/>
        <v>839493</v>
      </c>
      <c r="C4734" s="30" t="s">
        <v>14012</v>
      </c>
      <c r="D4734" s="31">
        <v>31.93</v>
      </c>
      <c r="E4734" s="31">
        <v>-0.28000000000000003</v>
      </c>
      <c r="F4734" s="31">
        <v>829719190</v>
      </c>
    </row>
    <row r="4735" spans="1:6" ht="15" thickBot="1" x14ac:dyDescent="0.2">
      <c r="A4735" s="30" t="s">
        <v>14013</v>
      </c>
      <c r="B4735" s="26" t="str">
        <f t="shared" si="73"/>
        <v>301310</v>
      </c>
      <c r="C4735" s="30" t="s">
        <v>14014</v>
      </c>
      <c r="D4735" s="31">
        <v>19.2</v>
      </c>
      <c r="E4735" s="31">
        <v>-0.98</v>
      </c>
      <c r="F4735" s="31">
        <v>827524990</v>
      </c>
    </row>
    <row r="4736" spans="1:6" ht="15" thickBot="1" x14ac:dyDescent="0.2">
      <c r="A4736" s="30" t="s">
        <v>14015</v>
      </c>
      <c r="B4736" s="26" t="str">
        <f t="shared" si="73"/>
        <v>688309</v>
      </c>
      <c r="C4736" s="30" t="s">
        <v>8341</v>
      </c>
      <c r="D4736" s="31">
        <v>10.32</v>
      </c>
      <c r="E4736" s="31">
        <v>-3.82</v>
      </c>
      <c r="F4736" s="31">
        <v>825710760</v>
      </c>
    </row>
    <row r="4737" spans="1:6" ht="15" thickBot="1" x14ac:dyDescent="0.2">
      <c r="A4737" s="30" t="s">
        <v>14016</v>
      </c>
      <c r="B4737" s="26" t="str">
        <f t="shared" si="73"/>
        <v>003003</v>
      </c>
      <c r="C4737" s="30" t="s">
        <v>8043</v>
      </c>
      <c r="D4737" s="31">
        <v>7.11</v>
      </c>
      <c r="E4737" s="31">
        <v>-1.8</v>
      </c>
      <c r="F4737" s="31">
        <v>825512820</v>
      </c>
    </row>
    <row r="4738" spans="1:6" ht="15" thickBot="1" x14ac:dyDescent="0.2">
      <c r="A4738" s="30" t="s">
        <v>14017</v>
      </c>
      <c r="B4738" s="26" t="str">
        <f t="shared" si="73"/>
        <v>301448</v>
      </c>
      <c r="C4738" s="30" t="s">
        <v>14018</v>
      </c>
      <c r="D4738" s="31">
        <v>17.23</v>
      </c>
      <c r="E4738" s="31">
        <v>-1.26</v>
      </c>
      <c r="F4738" s="31">
        <v>824283200</v>
      </c>
    </row>
    <row r="4739" spans="1:6" ht="15" thickBot="1" x14ac:dyDescent="0.2">
      <c r="A4739" s="30" t="s">
        <v>14019</v>
      </c>
      <c r="B4739" s="26" t="str">
        <f t="shared" ref="B4739:B4802" si="74">LEFT(A4739,6)</f>
        <v>688659</v>
      </c>
      <c r="C4739" s="30" t="s">
        <v>8343</v>
      </c>
      <c r="D4739" s="31">
        <v>5.15</v>
      </c>
      <c r="E4739" s="31">
        <v>-2.09</v>
      </c>
      <c r="F4739" s="31">
        <v>824000000</v>
      </c>
    </row>
    <row r="4740" spans="1:6" ht="15" thickBot="1" x14ac:dyDescent="0.2">
      <c r="A4740" s="30" t="s">
        <v>14020</v>
      </c>
      <c r="B4740" s="26" t="str">
        <f t="shared" si="74"/>
        <v>002494</v>
      </c>
      <c r="C4740" s="30" t="s">
        <v>8237</v>
      </c>
      <c r="D4740" s="31">
        <v>2.87</v>
      </c>
      <c r="E4740" s="31">
        <v>-2.38</v>
      </c>
      <c r="F4740" s="31">
        <v>823031160</v>
      </c>
    </row>
    <row r="4741" spans="1:6" ht="15" thickBot="1" x14ac:dyDescent="0.2">
      <c r="A4741" s="30" t="s">
        <v>14021</v>
      </c>
      <c r="B4741" s="26" t="str">
        <f t="shared" si="74"/>
        <v>301503</v>
      </c>
      <c r="C4741" s="30" t="s">
        <v>14022</v>
      </c>
      <c r="D4741" s="31">
        <v>25.33</v>
      </c>
      <c r="E4741" s="31">
        <v>-1.82</v>
      </c>
      <c r="F4741" s="31">
        <v>822718400</v>
      </c>
    </row>
    <row r="4742" spans="1:6" ht="15" thickBot="1" x14ac:dyDescent="0.2">
      <c r="A4742" s="30" t="s">
        <v>14023</v>
      </c>
      <c r="B4742" s="26" t="str">
        <f t="shared" si="74"/>
        <v>301512</v>
      </c>
      <c r="C4742" s="30" t="s">
        <v>14024</v>
      </c>
      <c r="D4742" s="31">
        <v>33.1</v>
      </c>
      <c r="E4742" s="31">
        <v>-1.22</v>
      </c>
      <c r="F4742" s="31">
        <v>821323540</v>
      </c>
    </row>
    <row r="4743" spans="1:6" ht="15" thickBot="1" x14ac:dyDescent="0.2">
      <c r="A4743" s="30" t="s">
        <v>14025</v>
      </c>
      <c r="B4743" s="26" t="str">
        <f t="shared" si="74"/>
        <v>430017</v>
      </c>
      <c r="C4743" s="30" t="s">
        <v>14026</v>
      </c>
      <c r="D4743" s="31">
        <v>10.42</v>
      </c>
      <c r="E4743" s="31">
        <v>-0.76</v>
      </c>
      <c r="F4743" s="31">
        <v>819479590</v>
      </c>
    </row>
    <row r="4744" spans="1:6" ht="15" thickBot="1" x14ac:dyDescent="0.2">
      <c r="A4744" s="30" t="s">
        <v>14027</v>
      </c>
      <c r="B4744" s="26" t="str">
        <f t="shared" si="74"/>
        <v>688230</v>
      </c>
      <c r="C4744" s="30" t="s">
        <v>14028</v>
      </c>
      <c r="D4744" s="31">
        <v>27.84</v>
      </c>
      <c r="E4744" s="31">
        <v>-1.1399999999999999</v>
      </c>
      <c r="F4744" s="31">
        <v>818496000</v>
      </c>
    </row>
    <row r="4745" spans="1:6" ht="15" thickBot="1" x14ac:dyDescent="0.2">
      <c r="A4745" s="30" t="s">
        <v>14029</v>
      </c>
      <c r="B4745" s="26" t="str">
        <f t="shared" si="74"/>
        <v>603207</v>
      </c>
      <c r="C4745" s="30" t="s">
        <v>14030</v>
      </c>
      <c r="D4745" s="31">
        <v>20.86</v>
      </c>
      <c r="E4745" s="31">
        <v>-2.11</v>
      </c>
      <c r="F4745" s="31">
        <v>817665110</v>
      </c>
    </row>
    <row r="4746" spans="1:6" ht="15" thickBot="1" x14ac:dyDescent="0.2">
      <c r="A4746" s="30" t="s">
        <v>14031</v>
      </c>
      <c r="B4746" s="26" t="str">
        <f t="shared" si="74"/>
        <v>836239</v>
      </c>
      <c r="C4746" s="30" t="s">
        <v>14032</v>
      </c>
      <c r="D4746" s="31">
        <v>16.43</v>
      </c>
      <c r="E4746" s="31">
        <v>-0.42</v>
      </c>
      <c r="F4746" s="31">
        <v>816810620</v>
      </c>
    </row>
    <row r="4747" spans="1:6" ht="15" thickBot="1" x14ac:dyDescent="0.2">
      <c r="A4747" s="30" t="s">
        <v>14033</v>
      </c>
      <c r="B4747" s="26" t="str">
        <f t="shared" si="74"/>
        <v>301558</v>
      </c>
      <c r="C4747" s="30" t="s">
        <v>14034</v>
      </c>
      <c r="D4747" s="31">
        <v>6.89</v>
      </c>
      <c r="E4747" s="31">
        <v>-4.83</v>
      </c>
      <c r="F4747" s="31">
        <v>816189400</v>
      </c>
    </row>
    <row r="4748" spans="1:6" ht="15" thickBot="1" x14ac:dyDescent="0.2">
      <c r="A4748" s="30" t="s">
        <v>14035</v>
      </c>
      <c r="B4748" s="26" t="str">
        <f t="shared" si="74"/>
        <v>301489</v>
      </c>
      <c r="C4748" s="30" t="s">
        <v>14036</v>
      </c>
      <c r="D4748" s="31">
        <v>56.56</v>
      </c>
      <c r="E4748" s="31">
        <v>-0.96</v>
      </c>
      <c r="F4748" s="31">
        <v>815585810</v>
      </c>
    </row>
    <row r="4749" spans="1:6" ht="15" thickBot="1" x14ac:dyDescent="0.2">
      <c r="A4749" s="30" t="s">
        <v>14037</v>
      </c>
      <c r="B4749" s="26" t="str">
        <f t="shared" si="74"/>
        <v>301169</v>
      </c>
      <c r="C4749" s="30" t="s">
        <v>14038</v>
      </c>
      <c r="D4749" s="31">
        <v>28.95</v>
      </c>
      <c r="E4749" s="31">
        <v>1.4</v>
      </c>
      <c r="F4749" s="31">
        <v>814135610</v>
      </c>
    </row>
    <row r="4750" spans="1:6" ht="15" thickBot="1" x14ac:dyDescent="0.2">
      <c r="A4750" s="30" t="s">
        <v>14039</v>
      </c>
      <c r="B4750" s="26" t="str">
        <f t="shared" si="74"/>
        <v>688479</v>
      </c>
      <c r="C4750" s="30" t="s">
        <v>14040</v>
      </c>
      <c r="D4750" s="31">
        <v>13.95</v>
      </c>
      <c r="E4750" s="31">
        <v>-1.27</v>
      </c>
      <c r="F4750" s="31">
        <v>812395320</v>
      </c>
    </row>
    <row r="4751" spans="1:6" ht="15" thickBot="1" x14ac:dyDescent="0.2">
      <c r="A4751" s="30" t="s">
        <v>14041</v>
      </c>
      <c r="B4751" s="26" t="str">
        <f t="shared" si="74"/>
        <v>301106</v>
      </c>
      <c r="C4751" s="30" t="s">
        <v>14042</v>
      </c>
      <c r="D4751" s="31">
        <v>27.83</v>
      </c>
      <c r="E4751" s="31">
        <v>-1.94</v>
      </c>
      <c r="F4751" s="31">
        <v>812227850</v>
      </c>
    </row>
    <row r="4752" spans="1:6" ht="15" thickBot="1" x14ac:dyDescent="0.2">
      <c r="A4752" s="30" t="s">
        <v>14043</v>
      </c>
      <c r="B4752" s="26" t="str">
        <f t="shared" si="74"/>
        <v>301213</v>
      </c>
      <c r="C4752" s="30" t="s">
        <v>14044</v>
      </c>
      <c r="D4752" s="31">
        <v>27.8</v>
      </c>
      <c r="E4752" s="31">
        <v>1.42</v>
      </c>
      <c r="F4752" s="31">
        <v>809665240</v>
      </c>
    </row>
    <row r="4753" spans="1:6" ht="15" thickBot="1" x14ac:dyDescent="0.2">
      <c r="A4753" s="30" t="s">
        <v>14045</v>
      </c>
      <c r="B4753" s="26" t="str">
        <f t="shared" si="74"/>
        <v>301326</v>
      </c>
      <c r="C4753" s="30" t="s">
        <v>14046</v>
      </c>
      <c r="D4753" s="31">
        <v>30.11</v>
      </c>
      <c r="E4753" s="31">
        <v>-5.7</v>
      </c>
      <c r="F4753" s="31">
        <v>809217330</v>
      </c>
    </row>
    <row r="4754" spans="1:6" ht="15" thickBot="1" x14ac:dyDescent="0.2">
      <c r="A4754" s="30" t="s">
        <v>14047</v>
      </c>
      <c r="B4754" s="26" t="str">
        <f t="shared" si="74"/>
        <v>301063</v>
      </c>
      <c r="C4754" s="30" t="s">
        <v>14048</v>
      </c>
      <c r="D4754" s="31">
        <v>13.19</v>
      </c>
      <c r="E4754" s="31">
        <v>-1.57</v>
      </c>
      <c r="F4754" s="31">
        <v>806353820</v>
      </c>
    </row>
    <row r="4755" spans="1:6" ht="15" thickBot="1" x14ac:dyDescent="0.2">
      <c r="A4755" s="30" t="s">
        <v>14049</v>
      </c>
      <c r="B4755" s="26" t="str">
        <f t="shared" si="74"/>
        <v>688691</v>
      </c>
      <c r="C4755" s="30" t="s">
        <v>14050</v>
      </c>
      <c r="D4755" s="31">
        <v>33.619999999999997</v>
      </c>
      <c r="E4755" s="31">
        <v>-1.1200000000000001</v>
      </c>
      <c r="F4755" s="31">
        <v>805720080</v>
      </c>
    </row>
    <row r="4756" spans="1:6" ht="15" thickBot="1" x14ac:dyDescent="0.2">
      <c r="A4756" s="30" t="s">
        <v>14051</v>
      </c>
      <c r="B4756" s="26" t="str">
        <f t="shared" si="74"/>
        <v>300920</v>
      </c>
      <c r="C4756" s="30" t="s">
        <v>8019</v>
      </c>
      <c r="D4756" s="31">
        <v>12.5</v>
      </c>
      <c r="E4756" s="31">
        <v>-1.19</v>
      </c>
      <c r="F4756" s="31">
        <v>803870310</v>
      </c>
    </row>
    <row r="4757" spans="1:6" ht="15" thickBot="1" x14ac:dyDescent="0.2">
      <c r="A4757" s="30" t="s">
        <v>14052</v>
      </c>
      <c r="B4757" s="26" t="str">
        <f t="shared" si="74"/>
        <v>300651</v>
      </c>
      <c r="C4757" s="30" t="s">
        <v>7917</v>
      </c>
      <c r="D4757" s="31">
        <v>10.63</v>
      </c>
      <c r="E4757" s="31">
        <v>-1.48</v>
      </c>
      <c r="F4757" s="31">
        <v>802456230</v>
      </c>
    </row>
    <row r="4758" spans="1:6" ht="15" thickBot="1" x14ac:dyDescent="0.2">
      <c r="A4758" s="30" t="s">
        <v>14053</v>
      </c>
      <c r="B4758" s="26" t="str">
        <f t="shared" si="74"/>
        <v>301606</v>
      </c>
      <c r="C4758" s="30" t="s">
        <v>14054</v>
      </c>
      <c r="D4758" s="31">
        <v>25.67</v>
      </c>
      <c r="E4758" s="31">
        <v>-2.77</v>
      </c>
      <c r="F4758" s="31">
        <v>801116730</v>
      </c>
    </row>
    <row r="4759" spans="1:6" ht="15" thickBot="1" x14ac:dyDescent="0.2">
      <c r="A4759" s="30" t="s">
        <v>14055</v>
      </c>
      <c r="B4759" s="26" t="str">
        <f t="shared" si="74"/>
        <v>301235</v>
      </c>
      <c r="C4759" s="30" t="s">
        <v>14056</v>
      </c>
      <c r="D4759" s="31">
        <v>15.69</v>
      </c>
      <c r="E4759" s="31">
        <v>-2.85</v>
      </c>
      <c r="F4759" s="31">
        <v>799436880</v>
      </c>
    </row>
    <row r="4760" spans="1:6" ht="15" thickBot="1" x14ac:dyDescent="0.2">
      <c r="A4760" s="30" t="s">
        <v>14057</v>
      </c>
      <c r="B4760" s="26" t="str">
        <f t="shared" si="74"/>
        <v>301596</v>
      </c>
      <c r="C4760" s="30" t="s">
        <v>14058</v>
      </c>
      <c r="D4760" s="31">
        <v>57.99</v>
      </c>
      <c r="E4760" s="31">
        <v>0.1</v>
      </c>
      <c r="F4760" s="31">
        <v>799074250</v>
      </c>
    </row>
    <row r="4761" spans="1:6" ht="15" thickBot="1" x14ac:dyDescent="0.2">
      <c r="A4761" s="30" t="s">
        <v>14059</v>
      </c>
      <c r="B4761" s="26" t="str">
        <f t="shared" si="74"/>
        <v>002856</v>
      </c>
      <c r="C4761" s="30" t="s">
        <v>8331</v>
      </c>
      <c r="D4761" s="31">
        <v>6.6</v>
      </c>
      <c r="E4761" s="31">
        <v>-2.08</v>
      </c>
      <c r="F4761" s="31">
        <v>799040440</v>
      </c>
    </row>
    <row r="4762" spans="1:6" ht="15" thickBot="1" x14ac:dyDescent="0.2">
      <c r="A4762" s="30" t="s">
        <v>14060</v>
      </c>
      <c r="B4762" s="26" t="str">
        <f t="shared" si="74"/>
        <v>301229</v>
      </c>
      <c r="C4762" s="30" t="s">
        <v>14061</v>
      </c>
      <c r="D4762" s="31">
        <v>16.88</v>
      </c>
      <c r="E4762" s="31">
        <v>-1.06</v>
      </c>
      <c r="F4762" s="31">
        <v>798223080</v>
      </c>
    </row>
    <row r="4763" spans="1:6" ht="15" thickBot="1" x14ac:dyDescent="0.2">
      <c r="A4763" s="30" t="s">
        <v>14062</v>
      </c>
      <c r="B4763" s="26" t="str">
        <f t="shared" si="74"/>
        <v>301378</v>
      </c>
      <c r="C4763" s="30" t="s">
        <v>14063</v>
      </c>
      <c r="D4763" s="31">
        <v>19.04</v>
      </c>
      <c r="E4763" s="31">
        <v>-12.1</v>
      </c>
      <c r="F4763" s="31">
        <v>796056440</v>
      </c>
    </row>
    <row r="4764" spans="1:6" ht="15" thickBot="1" x14ac:dyDescent="0.2">
      <c r="A4764" s="30" t="s">
        <v>14064</v>
      </c>
      <c r="B4764" s="26" t="str">
        <f t="shared" si="74"/>
        <v>835438</v>
      </c>
      <c r="C4764" s="30" t="s">
        <v>14065</v>
      </c>
      <c r="D4764" s="31">
        <v>10.54</v>
      </c>
      <c r="E4764" s="31">
        <v>-1.68</v>
      </c>
      <c r="F4764" s="31">
        <v>794983080</v>
      </c>
    </row>
    <row r="4765" spans="1:6" ht="15" thickBot="1" x14ac:dyDescent="0.2">
      <c r="A4765" s="30" t="s">
        <v>14066</v>
      </c>
      <c r="B4765" s="26" t="str">
        <f t="shared" si="74"/>
        <v>300904</v>
      </c>
      <c r="C4765" s="30" t="s">
        <v>14067</v>
      </c>
      <c r="D4765" s="31">
        <v>36.14</v>
      </c>
      <c r="E4765" s="31">
        <v>-0.77</v>
      </c>
      <c r="F4765" s="31">
        <v>794474000</v>
      </c>
    </row>
    <row r="4766" spans="1:6" ht="15" thickBot="1" x14ac:dyDescent="0.2">
      <c r="A4766" s="30" t="s">
        <v>14068</v>
      </c>
      <c r="B4766" s="26" t="str">
        <f t="shared" si="74"/>
        <v>688592</v>
      </c>
      <c r="C4766" s="30" t="s">
        <v>14069</v>
      </c>
      <c r="D4766" s="31">
        <v>28.31</v>
      </c>
      <c r="E4766" s="31">
        <v>-0.74</v>
      </c>
      <c r="F4766" s="31">
        <v>792782790</v>
      </c>
    </row>
    <row r="4767" spans="1:6" ht="15" thickBot="1" x14ac:dyDescent="0.2">
      <c r="A4767" s="30" t="s">
        <v>14070</v>
      </c>
      <c r="B4767" s="26" t="str">
        <f t="shared" si="74"/>
        <v>301159</v>
      </c>
      <c r="C4767" s="30" t="s">
        <v>14071</v>
      </c>
      <c r="D4767" s="31">
        <v>25.39</v>
      </c>
      <c r="E4767" s="31">
        <v>-0.7</v>
      </c>
      <c r="F4767" s="31">
        <v>792542830</v>
      </c>
    </row>
    <row r="4768" spans="1:6" ht="15" thickBot="1" x14ac:dyDescent="0.2">
      <c r="A4768" s="30" t="s">
        <v>14072</v>
      </c>
      <c r="B4768" s="26" t="str">
        <f t="shared" si="74"/>
        <v>001222</v>
      </c>
      <c r="C4768" s="30" t="s">
        <v>14073</v>
      </c>
      <c r="D4768" s="31">
        <v>10.09</v>
      </c>
      <c r="E4768" s="31">
        <v>0</v>
      </c>
      <c r="F4768" s="31">
        <v>792521320</v>
      </c>
    </row>
    <row r="4769" spans="1:6" ht="15" thickBot="1" x14ac:dyDescent="0.2">
      <c r="A4769" s="30" t="s">
        <v>14074</v>
      </c>
      <c r="B4769" s="26" t="str">
        <f t="shared" si="74"/>
        <v>301040</v>
      </c>
      <c r="C4769" s="30" t="s">
        <v>14075</v>
      </c>
      <c r="D4769" s="31">
        <v>10.28</v>
      </c>
      <c r="E4769" s="31">
        <v>-3.02</v>
      </c>
      <c r="F4769" s="31">
        <v>791671980</v>
      </c>
    </row>
    <row r="4770" spans="1:6" ht="15" thickBot="1" x14ac:dyDescent="0.2">
      <c r="A4770" s="30" t="s">
        <v>14076</v>
      </c>
      <c r="B4770" s="26" t="str">
        <f t="shared" si="74"/>
        <v>688679</v>
      </c>
      <c r="C4770" s="30" t="s">
        <v>8349</v>
      </c>
      <c r="D4770" s="31">
        <v>6.01</v>
      </c>
      <c r="E4770" s="31">
        <v>-2.75</v>
      </c>
      <c r="F4770" s="31">
        <v>791454950</v>
      </c>
    </row>
    <row r="4771" spans="1:6" ht="15" thickBot="1" x14ac:dyDescent="0.2">
      <c r="A4771" s="30" t="s">
        <v>14077</v>
      </c>
      <c r="B4771" s="26" t="str">
        <f t="shared" si="74"/>
        <v>301079</v>
      </c>
      <c r="C4771" s="30" t="s">
        <v>7757</v>
      </c>
      <c r="D4771" s="31">
        <v>13.88</v>
      </c>
      <c r="E4771" s="31">
        <v>0.57999999999999996</v>
      </c>
      <c r="F4771" s="31">
        <v>790984850</v>
      </c>
    </row>
    <row r="4772" spans="1:6" ht="15" thickBot="1" x14ac:dyDescent="0.2">
      <c r="A4772" s="30" t="s">
        <v>14078</v>
      </c>
      <c r="B4772" s="26" t="str">
        <f t="shared" si="74"/>
        <v>301256</v>
      </c>
      <c r="C4772" s="30" t="s">
        <v>14079</v>
      </c>
      <c r="D4772" s="31">
        <v>5.8</v>
      </c>
      <c r="E4772" s="31">
        <v>-1.02</v>
      </c>
      <c r="F4772" s="31">
        <v>789960000</v>
      </c>
    </row>
    <row r="4773" spans="1:6" ht="15" thickBot="1" x14ac:dyDescent="0.2">
      <c r="A4773" s="30" t="s">
        <v>14080</v>
      </c>
      <c r="B4773" s="26" t="str">
        <f t="shared" si="74"/>
        <v>301608</v>
      </c>
      <c r="C4773" s="30" t="s">
        <v>14081</v>
      </c>
      <c r="D4773" s="31">
        <v>46.69</v>
      </c>
      <c r="E4773" s="31">
        <v>-1.29</v>
      </c>
      <c r="F4773" s="31">
        <v>789521690</v>
      </c>
    </row>
    <row r="4774" spans="1:6" ht="15" thickBot="1" x14ac:dyDescent="0.2">
      <c r="A4774" s="30" t="s">
        <v>14082</v>
      </c>
      <c r="B4774" s="26" t="str">
        <f t="shared" si="74"/>
        <v>301603</v>
      </c>
      <c r="C4774" s="30" t="s">
        <v>14083</v>
      </c>
      <c r="D4774" s="31">
        <v>34.4</v>
      </c>
      <c r="E4774" s="31">
        <v>-1.69</v>
      </c>
      <c r="F4774" s="31">
        <v>789209440</v>
      </c>
    </row>
    <row r="4775" spans="1:6" ht="15" thickBot="1" x14ac:dyDescent="0.2">
      <c r="A4775" s="30" t="s">
        <v>14084</v>
      </c>
      <c r="B4775" s="26" t="str">
        <f t="shared" si="74"/>
        <v>001296</v>
      </c>
      <c r="C4775" s="30" t="s">
        <v>14085</v>
      </c>
      <c r="D4775" s="31">
        <v>14.95</v>
      </c>
      <c r="E4775" s="31">
        <v>3.6</v>
      </c>
      <c r="F4775" s="31">
        <v>788389160</v>
      </c>
    </row>
    <row r="4776" spans="1:6" ht="15" thickBot="1" x14ac:dyDescent="0.2">
      <c r="A4776" s="30" t="s">
        <v>14086</v>
      </c>
      <c r="B4776" s="26" t="str">
        <f t="shared" si="74"/>
        <v>300405</v>
      </c>
      <c r="C4776" s="30" t="s">
        <v>8267</v>
      </c>
      <c r="D4776" s="31">
        <v>3.6</v>
      </c>
      <c r="E4776" s="31">
        <v>-2.17</v>
      </c>
      <c r="F4776" s="31">
        <v>787654260</v>
      </c>
    </row>
    <row r="4777" spans="1:6" ht="15" thickBot="1" x14ac:dyDescent="0.2">
      <c r="A4777" s="30" t="s">
        <v>14087</v>
      </c>
      <c r="B4777" s="26" t="str">
        <f t="shared" si="74"/>
        <v>832089</v>
      </c>
      <c r="C4777" s="30" t="s">
        <v>14088</v>
      </c>
      <c r="D4777" s="31">
        <v>8.42</v>
      </c>
      <c r="E4777" s="31">
        <v>-0.59</v>
      </c>
      <c r="F4777" s="31">
        <v>787276900</v>
      </c>
    </row>
    <row r="4778" spans="1:6" ht="15" thickBot="1" x14ac:dyDescent="0.2">
      <c r="A4778" s="30" t="s">
        <v>14089</v>
      </c>
      <c r="B4778" s="26" t="str">
        <f t="shared" si="74"/>
        <v>688045</v>
      </c>
      <c r="C4778" s="30" t="s">
        <v>14090</v>
      </c>
      <c r="D4778" s="31">
        <v>21.32</v>
      </c>
      <c r="E4778" s="31">
        <v>-1.34</v>
      </c>
      <c r="F4778" s="31">
        <v>786839950</v>
      </c>
    </row>
    <row r="4779" spans="1:6" ht="15" thickBot="1" x14ac:dyDescent="0.2">
      <c r="A4779" s="30" t="s">
        <v>14091</v>
      </c>
      <c r="B4779" s="26" t="str">
        <f t="shared" si="74"/>
        <v>603391</v>
      </c>
      <c r="C4779" s="30" t="s">
        <v>14092</v>
      </c>
      <c r="D4779" s="31">
        <v>35.28</v>
      </c>
      <c r="E4779" s="31">
        <v>-1.56</v>
      </c>
      <c r="F4779" s="31">
        <v>786417870</v>
      </c>
    </row>
    <row r="4780" spans="1:6" ht="15" thickBot="1" x14ac:dyDescent="0.2">
      <c r="A4780" s="30" t="s">
        <v>14093</v>
      </c>
      <c r="B4780" s="26" t="str">
        <f t="shared" si="74"/>
        <v>301118</v>
      </c>
      <c r="C4780" s="30" t="s">
        <v>7579</v>
      </c>
      <c r="D4780" s="31">
        <v>14.52</v>
      </c>
      <c r="E4780" s="31">
        <v>-1.23</v>
      </c>
      <c r="F4780" s="31">
        <v>785914060</v>
      </c>
    </row>
    <row r="4781" spans="1:6" ht="15" thickBot="1" x14ac:dyDescent="0.2">
      <c r="A4781" s="30" t="s">
        <v>14094</v>
      </c>
      <c r="B4781" s="26" t="str">
        <f t="shared" si="74"/>
        <v>301189</v>
      </c>
      <c r="C4781" s="30" t="s">
        <v>14095</v>
      </c>
      <c r="D4781" s="31">
        <v>19.22</v>
      </c>
      <c r="E4781" s="31">
        <v>-1.69</v>
      </c>
      <c r="F4781" s="31">
        <v>785864920</v>
      </c>
    </row>
    <row r="4782" spans="1:6" ht="15" thickBot="1" x14ac:dyDescent="0.2">
      <c r="A4782" s="30" t="s">
        <v>14096</v>
      </c>
      <c r="B4782" s="26" t="str">
        <f t="shared" si="74"/>
        <v>688004</v>
      </c>
      <c r="C4782" s="30" t="s">
        <v>8351</v>
      </c>
      <c r="D4782" s="31">
        <v>9.81</v>
      </c>
      <c r="E4782" s="31">
        <v>-3.06</v>
      </c>
      <c r="F4782" s="31">
        <v>785663280</v>
      </c>
    </row>
    <row r="4783" spans="1:6" ht="15" thickBot="1" x14ac:dyDescent="0.2">
      <c r="A4783" s="30" t="s">
        <v>14097</v>
      </c>
      <c r="B4783" s="26" t="str">
        <f t="shared" si="74"/>
        <v>300749</v>
      </c>
      <c r="C4783" s="30" t="s">
        <v>8269</v>
      </c>
      <c r="D4783" s="31">
        <v>4.99</v>
      </c>
      <c r="E4783" s="31">
        <v>-2.35</v>
      </c>
      <c r="F4783" s="31">
        <v>785400300</v>
      </c>
    </row>
    <row r="4784" spans="1:6" ht="15" thickBot="1" x14ac:dyDescent="0.2">
      <c r="A4784" s="30" t="s">
        <v>14098</v>
      </c>
      <c r="B4784" s="26" t="str">
        <f t="shared" si="74"/>
        <v>301231</v>
      </c>
      <c r="C4784" s="30" t="s">
        <v>14099</v>
      </c>
      <c r="D4784" s="31">
        <v>14.52</v>
      </c>
      <c r="E4784" s="31">
        <v>-2.5499999999999998</v>
      </c>
      <c r="F4784" s="31">
        <v>782628000</v>
      </c>
    </row>
    <row r="4785" spans="1:6" ht="15" thickBot="1" x14ac:dyDescent="0.2">
      <c r="A4785" s="30" t="s">
        <v>14100</v>
      </c>
      <c r="B4785" s="26" t="str">
        <f t="shared" si="74"/>
        <v>003023</v>
      </c>
      <c r="C4785" s="30" t="s">
        <v>7671</v>
      </c>
      <c r="D4785" s="31">
        <v>14.94</v>
      </c>
      <c r="E4785" s="31">
        <v>-0.53</v>
      </c>
      <c r="F4785" s="31">
        <v>781824860</v>
      </c>
    </row>
    <row r="4786" spans="1:6" ht="15" thickBot="1" x14ac:dyDescent="0.2">
      <c r="A4786" s="30" t="s">
        <v>14101</v>
      </c>
      <c r="B4786" s="26" t="str">
        <f t="shared" si="74"/>
        <v>301210</v>
      </c>
      <c r="C4786" s="30" t="s">
        <v>14102</v>
      </c>
      <c r="D4786" s="31">
        <v>25.23</v>
      </c>
      <c r="E4786" s="31">
        <v>-0.67</v>
      </c>
      <c r="F4786" s="31">
        <v>777563520</v>
      </c>
    </row>
    <row r="4787" spans="1:6" ht="15" thickBot="1" x14ac:dyDescent="0.2">
      <c r="A4787" s="30" t="s">
        <v>14103</v>
      </c>
      <c r="B4787" s="26" t="str">
        <f t="shared" si="74"/>
        <v>300823</v>
      </c>
      <c r="C4787" s="30" t="s">
        <v>7953</v>
      </c>
      <c r="D4787" s="31">
        <v>10.19</v>
      </c>
      <c r="E4787" s="31">
        <v>-0.59</v>
      </c>
      <c r="F4787" s="31">
        <v>775272740</v>
      </c>
    </row>
    <row r="4788" spans="1:6" ht="15" thickBot="1" x14ac:dyDescent="0.2">
      <c r="A4788" s="30" t="s">
        <v>14104</v>
      </c>
      <c r="B4788" s="26" t="str">
        <f t="shared" si="74"/>
        <v>301419</v>
      </c>
      <c r="C4788" s="30" t="s">
        <v>14105</v>
      </c>
      <c r="D4788" s="31">
        <v>21.89</v>
      </c>
      <c r="E4788" s="31">
        <v>-0.91</v>
      </c>
      <c r="F4788" s="31">
        <v>773811500</v>
      </c>
    </row>
    <row r="4789" spans="1:6" ht="15" thickBot="1" x14ac:dyDescent="0.2">
      <c r="A4789" s="30" t="s">
        <v>14106</v>
      </c>
      <c r="B4789" s="26" t="str">
        <f t="shared" si="74"/>
        <v>688215</v>
      </c>
      <c r="C4789" s="30" t="s">
        <v>8355</v>
      </c>
      <c r="D4789" s="31">
        <v>14.86</v>
      </c>
      <c r="E4789" s="31">
        <v>-1.91</v>
      </c>
      <c r="F4789" s="31">
        <v>773492720</v>
      </c>
    </row>
    <row r="4790" spans="1:6" ht="15" thickBot="1" x14ac:dyDescent="0.2">
      <c r="A4790" s="30" t="s">
        <v>14107</v>
      </c>
      <c r="B4790" s="26" t="str">
        <f t="shared" si="74"/>
        <v>301398</v>
      </c>
      <c r="C4790" s="30" t="s">
        <v>14108</v>
      </c>
      <c r="D4790" s="31">
        <v>32.25</v>
      </c>
      <c r="E4790" s="31">
        <v>0.75</v>
      </c>
      <c r="F4790" s="31">
        <v>770775000</v>
      </c>
    </row>
    <row r="4791" spans="1:6" ht="15" thickBot="1" x14ac:dyDescent="0.2">
      <c r="A4791" s="30" t="s">
        <v>14109</v>
      </c>
      <c r="B4791" s="26" t="str">
        <f t="shared" si="74"/>
        <v>002620</v>
      </c>
      <c r="C4791" s="30" t="s">
        <v>8311</v>
      </c>
      <c r="D4791" s="31">
        <v>2.44</v>
      </c>
      <c r="E4791" s="31">
        <v>-2.79</v>
      </c>
      <c r="F4791" s="31">
        <v>768818820</v>
      </c>
    </row>
    <row r="4792" spans="1:6" ht="15" thickBot="1" x14ac:dyDescent="0.2">
      <c r="A4792" s="30" t="s">
        <v>14110</v>
      </c>
      <c r="B4792" s="26" t="str">
        <f t="shared" si="74"/>
        <v>301167</v>
      </c>
      <c r="C4792" s="30" t="s">
        <v>14111</v>
      </c>
      <c r="D4792" s="31">
        <v>10.81</v>
      </c>
      <c r="E4792" s="31">
        <v>-6</v>
      </c>
      <c r="F4792" s="31">
        <v>768784460</v>
      </c>
    </row>
    <row r="4793" spans="1:6" ht="15" thickBot="1" x14ac:dyDescent="0.2">
      <c r="A4793" s="30" t="s">
        <v>14112</v>
      </c>
      <c r="B4793" s="26" t="str">
        <f t="shared" si="74"/>
        <v>001373</v>
      </c>
      <c r="C4793" s="30" t="s">
        <v>14113</v>
      </c>
      <c r="D4793" s="31">
        <v>23.19</v>
      </c>
      <c r="E4793" s="31">
        <v>-1.36</v>
      </c>
      <c r="F4793" s="31">
        <v>768324870</v>
      </c>
    </row>
    <row r="4794" spans="1:6" ht="15" thickBot="1" x14ac:dyDescent="0.2">
      <c r="A4794" s="30" t="s">
        <v>14114</v>
      </c>
      <c r="B4794" s="26" t="str">
        <f t="shared" si="74"/>
        <v>301098</v>
      </c>
      <c r="C4794" s="30" t="s">
        <v>8199</v>
      </c>
      <c r="D4794" s="31">
        <v>7</v>
      </c>
      <c r="E4794" s="31">
        <v>-2.78</v>
      </c>
      <c r="F4794" s="31">
        <v>767664300</v>
      </c>
    </row>
    <row r="4795" spans="1:6" ht="15" thickBot="1" x14ac:dyDescent="0.2">
      <c r="A4795" s="30" t="s">
        <v>14115</v>
      </c>
      <c r="B4795" s="26" t="str">
        <f t="shared" si="74"/>
        <v>831039</v>
      </c>
      <c r="C4795" s="30" t="s">
        <v>8367</v>
      </c>
      <c r="D4795" s="31">
        <v>4.99</v>
      </c>
      <c r="E4795" s="31">
        <v>-1.77</v>
      </c>
      <c r="F4795" s="31">
        <v>767561300</v>
      </c>
    </row>
    <row r="4796" spans="1:6" ht="15" thickBot="1" x14ac:dyDescent="0.2">
      <c r="A4796" s="30" t="s">
        <v>14116</v>
      </c>
      <c r="B4796" s="26" t="str">
        <f t="shared" si="74"/>
        <v>603813</v>
      </c>
      <c r="C4796" s="30" t="s">
        <v>8315</v>
      </c>
      <c r="D4796" s="31">
        <v>8.5299999999999994</v>
      </c>
      <c r="E4796" s="31">
        <v>-1.73</v>
      </c>
      <c r="F4796" s="31">
        <v>767205260</v>
      </c>
    </row>
    <row r="4797" spans="1:6" ht="15" thickBot="1" x14ac:dyDescent="0.2">
      <c r="A4797" s="30" t="s">
        <v>14117</v>
      </c>
      <c r="B4797" s="26" t="str">
        <f t="shared" si="74"/>
        <v>300886</v>
      </c>
      <c r="C4797" s="30" t="s">
        <v>8093</v>
      </c>
      <c r="D4797" s="31">
        <v>17.649999999999999</v>
      </c>
      <c r="E4797" s="31">
        <v>-0.62</v>
      </c>
      <c r="F4797" s="31">
        <v>767140480</v>
      </c>
    </row>
    <row r="4798" spans="1:6" ht="15" thickBot="1" x14ac:dyDescent="0.2">
      <c r="A4798" s="30" t="s">
        <v>14118</v>
      </c>
      <c r="B4798" s="26" t="str">
        <f t="shared" si="74"/>
        <v>603097</v>
      </c>
      <c r="C4798" s="30" t="s">
        <v>14119</v>
      </c>
      <c r="D4798" s="31">
        <v>19.170000000000002</v>
      </c>
      <c r="E4798" s="31">
        <v>0.16</v>
      </c>
      <c r="F4798" s="31">
        <v>766800000</v>
      </c>
    </row>
    <row r="4799" spans="1:6" ht="15" thickBot="1" x14ac:dyDescent="0.2">
      <c r="A4799" s="30" t="s">
        <v>14120</v>
      </c>
      <c r="B4799" s="26" t="str">
        <f t="shared" si="74"/>
        <v>833429</v>
      </c>
      <c r="C4799" s="30" t="s">
        <v>14121</v>
      </c>
      <c r="D4799" s="31">
        <v>9.5299999999999994</v>
      </c>
      <c r="E4799" s="31">
        <v>-2.85</v>
      </c>
      <c r="F4799" s="31">
        <v>763901060</v>
      </c>
    </row>
    <row r="4800" spans="1:6" ht="15" thickBot="1" x14ac:dyDescent="0.2">
      <c r="A4800" s="30" t="s">
        <v>14122</v>
      </c>
      <c r="B4800" s="26" t="str">
        <f t="shared" si="74"/>
        <v>833914</v>
      </c>
      <c r="C4800" s="30" t="s">
        <v>14123</v>
      </c>
      <c r="D4800" s="31">
        <v>7.59</v>
      </c>
      <c r="E4800" s="31">
        <v>-1.56</v>
      </c>
      <c r="F4800" s="31">
        <v>759000000</v>
      </c>
    </row>
    <row r="4801" spans="1:6" ht="15" thickBot="1" x14ac:dyDescent="0.2">
      <c r="A4801" s="30" t="s">
        <v>14124</v>
      </c>
      <c r="B4801" s="26" t="str">
        <f t="shared" si="74"/>
        <v>603163</v>
      </c>
      <c r="C4801" s="30" t="s">
        <v>14125</v>
      </c>
      <c r="D4801" s="31">
        <v>21.62</v>
      </c>
      <c r="E4801" s="31">
        <v>1.41</v>
      </c>
      <c r="F4801" s="31">
        <v>756759460</v>
      </c>
    </row>
    <row r="4802" spans="1:6" ht="15" thickBot="1" x14ac:dyDescent="0.2">
      <c r="A4802" s="30" t="s">
        <v>14126</v>
      </c>
      <c r="B4802" s="26" t="str">
        <f t="shared" si="74"/>
        <v>301082</v>
      </c>
      <c r="C4802" s="30" t="s">
        <v>14127</v>
      </c>
      <c r="D4802" s="31">
        <v>7.95</v>
      </c>
      <c r="E4802" s="31">
        <v>-0.75</v>
      </c>
      <c r="F4802" s="31">
        <v>756156860</v>
      </c>
    </row>
    <row r="4803" spans="1:6" ht="15" thickBot="1" x14ac:dyDescent="0.2">
      <c r="A4803" s="30" t="s">
        <v>14128</v>
      </c>
      <c r="B4803" s="26" t="str">
        <f t="shared" ref="B4803:B4866" si="75">LEFT(A4803,6)</f>
        <v>688651</v>
      </c>
      <c r="C4803" s="30" t="s">
        <v>14129</v>
      </c>
      <c r="D4803" s="31">
        <v>23.95</v>
      </c>
      <c r="E4803" s="31">
        <v>1.06</v>
      </c>
      <c r="F4803" s="31">
        <v>754674700</v>
      </c>
    </row>
    <row r="4804" spans="1:6" ht="15" thickBot="1" x14ac:dyDescent="0.2">
      <c r="A4804" s="30" t="s">
        <v>14130</v>
      </c>
      <c r="B4804" s="26" t="str">
        <f t="shared" si="75"/>
        <v>300995</v>
      </c>
      <c r="C4804" s="30" t="s">
        <v>8241</v>
      </c>
      <c r="D4804" s="31">
        <v>12.59</v>
      </c>
      <c r="E4804" s="31">
        <v>-1.64</v>
      </c>
      <c r="F4804" s="31">
        <v>754201190</v>
      </c>
    </row>
    <row r="4805" spans="1:6" ht="15" thickBot="1" x14ac:dyDescent="0.2">
      <c r="A4805" s="30" t="s">
        <v>14131</v>
      </c>
      <c r="B4805" s="26" t="str">
        <f t="shared" si="75"/>
        <v>301102</v>
      </c>
      <c r="C4805" s="30" t="s">
        <v>14132</v>
      </c>
      <c r="D4805" s="31">
        <v>7.43</v>
      </c>
      <c r="E4805" s="31">
        <v>-0.8</v>
      </c>
      <c r="F4805" s="31">
        <v>754145000</v>
      </c>
    </row>
    <row r="4806" spans="1:6" ht="15" thickBot="1" x14ac:dyDescent="0.2">
      <c r="A4806" s="30" t="s">
        <v>14133</v>
      </c>
      <c r="B4806" s="26" t="str">
        <f t="shared" si="75"/>
        <v>301156</v>
      </c>
      <c r="C4806" s="30" t="s">
        <v>14134</v>
      </c>
      <c r="D4806" s="31">
        <v>10.95</v>
      </c>
      <c r="E4806" s="31">
        <v>0</v>
      </c>
      <c r="F4806" s="31">
        <v>753163290</v>
      </c>
    </row>
    <row r="4807" spans="1:6" ht="15" thickBot="1" x14ac:dyDescent="0.2">
      <c r="A4807" s="30" t="s">
        <v>14135</v>
      </c>
      <c r="B4807" s="26" t="str">
        <f t="shared" si="75"/>
        <v>688217</v>
      </c>
      <c r="C4807" s="30" t="s">
        <v>8357</v>
      </c>
      <c r="D4807" s="31">
        <v>13.47</v>
      </c>
      <c r="E4807" s="31">
        <v>-2.74</v>
      </c>
      <c r="F4807" s="31">
        <v>752378920</v>
      </c>
    </row>
    <row r="4808" spans="1:6" ht="15" thickBot="1" x14ac:dyDescent="0.2">
      <c r="A4808" s="30" t="s">
        <v>14136</v>
      </c>
      <c r="B4808" s="26" t="str">
        <f t="shared" si="75"/>
        <v>301373</v>
      </c>
      <c r="C4808" s="30" t="s">
        <v>14137</v>
      </c>
      <c r="D4808" s="31">
        <v>19.53</v>
      </c>
      <c r="E4808" s="31">
        <v>-2.59</v>
      </c>
      <c r="F4808" s="31">
        <v>751374210</v>
      </c>
    </row>
    <row r="4809" spans="1:6" ht="15" thickBot="1" x14ac:dyDescent="0.2">
      <c r="A4809" s="30" t="s">
        <v>14138</v>
      </c>
      <c r="B4809" s="26" t="str">
        <f t="shared" si="75"/>
        <v>688162</v>
      </c>
      <c r="C4809" s="30" t="s">
        <v>14139</v>
      </c>
      <c r="D4809" s="31">
        <v>15.45</v>
      </c>
      <c r="E4809" s="31">
        <v>-1.97</v>
      </c>
      <c r="F4809" s="31">
        <v>751130330</v>
      </c>
    </row>
    <row r="4810" spans="1:6" ht="15" thickBot="1" x14ac:dyDescent="0.2">
      <c r="A4810" s="30" t="s">
        <v>14140</v>
      </c>
      <c r="B4810" s="26" t="str">
        <f t="shared" si="75"/>
        <v>832566</v>
      </c>
      <c r="C4810" s="30" t="s">
        <v>8297</v>
      </c>
      <c r="D4810" s="31">
        <v>6.68</v>
      </c>
      <c r="E4810" s="31">
        <v>-0.6</v>
      </c>
      <c r="F4810" s="31">
        <v>751030800</v>
      </c>
    </row>
    <row r="4811" spans="1:6" ht="15" thickBot="1" x14ac:dyDescent="0.2">
      <c r="A4811" s="30" t="s">
        <v>14141</v>
      </c>
      <c r="B4811" s="26" t="str">
        <f t="shared" si="75"/>
        <v>300878</v>
      </c>
      <c r="C4811" s="30" t="s">
        <v>6955</v>
      </c>
      <c r="D4811" s="31">
        <v>13.5</v>
      </c>
      <c r="E4811" s="31">
        <v>-3.02</v>
      </c>
      <c r="F4811" s="31">
        <v>750807600</v>
      </c>
    </row>
    <row r="4812" spans="1:6" ht="15" thickBot="1" x14ac:dyDescent="0.2">
      <c r="A4812" s="30" t="s">
        <v>14142</v>
      </c>
      <c r="B4812" s="26" t="str">
        <f t="shared" si="75"/>
        <v>301108</v>
      </c>
      <c r="C4812" s="30" t="s">
        <v>14143</v>
      </c>
      <c r="D4812" s="31">
        <v>21.25</v>
      </c>
      <c r="E4812" s="31">
        <v>-1.85</v>
      </c>
      <c r="F4812" s="31">
        <v>748814470</v>
      </c>
    </row>
    <row r="4813" spans="1:6" ht="15" thickBot="1" x14ac:dyDescent="0.2">
      <c r="A4813" s="30" t="s">
        <v>14144</v>
      </c>
      <c r="B4813" s="26" t="str">
        <f t="shared" si="75"/>
        <v>688096</v>
      </c>
      <c r="C4813" s="30" t="s">
        <v>8365</v>
      </c>
      <c r="D4813" s="31">
        <v>4.91</v>
      </c>
      <c r="E4813" s="31">
        <v>-0.61</v>
      </c>
      <c r="F4813" s="31">
        <v>748109200</v>
      </c>
    </row>
    <row r="4814" spans="1:6" ht="15" thickBot="1" x14ac:dyDescent="0.2">
      <c r="A4814" s="30" t="s">
        <v>14145</v>
      </c>
      <c r="B4814" s="26" t="str">
        <f t="shared" si="75"/>
        <v>603190</v>
      </c>
      <c r="C4814" s="30" t="s">
        <v>14146</v>
      </c>
      <c r="D4814" s="31">
        <v>18.46</v>
      </c>
      <c r="E4814" s="31">
        <v>-0.54</v>
      </c>
      <c r="F4814" s="31">
        <v>747989600</v>
      </c>
    </row>
    <row r="4815" spans="1:6" ht="15" thickBot="1" x14ac:dyDescent="0.2">
      <c r="A4815" s="30" t="s">
        <v>14147</v>
      </c>
      <c r="B4815" s="26" t="str">
        <f t="shared" si="75"/>
        <v>603062</v>
      </c>
      <c r="C4815" s="30" t="s">
        <v>14148</v>
      </c>
      <c r="D4815" s="31">
        <v>27.66</v>
      </c>
      <c r="E4815" s="31">
        <v>-1.21</v>
      </c>
      <c r="F4815" s="31">
        <v>746820000</v>
      </c>
    </row>
    <row r="4816" spans="1:6" ht="15" thickBot="1" x14ac:dyDescent="0.2">
      <c r="A4816" s="30" t="s">
        <v>14149</v>
      </c>
      <c r="B4816" s="26" t="str">
        <f t="shared" si="75"/>
        <v>001230</v>
      </c>
      <c r="C4816" s="30" t="s">
        <v>14150</v>
      </c>
      <c r="D4816" s="31">
        <v>13.75</v>
      </c>
      <c r="E4816" s="31">
        <v>-1.5</v>
      </c>
      <c r="F4816" s="31">
        <v>743568570</v>
      </c>
    </row>
    <row r="4817" spans="1:6" ht="15" thickBot="1" x14ac:dyDescent="0.2">
      <c r="A4817" s="30" t="s">
        <v>14151</v>
      </c>
      <c r="B4817" s="26" t="str">
        <f t="shared" si="75"/>
        <v>301607</v>
      </c>
      <c r="C4817" s="30" t="s">
        <v>14152</v>
      </c>
      <c r="D4817" s="31">
        <v>33.24</v>
      </c>
      <c r="E4817" s="31">
        <v>2.91</v>
      </c>
      <c r="F4817" s="31">
        <v>743517370</v>
      </c>
    </row>
    <row r="4818" spans="1:6" ht="15" thickBot="1" x14ac:dyDescent="0.2">
      <c r="A4818" s="30" t="s">
        <v>14153</v>
      </c>
      <c r="B4818" s="26" t="str">
        <f t="shared" si="75"/>
        <v>301386</v>
      </c>
      <c r="C4818" s="30" t="s">
        <v>14154</v>
      </c>
      <c r="D4818" s="31">
        <v>17.29</v>
      </c>
      <c r="E4818" s="31">
        <v>-0.06</v>
      </c>
      <c r="F4818" s="31">
        <v>742104160</v>
      </c>
    </row>
    <row r="4819" spans="1:6" ht="15" thickBot="1" x14ac:dyDescent="0.2">
      <c r="A4819" s="30" t="s">
        <v>14155</v>
      </c>
      <c r="B4819" s="26" t="str">
        <f t="shared" si="75"/>
        <v>688273</v>
      </c>
      <c r="C4819" s="30" t="s">
        <v>14156</v>
      </c>
      <c r="D4819" s="31">
        <v>20.14</v>
      </c>
      <c r="E4819" s="31">
        <v>-0.1</v>
      </c>
      <c r="F4819" s="31">
        <v>741691550</v>
      </c>
    </row>
    <row r="4820" spans="1:6" ht="15" thickBot="1" x14ac:dyDescent="0.2">
      <c r="A4820" s="30" t="s">
        <v>14157</v>
      </c>
      <c r="B4820" s="26" t="str">
        <f t="shared" si="75"/>
        <v>300665</v>
      </c>
      <c r="C4820" s="30" t="s">
        <v>8305</v>
      </c>
      <c r="D4820" s="31">
        <v>4.8600000000000003</v>
      </c>
      <c r="E4820" s="31">
        <v>-1.62</v>
      </c>
      <c r="F4820" s="31">
        <v>732176970</v>
      </c>
    </row>
    <row r="4821" spans="1:6" ht="15" thickBot="1" x14ac:dyDescent="0.2">
      <c r="A4821" s="30" t="s">
        <v>14158</v>
      </c>
      <c r="B4821" s="26" t="str">
        <f t="shared" si="75"/>
        <v>301161</v>
      </c>
      <c r="C4821" s="30" t="s">
        <v>14159</v>
      </c>
      <c r="D4821" s="31">
        <v>13.72</v>
      </c>
      <c r="E4821" s="31">
        <v>-1.51</v>
      </c>
      <c r="F4821" s="31">
        <v>731660160</v>
      </c>
    </row>
    <row r="4822" spans="1:6" ht="15" thickBot="1" x14ac:dyDescent="0.2">
      <c r="A4822" s="30" t="s">
        <v>14160</v>
      </c>
      <c r="B4822" s="26" t="str">
        <f t="shared" si="75"/>
        <v>832978</v>
      </c>
      <c r="C4822" s="30" t="s">
        <v>14161</v>
      </c>
      <c r="D4822" s="31">
        <v>8.16</v>
      </c>
      <c r="E4822" s="31">
        <v>-1.45</v>
      </c>
      <c r="F4822" s="31">
        <v>730005540</v>
      </c>
    </row>
    <row r="4823" spans="1:6" ht="15" thickBot="1" x14ac:dyDescent="0.2">
      <c r="A4823" s="30" t="s">
        <v>14162</v>
      </c>
      <c r="B4823" s="26" t="str">
        <f t="shared" si="75"/>
        <v>301390</v>
      </c>
      <c r="C4823" s="30" t="s">
        <v>14163</v>
      </c>
      <c r="D4823" s="31">
        <v>24.99</v>
      </c>
      <c r="E4823" s="31">
        <v>-2.27</v>
      </c>
      <c r="F4823" s="31">
        <v>725977740</v>
      </c>
    </row>
    <row r="4824" spans="1:6" ht="15" thickBot="1" x14ac:dyDescent="0.2">
      <c r="A4824" s="30" t="s">
        <v>14164</v>
      </c>
      <c r="B4824" s="26" t="str">
        <f t="shared" si="75"/>
        <v>301586</v>
      </c>
      <c r="C4824" s="30" t="s">
        <v>14165</v>
      </c>
      <c r="D4824" s="31">
        <v>36.89</v>
      </c>
      <c r="E4824" s="31">
        <v>-0.03</v>
      </c>
      <c r="F4824" s="31">
        <v>725719890</v>
      </c>
    </row>
    <row r="4825" spans="1:6" ht="15" thickBot="1" x14ac:dyDescent="0.2">
      <c r="A4825" s="30" t="s">
        <v>14166</v>
      </c>
      <c r="B4825" s="26" t="str">
        <f t="shared" si="75"/>
        <v>301203</v>
      </c>
      <c r="C4825" s="30" t="s">
        <v>14167</v>
      </c>
      <c r="D4825" s="31">
        <v>23.72</v>
      </c>
      <c r="E4825" s="31">
        <v>-2.63</v>
      </c>
      <c r="F4825" s="31">
        <v>723707640</v>
      </c>
    </row>
    <row r="4826" spans="1:6" ht="15" thickBot="1" x14ac:dyDescent="0.2">
      <c r="A4826" s="30" t="s">
        <v>14168</v>
      </c>
      <c r="B4826" s="26" t="str">
        <f t="shared" si="75"/>
        <v>301372</v>
      </c>
      <c r="C4826" s="30" t="s">
        <v>14169</v>
      </c>
      <c r="D4826" s="31">
        <v>17.68</v>
      </c>
      <c r="E4826" s="31">
        <v>-3.18</v>
      </c>
      <c r="F4826" s="31">
        <v>723031470</v>
      </c>
    </row>
    <row r="4827" spans="1:6" ht="15" thickBot="1" x14ac:dyDescent="0.2">
      <c r="A4827" s="30" t="s">
        <v>14170</v>
      </c>
      <c r="B4827" s="26" t="str">
        <f t="shared" si="75"/>
        <v>001316</v>
      </c>
      <c r="C4827" s="30" t="s">
        <v>14171</v>
      </c>
      <c r="D4827" s="31">
        <v>25.43</v>
      </c>
      <c r="E4827" s="31">
        <v>-0.66</v>
      </c>
      <c r="F4827" s="31">
        <v>722657030</v>
      </c>
    </row>
    <row r="4828" spans="1:6" ht="15" thickBot="1" x14ac:dyDescent="0.2">
      <c r="A4828" s="30" t="s">
        <v>14172</v>
      </c>
      <c r="B4828" s="26" t="str">
        <f t="shared" si="75"/>
        <v>835305</v>
      </c>
      <c r="C4828" s="30" t="s">
        <v>14173</v>
      </c>
      <c r="D4828" s="31">
        <v>8.9</v>
      </c>
      <c r="E4828" s="31">
        <v>-2.2000000000000002</v>
      </c>
      <c r="F4828" s="31">
        <v>721797790</v>
      </c>
    </row>
    <row r="4829" spans="1:6" ht="15" thickBot="1" x14ac:dyDescent="0.2">
      <c r="A4829" s="30" t="s">
        <v>14174</v>
      </c>
      <c r="B4829" s="26" t="str">
        <f t="shared" si="75"/>
        <v>001318</v>
      </c>
      <c r="C4829" s="30" t="s">
        <v>14175</v>
      </c>
      <c r="D4829" s="31">
        <v>9.35</v>
      </c>
      <c r="E4829" s="31">
        <v>-4.0999999999999996</v>
      </c>
      <c r="F4829" s="31">
        <v>720511000</v>
      </c>
    </row>
    <row r="4830" spans="1:6" ht="15" thickBot="1" x14ac:dyDescent="0.2">
      <c r="A4830" s="30" t="s">
        <v>14176</v>
      </c>
      <c r="B4830" s="26" t="str">
        <f t="shared" si="75"/>
        <v>688448</v>
      </c>
      <c r="C4830" s="30" t="s">
        <v>14177</v>
      </c>
      <c r="D4830" s="31">
        <v>15.42</v>
      </c>
      <c r="E4830" s="31">
        <v>1.05</v>
      </c>
      <c r="F4830" s="31">
        <v>719964970</v>
      </c>
    </row>
    <row r="4831" spans="1:6" ht="15" thickBot="1" x14ac:dyDescent="0.2">
      <c r="A4831" s="30" t="s">
        <v>14178</v>
      </c>
      <c r="B4831" s="26" t="str">
        <f t="shared" si="75"/>
        <v>301567</v>
      </c>
      <c r="C4831" s="30" t="s">
        <v>14179</v>
      </c>
      <c r="D4831" s="31">
        <v>39.99</v>
      </c>
      <c r="E4831" s="31">
        <v>2.33</v>
      </c>
      <c r="F4831" s="31">
        <v>719820000</v>
      </c>
    </row>
    <row r="4832" spans="1:6" ht="15" thickBot="1" x14ac:dyDescent="0.2">
      <c r="A4832" s="30" t="s">
        <v>14180</v>
      </c>
      <c r="B4832" s="26" t="str">
        <f t="shared" si="75"/>
        <v>301252</v>
      </c>
      <c r="C4832" s="30" t="s">
        <v>14181</v>
      </c>
      <c r="D4832" s="31">
        <v>22.06</v>
      </c>
      <c r="E4832" s="31">
        <v>-0.85</v>
      </c>
      <c r="F4832" s="31">
        <v>719707500</v>
      </c>
    </row>
    <row r="4833" spans="1:6" ht="15" thickBot="1" x14ac:dyDescent="0.2">
      <c r="A4833" s="30" t="s">
        <v>14182</v>
      </c>
      <c r="B4833" s="26" t="str">
        <f t="shared" si="75"/>
        <v>603285</v>
      </c>
      <c r="C4833" s="30" t="s">
        <v>14183</v>
      </c>
      <c r="D4833" s="31">
        <v>18.32</v>
      </c>
      <c r="E4833" s="31">
        <v>-1.35</v>
      </c>
      <c r="F4833" s="31">
        <v>718089330</v>
      </c>
    </row>
    <row r="4834" spans="1:6" ht="15" thickBot="1" x14ac:dyDescent="0.2">
      <c r="A4834" s="30" t="s">
        <v>14184</v>
      </c>
      <c r="B4834" s="26" t="str">
        <f t="shared" si="75"/>
        <v>688053</v>
      </c>
      <c r="C4834" s="30" t="s">
        <v>14185</v>
      </c>
      <c r="D4834" s="31">
        <v>16.59</v>
      </c>
      <c r="E4834" s="31">
        <v>-1.54</v>
      </c>
      <c r="F4834" s="31">
        <v>717912340</v>
      </c>
    </row>
    <row r="4835" spans="1:6" ht="15" thickBot="1" x14ac:dyDescent="0.2">
      <c r="A4835" s="30" t="s">
        <v>14186</v>
      </c>
      <c r="B4835" s="26" t="str">
        <f t="shared" si="75"/>
        <v>688584</v>
      </c>
      <c r="C4835" s="30" t="s">
        <v>14187</v>
      </c>
      <c r="D4835" s="31">
        <v>12.72</v>
      </c>
      <c r="E4835" s="31">
        <v>-1.24</v>
      </c>
      <c r="F4835" s="31">
        <v>715940020</v>
      </c>
    </row>
    <row r="4836" spans="1:6" ht="15" thickBot="1" x14ac:dyDescent="0.2">
      <c r="A4836" s="30" t="s">
        <v>14188</v>
      </c>
      <c r="B4836" s="26" t="str">
        <f t="shared" si="75"/>
        <v>301180</v>
      </c>
      <c r="C4836" s="30" t="s">
        <v>3543</v>
      </c>
      <c r="D4836" s="31">
        <v>12.36</v>
      </c>
      <c r="E4836" s="31">
        <v>-1.91</v>
      </c>
      <c r="F4836" s="31">
        <v>715223780</v>
      </c>
    </row>
    <row r="4837" spans="1:6" ht="15" thickBot="1" x14ac:dyDescent="0.2">
      <c r="A4837" s="30" t="s">
        <v>14189</v>
      </c>
      <c r="B4837" s="26" t="str">
        <f t="shared" si="75"/>
        <v>688178</v>
      </c>
      <c r="C4837" s="30" t="s">
        <v>8369</v>
      </c>
      <c r="D4837" s="31">
        <v>8.41</v>
      </c>
      <c r="E4837" s="31">
        <v>-1.52</v>
      </c>
      <c r="F4837" s="31">
        <v>714831870</v>
      </c>
    </row>
    <row r="4838" spans="1:6" ht="15" thickBot="1" x14ac:dyDescent="0.2">
      <c r="A4838" s="30" t="s">
        <v>14190</v>
      </c>
      <c r="B4838" s="26" t="str">
        <f t="shared" si="75"/>
        <v>001216</v>
      </c>
      <c r="C4838" s="30" t="s">
        <v>14191</v>
      </c>
      <c r="D4838" s="31">
        <v>11.35</v>
      </c>
      <c r="E4838" s="31">
        <v>-5.0199999999999996</v>
      </c>
      <c r="F4838" s="31">
        <v>714672050</v>
      </c>
    </row>
    <row r="4839" spans="1:6" ht="15" thickBot="1" x14ac:dyDescent="0.2">
      <c r="A4839" s="30" t="s">
        <v>14192</v>
      </c>
      <c r="B4839" s="26" t="str">
        <f t="shared" si="75"/>
        <v>688693</v>
      </c>
      <c r="C4839" s="30" t="s">
        <v>14193</v>
      </c>
      <c r="D4839" s="31">
        <v>22.45</v>
      </c>
      <c r="E4839" s="31">
        <v>-1.88</v>
      </c>
      <c r="F4839" s="31">
        <v>714481730</v>
      </c>
    </row>
    <row r="4840" spans="1:6" ht="15" thickBot="1" x14ac:dyDescent="0.2">
      <c r="A4840" s="30" t="s">
        <v>14194</v>
      </c>
      <c r="B4840" s="26" t="str">
        <f t="shared" si="75"/>
        <v>000820</v>
      </c>
      <c r="C4840" s="30" t="s">
        <v>7607</v>
      </c>
      <c r="D4840" s="31">
        <v>2.48</v>
      </c>
      <c r="E4840" s="31">
        <v>-3.13</v>
      </c>
      <c r="F4840" s="31">
        <v>713389160</v>
      </c>
    </row>
    <row r="4841" spans="1:6" ht="15" thickBot="1" x14ac:dyDescent="0.2">
      <c r="A4841" s="30" t="s">
        <v>14195</v>
      </c>
      <c r="B4841" s="26" t="str">
        <f t="shared" si="75"/>
        <v>001332</v>
      </c>
      <c r="C4841" s="30" t="s">
        <v>14196</v>
      </c>
      <c r="D4841" s="31">
        <v>26.41</v>
      </c>
      <c r="E4841" s="31">
        <v>-1.27</v>
      </c>
      <c r="F4841" s="31">
        <v>713070000</v>
      </c>
    </row>
    <row r="4842" spans="1:6" ht="15" thickBot="1" x14ac:dyDescent="0.2">
      <c r="A4842" s="30" t="s">
        <v>14197</v>
      </c>
      <c r="B4842" s="26" t="str">
        <f t="shared" si="75"/>
        <v>301518</v>
      </c>
      <c r="C4842" s="30" t="s">
        <v>14198</v>
      </c>
      <c r="D4842" s="31">
        <v>13.34</v>
      </c>
      <c r="E4842" s="31">
        <v>-1.62</v>
      </c>
      <c r="F4842" s="31">
        <v>712899650</v>
      </c>
    </row>
    <row r="4843" spans="1:6" ht="15" thickBot="1" x14ac:dyDescent="0.2">
      <c r="A4843" s="30" t="s">
        <v>14199</v>
      </c>
      <c r="B4843" s="26" t="str">
        <f t="shared" si="75"/>
        <v>603350</v>
      </c>
      <c r="C4843" s="30" t="s">
        <v>14200</v>
      </c>
      <c r="D4843" s="31">
        <v>25.03</v>
      </c>
      <c r="E4843" s="31">
        <v>-2.11</v>
      </c>
      <c r="F4843" s="31">
        <v>711232780</v>
      </c>
    </row>
    <row r="4844" spans="1:6" ht="15" thickBot="1" x14ac:dyDescent="0.2">
      <c r="A4844" s="30" t="s">
        <v>14201</v>
      </c>
      <c r="B4844" s="26" t="str">
        <f t="shared" si="75"/>
        <v>301413</v>
      </c>
      <c r="C4844" s="30" t="s">
        <v>14202</v>
      </c>
      <c r="D4844" s="31">
        <v>32.11</v>
      </c>
      <c r="E4844" s="31">
        <v>-1.23</v>
      </c>
      <c r="F4844" s="31">
        <v>710931290</v>
      </c>
    </row>
    <row r="4845" spans="1:6" ht="15" thickBot="1" x14ac:dyDescent="0.2">
      <c r="A4845" s="30" t="s">
        <v>14203</v>
      </c>
      <c r="B4845" s="26" t="str">
        <f t="shared" si="75"/>
        <v>301151</v>
      </c>
      <c r="C4845" s="30" t="s">
        <v>14204</v>
      </c>
      <c r="D4845" s="31">
        <v>12.99</v>
      </c>
      <c r="E4845" s="31">
        <v>-0.99</v>
      </c>
      <c r="F4845" s="31">
        <v>708830900</v>
      </c>
    </row>
    <row r="4846" spans="1:6" ht="15" thickBot="1" x14ac:dyDescent="0.2">
      <c r="A4846" s="30" t="s">
        <v>14205</v>
      </c>
      <c r="B4846" s="26" t="str">
        <f t="shared" si="75"/>
        <v>301181</v>
      </c>
      <c r="C4846" s="30" t="s">
        <v>14206</v>
      </c>
      <c r="D4846" s="31">
        <v>18.12</v>
      </c>
      <c r="E4846" s="31">
        <v>1.4</v>
      </c>
      <c r="F4846" s="31">
        <v>706680000</v>
      </c>
    </row>
    <row r="4847" spans="1:6" ht="15" thickBot="1" x14ac:dyDescent="0.2">
      <c r="A4847" s="30" t="s">
        <v>14207</v>
      </c>
      <c r="B4847" s="26" t="str">
        <f t="shared" si="75"/>
        <v>301566</v>
      </c>
      <c r="C4847" s="30" t="s">
        <v>14208</v>
      </c>
      <c r="D4847" s="31">
        <v>14.52</v>
      </c>
      <c r="E4847" s="31">
        <v>-2.4900000000000002</v>
      </c>
      <c r="F4847" s="31">
        <v>706567680</v>
      </c>
    </row>
    <row r="4848" spans="1:6" ht="15" thickBot="1" x14ac:dyDescent="0.2">
      <c r="A4848" s="30" t="s">
        <v>14209</v>
      </c>
      <c r="B4848" s="26" t="str">
        <f t="shared" si="75"/>
        <v>833523</v>
      </c>
      <c r="C4848" s="30" t="s">
        <v>8213</v>
      </c>
      <c r="D4848" s="31">
        <v>11.62</v>
      </c>
      <c r="E4848" s="31">
        <v>-0.26</v>
      </c>
      <c r="F4848" s="31">
        <v>704935630</v>
      </c>
    </row>
    <row r="4849" spans="1:6" ht="15" thickBot="1" x14ac:dyDescent="0.2">
      <c r="A4849" s="30" t="s">
        <v>14210</v>
      </c>
      <c r="B4849" s="26" t="str">
        <f t="shared" si="75"/>
        <v>688193</v>
      </c>
      <c r="C4849" s="30" t="s">
        <v>14211</v>
      </c>
      <c r="D4849" s="31">
        <v>23.16</v>
      </c>
      <c r="E4849" s="31">
        <v>-2.61</v>
      </c>
      <c r="F4849" s="31">
        <v>700765320</v>
      </c>
    </row>
    <row r="4850" spans="1:6" ht="15" thickBot="1" x14ac:dyDescent="0.2">
      <c r="A4850" s="30" t="s">
        <v>14212</v>
      </c>
      <c r="B4850" s="26" t="str">
        <f t="shared" si="75"/>
        <v>688251</v>
      </c>
      <c r="C4850" s="30" t="s">
        <v>14213</v>
      </c>
      <c r="D4850" s="31">
        <v>13.46</v>
      </c>
      <c r="E4850" s="31">
        <v>-1.61</v>
      </c>
      <c r="F4850" s="31">
        <v>700707750</v>
      </c>
    </row>
    <row r="4851" spans="1:6" ht="15" thickBot="1" x14ac:dyDescent="0.2">
      <c r="A4851" s="30" t="s">
        <v>14214</v>
      </c>
      <c r="B4851" s="26" t="str">
        <f t="shared" si="75"/>
        <v>001239</v>
      </c>
      <c r="C4851" s="30" t="s">
        <v>14215</v>
      </c>
      <c r="D4851" s="31">
        <v>14.35</v>
      </c>
      <c r="E4851" s="31">
        <v>-4.97</v>
      </c>
      <c r="F4851" s="31">
        <v>700232390</v>
      </c>
    </row>
    <row r="4852" spans="1:6" ht="15" thickBot="1" x14ac:dyDescent="0.2">
      <c r="A4852" s="30" t="s">
        <v>14216</v>
      </c>
      <c r="B4852" s="26" t="str">
        <f t="shared" si="75"/>
        <v>301177</v>
      </c>
      <c r="C4852" s="30" t="s">
        <v>14217</v>
      </c>
      <c r="D4852" s="31">
        <v>17.47</v>
      </c>
      <c r="E4852" s="31">
        <v>-1.91</v>
      </c>
      <c r="F4852" s="31">
        <v>698974700</v>
      </c>
    </row>
    <row r="4853" spans="1:6" ht="15" thickBot="1" x14ac:dyDescent="0.2">
      <c r="A4853" s="30" t="s">
        <v>14218</v>
      </c>
      <c r="B4853" s="26" t="str">
        <f t="shared" si="75"/>
        <v>688370</v>
      </c>
      <c r="C4853" s="30" t="s">
        <v>14219</v>
      </c>
      <c r="D4853" s="31">
        <v>15.5</v>
      </c>
      <c r="E4853" s="31">
        <v>0.13</v>
      </c>
      <c r="F4853" s="31">
        <v>696899170</v>
      </c>
    </row>
    <row r="4854" spans="1:6" ht="15" thickBot="1" x14ac:dyDescent="0.2">
      <c r="A4854" s="30" t="s">
        <v>14220</v>
      </c>
      <c r="B4854" s="26" t="str">
        <f t="shared" si="75"/>
        <v>301237</v>
      </c>
      <c r="C4854" s="30" t="s">
        <v>14221</v>
      </c>
      <c r="D4854" s="31">
        <v>18.28</v>
      </c>
      <c r="E4854" s="31">
        <v>-1.24</v>
      </c>
      <c r="F4854" s="31">
        <v>694868500</v>
      </c>
    </row>
    <row r="4855" spans="1:6" ht="15" thickBot="1" x14ac:dyDescent="0.2">
      <c r="A4855" s="30" t="s">
        <v>14222</v>
      </c>
      <c r="B4855" s="26" t="str">
        <f t="shared" si="75"/>
        <v>301182</v>
      </c>
      <c r="C4855" s="30" t="s">
        <v>14223</v>
      </c>
      <c r="D4855" s="31">
        <v>19.3</v>
      </c>
      <c r="E4855" s="31">
        <v>-0.72</v>
      </c>
      <c r="F4855" s="31">
        <v>694253810</v>
      </c>
    </row>
    <row r="4856" spans="1:6" ht="15" thickBot="1" x14ac:dyDescent="0.2">
      <c r="A4856" s="30" t="s">
        <v>14224</v>
      </c>
      <c r="B4856" s="26" t="str">
        <f t="shared" si="75"/>
        <v>301192</v>
      </c>
      <c r="C4856" s="30" t="s">
        <v>7821</v>
      </c>
      <c r="D4856" s="31">
        <v>14.5</v>
      </c>
      <c r="E4856" s="31">
        <v>0.91</v>
      </c>
      <c r="F4856" s="31">
        <v>694096880</v>
      </c>
    </row>
    <row r="4857" spans="1:6" ht="15" thickBot="1" x14ac:dyDescent="0.2">
      <c r="A4857" s="30" t="s">
        <v>14225</v>
      </c>
      <c r="B4857" s="26" t="str">
        <f t="shared" si="75"/>
        <v>838837</v>
      </c>
      <c r="C4857" s="30" t="s">
        <v>14226</v>
      </c>
      <c r="D4857" s="31">
        <v>5.07</v>
      </c>
      <c r="E4857" s="31">
        <v>-0.98</v>
      </c>
      <c r="F4857" s="31">
        <v>693514080</v>
      </c>
    </row>
    <row r="4858" spans="1:6" ht="15" thickBot="1" x14ac:dyDescent="0.2">
      <c r="A4858" s="30" t="s">
        <v>14227</v>
      </c>
      <c r="B4858" s="26" t="str">
        <f t="shared" si="75"/>
        <v>301356</v>
      </c>
      <c r="C4858" s="30" t="s">
        <v>14228</v>
      </c>
      <c r="D4858" s="31">
        <v>12.63</v>
      </c>
      <c r="E4858" s="31">
        <v>-0.86</v>
      </c>
      <c r="F4858" s="31">
        <v>692250300</v>
      </c>
    </row>
    <row r="4859" spans="1:6" ht="15" thickBot="1" x14ac:dyDescent="0.2">
      <c r="A4859" s="30" t="s">
        <v>14229</v>
      </c>
      <c r="B4859" s="26" t="str">
        <f t="shared" si="75"/>
        <v>873806</v>
      </c>
      <c r="C4859" s="30" t="s">
        <v>14230</v>
      </c>
      <c r="D4859" s="31">
        <v>7.29</v>
      </c>
      <c r="E4859" s="31">
        <v>-3.44</v>
      </c>
      <c r="F4859" s="31">
        <v>690096090</v>
      </c>
    </row>
    <row r="4860" spans="1:6" ht="15" thickBot="1" x14ac:dyDescent="0.2">
      <c r="A4860" s="30" t="s">
        <v>14231</v>
      </c>
      <c r="B4860" s="26" t="str">
        <f t="shared" si="75"/>
        <v>688163</v>
      </c>
      <c r="C4860" s="30" t="s">
        <v>14232</v>
      </c>
      <c r="D4860" s="31">
        <v>15.54</v>
      </c>
      <c r="E4860" s="31">
        <v>2.2400000000000002</v>
      </c>
      <c r="F4860" s="31">
        <v>689540880</v>
      </c>
    </row>
    <row r="4861" spans="1:6" ht="15" thickBot="1" x14ac:dyDescent="0.2">
      <c r="A4861" s="30" t="s">
        <v>14233</v>
      </c>
      <c r="B4861" s="26" t="str">
        <f t="shared" si="75"/>
        <v>603151</v>
      </c>
      <c r="C4861" s="30" t="s">
        <v>14234</v>
      </c>
      <c r="D4861" s="31">
        <v>8.52</v>
      </c>
      <c r="E4861" s="31">
        <v>-2.52</v>
      </c>
      <c r="F4861" s="31">
        <v>688688640</v>
      </c>
    </row>
    <row r="4862" spans="1:6" ht="15" thickBot="1" x14ac:dyDescent="0.2">
      <c r="A4862" s="30" t="s">
        <v>14235</v>
      </c>
      <c r="B4862" s="26" t="str">
        <f t="shared" si="75"/>
        <v>834415</v>
      </c>
      <c r="C4862" s="30" t="s">
        <v>8363</v>
      </c>
      <c r="D4862" s="31">
        <v>5.12</v>
      </c>
      <c r="E4862" s="31">
        <v>-2.29</v>
      </c>
      <c r="F4862" s="31">
        <v>688020810</v>
      </c>
    </row>
    <row r="4863" spans="1:6" ht="15" thickBot="1" x14ac:dyDescent="0.2">
      <c r="A4863" s="30" t="s">
        <v>14236</v>
      </c>
      <c r="B4863" s="26" t="str">
        <f t="shared" si="75"/>
        <v>300417</v>
      </c>
      <c r="C4863" s="30" t="s">
        <v>8233</v>
      </c>
      <c r="D4863" s="31">
        <v>7.91</v>
      </c>
      <c r="E4863" s="31">
        <v>-1.25</v>
      </c>
      <c r="F4863" s="31">
        <v>687243450</v>
      </c>
    </row>
    <row r="4864" spans="1:6" ht="15" thickBot="1" x14ac:dyDescent="0.2">
      <c r="A4864" s="30" t="s">
        <v>14237</v>
      </c>
      <c r="B4864" s="26" t="str">
        <f t="shared" si="75"/>
        <v>301331</v>
      </c>
      <c r="C4864" s="30" t="s">
        <v>14238</v>
      </c>
      <c r="D4864" s="31">
        <v>20.76</v>
      </c>
      <c r="E4864" s="31">
        <v>-0.24</v>
      </c>
      <c r="F4864" s="31">
        <v>687191350</v>
      </c>
    </row>
    <row r="4865" spans="1:6" ht="15" thickBot="1" x14ac:dyDescent="0.2">
      <c r="A4865" s="30" t="s">
        <v>14239</v>
      </c>
      <c r="B4865" s="26" t="str">
        <f t="shared" si="75"/>
        <v>301387</v>
      </c>
      <c r="C4865" s="30" t="s">
        <v>14240</v>
      </c>
      <c r="D4865" s="31">
        <v>25.83</v>
      </c>
      <c r="E4865" s="31">
        <v>-4.6900000000000004</v>
      </c>
      <c r="F4865" s="31">
        <v>687078000</v>
      </c>
    </row>
    <row r="4866" spans="1:6" ht="15" thickBot="1" x14ac:dyDescent="0.2">
      <c r="A4866" s="30" t="s">
        <v>14241</v>
      </c>
      <c r="B4866" s="26" t="str">
        <f t="shared" si="75"/>
        <v>300899</v>
      </c>
      <c r="C4866" s="30" t="s">
        <v>8229</v>
      </c>
      <c r="D4866" s="31">
        <v>16.739999999999998</v>
      </c>
      <c r="E4866" s="31">
        <v>-1.7</v>
      </c>
      <c r="F4866" s="31">
        <v>685269740</v>
      </c>
    </row>
    <row r="4867" spans="1:6" ht="15" thickBot="1" x14ac:dyDescent="0.2">
      <c r="A4867" s="30" t="s">
        <v>14242</v>
      </c>
      <c r="B4867" s="26" t="str">
        <f t="shared" ref="B4867:B4930" si="76">LEFT(A4867,6)</f>
        <v>835237</v>
      </c>
      <c r="C4867" s="30" t="s">
        <v>14243</v>
      </c>
      <c r="D4867" s="31">
        <v>10.51</v>
      </c>
      <c r="E4867" s="31">
        <v>-0.19</v>
      </c>
      <c r="F4867" s="31">
        <v>683901470</v>
      </c>
    </row>
    <row r="4868" spans="1:6" ht="15" thickBot="1" x14ac:dyDescent="0.2">
      <c r="A4868" s="30" t="s">
        <v>14244</v>
      </c>
      <c r="B4868" s="26" t="str">
        <f t="shared" si="76"/>
        <v>873001</v>
      </c>
      <c r="C4868" s="30" t="s">
        <v>14245</v>
      </c>
      <c r="D4868" s="31">
        <v>7.69</v>
      </c>
      <c r="E4868" s="31">
        <v>-4.47</v>
      </c>
      <c r="F4868" s="31">
        <v>682033940</v>
      </c>
    </row>
    <row r="4869" spans="1:6" ht="15" thickBot="1" x14ac:dyDescent="0.2">
      <c r="A4869" s="30" t="s">
        <v>14246</v>
      </c>
      <c r="B4869" s="26" t="str">
        <f t="shared" si="76"/>
        <v>603137</v>
      </c>
      <c r="C4869" s="30" t="s">
        <v>14247</v>
      </c>
      <c r="D4869" s="31">
        <v>9.24</v>
      </c>
      <c r="E4869" s="31">
        <v>-2.2200000000000002</v>
      </c>
      <c r="F4869" s="31">
        <v>681296010</v>
      </c>
    </row>
    <row r="4870" spans="1:6" ht="15" thickBot="1" x14ac:dyDescent="0.2">
      <c r="A4870" s="30" t="s">
        <v>14248</v>
      </c>
      <c r="B4870" s="26" t="str">
        <f t="shared" si="76"/>
        <v>688237</v>
      </c>
      <c r="C4870" s="30" t="s">
        <v>14249</v>
      </c>
      <c r="D4870" s="31">
        <v>15.43</v>
      </c>
      <c r="E4870" s="31">
        <v>-0.77</v>
      </c>
      <c r="F4870" s="31">
        <v>680251160</v>
      </c>
    </row>
    <row r="4871" spans="1:6" ht="15" thickBot="1" x14ac:dyDescent="0.2">
      <c r="A4871" s="30" t="s">
        <v>14250</v>
      </c>
      <c r="B4871" s="26" t="str">
        <f t="shared" si="76"/>
        <v>001333</v>
      </c>
      <c r="C4871" s="30" t="s">
        <v>14251</v>
      </c>
      <c r="D4871" s="31">
        <v>15.43</v>
      </c>
      <c r="E4871" s="31">
        <v>-0.13</v>
      </c>
      <c r="F4871" s="31">
        <v>678920000</v>
      </c>
    </row>
    <row r="4872" spans="1:6" ht="15" thickBot="1" x14ac:dyDescent="0.2">
      <c r="A4872" s="30" t="s">
        <v>14252</v>
      </c>
      <c r="B4872" s="26" t="str">
        <f t="shared" si="76"/>
        <v>001376</v>
      </c>
      <c r="C4872" s="30" t="s">
        <v>14253</v>
      </c>
      <c r="D4872" s="31">
        <v>14.72</v>
      </c>
      <c r="E4872" s="31">
        <v>1.24</v>
      </c>
      <c r="F4872" s="31">
        <v>678444800</v>
      </c>
    </row>
    <row r="4873" spans="1:6" ht="15" thickBot="1" x14ac:dyDescent="0.2">
      <c r="A4873" s="30" t="s">
        <v>14254</v>
      </c>
      <c r="B4873" s="26" t="str">
        <f t="shared" si="76"/>
        <v>301317</v>
      </c>
      <c r="C4873" s="30" t="s">
        <v>14255</v>
      </c>
      <c r="D4873" s="31">
        <v>15.11</v>
      </c>
      <c r="E4873" s="31">
        <v>1.1399999999999999</v>
      </c>
      <c r="F4873" s="31">
        <v>676928000</v>
      </c>
    </row>
    <row r="4874" spans="1:6" ht="15" thickBot="1" x14ac:dyDescent="0.2">
      <c r="A4874" s="30" t="s">
        <v>14256</v>
      </c>
      <c r="B4874" s="26" t="str">
        <f t="shared" si="76"/>
        <v>301258</v>
      </c>
      <c r="C4874" s="30" t="s">
        <v>14257</v>
      </c>
      <c r="D4874" s="31">
        <v>19.98</v>
      </c>
      <c r="E4874" s="31">
        <v>-1.67</v>
      </c>
      <c r="F4874" s="31">
        <v>676238090</v>
      </c>
    </row>
    <row r="4875" spans="1:6" ht="15" thickBot="1" x14ac:dyDescent="0.2">
      <c r="A4875" s="30" t="s">
        <v>14258</v>
      </c>
      <c r="B4875" s="26" t="str">
        <f t="shared" si="76"/>
        <v>688485</v>
      </c>
      <c r="C4875" s="30" t="s">
        <v>14259</v>
      </c>
      <c r="D4875" s="31">
        <v>7.83</v>
      </c>
      <c r="E4875" s="31">
        <v>-0.38</v>
      </c>
      <c r="F4875" s="31">
        <v>675567130</v>
      </c>
    </row>
    <row r="4876" spans="1:6" ht="15" thickBot="1" x14ac:dyDescent="0.2">
      <c r="A4876" s="30" t="s">
        <v>14260</v>
      </c>
      <c r="B4876" s="26" t="str">
        <f t="shared" si="76"/>
        <v>301255</v>
      </c>
      <c r="C4876" s="30" t="s">
        <v>14261</v>
      </c>
      <c r="D4876" s="31">
        <v>24.82</v>
      </c>
      <c r="E4876" s="31">
        <v>0.45</v>
      </c>
      <c r="F4876" s="31">
        <v>675104000</v>
      </c>
    </row>
    <row r="4877" spans="1:6" ht="15" thickBot="1" x14ac:dyDescent="0.2">
      <c r="A4877" s="30" t="s">
        <v>14262</v>
      </c>
      <c r="B4877" s="26" t="str">
        <f t="shared" si="76"/>
        <v>301499</v>
      </c>
      <c r="C4877" s="30" t="s">
        <v>14263</v>
      </c>
      <c r="D4877" s="31">
        <v>19.53</v>
      </c>
      <c r="E4877" s="31">
        <v>0.26</v>
      </c>
      <c r="F4877" s="31">
        <v>675029390</v>
      </c>
    </row>
    <row r="4878" spans="1:6" ht="15" thickBot="1" x14ac:dyDescent="0.2">
      <c r="A4878" s="30" t="s">
        <v>14264</v>
      </c>
      <c r="B4878" s="26" t="str">
        <f t="shared" si="76"/>
        <v>001238</v>
      </c>
      <c r="C4878" s="30" t="s">
        <v>14265</v>
      </c>
      <c r="D4878" s="31">
        <v>21.09</v>
      </c>
      <c r="E4878" s="31">
        <v>-0.19</v>
      </c>
      <c r="F4878" s="31">
        <v>674397570</v>
      </c>
    </row>
    <row r="4879" spans="1:6" ht="15" thickBot="1" x14ac:dyDescent="0.2">
      <c r="A4879" s="30" t="s">
        <v>14266</v>
      </c>
      <c r="B4879" s="26" t="str">
        <f t="shared" si="76"/>
        <v>838971</v>
      </c>
      <c r="C4879" s="30" t="s">
        <v>14267</v>
      </c>
      <c r="D4879" s="31">
        <v>7.95</v>
      </c>
      <c r="E4879" s="31">
        <v>-1.85</v>
      </c>
      <c r="F4879" s="31">
        <v>673287900</v>
      </c>
    </row>
    <row r="4880" spans="1:6" ht="15" thickBot="1" x14ac:dyDescent="0.2">
      <c r="A4880" s="30" t="s">
        <v>14268</v>
      </c>
      <c r="B4880" s="26" t="str">
        <f t="shared" si="76"/>
        <v>603231</v>
      </c>
      <c r="C4880" s="30" t="s">
        <v>14269</v>
      </c>
      <c r="D4880" s="31">
        <v>14.05</v>
      </c>
      <c r="E4880" s="31">
        <v>-1.54</v>
      </c>
      <c r="F4880" s="31">
        <v>672500440</v>
      </c>
    </row>
    <row r="4881" spans="1:6" ht="15" thickBot="1" x14ac:dyDescent="0.2">
      <c r="A4881" s="30" t="s">
        <v>14270</v>
      </c>
      <c r="B4881" s="26" t="str">
        <f t="shared" si="76"/>
        <v>688227</v>
      </c>
      <c r="C4881" s="30" t="s">
        <v>14271</v>
      </c>
      <c r="D4881" s="31">
        <v>10.64</v>
      </c>
      <c r="E4881" s="31">
        <v>-1.57</v>
      </c>
      <c r="F4881" s="31">
        <v>672039930</v>
      </c>
    </row>
    <row r="4882" spans="1:6" ht="15" thickBot="1" x14ac:dyDescent="0.2">
      <c r="A4882" s="30" t="s">
        <v>14272</v>
      </c>
      <c r="B4882" s="26" t="str">
        <f t="shared" si="76"/>
        <v>301225</v>
      </c>
      <c r="C4882" s="30" t="s">
        <v>14273</v>
      </c>
      <c r="D4882" s="31">
        <v>22.25</v>
      </c>
      <c r="E4882" s="31">
        <v>0.32</v>
      </c>
      <c r="F4882" s="31">
        <v>671505000</v>
      </c>
    </row>
    <row r="4883" spans="1:6" ht="15" thickBot="1" x14ac:dyDescent="0.2">
      <c r="A4883" s="30" t="s">
        <v>14274</v>
      </c>
      <c r="B4883" s="26" t="str">
        <f t="shared" si="76"/>
        <v>301077</v>
      </c>
      <c r="C4883" s="30" t="s">
        <v>14275</v>
      </c>
      <c r="D4883" s="31">
        <v>15.63</v>
      </c>
      <c r="E4883" s="31">
        <v>-1.76</v>
      </c>
      <c r="F4883" s="31">
        <v>670058130</v>
      </c>
    </row>
    <row r="4884" spans="1:6" ht="15" thickBot="1" x14ac:dyDescent="0.2">
      <c r="A4884" s="30" t="s">
        <v>14276</v>
      </c>
      <c r="B4884" s="26" t="str">
        <f t="shared" si="76"/>
        <v>835985</v>
      </c>
      <c r="C4884" s="30" t="s">
        <v>14277</v>
      </c>
      <c r="D4884" s="31">
        <v>4.9800000000000004</v>
      </c>
      <c r="E4884" s="31">
        <v>-0.99</v>
      </c>
      <c r="F4884" s="31">
        <v>669656010</v>
      </c>
    </row>
    <row r="4885" spans="1:6" ht="15" thickBot="1" x14ac:dyDescent="0.2">
      <c r="A4885" s="30" t="s">
        <v>14278</v>
      </c>
      <c r="B4885" s="26" t="str">
        <f t="shared" si="76"/>
        <v>837592</v>
      </c>
      <c r="C4885" s="30" t="s">
        <v>14279</v>
      </c>
      <c r="D4885" s="31">
        <v>17.5</v>
      </c>
      <c r="E4885" s="31">
        <v>1.45</v>
      </c>
      <c r="F4885" s="31">
        <v>668171280</v>
      </c>
    </row>
    <row r="4886" spans="1:6" ht="15" thickBot="1" x14ac:dyDescent="0.2">
      <c r="A4886" s="30" t="s">
        <v>14280</v>
      </c>
      <c r="B4886" s="26" t="str">
        <f t="shared" si="76"/>
        <v>301336</v>
      </c>
      <c r="C4886" s="30" t="s">
        <v>8259</v>
      </c>
      <c r="D4886" s="31">
        <v>25.83</v>
      </c>
      <c r="E4886" s="31">
        <v>-1.53</v>
      </c>
      <c r="F4886" s="31">
        <v>665035300</v>
      </c>
    </row>
    <row r="4887" spans="1:6" ht="15" thickBot="1" x14ac:dyDescent="0.2">
      <c r="A4887" s="30" t="s">
        <v>14281</v>
      </c>
      <c r="B4887" s="26" t="str">
        <f t="shared" si="76"/>
        <v>301469</v>
      </c>
      <c r="C4887" s="30" t="s">
        <v>14282</v>
      </c>
      <c r="D4887" s="31">
        <v>19.420000000000002</v>
      </c>
      <c r="E4887" s="31">
        <v>-1.52</v>
      </c>
      <c r="F4887" s="31">
        <v>664882950</v>
      </c>
    </row>
    <row r="4888" spans="1:6" ht="15" thickBot="1" x14ac:dyDescent="0.2">
      <c r="A4888" s="30" t="s">
        <v>14283</v>
      </c>
      <c r="B4888" s="26" t="str">
        <f t="shared" si="76"/>
        <v>301112</v>
      </c>
      <c r="C4888" s="30" t="s">
        <v>14284</v>
      </c>
      <c r="D4888" s="31">
        <v>18.239999999999998</v>
      </c>
      <c r="E4888" s="31">
        <v>-0.06</v>
      </c>
      <c r="F4888" s="31">
        <v>661326020</v>
      </c>
    </row>
    <row r="4889" spans="1:6" ht="15" thickBot="1" x14ac:dyDescent="0.2">
      <c r="A4889" s="30" t="s">
        <v>14285</v>
      </c>
      <c r="B4889" s="26" t="str">
        <f t="shared" si="76"/>
        <v>603373</v>
      </c>
      <c r="C4889" s="30" t="s">
        <v>14286</v>
      </c>
      <c r="D4889" s="31">
        <v>24.6</v>
      </c>
      <c r="E4889" s="31">
        <v>-1.56</v>
      </c>
      <c r="F4889" s="31">
        <v>661290340</v>
      </c>
    </row>
    <row r="4890" spans="1:6" ht="15" thickBot="1" x14ac:dyDescent="0.2">
      <c r="A4890" s="30" t="s">
        <v>14287</v>
      </c>
      <c r="B4890" s="26" t="str">
        <f t="shared" si="76"/>
        <v>001278</v>
      </c>
      <c r="C4890" s="30" t="s">
        <v>14288</v>
      </c>
      <c r="D4890" s="31">
        <v>13.07</v>
      </c>
      <c r="E4890" s="31">
        <v>-1.51</v>
      </c>
      <c r="F4890" s="31">
        <v>660485930</v>
      </c>
    </row>
    <row r="4891" spans="1:6" ht="15" thickBot="1" x14ac:dyDescent="0.2">
      <c r="A4891" s="30" t="s">
        <v>14289</v>
      </c>
      <c r="B4891" s="26" t="str">
        <f t="shared" si="76"/>
        <v>301122</v>
      </c>
      <c r="C4891" s="30" t="s">
        <v>14290</v>
      </c>
      <c r="D4891" s="31">
        <v>14.88</v>
      </c>
      <c r="E4891" s="31">
        <v>-4.1900000000000004</v>
      </c>
      <c r="F4891" s="31">
        <v>658375390</v>
      </c>
    </row>
    <row r="4892" spans="1:6" ht="15" thickBot="1" x14ac:dyDescent="0.2">
      <c r="A4892" s="30" t="s">
        <v>14291</v>
      </c>
      <c r="B4892" s="26" t="str">
        <f t="shared" si="76"/>
        <v>300955</v>
      </c>
      <c r="C4892" s="30" t="s">
        <v>8169</v>
      </c>
      <c r="D4892" s="31">
        <v>11.17</v>
      </c>
      <c r="E4892" s="31">
        <v>-1.59</v>
      </c>
      <c r="F4892" s="31">
        <v>657313630</v>
      </c>
    </row>
    <row r="4893" spans="1:6" ht="15" thickBot="1" x14ac:dyDescent="0.2">
      <c r="A4893" s="30" t="s">
        <v>14292</v>
      </c>
      <c r="B4893" s="26" t="str">
        <f t="shared" si="76"/>
        <v>301133</v>
      </c>
      <c r="C4893" s="30" t="s">
        <v>14293</v>
      </c>
      <c r="D4893" s="31">
        <v>18.760000000000002</v>
      </c>
      <c r="E4893" s="31">
        <v>-0.74</v>
      </c>
      <c r="F4893" s="31">
        <v>657051180</v>
      </c>
    </row>
    <row r="4894" spans="1:6" ht="15" thickBot="1" x14ac:dyDescent="0.2">
      <c r="A4894" s="30" t="s">
        <v>14294</v>
      </c>
      <c r="B4894" s="26" t="str">
        <f t="shared" si="76"/>
        <v>301568</v>
      </c>
      <c r="C4894" s="30" t="s">
        <v>14295</v>
      </c>
      <c r="D4894" s="31">
        <v>25.44</v>
      </c>
      <c r="E4894" s="31">
        <v>-2.15</v>
      </c>
      <c r="F4894" s="31">
        <v>656860800</v>
      </c>
    </row>
    <row r="4895" spans="1:6" ht="15" thickBot="1" x14ac:dyDescent="0.2">
      <c r="A4895" s="30" t="s">
        <v>14296</v>
      </c>
      <c r="B4895" s="26" t="str">
        <f t="shared" si="76"/>
        <v>301138</v>
      </c>
      <c r="C4895" s="30" t="s">
        <v>14297</v>
      </c>
      <c r="D4895" s="31">
        <v>21.84</v>
      </c>
      <c r="E4895" s="31">
        <v>-1.75</v>
      </c>
      <c r="F4895" s="31">
        <v>655200000</v>
      </c>
    </row>
    <row r="4896" spans="1:6" ht="15" thickBot="1" x14ac:dyDescent="0.2">
      <c r="A4896" s="30" t="s">
        <v>14298</v>
      </c>
      <c r="B4896" s="26" t="str">
        <f t="shared" si="76"/>
        <v>603075</v>
      </c>
      <c r="C4896" s="30" t="s">
        <v>14299</v>
      </c>
      <c r="D4896" s="31">
        <v>16.36</v>
      </c>
      <c r="E4896" s="31">
        <v>-0.85</v>
      </c>
      <c r="F4896" s="31">
        <v>654563600</v>
      </c>
    </row>
    <row r="4897" spans="1:6" ht="15" thickBot="1" x14ac:dyDescent="0.2">
      <c r="A4897" s="30" t="s">
        <v>14300</v>
      </c>
      <c r="B4897" s="26" t="str">
        <f t="shared" si="76"/>
        <v>001229</v>
      </c>
      <c r="C4897" s="30" t="s">
        <v>14301</v>
      </c>
      <c r="D4897" s="31">
        <v>22.22</v>
      </c>
      <c r="E4897" s="31">
        <v>-1.51</v>
      </c>
      <c r="F4897" s="31">
        <v>653399300</v>
      </c>
    </row>
    <row r="4898" spans="1:6" ht="15" thickBot="1" x14ac:dyDescent="0.2">
      <c r="A4898" s="30" t="s">
        <v>14302</v>
      </c>
      <c r="B4898" s="26" t="str">
        <f t="shared" si="76"/>
        <v>301276</v>
      </c>
      <c r="C4898" s="30" t="s">
        <v>14303</v>
      </c>
      <c r="D4898" s="31">
        <v>16.920000000000002</v>
      </c>
      <c r="E4898" s="31">
        <v>-0.53</v>
      </c>
      <c r="F4898" s="31">
        <v>651479730</v>
      </c>
    </row>
    <row r="4899" spans="1:6" ht="15" thickBot="1" x14ac:dyDescent="0.2">
      <c r="A4899" s="30" t="s">
        <v>14304</v>
      </c>
      <c r="B4899" s="26" t="str">
        <f t="shared" si="76"/>
        <v>871857</v>
      </c>
      <c r="C4899" s="30" t="s">
        <v>14305</v>
      </c>
      <c r="D4899" s="31">
        <v>8.8000000000000007</v>
      </c>
      <c r="E4899" s="31">
        <v>0.11</v>
      </c>
      <c r="F4899" s="31">
        <v>651262940</v>
      </c>
    </row>
    <row r="4900" spans="1:6" ht="15" thickBot="1" x14ac:dyDescent="0.2">
      <c r="A4900" s="30" t="s">
        <v>14306</v>
      </c>
      <c r="B4900" s="26" t="str">
        <f t="shared" si="76"/>
        <v>688450</v>
      </c>
      <c r="C4900" s="30" t="s">
        <v>14307</v>
      </c>
      <c r="D4900" s="31">
        <v>17.37</v>
      </c>
      <c r="E4900" s="31">
        <v>-1.03</v>
      </c>
      <c r="F4900" s="31">
        <v>649057160</v>
      </c>
    </row>
    <row r="4901" spans="1:6" ht="15" thickBot="1" x14ac:dyDescent="0.2">
      <c r="A4901" s="30" t="s">
        <v>14308</v>
      </c>
      <c r="B4901" s="26" t="str">
        <f t="shared" si="76"/>
        <v>688721</v>
      </c>
      <c r="C4901" s="30" t="s">
        <v>14309</v>
      </c>
      <c r="D4901" s="31">
        <v>25.82</v>
      </c>
      <c r="E4901" s="31">
        <v>1.73</v>
      </c>
      <c r="F4901" s="31">
        <v>647960030</v>
      </c>
    </row>
    <row r="4902" spans="1:6" ht="15" thickBot="1" x14ac:dyDescent="0.2">
      <c r="A4902" s="30" t="s">
        <v>14310</v>
      </c>
      <c r="B4902" s="26" t="str">
        <f t="shared" si="76"/>
        <v>688623</v>
      </c>
      <c r="C4902" s="30" t="s">
        <v>14311</v>
      </c>
      <c r="D4902" s="31">
        <v>45.22</v>
      </c>
      <c r="E4902" s="31">
        <v>-1.27</v>
      </c>
      <c r="F4902" s="31">
        <v>647055510</v>
      </c>
    </row>
    <row r="4903" spans="1:6" ht="15" thickBot="1" x14ac:dyDescent="0.2">
      <c r="A4903" s="30" t="s">
        <v>14312</v>
      </c>
      <c r="B4903" s="26" t="str">
        <f t="shared" si="76"/>
        <v>301361</v>
      </c>
      <c r="C4903" s="30" t="s">
        <v>14313</v>
      </c>
      <c r="D4903" s="31">
        <v>22.21</v>
      </c>
      <c r="E4903" s="31">
        <v>2.2999999999999998</v>
      </c>
      <c r="F4903" s="31">
        <v>645955640</v>
      </c>
    </row>
    <row r="4904" spans="1:6" ht="15" thickBot="1" x14ac:dyDescent="0.2">
      <c r="A4904" s="30" t="s">
        <v>14314</v>
      </c>
      <c r="B4904" s="26" t="str">
        <f t="shared" si="76"/>
        <v>001300</v>
      </c>
      <c r="C4904" s="30" t="s">
        <v>14315</v>
      </c>
      <c r="D4904" s="31">
        <v>9.75</v>
      </c>
      <c r="E4904" s="31">
        <v>-1.1200000000000001</v>
      </c>
      <c r="F4904" s="31">
        <v>645636100</v>
      </c>
    </row>
    <row r="4905" spans="1:6" ht="15" thickBot="1" x14ac:dyDescent="0.2">
      <c r="A4905" s="30" t="s">
        <v>14316</v>
      </c>
      <c r="B4905" s="26" t="str">
        <f t="shared" si="76"/>
        <v>603261</v>
      </c>
      <c r="C4905" s="30" t="s">
        <v>14317</v>
      </c>
      <c r="D4905" s="31">
        <v>24.52</v>
      </c>
      <c r="E4905" s="31">
        <v>-1.49</v>
      </c>
      <c r="F4905" s="31">
        <v>644809210</v>
      </c>
    </row>
    <row r="4906" spans="1:6" ht="15" thickBot="1" x14ac:dyDescent="0.2">
      <c r="A4906" s="30" t="s">
        <v>14318</v>
      </c>
      <c r="B4906" s="26" t="str">
        <f t="shared" si="76"/>
        <v>301129</v>
      </c>
      <c r="C4906" s="30" t="s">
        <v>6086</v>
      </c>
      <c r="D4906" s="31">
        <v>17.95</v>
      </c>
      <c r="E4906" s="31">
        <v>1.64</v>
      </c>
      <c r="F4906" s="31">
        <v>644498340</v>
      </c>
    </row>
    <row r="4907" spans="1:6" ht="15" thickBot="1" x14ac:dyDescent="0.2">
      <c r="A4907" s="30" t="s">
        <v>14319</v>
      </c>
      <c r="B4907" s="26" t="str">
        <f t="shared" si="76"/>
        <v>834021</v>
      </c>
      <c r="C4907" s="30" t="s">
        <v>8339</v>
      </c>
      <c r="D4907" s="31">
        <v>2.82</v>
      </c>
      <c r="E4907" s="31">
        <v>-1.05</v>
      </c>
      <c r="F4907" s="31">
        <v>643392290</v>
      </c>
    </row>
    <row r="4908" spans="1:6" ht="15" thickBot="1" x14ac:dyDescent="0.2">
      <c r="A4908" s="30" t="s">
        <v>14320</v>
      </c>
      <c r="B4908" s="26" t="str">
        <f t="shared" si="76"/>
        <v>300784</v>
      </c>
      <c r="C4908" s="30" t="s">
        <v>14321</v>
      </c>
      <c r="D4908" s="31">
        <v>45.75</v>
      </c>
      <c r="E4908" s="31">
        <v>-1.78</v>
      </c>
      <c r="F4908" s="31">
        <v>643245000</v>
      </c>
    </row>
    <row r="4909" spans="1:6" ht="15" thickBot="1" x14ac:dyDescent="0.2">
      <c r="A4909" s="30" t="s">
        <v>14322</v>
      </c>
      <c r="B4909" s="26" t="str">
        <f t="shared" si="76"/>
        <v>688175</v>
      </c>
      <c r="C4909" s="30" t="s">
        <v>14323</v>
      </c>
      <c r="D4909" s="31">
        <v>10.99</v>
      </c>
      <c r="E4909" s="31">
        <v>-3.77</v>
      </c>
      <c r="F4909" s="31">
        <v>643232940</v>
      </c>
    </row>
    <row r="4910" spans="1:6" ht="15" thickBot="1" x14ac:dyDescent="0.2">
      <c r="A4910" s="30" t="s">
        <v>14324</v>
      </c>
      <c r="B4910" s="26" t="str">
        <f t="shared" si="76"/>
        <v>001378</v>
      </c>
      <c r="C4910" s="30" t="s">
        <v>14325</v>
      </c>
      <c r="D4910" s="31">
        <v>19.95</v>
      </c>
      <c r="E4910" s="31">
        <v>-1.34</v>
      </c>
      <c r="F4910" s="31">
        <v>642933120</v>
      </c>
    </row>
    <row r="4911" spans="1:6" ht="15" thickBot="1" x14ac:dyDescent="0.2">
      <c r="A4911" s="30" t="s">
        <v>14326</v>
      </c>
      <c r="B4911" s="26" t="str">
        <f t="shared" si="76"/>
        <v>688329</v>
      </c>
      <c r="C4911" s="30" t="s">
        <v>8309</v>
      </c>
      <c r="D4911" s="31">
        <v>11.86</v>
      </c>
      <c r="E4911" s="31">
        <v>-2.4700000000000002</v>
      </c>
      <c r="F4911" s="31">
        <v>642159700</v>
      </c>
    </row>
    <row r="4912" spans="1:6" ht="15" thickBot="1" x14ac:dyDescent="0.2">
      <c r="A4912" s="30" t="s">
        <v>14327</v>
      </c>
      <c r="B4912" s="26" t="str">
        <f t="shared" si="76"/>
        <v>832419</v>
      </c>
      <c r="C4912" s="30" t="s">
        <v>14328</v>
      </c>
      <c r="D4912" s="31">
        <v>6.91</v>
      </c>
      <c r="E4912" s="31">
        <v>-1.71</v>
      </c>
      <c r="F4912" s="31">
        <v>641182690</v>
      </c>
    </row>
    <row r="4913" spans="1:6" ht="15" thickBot="1" x14ac:dyDescent="0.2">
      <c r="A4913" s="30" t="s">
        <v>14329</v>
      </c>
      <c r="B4913" s="26" t="str">
        <f t="shared" si="76"/>
        <v>001367</v>
      </c>
      <c r="C4913" s="30" t="s">
        <v>14330</v>
      </c>
      <c r="D4913" s="31">
        <v>24.51</v>
      </c>
      <c r="E4913" s="31">
        <v>-1.49</v>
      </c>
      <c r="F4913" s="31">
        <v>641050990</v>
      </c>
    </row>
    <row r="4914" spans="1:6" ht="15" thickBot="1" x14ac:dyDescent="0.2">
      <c r="A4914" s="30" t="s">
        <v>14331</v>
      </c>
      <c r="B4914" s="26" t="str">
        <f t="shared" si="76"/>
        <v>001317</v>
      </c>
      <c r="C4914" s="30" t="s">
        <v>14332</v>
      </c>
      <c r="D4914" s="31">
        <v>21.75</v>
      </c>
      <c r="E4914" s="31">
        <v>-0.69</v>
      </c>
      <c r="F4914" s="31">
        <v>639081860</v>
      </c>
    </row>
    <row r="4915" spans="1:6" ht="15" thickBot="1" x14ac:dyDescent="0.2">
      <c r="A4915" s="30" t="s">
        <v>14333</v>
      </c>
      <c r="B4915" s="26" t="str">
        <f t="shared" si="76"/>
        <v>301500</v>
      </c>
      <c r="C4915" s="30" t="s">
        <v>14334</v>
      </c>
      <c r="D4915" s="31">
        <v>15.95</v>
      </c>
      <c r="E4915" s="31">
        <v>-2.27</v>
      </c>
      <c r="F4915" s="31">
        <v>638159500</v>
      </c>
    </row>
    <row r="4916" spans="1:6" ht="15" thickBot="1" x14ac:dyDescent="0.2">
      <c r="A4916" s="30" t="s">
        <v>14335</v>
      </c>
      <c r="B4916" s="26" t="str">
        <f t="shared" si="76"/>
        <v>301459</v>
      </c>
      <c r="C4916" s="30" t="s">
        <v>14336</v>
      </c>
      <c r="D4916" s="31">
        <v>31.8</v>
      </c>
      <c r="E4916" s="31">
        <v>-2.69</v>
      </c>
      <c r="F4916" s="31">
        <v>636000000</v>
      </c>
    </row>
    <row r="4917" spans="1:6" ht="15" thickBot="1" x14ac:dyDescent="0.2">
      <c r="A4917" s="30" t="s">
        <v>14337</v>
      </c>
      <c r="B4917" s="26" t="str">
        <f t="shared" si="76"/>
        <v>301131</v>
      </c>
      <c r="C4917" s="30" t="s">
        <v>14338</v>
      </c>
      <c r="D4917" s="31">
        <v>27.37</v>
      </c>
      <c r="E4917" s="31">
        <v>-1.48</v>
      </c>
      <c r="F4917" s="31">
        <v>631541070</v>
      </c>
    </row>
    <row r="4918" spans="1:6" ht="15" thickBot="1" x14ac:dyDescent="0.2">
      <c r="A4918" s="30" t="s">
        <v>14339</v>
      </c>
      <c r="B4918" s="26" t="str">
        <f t="shared" si="76"/>
        <v>301300</v>
      </c>
      <c r="C4918" s="30" t="s">
        <v>14340</v>
      </c>
      <c r="D4918" s="31">
        <v>20.55</v>
      </c>
      <c r="E4918" s="31">
        <v>-3.25</v>
      </c>
      <c r="F4918" s="31">
        <v>631535760</v>
      </c>
    </row>
    <row r="4919" spans="1:6" ht="15" thickBot="1" x14ac:dyDescent="0.2">
      <c r="A4919" s="30" t="s">
        <v>14341</v>
      </c>
      <c r="B4919" s="26" t="str">
        <f t="shared" si="76"/>
        <v>836433</v>
      </c>
      <c r="C4919" s="30" t="s">
        <v>8301</v>
      </c>
      <c r="D4919" s="31">
        <v>3.73</v>
      </c>
      <c r="E4919" s="31">
        <v>-1.58</v>
      </c>
      <c r="F4919" s="31">
        <v>630864920</v>
      </c>
    </row>
    <row r="4920" spans="1:6" ht="15" thickBot="1" x14ac:dyDescent="0.2">
      <c r="A4920" s="30" t="s">
        <v>14342</v>
      </c>
      <c r="B4920" s="26" t="str">
        <f t="shared" si="76"/>
        <v>688565</v>
      </c>
      <c r="C4920" s="30" t="s">
        <v>8379</v>
      </c>
      <c r="D4920" s="31">
        <v>4.21</v>
      </c>
      <c r="E4920" s="31">
        <v>-2.09</v>
      </c>
      <c r="F4920" s="31">
        <v>630363300</v>
      </c>
    </row>
    <row r="4921" spans="1:6" ht="15" thickBot="1" x14ac:dyDescent="0.2">
      <c r="A4921" s="30" t="s">
        <v>14343</v>
      </c>
      <c r="B4921" s="26" t="str">
        <f t="shared" si="76"/>
        <v>001266</v>
      </c>
      <c r="C4921" s="30" t="s">
        <v>14344</v>
      </c>
      <c r="D4921" s="31">
        <v>17.87</v>
      </c>
      <c r="E4921" s="31">
        <v>-0.28000000000000003</v>
      </c>
      <c r="F4921" s="31">
        <v>630303490</v>
      </c>
    </row>
    <row r="4922" spans="1:6" ht="15" thickBot="1" x14ac:dyDescent="0.2">
      <c r="A4922" s="30" t="s">
        <v>14345</v>
      </c>
      <c r="B4922" s="26" t="str">
        <f t="shared" si="76"/>
        <v>603172</v>
      </c>
      <c r="C4922" s="30" t="s">
        <v>14346</v>
      </c>
      <c r="D4922" s="31">
        <v>12.55</v>
      </c>
      <c r="E4922" s="31">
        <v>3.21</v>
      </c>
      <c r="F4922" s="31">
        <v>628504000</v>
      </c>
    </row>
    <row r="4923" spans="1:6" ht="15" thickBot="1" x14ac:dyDescent="0.2">
      <c r="A4923" s="30" t="s">
        <v>14347</v>
      </c>
      <c r="B4923" s="26" t="str">
        <f t="shared" si="76"/>
        <v>831152</v>
      </c>
      <c r="C4923" s="30" t="s">
        <v>14348</v>
      </c>
      <c r="D4923" s="31">
        <v>7.63</v>
      </c>
      <c r="E4923" s="31">
        <v>-1.42</v>
      </c>
      <c r="F4923" s="31">
        <v>627083200</v>
      </c>
    </row>
    <row r="4924" spans="1:6" ht="15" thickBot="1" x14ac:dyDescent="0.2">
      <c r="A4924" s="30" t="s">
        <v>14349</v>
      </c>
      <c r="B4924" s="26" t="str">
        <f t="shared" si="76"/>
        <v>603073</v>
      </c>
      <c r="C4924" s="30" t="s">
        <v>14350</v>
      </c>
      <c r="D4924" s="31">
        <v>12.31</v>
      </c>
      <c r="E4924" s="31">
        <v>-2.5299999999999998</v>
      </c>
      <c r="F4924" s="31">
        <v>626490960</v>
      </c>
    </row>
    <row r="4925" spans="1:6" ht="15" thickBot="1" x14ac:dyDescent="0.2">
      <c r="A4925" s="30" t="s">
        <v>14351</v>
      </c>
      <c r="B4925" s="26" t="str">
        <f t="shared" si="76"/>
        <v>001306</v>
      </c>
      <c r="C4925" s="30" t="s">
        <v>14352</v>
      </c>
      <c r="D4925" s="31">
        <v>40.33</v>
      </c>
      <c r="E4925" s="31">
        <v>-2.09</v>
      </c>
      <c r="F4925" s="31">
        <v>625115000</v>
      </c>
    </row>
    <row r="4926" spans="1:6" ht="15" thickBot="1" x14ac:dyDescent="0.2">
      <c r="A4926" s="30" t="s">
        <v>14353</v>
      </c>
      <c r="B4926" s="26" t="str">
        <f t="shared" si="76"/>
        <v>831832</v>
      </c>
      <c r="C4926" s="30" t="s">
        <v>14354</v>
      </c>
      <c r="D4926" s="31">
        <v>10.16</v>
      </c>
      <c r="E4926" s="31">
        <v>-0.78</v>
      </c>
      <c r="F4926" s="31">
        <v>625066390</v>
      </c>
    </row>
    <row r="4927" spans="1:6" ht="15" thickBot="1" x14ac:dyDescent="0.2">
      <c r="A4927" s="30" t="s">
        <v>14355</v>
      </c>
      <c r="B4927" s="26" t="str">
        <f t="shared" si="76"/>
        <v>300983</v>
      </c>
      <c r="C4927" s="30" t="s">
        <v>14356</v>
      </c>
      <c r="D4927" s="31">
        <v>14.45</v>
      </c>
      <c r="E4927" s="31">
        <v>-2.56</v>
      </c>
      <c r="F4927" s="31">
        <v>624240000</v>
      </c>
    </row>
    <row r="4928" spans="1:6" ht="15" thickBot="1" x14ac:dyDescent="0.2">
      <c r="A4928" s="30" t="s">
        <v>14357</v>
      </c>
      <c r="B4928" s="26" t="str">
        <f t="shared" si="76"/>
        <v>301170</v>
      </c>
      <c r="C4928" s="30" t="s">
        <v>14358</v>
      </c>
      <c r="D4928" s="31">
        <v>18.55</v>
      </c>
      <c r="E4928" s="31">
        <v>-0.27</v>
      </c>
      <c r="F4928" s="31">
        <v>622824130</v>
      </c>
    </row>
    <row r="4929" spans="1:6" ht="15" thickBot="1" x14ac:dyDescent="0.2">
      <c r="A4929" s="30" t="s">
        <v>14359</v>
      </c>
      <c r="B4929" s="26" t="str">
        <f t="shared" si="76"/>
        <v>301083</v>
      </c>
      <c r="C4929" s="30" t="s">
        <v>14360</v>
      </c>
      <c r="D4929" s="31">
        <v>11.29</v>
      </c>
      <c r="E4929" s="31">
        <v>-1.1399999999999999</v>
      </c>
      <c r="F4929" s="31">
        <v>619368460</v>
      </c>
    </row>
    <row r="4930" spans="1:6" ht="15" thickBot="1" x14ac:dyDescent="0.2">
      <c r="A4930" s="30" t="s">
        <v>14361</v>
      </c>
      <c r="B4930" s="26" t="str">
        <f t="shared" si="76"/>
        <v>301533</v>
      </c>
      <c r="C4930" s="30" t="s">
        <v>14362</v>
      </c>
      <c r="D4930" s="31">
        <v>22.16</v>
      </c>
      <c r="E4930" s="31">
        <v>-2.34</v>
      </c>
      <c r="F4930" s="31">
        <v>616196470</v>
      </c>
    </row>
    <row r="4931" spans="1:6" ht="15" thickBot="1" x14ac:dyDescent="0.2">
      <c r="A4931" s="30" t="s">
        <v>14363</v>
      </c>
      <c r="B4931" s="26" t="str">
        <f t="shared" ref="B4931:B4994" si="77">LEFT(A4931,6)</f>
        <v>001277</v>
      </c>
      <c r="C4931" s="30" t="s">
        <v>14364</v>
      </c>
      <c r="D4931" s="31">
        <v>32.28</v>
      </c>
      <c r="E4931" s="31">
        <v>1.99</v>
      </c>
      <c r="F4931" s="31">
        <v>613320000</v>
      </c>
    </row>
    <row r="4932" spans="1:6" ht="15" thickBot="1" x14ac:dyDescent="0.2">
      <c r="A4932" s="30" t="s">
        <v>14365</v>
      </c>
      <c r="B4932" s="26" t="str">
        <f t="shared" si="77"/>
        <v>603176</v>
      </c>
      <c r="C4932" s="30" t="s">
        <v>14366</v>
      </c>
      <c r="D4932" s="31">
        <v>4.07</v>
      </c>
      <c r="E4932" s="31">
        <v>-2.4</v>
      </c>
      <c r="F4932" s="31">
        <v>610509020</v>
      </c>
    </row>
    <row r="4933" spans="1:6" ht="15" thickBot="1" x14ac:dyDescent="0.2">
      <c r="A4933" s="30" t="s">
        <v>14367</v>
      </c>
      <c r="B4933" s="26" t="str">
        <f t="shared" si="77"/>
        <v>688710</v>
      </c>
      <c r="C4933" s="30" t="s">
        <v>14368</v>
      </c>
      <c r="D4933" s="31">
        <v>22.95</v>
      </c>
      <c r="E4933" s="31">
        <v>-3.57</v>
      </c>
      <c r="F4933" s="31">
        <v>608238660</v>
      </c>
    </row>
    <row r="4934" spans="1:6" ht="15" thickBot="1" x14ac:dyDescent="0.2">
      <c r="A4934" s="30" t="s">
        <v>14369</v>
      </c>
      <c r="B4934" s="26" t="str">
        <f t="shared" si="77"/>
        <v>603375</v>
      </c>
      <c r="C4934" s="30" t="s">
        <v>14370</v>
      </c>
      <c r="D4934" s="31">
        <v>30.2</v>
      </c>
      <c r="E4934" s="31">
        <v>-2.27</v>
      </c>
      <c r="F4934" s="31">
        <v>608026690</v>
      </c>
    </row>
    <row r="4935" spans="1:6" ht="15" thickBot="1" x14ac:dyDescent="0.2">
      <c r="A4935" s="30" t="s">
        <v>14371</v>
      </c>
      <c r="B4935" s="26" t="str">
        <f t="shared" si="77"/>
        <v>301100</v>
      </c>
      <c r="C4935" s="30" t="s">
        <v>14372</v>
      </c>
      <c r="D4935" s="31">
        <v>12.15</v>
      </c>
      <c r="E4935" s="31">
        <v>-1.94</v>
      </c>
      <c r="F4935" s="31">
        <v>607500000</v>
      </c>
    </row>
    <row r="4936" spans="1:6" ht="15" thickBot="1" x14ac:dyDescent="0.2">
      <c r="A4936" s="30" t="s">
        <v>14373</v>
      </c>
      <c r="B4936" s="26" t="str">
        <f t="shared" si="77"/>
        <v>301233</v>
      </c>
      <c r="C4936" s="30" t="s">
        <v>14374</v>
      </c>
      <c r="D4936" s="31">
        <v>32.49</v>
      </c>
      <c r="E4936" s="31">
        <v>-1.72</v>
      </c>
      <c r="F4936" s="31">
        <v>606541190</v>
      </c>
    </row>
    <row r="4937" spans="1:6" ht="15" thickBot="1" x14ac:dyDescent="0.2">
      <c r="A4937" s="30" t="s">
        <v>14375</v>
      </c>
      <c r="B4937" s="26" t="str">
        <f t="shared" si="77"/>
        <v>301186</v>
      </c>
      <c r="C4937" s="30" t="s">
        <v>14376</v>
      </c>
      <c r="D4937" s="31">
        <v>27.38</v>
      </c>
      <c r="E4937" s="31">
        <v>-0.11</v>
      </c>
      <c r="F4937" s="31">
        <v>605192630</v>
      </c>
    </row>
    <row r="4938" spans="1:6" ht="15" thickBot="1" x14ac:dyDescent="0.2">
      <c r="A4938" s="30" t="s">
        <v>14377</v>
      </c>
      <c r="B4938" s="26" t="str">
        <f t="shared" si="77"/>
        <v>002629</v>
      </c>
      <c r="C4938" s="30" t="s">
        <v>8361</v>
      </c>
      <c r="D4938" s="31">
        <v>1.76</v>
      </c>
      <c r="E4938" s="31">
        <v>-4.3499999999999996</v>
      </c>
      <c r="F4938" s="31">
        <v>604772690</v>
      </c>
    </row>
    <row r="4939" spans="1:6" ht="15" thickBot="1" x14ac:dyDescent="0.2">
      <c r="A4939" s="30" t="s">
        <v>14378</v>
      </c>
      <c r="B4939" s="26" t="str">
        <f t="shared" si="77"/>
        <v>688671</v>
      </c>
      <c r="C4939" s="30" t="s">
        <v>14379</v>
      </c>
      <c r="D4939" s="31">
        <v>14.06</v>
      </c>
      <c r="E4939" s="31">
        <v>-1.61</v>
      </c>
      <c r="F4939" s="31">
        <v>604557500</v>
      </c>
    </row>
    <row r="4940" spans="1:6" ht="15" thickBot="1" x14ac:dyDescent="0.2">
      <c r="A4940" s="30" t="s">
        <v>14380</v>
      </c>
      <c r="B4940" s="26" t="str">
        <f t="shared" si="77"/>
        <v>688426</v>
      </c>
      <c r="C4940" s="30" t="s">
        <v>14381</v>
      </c>
      <c r="D4940" s="31">
        <v>16.32</v>
      </c>
      <c r="E4940" s="31">
        <v>-4</v>
      </c>
      <c r="F4940" s="31">
        <v>601806540</v>
      </c>
    </row>
    <row r="4941" spans="1:6" ht="15" thickBot="1" x14ac:dyDescent="0.2">
      <c r="A4941" s="30" t="s">
        <v>14382</v>
      </c>
      <c r="B4941" s="26" t="str">
        <f t="shared" si="77"/>
        <v>002830</v>
      </c>
      <c r="C4941" s="30" t="s">
        <v>8109</v>
      </c>
      <c r="D4941" s="31">
        <v>9</v>
      </c>
      <c r="E4941" s="31">
        <v>-2.81</v>
      </c>
      <c r="F4941" s="31">
        <v>601672500</v>
      </c>
    </row>
    <row r="4942" spans="1:6" ht="15" thickBot="1" x14ac:dyDescent="0.2">
      <c r="A4942" s="30" t="s">
        <v>14383</v>
      </c>
      <c r="B4942" s="26" t="str">
        <f t="shared" si="77"/>
        <v>830839</v>
      </c>
      <c r="C4942" s="30" t="s">
        <v>8227</v>
      </c>
      <c r="D4942" s="31">
        <v>9.2200000000000006</v>
      </c>
      <c r="E4942" s="31">
        <v>0.11</v>
      </c>
      <c r="F4942" s="31">
        <v>598575080</v>
      </c>
    </row>
    <row r="4943" spans="1:6" ht="15" thickBot="1" x14ac:dyDescent="0.2">
      <c r="A4943" s="30" t="s">
        <v>14384</v>
      </c>
      <c r="B4943" s="26" t="str">
        <f t="shared" si="77"/>
        <v>872925</v>
      </c>
      <c r="C4943" s="30" t="s">
        <v>14385</v>
      </c>
      <c r="D4943" s="31">
        <v>10.8</v>
      </c>
      <c r="E4943" s="31">
        <v>1.31</v>
      </c>
      <c r="F4943" s="31">
        <v>597186570</v>
      </c>
    </row>
    <row r="4944" spans="1:6" ht="15" thickBot="1" x14ac:dyDescent="0.2">
      <c r="A4944" s="30" t="s">
        <v>14386</v>
      </c>
      <c r="B4944" s="26" t="str">
        <f t="shared" si="77"/>
        <v>301288</v>
      </c>
      <c r="C4944" s="30" t="s">
        <v>14387</v>
      </c>
      <c r="D4944" s="31">
        <v>12.68</v>
      </c>
      <c r="E4944" s="31">
        <v>-0.94</v>
      </c>
      <c r="F4944" s="31">
        <v>597138280</v>
      </c>
    </row>
    <row r="4945" spans="1:6" ht="15" thickBot="1" x14ac:dyDescent="0.2">
      <c r="A4945" s="30" t="s">
        <v>14388</v>
      </c>
      <c r="B4945" s="26" t="str">
        <f t="shared" si="77"/>
        <v>603276</v>
      </c>
      <c r="C4945" s="30" t="s">
        <v>14389</v>
      </c>
      <c r="D4945" s="31">
        <v>11.87</v>
      </c>
      <c r="E4945" s="31">
        <v>-1.98</v>
      </c>
      <c r="F4945" s="31">
        <v>596287170</v>
      </c>
    </row>
    <row r="4946" spans="1:6" ht="15" thickBot="1" x14ac:dyDescent="0.2">
      <c r="A4946" s="30" t="s">
        <v>14390</v>
      </c>
      <c r="B4946" s="26" t="str">
        <f t="shared" si="77"/>
        <v>001225</v>
      </c>
      <c r="C4946" s="30" t="s">
        <v>14391</v>
      </c>
      <c r="D4946" s="31">
        <v>28.28</v>
      </c>
      <c r="E4946" s="31">
        <v>0.39</v>
      </c>
      <c r="F4946" s="31">
        <v>594976500</v>
      </c>
    </row>
    <row r="4947" spans="1:6" ht="15" thickBot="1" x14ac:dyDescent="0.2">
      <c r="A4947" s="30" t="s">
        <v>14392</v>
      </c>
      <c r="B4947" s="26" t="str">
        <f t="shared" si="77"/>
        <v>688573</v>
      </c>
      <c r="C4947" s="30" t="s">
        <v>14393</v>
      </c>
      <c r="D4947" s="31">
        <v>13.04</v>
      </c>
      <c r="E4947" s="31">
        <v>-2.1800000000000002</v>
      </c>
      <c r="F4947" s="31">
        <v>594804450</v>
      </c>
    </row>
    <row r="4948" spans="1:6" ht="15" thickBot="1" x14ac:dyDescent="0.2">
      <c r="A4948" s="30" t="s">
        <v>14394</v>
      </c>
      <c r="B4948" s="26" t="str">
        <f t="shared" si="77"/>
        <v>301157</v>
      </c>
      <c r="C4948" s="30" t="s">
        <v>14395</v>
      </c>
      <c r="D4948" s="31">
        <v>28.76</v>
      </c>
      <c r="E4948" s="31">
        <v>-1.44</v>
      </c>
      <c r="F4948" s="31">
        <v>594183180</v>
      </c>
    </row>
    <row r="4949" spans="1:6" ht="15" thickBot="1" x14ac:dyDescent="0.2">
      <c r="A4949" s="30" t="s">
        <v>14396</v>
      </c>
      <c r="B4949" s="26" t="str">
        <f t="shared" si="77"/>
        <v>688171</v>
      </c>
      <c r="C4949" s="30" t="s">
        <v>14397</v>
      </c>
      <c r="D4949" s="31">
        <v>11.57</v>
      </c>
      <c r="E4949" s="31">
        <v>-3.9</v>
      </c>
      <c r="F4949" s="31">
        <v>594102020</v>
      </c>
    </row>
    <row r="4950" spans="1:6" ht="15" thickBot="1" x14ac:dyDescent="0.2">
      <c r="A4950" s="30" t="s">
        <v>14398</v>
      </c>
      <c r="B4950" s="26" t="str">
        <f t="shared" si="77"/>
        <v>688420</v>
      </c>
      <c r="C4950" s="30" t="s">
        <v>14399</v>
      </c>
      <c r="D4950" s="31">
        <v>17.84</v>
      </c>
      <c r="E4950" s="31">
        <v>-1.1599999999999999</v>
      </c>
      <c r="F4950" s="31">
        <v>592726860</v>
      </c>
    </row>
    <row r="4951" spans="1:6" ht="15" thickBot="1" x14ac:dyDescent="0.2">
      <c r="A4951" s="30" t="s">
        <v>14400</v>
      </c>
      <c r="B4951" s="26" t="str">
        <f t="shared" si="77"/>
        <v>001268</v>
      </c>
      <c r="C4951" s="30" t="s">
        <v>14401</v>
      </c>
      <c r="D4951" s="31">
        <v>14.78</v>
      </c>
      <c r="E4951" s="31">
        <v>-2.12</v>
      </c>
      <c r="F4951" s="31">
        <v>592663720</v>
      </c>
    </row>
    <row r="4952" spans="1:6" ht="15" thickBot="1" x14ac:dyDescent="0.2">
      <c r="A4952" s="30" t="s">
        <v>14402</v>
      </c>
      <c r="B4952" s="26" t="str">
        <f t="shared" si="77"/>
        <v>301088</v>
      </c>
      <c r="C4952" s="30" t="s">
        <v>6424</v>
      </c>
      <c r="D4952" s="31">
        <v>10.220000000000001</v>
      </c>
      <c r="E4952" s="31">
        <v>-1.83</v>
      </c>
      <c r="F4952" s="31">
        <v>590205000</v>
      </c>
    </row>
    <row r="4953" spans="1:6" ht="15" thickBot="1" x14ac:dyDescent="0.2">
      <c r="A4953" s="30" t="s">
        <v>14403</v>
      </c>
      <c r="B4953" s="26" t="str">
        <f t="shared" si="77"/>
        <v>301578</v>
      </c>
      <c r="C4953" s="30" t="s">
        <v>14404</v>
      </c>
      <c r="D4953" s="31">
        <v>37.79</v>
      </c>
      <c r="E4953" s="31">
        <v>-3.05</v>
      </c>
      <c r="F4953" s="31">
        <v>589524000</v>
      </c>
    </row>
    <row r="4954" spans="1:6" ht="15" thickBot="1" x14ac:dyDescent="0.2">
      <c r="A4954" s="30" t="s">
        <v>14405</v>
      </c>
      <c r="B4954" s="26" t="str">
        <f t="shared" si="77"/>
        <v>301591</v>
      </c>
      <c r="C4954" s="30" t="s">
        <v>14406</v>
      </c>
      <c r="D4954" s="31">
        <v>28.02</v>
      </c>
      <c r="E4954" s="31">
        <v>-1.55</v>
      </c>
      <c r="F4954" s="31">
        <v>589260600</v>
      </c>
    </row>
    <row r="4955" spans="1:6" ht="15" thickBot="1" x14ac:dyDescent="0.2">
      <c r="A4955" s="30" t="s">
        <v>14407</v>
      </c>
      <c r="B4955" s="26" t="str">
        <f t="shared" si="77"/>
        <v>301520</v>
      </c>
      <c r="C4955" s="30" t="s">
        <v>14408</v>
      </c>
      <c r="D4955" s="31">
        <v>35.33</v>
      </c>
      <c r="E4955" s="31">
        <v>4.03</v>
      </c>
      <c r="F4955" s="31">
        <v>588833350</v>
      </c>
    </row>
    <row r="4956" spans="1:6" ht="15" thickBot="1" x14ac:dyDescent="0.2">
      <c r="A4956" s="30" t="s">
        <v>14409</v>
      </c>
      <c r="B4956" s="26" t="str">
        <f t="shared" si="77"/>
        <v>834062</v>
      </c>
      <c r="C4956" s="30" t="s">
        <v>14410</v>
      </c>
      <c r="D4956" s="31">
        <v>4.54</v>
      </c>
      <c r="E4956" s="31">
        <v>-0.44</v>
      </c>
      <c r="F4956" s="31">
        <v>587826060</v>
      </c>
    </row>
    <row r="4957" spans="1:6" ht="15" thickBot="1" x14ac:dyDescent="0.2">
      <c r="A4957" s="30" t="s">
        <v>14411</v>
      </c>
      <c r="B4957" s="26" t="str">
        <f t="shared" si="77"/>
        <v>301587</v>
      </c>
      <c r="C4957" s="30" t="s">
        <v>14412</v>
      </c>
      <c r="D4957" s="31">
        <v>20.239999999999998</v>
      </c>
      <c r="E4957" s="31">
        <v>-1.99</v>
      </c>
      <c r="F4957" s="31">
        <v>586634100</v>
      </c>
    </row>
    <row r="4958" spans="1:6" ht="15" thickBot="1" x14ac:dyDescent="0.2">
      <c r="A4958" s="30" t="s">
        <v>14413</v>
      </c>
      <c r="B4958" s="26" t="str">
        <f t="shared" si="77"/>
        <v>301097</v>
      </c>
      <c r="C4958" s="30" t="s">
        <v>14414</v>
      </c>
      <c r="D4958" s="31">
        <v>31.81</v>
      </c>
      <c r="E4958" s="31">
        <v>-5.13</v>
      </c>
      <c r="F4958" s="31">
        <v>583629780</v>
      </c>
    </row>
    <row r="4959" spans="1:6" ht="15" thickBot="1" x14ac:dyDescent="0.2">
      <c r="A4959" s="30" t="s">
        <v>14415</v>
      </c>
      <c r="B4959" s="26" t="str">
        <f t="shared" si="77"/>
        <v>301429</v>
      </c>
      <c r="C4959" s="30" t="s">
        <v>14416</v>
      </c>
      <c r="D4959" s="31">
        <v>13.2</v>
      </c>
      <c r="E4959" s="31">
        <v>-0.53</v>
      </c>
      <c r="F4959" s="31">
        <v>581342960</v>
      </c>
    </row>
    <row r="4960" spans="1:6" ht="15" thickBot="1" x14ac:dyDescent="0.2">
      <c r="A4960" s="30" t="s">
        <v>14417</v>
      </c>
      <c r="B4960" s="26" t="str">
        <f t="shared" si="77"/>
        <v>832023</v>
      </c>
      <c r="C4960" s="30" t="s">
        <v>14418</v>
      </c>
      <c r="D4960" s="31">
        <v>2.35</v>
      </c>
      <c r="E4960" s="31">
        <v>-0.84</v>
      </c>
      <c r="F4960" s="31">
        <v>580519750</v>
      </c>
    </row>
    <row r="4961" spans="1:6" ht="15" thickBot="1" x14ac:dyDescent="0.2">
      <c r="A4961" s="30" t="s">
        <v>14419</v>
      </c>
      <c r="B4961" s="26" t="str">
        <f t="shared" si="77"/>
        <v>301222</v>
      </c>
      <c r="C4961" s="30" t="s">
        <v>14420</v>
      </c>
      <c r="D4961" s="31">
        <v>19.8</v>
      </c>
      <c r="E4961" s="31">
        <v>-0.95</v>
      </c>
      <c r="F4961" s="31">
        <v>580504320</v>
      </c>
    </row>
    <row r="4962" spans="1:6" ht="15" thickBot="1" x14ac:dyDescent="0.2">
      <c r="A4962" s="30" t="s">
        <v>14421</v>
      </c>
      <c r="B4962" s="26" t="str">
        <f t="shared" si="77"/>
        <v>430489</v>
      </c>
      <c r="C4962" s="30" t="s">
        <v>8325</v>
      </c>
      <c r="D4962" s="31">
        <v>6.77</v>
      </c>
      <c r="E4962" s="31">
        <v>6.61</v>
      </c>
      <c r="F4962" s="31">
        <v>580146680</v>
      </c>
    </row>
    <row r="4963" spans="1:6" ht="15" thickBot="1" x14ac:dyDescent="0.2">
      <c r="A4963" s="30" t="s">
        <v>14422</v>
      </c>
      <c r="B4963" s="26" t="str">
        <f t="shared" si="77"/>
        <v>833266</v>
      </c>
      <c r="C4963" s="30" t="s">
        <v>8317</v>
      </c>
      <c r="D4963" s="31">
        <v>7.47</v>
      </c>
      <c r="E4963" s="31">
        <v>-1.58</v>
      </c>
      <c r="F4963" s="31">
        <v>579971820</v>
      </c>
    </row>
    <row r="4964" spans="1:6" ht="15" thickBot="1" x14ac:dyDescent="0.2">
      <c r="A4964" s="30" t="s">
        <v>14423</v>
      </c>
      <c r="B4964" s="26" t="str">
        <f t="shared" si="77"/>
        <v>301066</v>
      </c>
      <c r="C4964" s="30" t="s">
        <v>14424</v>
      </c>
      <c r="D4964" s="31">
        <v>8.0399999999999991</v>
      </c>
      <c r="E4964" s="31">
        <v>-1.47</v>
      </c>
      <c r="F4964" s="31">
        <v>579270580</v>
      </c>
    </row>
    <row r="4965" spans="1:6" ht="15" thickBot="1" x14ac:dyDescent="0.2">
      <c r="A4965" s="30" t="s">
        <v>14425</v>
      </c>
      <c r="B4965" s="26" t="str">
        <f t="shared" si="77"/>
        <v>873339</v>
      </c>
      <c r="C4965" s="30" t="s">
        <v>14426</v>
      </c>
      <c r="D4965" s="31">
        <v>3.83</v>
      </c>
      <c r="E4965" s="31">
        <v>0.26</v>
      </c>
      <c r="F4965" s="31">
        <v>577936030</v>
      </c>
    </row>
    <row r="4966" spans="1:6" ht="15" thickBot="1" x14ac:dyDescent="0.2">
      <c r="A4966" s="30" t="s">
        <v>14427</v>
      </c>
      <c r="B4966" s="26" t="str">
        <f t="shared" si="77"/>
        <v>831010</v>
      </c>
      <c r="C4966" s="30" t="s">
        <v>8347</v>
      </c>
      <c r="D4966" s="31">
        <v>3.58</v>
      </c>
      <c r="E4966" s="31">
        <v>-0.83</v>
      </c>
      <c r="F4966" s="31">
        <v>576981810</v>
      </c>
    </row>
    <row r="4967" spans="1:6" ht="15" thickBot="1" x14ac:dyDescent="0.2">
      <c r="A4967" s="30" t="s">
        <v>14428</v>
      </c>
      <c r="B4967" s="26" t="str">
        <f t="shared" si="77"/>
        <v>001358</v>
      </c>
      <c r="C4967" s="30" t="s">
        <v>14429</v>
      </c>
      <c r="D4967" s="31">
        <v>18.670000000000002</v>
      </c>
      <c r="E4967" s="31">
        <v>-1.63</v>
      </c>
      <c r="F4967" s="31">
        <v>575036000</v>
      </c>
    </row>
    <row r="4968" spans="1:6" ht="15" thickBot="1" x14ac:dyDescent="0.2">
      <c r="A4968" s="30" t="s">
        <v>14430</v>
      </c>
      <c r="B4968" s="26" t="str">
        <f t="shared" si="77"/>
        <v>835670</v>
      </c>
      <c r="C4968" s="30" t="s">
        <v>14431</v>
      </c>
      <c r="D4968" s="31">
        <v>8.66</v>
      </c>
      <c r="E4968" s="31">
        <v>-2.81</v>
      </c>
      <c r="F4968" s="31">
        <v>574404130</v>
      </c>
    </row>
    <row r="4969" spans="1:6" ht="15" thickBot="1" x14ac:dyDescent="0.2">
      <c r="A4969" s="30" t="s">
        <v>14432</v>
      </c>
      <c r="B4969" s="26" t="str">
        <f t="shared" si="77"/>
        <v>301163</v>
      </c>
      <c r="C4969" s="30" t="s">
        <v>14433</v>
      </c>
      <c r="D4969" s="31">
        <v>17.16</v>
      </c>
      <c r="E4969" s="31">
        <v>-2</v>
      </c>
      <c r="F4969" s="31">
        <v>573957740</v>
      </c>
    </row>
    <row r="4970" spans="1:6" ht="15" thickBot="1" x14ac:dyDescent="0.2">
      <c r="A4970" s="30" t="s">
        <v>14434</v>
      </c>
      <c r="B4970" s="26" t="str">
        <f t="shared" si="77"/>
        <v>301198</v>
      </c>
      <c r="C4970" s="30" t="s">
        <v>8041</v>
      </c>
      <c r="D4970" s="31">
        <v>7.36</v>
      </c>
      <c r="E4970" s="31">
        <v>-4.42</v>
      </c>
      <c r="F4970" s="31">
        <v>572912700</v>
      </c>
    </row>
    <row r="4971" spans="1:6" ht="15" thickBot="1" x14ac:dyDescent="0.2">
      <c r="A4971" s="30" t="s">
        <v>14435</v>
      </c>
      <c r="B4971" s="26" t="str">
        <f t="shared" si="77"/>
        <v>002718</v>
      </c>
      <c r="C4971" s="30" t="s">
        <v>8161</v>
      </c>
      <c r="D4971" s="31">
        <v>8.76</v>
      </c>
      <c r="E4971" s="31">
        <v>-2.12</v>
      </c>
      <c r="F4971" s="31">
        <v>571222570</v>
      </c>
    </row>
    <row r="4972" spans="1:6" ht="15" thickBot="1" x14ac:dyDescent="0.2">
      <c r="A4972" s="30" t="s">
        <v>14436</v>
      </c>
      <c r="B4972" s="26" t="str">
        <f t="shared" si="77"/>
        <v>833509</v>
      </c>
      <c r="C4972" s="30" t="s">
        <v>8207</v>
      </c>
      <c r="D4972" s="31">
        <v>6.87</v>
      </c>
      <c r="E4972" s="31">
        <v>-0.28999999999999998</v>
      </c>
      <c r="F4972" s="31">
        <v>566420360</v>
      </c>
    </row>
    <row r="4973" spans="1:6" ht="15" thickBot="1" x14ac:dyDescent="0.2">
      <c r="A4973" s="30" t="s">
        <v>14437</v>
      </c>
      <c r="B4973" s="26" t="str">
        <f t="shared" si="77"/>
        <v>301148</v>
      </c>
      <c r="C4973" s="30" t="s">
        <v>14438</v>
      </c>
      <c r="D4973" s="31">
        <v>14.62</v>
      </c>
      <c r="E4973" s="31">
        <v>-2.08</v>
      </c>
      <c r="F4973" s="31">
        <v>562710350</v>
      </c>
    </row>
    <row r="4974" spans="1:6" ht="15" thickBot="1" x14ac:dyDescent="0.2">
      <c r="A4974" s="30" t="s">
        <v>14439</v>
      </c>
      <c r="B4974" s="26" t="str">
        <f t="shared" si="77"/>
        <v>688021</v>
      </c>
      <c r="C4974" s="30" t="s">
        <v>8395</v>
      </c>
      <c r="D4974" s="31">
        <v>7.34</v>
      </c>
      <c r="E4974" s="31">
        <v>-2</v>
      </c>
      <c r="F4974" s="31">
        <v>560876680</v>
      </c>
    </row>
    <row r="4975" spans="1:6" ht="15" thickBot="1" x14ac:dyDescent="0.2">
      <c r="A4975" s="30" t="s">
        <v>14440</v>
      </c>
      <c r="B4975" s="26" t="str">
        <f t="shared" si="77"/>
        <v>301539</v>
      </c>
      <c r="C4975" s="30" t="s">
        <v>14441</v>
      </c>
      <c r="D4975" s="31">
        <v>15.96</v>
      </c>
      <c r="E4975" s="31">
        <v>-2.27</v>
      </c>
      <c r="F4975" s="31">
        <v>560061440</v>
      </c>
    </row>
    <row r="4976" spans="1:6" ht="15" thickBot="1" x14ac:dyDescent="0.2">
      <c r="A4976" s="30" t="s">
        <v>14442</v>
      </c>
      <c r="B4976" s="26" t="str">
        <f t="shared" si="77"/>
        <v>001387</v>
      </c>
      <c r="C4976" s="30" t="s">
        <v>14443</v>
      </c>
      <c r="D4976" s="31">
        <v>12.6</v>
      </c>
      <c r="E4976" s="31">
        <v>0.72</v>
      </c>
      <c r="F4976" s="31">
        <v>560032200</v>
      </c>
    </row>
    <row r="4977" spans="1:6" ht="15" thickBot="1" x14ac:dyDescent="0.2">
      <c r="A4977" s="30" t="s">
        <v>14444</v>
      </c>
      <c r="B4977" s="26" t="str">
        <f t="shared" si="77"/>
        <v>688653</v>
      </c>
      <c r="C4977" s="30" t="s">
        <v>14445</v>
      </c>
      <c r="D4977" s="31">
        <v>10.25</v>
      </c>
      <c r="E4977" s="31">
        <v>3.75</v>
      </c>
      <c r="F4977" s="31">
        <v>559657810</v>
      </c>
    </row>
    <row r="4978" spans="1:6" ht="15" thickBot="1" x14ac:dyDescent="0.2">
      <c r="A4978" s="30" t="s">
        <v>14446</v>
      </c>
      <c r="B4978" s="26" t="str">
        <f t="shared" si="77"/>
        <v>301502</v>
      </c>
      <c r="C4978" s="30" t="s">
        <v>14447</v>
      </c>
      <c r="D4978" s="31">
        <v>39.130000000000003</v>
      </c>
      <c r="E4978" s="31">
        <v>0.13</v>
      </c>
      <c r="F4978" s="31">
        <v>558424230</v>
      </c>
    </row>
    <row r="4979" spans="1:6" ht="15" thickBot="1" x14ac:dyDescent="0.2">
      <c r="A4979" s="30" t="s">
        <v>14448</v>
      </c>
      <c r="B4979" s="26" t="str">
        <f t="shared" si="77"/>
        <v>300977</v>
      </c>
      <c r="C4979" s="30" t="s">
        <v>14449</v>
      </c>
      <c r="D4979" s="31">
        <v>14.38</v>
      </c>
      <c r="E4979" s="31">
        <v>-1.03</v>
      </c>
      <c r="F4979" s="31">
        <v>557325430</v>
      </c>
    </row>
    <row r="4980" spans="1:6" ht="15" thickBot="1" x14ac:dyDescent="0.2">
      <c r="A4980" s="30" t="s">
        <v>14450</v>
      </c>
      <c r="B4980" s="26" t="str">
        <f t="shared" si="77"/>
        <v>001256</v>
      </c>
      <c r="C4980" s="30" t="s">
        <v>14451</v>
      </c>
      <c r="D4980" s="31">
        <v>13.59</v>
      </c>
      <c r="E4980" s="31">
        <v>7.0000000000000007E-2</v>
      </c>
      <c r="F4980" s="31">
        <v>556413740</v>
      </c>
    </row>
    <row r="4981" spans="1:6" ht="15" thickBot="1" x14ac:dyDescent="0.2">
      <c r="A4981" s="30" t="s">
        <v>14452</v>
      </c>
      <c r="B4981" s="26" t="str">
        <f t="shared" si="77"/>
        <v>688285</v>
      </c>
      <c r="C4981" s="30" t="s">
        <v>14453</v>
      </c>
      <c r="D4981" s="31">
        <v>5.91</v>
      </c>
      <c r="E4981" s="31">
        <v>-0.67</v>
      </c>
      <c r="F4981" s="31">
        <v>556131000</v>
      </c>
    </row>
    <row r="4982" spans="1:6" ht="15" thickBot="1" x14ac:dyDescent="0.2">
      <c r="A4982" s="30" t="s">
        <v>14454</v>
      </c>
      <c r="B4982" s="26" t="str">
        <f t="shared" si="77"/>
        <v>300854</v>
      </c>
      <c r="C4982" s="30" t="s">
        <v>14455</v>
      </c>
      <c r="D4982" s="31">
        <v>9.89</v>
      </c>
      <c r="E4982" s="31">
        <v>-3.04</v>
      </c>
      <c r="F4982" s="31">
        <v>555958070</v>
      </c>
    </row>
    <row r="4983" spans="1:6" ht="15" thickBot="1" x14ac:dyDescent="0.2">
      <c r="A4983" s="30" t="s">
        <v>14456</v>
      </c>
      <c r="B4983" s="26" t="str">
        <f t="shared" si="77"/>
        <v>301552</v>
      </c>
      <c r="C4983" s="30" t="s">
        <v>14457</v>
      </c>
      <c r="D4983" s="31">
        <v>40.39</v>
      </c>
      <c r="E4983" s="31">
        <v>-0.59</v>
      </c>
      <c r="F4983" s="31">
        <v>554490440</v>
      </c>
    </row>
    <row r="4984" spans="1:6" ht="15" thickBot="1" x14ac:dyDescent="0.2">
      <c r="A4984" s="30" t="s">
        <v>14458</v>
      </c>
      <c r="B4984" s="26" t="str">
        <f t="shared" si="77"/>
        <v>873703</v>
      </c>
      <c r="C4984" s="30" t="s">
        <v>14459</v>
      </c>
      <c r="D4984" s="31">
        <v>16.8</v>
      </c>
      <c r="E4984" s="31">
        <v>-2.95</v>
      </c>
      <c r="F4984" s="31">
        <v>553980760</v>
      </c>
    </row>
    <row r="4985" spans="1:6" ht="15" thickBot="1" x14ac:dyDescent="0.2">
      <c r="A4985" s="30" t="s">
        <v>14460</v>
      </c>
      <c r="B4985" s="26" t="str">
        <f t="shared" si="77"/>
        <v>300844</v>
      </c>
      <c r="C4985" s="30" t="s">
        <v>14461</v>
      </c>
      <c r="D4985" s="31">
        <v>24.56</v>
      </c>
      <c r="E4985" s="31">
        <v>-4.0599999999999996</v>
      </c>
      <c r="F4985" s="31">
        <v>552968400</v>
      </c>
    </row>
    <row r="4986" spans="1:6" ht="15" thickBot="1" x14ac:dyDescent="0.2">
      <c r="A4986" s="30" t="s">
        <v>14462</v>
      </c>
      <c r="B4986" s="26" t="str">
        <f t="shared" si="77"/>
        <v>688719</v>
      </c>
      <c r="C4986" s="30" t="s">
        <v>14463</v>
      </c>
      <c r="D4986" s="31">
        <v>20.399999999999999</v>
      </c>
      <c r="E4986" s="31">
        <v>-1.83</v>
      </c>
      <c r="F4986" s="31">
        <v>551341170</v>
      </c>
    </row>
    <row r="4987" spans="1:6" ht="15" thickBot="1" x14ac:dyDescent="0.2">
      <c r="A4987" s="30" t="s">
        <v>14464</v>
      </c>
      <c r="B4987" s="26" t="str">
        <f t="shared" si="77"/>
        <v>001366</v>
      </c>
      <c r="C4987" s="30" t="s">
        <v>14465</v>
      </c>
      <c r="D4987" s="31">
        <v>9.8800000000000008</v>
      </c>
      <c r="E4987" s="31">
        <v>-1.4</v>
      </c>
      <c r="F4987" s="31">
        <v>550118400</v>
      </c>
    </row>
    <row r="4988" spans="1:6" ht="15" thickBot="1" x14ac:dyDescent="0.2">
      <c r="A4988" s="30" t="s">
        <v>14466</v>
      </c>
      <c r="B4988" s="26" t="str">
        <f t="shared" si="77"/>
        <v>301037</v>
      </c>
      <c r="C4988" s="30" t="s">
        <v>14467</v>
      </c>
      <c r="D4988" s="31">
        <v>8.25</v>
      </c>
      <c r="E4988" s="31">
        <v>-1.08</v>
      </c>
      <c r="F4988" s="31">
        <v>549507960</v>
      </c>
    </row>
    <row r="4989" spans="1:6" ht="15" thickBot="1" x14ac:dyDescent="0.2">
      <c r="A4989" s="30" t="s">
        <v>14468</v>
      </c>
      <c r="B4989" s="26" t="str">
        <f t="shared" si="77"/>
        <v>301357</v>
      </c>
      <c r="C4989" s="30" t="s">
        <v>14469</v>
      </c>
      <c r="D4989" s="31">
        <v>23.04</v>
      </c>
      <c r="E4989" s="31">
        <v>0.17</v>
      </c>
      <c r="F4989" s="31">
        <v>548352000</v>
      </c>
    </row>
    <row r="4990" spans="1:6" ht="15" thickBot="1" x14ac:dyDescent="0.2">
      <c r="A4990" s="30" t="s">
        <v>14470</v>
      </c>
      <c r="B4990" s="26" t="str">
        <f t="shared" si="77"/>
        <v>688648</v>
      </c>
      <c r="C4990" s="30" t="s">
        <v>14471</v>
      </c>
      <c r="D4990" s="31">
        <v>17.75</v>
      </c>
      <c r="E4990" s="31">
        <v>-1.77</v>
      </c>
      <c r="F4990" s="31">
        <v>543150000</v>
      </c>
    </row>
    <row r="4991" spans="1:6" ht="15" thickBot="1" x14ac:dyDescent="0.2">
      <c r="A4991" s="30" t="s">
        <v>14472</v>
      </c>
      <c r="B4991" s="26" t="str">
        <f t="shared" si="77"/>
        <v>301081</v>
      </c>
      <c r="C4991" s="30" t="s">
        <v>7981</v>
      </c>
      <c r="D4991" s="31">
        <v>6.42</v>
      </c>
      <c r="E4991" s="31">
        <v>-3.17</v>
      </c>
      <c r="F4991" s="31">
        <v>541745280</v>
      </c>
    </row>
    <row r="4992" spans="1:6" ht="15" thickBot="1" x14ac:dyDescent="0.2">
      <c r="A4992" s="30" t="s">
        <v>14473</v>
      </c>
      <c r="B4992" s="26" t="str">
        <f t="shared" si="77"/>
        <v>301399</v>
      </c>
      <c r="C4992" s="30" t="s">
        <v>14474</v>
      </c>
      <c r="D4992" s="31">
        <v>16.98</v>
      </c>
      <c r="E4992" s="31">
        <v>-0.18</v>
      </c>
      <c r="F4992" s="31">
        <v>541662000</v>
      </c>
    </row>
    <row r="4993" spans="1:6" ht="15" thickBot="1" x14ac:dyDescent="0.2">
      <c r="A4993" s="30" t="s">
        <v>14475</v>
      </c>
      <c r="B4993" s="26" t="str">
        <f t="shared" si="77"/>
        <v>688125</v>
      </c>
      <c r="C4993" s="30" t="s">
        <v>14476</v>
      </c>
      <c r="D4993" s="31">
        <v>24.64</v>
      </c>
      <c r="E4993" s="31">
        <v>-0.2</v>
      </c>
      <c r="F4993" s="31">
        <v>537843890</v>
      </c>
    </row>
    <row r="4994" spans="1:6" ht="15" thickBot="1" x14ac:dyDescent="0.2">
      <c r="A4994" s="30" t="s">
        <v>14477</v>
      </c>
      <c r="B4994" s="26" t="str">
        <f t="shared" si="77"/>
        <v>300804</v>
      </c>
      <c r="C4994" s="30" t="s">
        <v>14478</v>
      </c>
      <c r="D4994" s="31">
        <v>19.53</v>
      </c>
      <c r="E4994" s="31">
        <v>-1.51</v>
      </c>
      <c r="F4994" s="31">
        <v>537075000</v>
      </c>
    </row>
    <row r="4995" spans="1:6" ht="15" thickBot="1" x14ac:dyDescent="0.2">
      <c r="A4995" s="30" t="s">
        <v>14479</v>
      </c>
      <c r="B4995" s="26" t="str">
        <f t="shared" ref="B4995:B5058" si="78">LEFT(A4995,6)</f>
        <v>001299</v>
      </c>
      <c r="C4995" s="30" t="s">
        <v>14480</v>
      </c>
      <c r="D4995" s="31">
        <v>10.45</v>
      </c>
      <c r="E4995" s="31">
        <v>-1.79</v>
      </c>
      <c r="F4995" s="31">
        <v>535723840</v>
      </c>
    </row>
    <row r="4996" spans="1:6" ht="15" thickBot="1" x14ac:dyDescent="0.2">
      <c r="A4996" s="30" t="s">
        <v>14481</v>
      </c>
      <c r="B4996" s="26" t="str">
        <f t="shared" si="78"/>
        <v>001368</v>
      </c>
      <c r="C4996" s="30" t="s">
        <v>14482</v>
      </c>
      <c r="D4996" s="31">
        <v>17</v>
      </c>
      <c r="E4996" s="31">
        <v>-2.97</v>
      </c>
      <c r="F4996" s="31">
        <v>535253080</v>
      </c>
    </row>
    <row r="4997" spans="1:6" ht="15" thickBot="1" x14ac:dyDescent="0.2">
      <c r="A4997" s="30" t="s">
        <v>14483</v>
      </c>
      <c r="B4997" s="26" t="str">
        <f t="shared" si="78"/>
        <v>837092</v>
      </c>
      <c r="C4997" s="30" t="s">
        <v>8261</v>
      </c>
      <c r="D4997" s="31">
        <v>16.68</v>
      </c>
      <c r="E4997" s="31">
        <v>-3.64</v>
      </c>
      <c r="F4997" s="31">
        <v>532587480</v>
      </c>
    </row>
    <row r="4998" spans="1:6" ht="15" thickBot="1" x14ac:dyDescent="0.2">
      <c r="A4998" s="30" t="s">
        <v>14484</v>
      </c>
      <c r="B4998" s="26" t="str">
        <f t="shared" si="78"/>
        <v>001326</v>
      </c>
      <c r="C4998" s="30" t="s">
        <v>14485</v>
      </c>
      <c r="D4998" s="31">
        <v>29.05</v>
      </c>
      <c r="E4998" s="31">
        <v>-1.1599999999999999</v>
      </c>
      <c r="F4998" s="31">
        <v>531615000</v>
      </c>
    </row>
    <row r="4999" spans="1:6" ht="15" thickBot="1" x14ac:dyDescent="0.2">
      <c r="A4999" s="30" t="s">
        <v>14486</v>
      </c>
      <c r="B4999" s="26" t="str">
        <f t="shared" si="78"/>
        <v>301228</v>
      </c>
      <c r="C4999" s="30" t="s">
        <v>8153</v>
      </c>
      <c r="D4999" s="31">
        <v>9.6999999999999993</v>
      </c>
      <c r="E4999" s="31">
        <v>-0.62</v>
      </c>
      <c r="F4999" s="31">
        <v>531244560</v>
      </c>
    </row>
    <row r="5000" spans="1:6" ht="15" thickBot="1" x14ac:dyDescent="0.2">
      <c r="A5000" s="30" t="s">
        <v>14487</v>
      </c>
      <c r="B5000" s="26" t="str">
        <f t="shared" si="78"/>
        <v>688720</v>
      </c>
      <c r="C5000" s="30" t="s">
        <v>14488</v>
      </c>
      <c r="D5000" s="31">
        <v>29.96</v>
      </c>
      <c r="E5000" s="31">
        <v>0.88</v>
      </c>
      <c r="F5000" s="31">
        <v>530274560</v>
      </c>
    </row>
    <row r="5001" spans="1:6" ht="15" thickBot="1" x14ac:dyDescent="0.2">
      <c r="A5001" s="30" t="s">
        <v>14489</v>
      </c>
      <c r="B5001" s="26" t="str">
        <f t="shared" si="78"/>
        <v>301353</v>
      </c>
      <c r="C5001" s="30" t="s">
        <v>14490</v>
      </c>
      <c r="D5001" s="31">
        <v>21.21</v>
      </c>
      <c r="E5001" s="31">
        <v>-1.81</v>
      </c>
      <c r="F5001" s="31">
        <v>530250000</v>
      </c>
    </row>
    <row r="5002" spans="1:6" ht="15" thickBot="1" x14ac:dyDescent="0.2">
      <c r="A5002" s="30" t="s">
        <v>14491</v>
      </c>
      <c r="B5002" s="26" t="str">
        <f t="shared" si="78"/>
        <v>301072</v>
      </c>
      <c r="C5002" s="30" t="s">
        <v>14492</v>
      </c>
      <c r="D5002" s="31">
        <v>15.86</v>
      </c>
      <c r="E5002" s="31">
        <v>-0.25</v>
      </c>
      <c r="F5002" s="31">
        <v>529007130</v>
      </c>
    </row>
    <row r="5003" spans="1:6" ht="15" thickBot="1" x14ac:dyDescent="0.2">
      <c r="A5003" s="30" t="s">
        <v>14493</v>
      </c>
      <c r="B5003" s="26" t="str">
        <f t="shared" si="78"/>
        <v>873693</v>
      </c>
      <c r="C5003" s="30" t="s">
        <v>14494</v>
      </c>
      <c r="D5003" s="31">
        <v>23.56</v>
      </c>
      <c r="E5003" s="31">
        <v>5.46</v>
      </c>
      <c r="F5003" s="31">
        <v>525388000</v>
      </c>
    </row>
    <row r="5004" spans="1:6" ht="15" thickBot="1" x14ac:dyDescent="0.2">
      <c r="A5004" s="30" t="s">
        <v>14495</v>
      </c>
      <c r="B5004" s="26" t="str">
        <f t="shared" si="78"/>
        <v>836270</v>
      </c>
      <c r="C5004" s="30" t="s">
        <v>14496</v>
      </c>
      <c r="D5004" s="31">
        <v>6.43</v>
      </c>
      <c r="E5004" s="31">
        <v>-1.83</v>
      </c>
      <c r="F5004" s="31">
        <v>521500760</v>
      </c>
    </row>
    <row r="5005" spans="1:6" ht="15" thickBot="1" x14ac:dyDescent="0.2">
      <c r="A5005" s="30" t="s">
        <v>14497</v>
      </c>
      <c r="B5005" s="26" t="str">
        <f t="shared" si="78"/>
        <v>301555</v>
      </c>
      <c r="C5005" s="30" t="s">
        <v>14498</v>
      </c>
      <c r="D5005" s="31">
        <v>22.54</v>
      </c>
      <c r="E5005" s="31">
        <v>-1.57</v>
      </c>
      <c r="F5005" s="31">
        <v>519923420</v>
      </c>
    </row>
    <row r="5006" spans="1:6" ht="15" thickBot="1" x14ac:dyDescent="0.2">
      <c r="A5006" s="30" t="s">
        <v>14499</v>
      </c>
      <c r="B5006" s="26" t="str">
        <f t="shared" si="78"/>
        <v>838171</v>
      </c>
      <c r="C5006" s="30" t="s">
        <v>14500</v>
      </c>
      <c r="D5006" s="31">
        <v>9.9700000000000006</v>
      </c>
      <c r="E5006" s="31">
        <v>-0.3</v>
      </c>
      <c r="F5006" s="31">
        <v>517447970</v>
      </c>
    </row>
    <row r="5007" spans="1:6" ht="15" thickBot="1" x14ac:dyDescent="0.2">
      <c r="A5007" s="30" t="s">
        <v>14501</v>
      </c>
      <c r="B5007" s="26" t="str">
        <f t="shared" si="78"/>
        <v>301043</v>
      </c>
      <c r="C5007" s="30" t="s">
        <v>14502</v>
      </c>
      <c r="D5007" s="31">
        <v>22.32</v>
      </c>
      <c r="E5007" s="31">
        <v>-1.85</v>
      </c>
      <c r="F5007" s="31">
        <v>513426960</v>
      </c>
    </row>
    <row r="5008" spans="1:6" ht="15" thickBot="1" x14ac:dyDescent="0.2">
      <c r="A5008" s="30" t="s">
        <v>14503</v>
      </c>
      <c r="B5008" s="26" t="str">
        <f t="shared" si="78"/>
        <v>838670</v>
      </c>
      <c r="C5008" s="30" t="s">
        <v>14504</v>
      </c>
      <c r="D5008" s="31">
        <v>7.71</v>
      </c>
      <c r="E5008" s="31">
        <v>1.45</v>
      </c>
      <c r="F5008" s="31">
        <v>508882360</v>
      </c>
    </row>
    <row r="5009" spans="1:6" ht="15" thickBot="1" x14ac:dyDescent="0.2">
      <c r="A5009" s="30" t="s">
        <v>14505</v>
      </c>
      <c r="B5009" s="26" t="str">
        <f t="shared" si="78"/>
        <v>603280</v>
      </c>
      <c r="C5009" s="30" t="s">
        <v>14506</v>
      </c>
      <c r="D5009" s="31">
        <v>18.13</v>
      </c>
      <c r="E5009" s="31">
        <v>-0.77</v>
      </c>
      <c r="F5009" s="31">
        <v>506582420</v>
      </c>
    </row>
    <row r="5010" spans="1:6" ht="15" thickBot="1" x14ac:dyDescent="0.2">
      <c r="A5010" s="30" t="s">
        <v>14507</v>
      </c>
      <c r="B5010" s="26" t="str">
        <f t="shared" si="78"/>
        <v>301309</v>
      </c>
      <c r="C5010" s="30" t="s">
        <v>14508</v>
      </c>
      <c r="D5010" s="31">
        <v>20.239999999999998</v>
      </c>
      <c r="E5010" s="31">
        <v>-0.3</v>
      </c>
      <c r="F5010" s="31">
        <v>506000000</v>
      </c>
    </row>
    <row r="5011" spans="1:6" ht="15" thickBot="1" x14ac:dyDescent="0.2">
      <c r="A5011" s="30" t="s">
        <v>14509</v>
      </c>
      <c r="B5011" s="26" t="str">
        <f t="shared" si="78"/>
        <v>871981</v>
      </c>
      <c r="C5011" s="30" t="s">
        <v>14510</v>
      </c>
      <c r="D5011" s="31">
        <v>13.66</v>
      </c>
      <c r="E5011" s="31">
        <v>2.09</v>
      </c>
      <c r="F5011" s="31">
        <v>505861100</v>
      </c>
    </row>
    <row r="5012" spans="1:6" ht="15" thickBot="1" x14ac:dyDescent="0.2">
      <c r="A5012" s="30" t="s">
        <v>14511</v>
      </c>
      <c r="B5012" s="26" t="str">
        <f t="shared" si="78"/>
        <v>835579</v>
      </c>
      <c r="C5012" s="30" t="s">
        <v>14512</v>
      </c>
      <c r="D5012" s="31">
        <v>11.33</v>
      </c>
      <c r="E5012" s="31">
        <v>-2.58</v>
      </c>
      <c r="F5012" s="31">
        <v>505028180</v>
      </c>
    </row>
    <row r="5013" spans="1:6" ht="15" thickBot="1" x14ac:dyDescent="0.2">
      <c r="A5013" s="30" t="s">
        <v>14513</v>
      </c>
      <c r="B5013" s="26" t="str">
        <f t="shared" si="78"/>
        <v>301227</v>
      </c>
      <c r="C5013" s="30" t="s">
        <v>14514</v>
      </c>
      <c r="D5013" s="31">
        <v>14.34</v>
      </c>
      <c r="E5013" s="31">
        <v>-1.31</v>
      </c>
      <c r="F5013" s="31">
        <v>504416670</v>
      </c>
    </row>
    <row r="5014" spans="1:6" ht="15" thickBot="1" x14ac:dyDescent="0.2">
      <c r="A5014" s="30" t="s">
        <v>14515</v>
      </c>
      <c r="B5014" s="26" t="str">
        <f t="shared" si="78"/>
        <v>001223</v>
      </c>
      <c r="C5014" s="30" t="s">
        <v>14516</v>
      </c>
      <c r="D5014" s="31">
        <v>30.15</v>
      </c>
      <c r="E5014" s="31">
        <v>-0.43</v>
      </c>
      <c r="F5014" s="31">
        <v>502902000</v>
      </c>
    </row>
    <row r="5015" spans="1:6" ht="15" thickBot="1" x14ac:dyDescent="0.2">
      <c r="A5015" s="30" t="s">
        <v>14517</v>
      </c>
      <c r="B5015" s="26" t="str">
        <f t="shared" si="78"/>
        <v>603216</v>
      </c>
      <c r="C5015" s="30" t="s">
        <v>14518</v>
      </c>
      <c r="D5015" s="31">
        <v>8.8000000000000007</v>
      </c>
      <c r="E5015" s="31">
        <v>-1.35</v>
      </c>
      <c r="F5015" s="31">
        <v>498872000</v>
      </c>
    </row>
    <row r="5016" spans="1:6" ht="15" thickBot="1" x14ac:dyDescent="0.2">
      <c r="A5016" s="30" t="s">
        <v>14519</v>
      </c>
      <c r="B5016" s="26" t="str">
        <f t="shared" si="78"/>
        <v>301577</v>
      </c>
      <c r="C5016" s="30" t="s">
        <v>14520</v>
      </c>
      <c r="D5016" s="31">
        <v>44.88</v>
      </c>
      <c r="E5016" s="31">
        <v>-1.71</v>
      </c>
      <c r="F5016" s="31">
        <v>497950290</v>
      </c>
    </row>
    <row r="5017" spans="1:6" ht="15" thickBot="1" x14ac:dyDescent="0.2">
      <c r="A5017" s="30" t="s">
        <v>14521</v>
      </c>
      <c r="B5017" s="26" t="str">
        <f t="shared" si="78"/>
        <v>837242</v>
      </c>
      <c r="C5017" s="30" t="s">
        <v>8333</v>
      </c>
      <c r="D5017" s="31">
        <v>14.05</v>
      </c>
      <c r="E5017" s="31">
        <v>1.3</v>
      </c>
      <c r="F5017" s="31">
        <v>496969220</v>
      </c>
    </row>
    <row r="5018" spans="1:6" ht="15" thickBot="1" x14ac:dyDescent="0.2">
      <c r="A5018" s="30" t="s">
        <v>14522</v>
      </c>
      <c r="B5018" s="26" t="str">
        <f t="shared" si="78"/>
        <v>830964</v>
      </c>
      <c r="C5018" s="30" t="s">
        <v>8377</v>
      </c>
      <c r="D5018" s="31">
        <v>2.77</v>
      </c>
      <c r="E5018" s="31">
        <v>-2.81</v>
      </c>
      <c r="F5018" s="31">
        <v>496925290</v>
      </c>
    </row>
    <row r="5019" spans="1:6" ht="15" thickBot="1" x14ac:dyDescent="0.2">
      <c r="A5019" s="30" t="s">
        <v>14523</v>
      </c>
      <c r="B5019" s="26" t="str">
        <f t="shared" si="78"/>
        <v>838924</v>
      </c>
      <c r="C5019" s="30" t="s">
        <v>14524</v>
      </c>
      <c r="D5019" s="31">
        <v>7.82</v>
      </c>
      <c r="E5019" s="31">
        <v>-1.64</v>
      </c>
      <c r="F5019" s="31">
        <v>494671650</v>
      </c>
    </row>
    <row r="5020" spans="1:6" ht="15" thickBot="1" x14ac:dyDescent="0.2">
      <c r="A5020" s="30" t="s">
        <v>14525</v>
      </c>
      <c r="B5020" s="26" t="str">
        <f t="shared" si="78"/>
        <v>301209</v>
      </c>
      <c r="C5020" s="30" t="s">
        <v>14526</v>
      </c>
      <c r="D5020" s="31">
        <v>20.170000000000002</v>
      </c>
      <c r="E5020" s="31">
        <v>0.35</v>
      </c>
      <c r="F5020" s="31">
        <v>494165000</v>
      </c>
    </row>
    <row r="5021" spans="1:6" ht="15" thickBot="1" x14ac:dyDescent="0.2">
      <c r="A5021" s="30" t="s">
        <v>14527</v>
      </c>
      <c r="B5021" s="26" t="str">
        <f t="shared" si="78"/>
        <v>301295</v>
      </c>
      <c r="C5021" s="30" t="s">
        <v>14528</v>
      </c>
      <c r="D5021" s="31">
        <v>17.11</v>
      </c>
      <c r="E5021" s="31">
        <v>-1.1000000000000001</v>
      </c>
      <c r="F5021" s="31">
        <v>492015160</v>
      </c>
    </row>
    <row r="5022" spans="1:6" ht="15" thickBot="1" x14ac:dyDescent="0.2">
      <c r="A5022" s="30" t="s">
        <v>14529</v>
      </c>
      <c r="B5022" s="26" t="str">
        <f t="shared" si="78"/>
        <v>830974</v>
      </c>
      <c r="C5022" s="30" t="s">
        <v>14530</v>
      </c>
      <c r="D5022" s="31">
        <v>4.5999999999999996</v>
      </c>
      <c r="E5022" s="31">
        <v>-0.65</v>
      </c>
      <c r="F5022" s="31">
        <v>491847620</v>
      </c>
    </row>
    <row r="5023" spans="1:6" ht="15" thickBot="1" x14ac:dyDescent="0.2">
      <c r="A5023" s="30" t="s">
        <v>14531</v>
      </c>
      <c r="B5023" s="26" t="str">
        <f t="shared" si="78"/>
        <v>831304</v>
      </c>
      <c r="C5023" s="30" t="s">
        <v>14532</v>
      </c>
      <c r="D5023" s="31">
        <v>6.23</v>
      </c>
      <c r="E5023" s="31">
        <v>-0.95</v>
      </c>
      <c r="F5023" s="31">
        <v>491103760</v>
      </c>
    </row>
    <row r="5024" spans="1:6" ht="15" thickBot="1" x14ac:dyDescent="0.2">
      <c r="A5024" s="30" t="s">
        <v>14533</v>
      </c>
      <c r="B5024" s="26" t="str">
        <f t="shared" si="78"/>
        <v>832225</v>
      </c>
      <c r="C5024" s="30" t="s">
        <v>14534</v>
      </c>
      <c r="D5024" s="31">
        <v>7.16</v>
      </c>
      <c r="E5024" s="31">
        <v>0.14000000000000001</v>
      </c>
      <c r="F5024" s="31">
        <v>488704140</v>
      </c>
    </row>
    <row r="5025" spans="1:6" ht="15" thickBot="1" x14ac:dyDescent="0.2">
      <c r="A5025" s="30" t="s">
        <v>14535</v>
      </c>
      <c r="B5025" s="26" t="str">
        <f t="shared" si="78"/>
        <v>688130</v>
      </c>
      <c r="C5025" s="30" t="s">
        <v>14536</v>
      </c>
      <c r="D5025" s="31">
        <v>16.25</v>
      </c>
      <c r="E5025" s="31">
        <v>-2.11</v>
      </c>
      <c r="F5025" s="31">
        <v>487083820</v>
      </c>
    </row>
    <row r="5026" spans="1:6" ht="15" thickBot="1" x14ac:dyDescent="0.2">
      <c r="A5026" s="30" t="s">
        <v>14537</v>
      </c>
      <c r="B5026" s="26" t="str">
        <f t="shared" si="78"/>
        <v>830832</v>
      </c>
      <c r="C5026" s="30" t="s">
        <v>8403</v>
      </c>
      <c r="D5026" s="31">
        <v>3.9</v>
      </c>
      <c r="E5026" s="31">
        <v>0</v>
      </c>
      <c r="F5026" s="31">
        <v>486929060</v>
      </c>
    </row>
    <row r="5027" spans="1:6" ht="15" thickBot="1" x14ac:dyDescent="0.2">
      <c r="A5027" s="30" t="s">
        <v>14538</v>
      </c>
      <c r="B5027" s="26" t="str">
        <f t="shared" si="78"/>
        <v>001231</v>
      </c>
      <c r="C5027" s="30" t="s">
        <v>14539</v>
      </c>
      <c r="D5027" s="31">
        <v>13.08</v>
      </c>
      <c r="E5027" s="31">
        <v>-2.82</v>
      </c>
      <c r="F5027" s="31">
        <v>481821420</v>
      </c>
    </row>
    <row r="5028" spans="1:6" ht="15" thickBot="1" x14ac:dyDescent="0.2">
      <c r="A5028" s="30" t="s">
        <v>14540</v>
      </c>
      <c r="B5028" s="26" t="str">
        <f t="shared" si="78"/>
        <v>831370</v>
      </c>
      <c r="C5028" s="30" t="s">
        <v>8399</v>
      </c>
      <c r="D5028" s="31">
        <v>1.8</v>
      </c>
      <c r="E5028" s="31">
        <v>-1.1000000000000001</v>
      </c>
      <c r="F5028" s="31">
        <v>481435590</v>
      </c>
    </row>
    <row r="5029" spans="1:6" ht="15" thickBot="1" x14ac:dyDescent="0.2">
      <c r="A5029" s="30" t="s">
        <v>14541</v>
      </c>
      <c r="B5029" s="26" t="str">
        <f t="shared" si="78"/>
        <v>301125</v>
      </c>
      <c r="C5029" s="30" t="s">
        <v>14542</v>
      </c>
      <c r="D5029" s="31">
        <v>8.1</v>
      </c>
      <c r="E5029" s="31">
        <v>-0.74</v>
      </c>
      <c r="F5029" s="31">
        <v>477676600</v>
      </c>
    </row>
    <row r="5030" spans="1:6" ht="15" thickBot="1" x14ac:dyDescent="0.2">
      <c r="A5030" s="30" t="s">
        <v>14543</v>
      </c>
      <c r="B5030" s="26" t="str">
        <f t="shared" si="78"/>
        <v>835184</v>
      </c>
      <c r="C5030" s="30" t="s">
        <v>8373</v>
      </c>
      <c r="D5030" s="31">
        <v>5.48</v>
      </c>
      <c r="E5030" s="31">
        <v>-1.26</v>
      </c>
      <c r="F5030" s="31">
        <v>477389590</v>
      </c>
    </row>
    <row r="5031" spans="1:6" ht="15" thickBot="1" x14ac:dyDescent="0.2">
      <c r="A5031" s="30" t="s">
        <v>14544</v>
      </c>
      <c r="B5031" s="26" t="str">
        <f t="shared" si="78"/>
        <v>833394</v>
      </c>
      <c r="C5031" s="30" t="s">
        <v>14545</v>
      </c>
      <c r="D5031" s="31">
        <v>11.12</v>
      </c>
      <c r="E5031" s="31">
        <v>-1.51</v>
      </c>
      <c r="F5031" s="31">
        <v>475810900</v>
      </c>
    </row>
    <row r="5032" spans="1:6" ht="15" thickBot="1" x14ac:dyDescent="0.2">
      <c r="A5032" s="30" t="s">
        <v>14546</v>
      </c>
      <c r="B5032" s="26" t="str">
        <f t="shared" si="78"/>
        <v>872541</v>
      </c>
      <c r="C5032" s="30" t="s">
        <v>14547</v>
      </c>
      <c r="D5032" s="31">
        <v>5.28</v>
      </c>
      <c r="E5032" s="31">
        <v>-1.1200000000000001</v>
      </c>
      <c r="F5032" s="31">
        <v>475509850</v>
      </c>
    </row>
    <row r="5033" spans="1:6" ht="15" thickBot="1" x14ac:dyDescent="0.2">
      <c r="A5033" s="30" t="s">
        <v>14548</v>
      </c>
      <c r="B5033" s="26" t="str">
        <f t="shared" si="78"/>
        <v>301273</v>
      </c>
      <c r="C5033" s="30" t="s">
        <v>14549</v>
      </c>
      <c r="D5033" s="31">
        <v>13.73</v>
      </c>
      <c r="E5033" s="31">
        <v>-1.72</v>
      </c>
      <c r="F5033" s="31">
        <v>475445760</v>
      </c>
    </row>
    <row r="5034" spans="1:6" ht="15" thickBot="1" x14ac:dyDescent="0.2">
      <c r="A5034" s="30" t="s">
        <v>14550</v>
      </c>
      <c r="B5034" s="26" t="str">
        <f t="shared" si="78"/>
        <v>301388</v>
      </c>
      <c r="C5034" s="30" t="s">
        <v>14551</v>
      </c>
      <c r="D5034" s="31">
        <v>17.239999999999998</v>
      </c>
      <c r="E5034" s="31">
        <v>-0.63</v>
      </c>
      <c r="F5034" s="31">
        <v>471627580</v>
      </c>
    </row>
    <row r="5035" spans="1:6" ht="15" thickBot="1" x14ac:dyDescent="0.2">
      <c r="A5035" s="30" t="s">
        <v>14552</v>
      </c>
      <c r="B5035" s="26" t="str">
        <f t="shared" si="78"/>
        <v>831195</v>
      </c>
      <c r="C5035" s="30" t="s">
        <v>14553</v>
      </c>
      <c r="D5035" s="31">
        <v>6.66</v>
      </c>
      <c r="E5035" s="31">
        <v>-0.15</v>
      </c>
      <c r="F5035" s="31">
        <v>471254840</v>
      </c>
    </row>
    <row r="5036" spans="1:6" ht="15" thickBot="1" x14ac:dyDescent="0.2">
      <c r="A5036" s="30" t="s">
        <v>14554</v>
      </c>
      <c r="B5036" s="26" t="str">
        <f t="shared" si="78"/>
        <v>301279</v>
      </c>
      <c r="C5036" s="30" t="s">
        <v>14555</v>
      </c>
      <c r="D5036" s="31">
        <v>16.29</v>
      </c>
      <c r="E5036" s="31">
        <v>-0.61</v>
      </c>
      <c r="F5036" s="31">
        <v>468337500</v>
      </c>
    </row>
    <row r="5037" spans="1:6" ht="15" thickBot="1" x14ac:dyDescent="0.2">
      <c r="A5037" s="30" t="s">
        <v>14556</v>
      </c>
      <c r="B5037" s="26" t="str">
        <f t="shared" si="78"/>
        <v>301359</v>
      </c>
      <c r="C5037" s="30" t="s">
        <v>14557</v>
      </c>
      <c r="D5037" s="31">
        <v>17.850000000000001</v>
      </c>
      <c r="E5037" s="31">
        <v>-0.34</v>
      </c>
      <c r="F5037" s="31">
        <v>467938750</v>
      </c>
    </row>
    <row r="5038" spans="1:6" ht="15" thickBot="1" x14ac:dyDescent="0.2">
      <c r="A5038" s="30" t="s">
        <v>14558</v>
      </c>
      <c r="B5038" s="26" t="str">
        <f t="shared" si="78"/>
        <v>301365</v>
      </c>
      <c r="C5038" s="30" t="s">
        <v>14559</v>
      </c>
      <c r="D5038" s="31">
        <v>10.06</v>
      </c>
      <c r="E5038" s="31">
        <v>-0.79</v>
      </c>
      <c r="F5038" s="31">
        <v>466281000</v>
      </c>
    </row>
    <row r="5039" spans="1:6" ht="15" thickBot="1" x14ac:dyDescent="0.2">
      <c r="A5039" s="30" t="s">
        <v>14560</v>
      </c>
      <c r="B5039" s="26" t="str">
        <f t="shared" si="78"/>
        <v>301314</v>
      </c>
      <c r="C5039" s="30" t="s">
        <v>14561</v>
      </c>
      <c r="D5039" s="31">
        <v>28.69</v>
      </c>
      <c r="E5039" s="31">
        <v>-1.1399999999999999</v>
      </c>
      <c r="F5039" s="31">
        <v>466212500</v>
      </c>
    </row>
    <row r="5040" spans="1:6" ht="15" thickBot="1" x14ac:dyDescent="0.2">
      <c r="A5040" s="30" t="s">
        <v>14562</v>
      </c>
      <c r="B5040" s="26" t="str">
        <f t="shared" si="78"/>
        <v>001209</v>
      </c>
      <c r="C5040" s="30" t="s">
        <v>14563</v>
      </c>
      <c r="D5040" s="31">
        <v>11.52</v>
      </c>
      <c r="E5040" s="31">
        <v>-5.5</v>
      </c>
      <c r="F5040" s="31">
        <v>464116140</v>
      </c>
    </row>
    <row r="5041" spans="1:6" ht="15" thickBot="1" x14ac:dyDescent="0.2">
      <c r="A5041" s="30" t="s">
        <v>14564</v>
      </c>
      <c r="B5041" s="26" t="str">
        <f t="shared" si="78"/>
        <v>834682</v>
      </c>
      <c r="C5041" s="30" t="s">
        <v>8155</v>
      </c>
      <c r="D5041" s="31">
        <v>4.46</v>
      </c>
      <c r="E5041" s="31">
        <v>-0.22</v>
      </c>
      <c r="F5041" s="31">
        <v>463452110</v>
      </c>
    </row>
    <row r="5042" spans="1:6" ht="15" thickBot="1" x14ac:dyDescent="0.2">
      <c r="A5042" s="30" t="s">
        <v>14565</v>
      </c>
      <c r="B5042" s="26" t="str">
        <f t="shared" si="78"/>
        <v>688291</v>
      </c>
      <c r="C5042" s="30" t="s">
        <v>14566</v>
      </c>
      <c r="D5042" s="31">
        <v>14.29</v>
      </c>
      <c r="E5042" s="31">
        <v>-0.9</v>
      </c>
      <c r="F5042" s="31">
        <v>462758290</v>
      </c>
    </row>
    <row r="5043" spans="1:6" ht="15" thickBot="1" x14ac:dyDescent="0.2">
      <c r="A5043" s="30" t="s">
        <v>14567</v>
      </c>
      <c r="B5043" s="26" t="str">
        <f t="shared" si="78"/>
        <v>001331</v>
      </c>
      <c r="C5043" s="30" t="s">
        <v>14568</v>
      </c>
      <c r="D5043" s="31">
        <v>9.18</v>
      </c>
      <c r="E5043" s="31">
        <v>-0.65</v>
      </c>
      <c r="F5043" s="31">
        <v>462672000</v>
      </c>
    </row>
    <row r="5044" spans="1:6" ht="15" thickBot="1" x14ac:dyDescent="0.2">
      <c r="A5044" s="30" t="s">
        <v>14569</v>
      </c>
      <c r="B5044" s="26" t="str">
        <f t="shared" si="78"/>
        <v>301446</v>
      </c>
      <c r="C5044" s="30" t="s">
        <v>14570</v>
      </c>
      <c r="D5044" s="31">
        <v>17.78</v>
      </c>
      <c r="E5044" s="31">
        <v>-2.31</v>
      </c>
      <c r="F5044" s="31">
        <v>462280000</v>
      </c>
    </row>
    <row r="5045" spans="1:6" ht="15" thickBot="1" x14ac:dyDescent="0.2">
      <c r="A5045" s="30" t="s">
        <v>14571</v>
      </c>
      <c r="B5045" s="26" t="str">
        <f t="shared" si="78"/>
        <v>605069</v>
      </c>
      <c r="C5045" s="30" t="s">
        <v>14572</v>
      </c>
      <c r="D5045" s="31">
        <v>5.49</v>
      </c>
      <c r="E5045" s="31">
        <v>-3.35</v>
      </c>
      <c r="F5045" s="31">
        <v>462045420</v>
      </c>
    </row>
    <row r="5046" spans="1:6" ht="15" thickBot="1" x14ac:dyDescent="0.2">
      <c r="A5046" s="30" t="s">
        <v>14573</v>
      </c>
      <c r="B5046" s="26" t="str">
        <f t="shared" si="78"/>
        <v>688716</v>
      </c>
      <c r="C5046" s="30" t="s">
        <v>14574</v>
      </c>
      <c r="D5046" s="31">
        <v>15.82</v>
      </c>
      <c r="E5046" s="31">
        <v>-1.43</v>
      </c>
      <c r="F5046" s="31">
        <v>459909280</v>
      </c>
    </row>
    <row r="5047" spans="1:6" ht="15" thickBot="1" x14ac:dyDescent="0.2">
      <c r="A5047" s="30" t="s">
        <v>14575</v>
      </c>
      <c r="B5047" s="26" t="str">
        <f t="shared" si="78"/>
        <v>430090</v>
      </c>
      <c r="C5047" s="30" t="s">
        <v>8409</v>
      </c>
      <c r="D5047" s="31">
        <v>2.68</v>
      </c>
      <c r="E5047" s="31">
        <v>-2.19</v>
      </c>
      <c r="F5047" s="31">
        <v>459614780</v>
      </c>
    </row>
    <row r="5048" spans="1:6" ht="15" thickBot="1" x14ac:dyDescent="0.2">
      <c r="A5048" s="30" t="s">
        <v>14576</v>
      </c>
      <c r="B5048" s="26" t="str">
        <f t="shared" si="78"/>
        <v>839680</v>
      </c>
      <c r="C5048" s="30" t="s">
        <v>14577</v>
      </c>
      <c r="D5048" s="31">
        <v>9.8000000000000007</v>
      </c>
      <c r="E5048" s="31">
        <v>-2.39</v>
      </c>
      <c r="F5048" s="31">
        <v>459554770</v>
      </c>
    </row>
    <row r="5049" spans="1:6" ht="15" thickBot="1" x14ac:dyDescent="0.2">
      <c r="A5049" s="30" t="s">
        <v>14578</v>
      </c>
      <c r="B5049" s="26" t="str">
        <f t="shared" si="78"/>
        <v>832885</v>
      </c>
      <c r="C5049" s="30" t="s">
        <v>14579</v>
      </c>
      <c r="D5049" s="31">
        <v>5.31</v>
      </c>
      <c r="E5049" s="31">
        <v>0</v>
      </c>
      <c r="F5049" s="31">
        <v>459419720</v>
      </c>
    </row>
    <row r="5050" spans="1:6" ht="15" thickBot="1" x14ac:dyDescent="0.2">
      <c r="A5050" s="30" t="s">
        <v>14580</v>
      </c>
      <c r="B5050" s="26" t="str">
        <f t="shared" si="78"/>
        <v>836247</v>
      </c>
      <c r="C5050" s="30" t="s">
        <v>14581</v>
      </c>
      <c r="D5050" s="31">
        <v>11.91</v>
      </c>
      <c r="E5050" s="31">
        <v>-3.8</v>
      </c>
      <c r="F5050" s="31">
        <v>458003300</v>
      </c>
    </row>
    <row r="5051" spans="1:6" ht="15" thickBot="1" x14ac:dyDescent="0.2">
      <c r="A5051" s="30" t="s">
        <v>14582</v>
      </c>
      <c r="B5051" s="26" t="str">
        <f t="shared" si="78"/>
        <v>301119</v>
      </c>
      <c r="C5051" s="30" t="s">
        <v>14583</v>
      </c>
      <c r="D5051" s="31">
        <v>16.72</v>
      </c>
      <c r="E5051" s="31">
        <v>-0.65</v>
      </c>
      <c r="F5051" s="31">
        <v>456456000</v>
      </c>
    </row>
    <row r="5052" spans="1:6" ht="15" thickBot="1" x14ac:dyDescent="0.2">
      <c r="A5052" s="30" t="s">
        <v>14584</v>
      </c>
      <c r="B5052" s="26" t="str">
        <f t="shared" si="78"/>
        <v>603048</v>
      </c>
      <c r="C5052" s="30" t="s">
        <v>14585</v>
      </c>
      <c r="D5052" s="31">
        <v>12.1</v>
      </c>
      <c r="E5052" s="31">
        <v>-1.06</v>
      </c>
      <c r="F5052" s="31">
        <v>456412000</v>
      </c>
    </row>
    <row r="5053" spans="1:6" ht="15" thickBot="1" x14ac:dyDescent="0.2">
      <c r="A5053" s="30" t="s">
        <v>14586</v>
      </c>
      <c r="B5053" s="26" t="str">
        <f t="shared" si="78"/>
        <v>603307</v>
      </c>
      <c r="C5053" s="30" t="s">
        <v>14587</v>
      </c>
      <c r="D5053" s="31">
        <v>26.7</v>
      </c>
      <c r="E5053" s="31">
        <v>-0.08</v>
      </c>
      <c r="F5053" s="31">
        <v>453900000</v>
      </c>
    </row>
    <row r="5054" spans="1:6" ht="15" thickBot="1" x14ac:dyDescent="0.2">
      <c r="A5054" s="30" t="s">
        <v>14588</v>
      </c>
      <c r="B5054" s="26" t="str">
        <f t="shared" si="78"/>
        <v>301212</v>
      </c>
      <c r="C5054" s="30" t="s">
        <v>14589</v>
      </c>
      <c r="D5054" s="31">
        <v>16.8</v>
      </c>
      <c r="E5054" s="31">
        <v>-3.78</v>
      </c>
      <c r="F5054" s="31">
        <v>453600000</v>
      </c>
    </row>
    <row r="5055" spans="1:6" ht="15" thickBot="1" x14ac:dyDescent="0.2">
      <c r="A5055" s="30" t="s">
        <v>14590</v>
      </c>
      <c r="B5055" s="26" t="str">
        <f t="shared" si="78"/>
        <v>834639</v>
      </c>
      <c r="C5055" s="30" t="s">
        <v>14591</v>
      </c>
      <c r="D5055" s="31">
        <v>3.83</v>
      </c>
      <c r="E5055" s="31">
        <v>-0.52</v>
      </c>
      <c r="F5055" s="31">
        <v>448936830</v>
      </c>
    </row>
    <row r="5056" spans="1:6" ht="15" thickBot="1" x14ac:dyDescent="0.2">
      <c r="A5056" s="30" t="s">
        <v>14592</v>
      </c>
      <c r="B5056" s="26" t="str">
        <f t="shared" si="78"/>
        <v>836221</v>
      </c>
      <c r="C5056" s="30" t="s">
        <v>14593</v>
      </c>
      <c r="D5056" s="31">
        <v>10.85</v>
      </c>
      <c r="E5056" s="31">
        <v>0</v>
      </c>
      <c r="F5056" s="31">
        <v>447825340</v>
      </c>
    </row>
    <row r="5057" spans="1:6" ht="15" thickBot="1" x14ac:dyDescent="0.2">
      <c r="A5057" s="30" t="s">
        <v>14594</v>
      </c>
      <c r="B5057" s="26" t="str">
        <f t="shared" si="78"/>
        <v>870357</v>
      </c>
      <c r="C5057" s="30" t="s">
        <v>14595</v>
      </c>
      <c r="D5057" s="31">
        <v>13.16</v>
      </c>
      <c r="E5057" s="31">
        <v>-1.57</v>
      </c>
      <c r="F5057" s="31">
        <v>446963610</v>
      </c>
    </row>
    <row r="5058" spans="1:6" ht="15" thickBot="1" x14ac:dyDescent="0.2">
      <c r="A5058" s="30" t="s">
        <v>14596</v>
      </c>
      <c r="B5058" s="26" t="str">
        <f t="shared" si="78"/>
        <v>688695</v>
      </c>
      <c r="C5058" s="30" t="s">
        <v>14597</v>
      </c>
      <c r="D5058" s="31">
        <v>23.25</v>
      </c>
      <c r="E5058" s="31">
        <v>-1.36</v>
      </c>
      <c r="F5058" s="31">
        <v>444925040</v>
      </c>
    </row>
    <row r="5059" spans="1:6" ht="15" thickBot="1" x14ac:dyDescent="0.2">
      <c r="A5059" s="30" t="s">
        <v>14598</v>
      </c>
      <c r="B5059" s="26" t="str">
        <f t="shared" ref="B5059:B5122" si="79">LEFT(A5059,6)</f>
        <v>301075</v>
      </c>
      <c r="C5059" s="30" t="s">
        <v>8007</v>
      </c>
      <c r="D5059" s="31">
        <v>16.2</v>
      </c>
      <c r="E5059" s="31">
        <v>-2</v>
      </c>
      <c r="F5059" s="31">
        <v>444264410</v>
      </c>
    </row>
    <row r="5060" spans="1:6" ht="15" thickBot="1" x14ac:dyDescent="0.2">
      <c r="A5060" s="30" t="s">
        <v>14599</v>
      </c>
      <c r="B5060" s="26" t="str">
        <f t="shared" si="79"/>
        <v>832469</v>
      </c>
      <c r="C5060" s="30" t="s">
        <v>14600</v>
      </c>
      <c r="D5060" s="31">
        <v>5.85</v>
      </c>
      <c r="E5060" s="31">
        <v>-1.18</v>
      </c>
      <c r="F5060" s="31">
        <v>442849260</v>
      </c>
    </row>
    <row r="5061" spans="1:6" ht="15" thickBot="1" x14ac:dyDescent="0.2">
      <c r="A5061" s="30" t="s">
        <v>14601</v>
      </c>
      <c r="B5061" s="26" t="str">
        <f t="shared" si="79"/>
        <v>688419</v>
      </c>
      <c r="C5061" s="30" t="s">
        <v>14602</v>
      </c>
      <c r="D5061" s="31">
        <v>20.91</v>
      </c>
      <c r="E5061" s="31">
        <v>-2.38</v>
      </c>
      <c r="F5061" s="31">
        <v>441892970</v>
      </c>
    </row>
    <row r="5062" spans="1:6" ht="15" thickBot="1" x14ac:dyDescent="0.2">
      <c r="A5062" s="30" t="s">
        <v>14603</v>
      </c>
      <c r="B5062" s="26" t="str">
        <f t="shared" si="79"/>
        <v>688610</v>
      </c>
      <c r="C5062" s="30" t="s">
        <v>14604</v>
      </c>
      <c r="D5062" s="31">
        <v>26.81</v>
      </c>
      <c r="E5062" s="31">
        <v>-0.04</v>
      </c>
      <c r="F5062" s="31">
        <v>437539200</v>
      </c>
    </row>
    <row r="5063" spans="1:6" ht="15" thickBot="1" x14ac:dyDescent="0.2">
      <c r="A5063" s="30" t="s">
        <v>14605</v>
      </c>
      <c r="B5063" s="26" t="str">
        <f t="shared" si="79"/>
        <v>430198</v>
      </c>
      <c r="C5063" s="30" t="s">
        <v>8359</v>
      </c>
      <c r="D5063" s="31">
        <v>6.22</v>
      </c>
      <c r="E5063" s="31">
        <v>0.16</v>
      </c>
      <c r="F5063" s="31">
        <v>436920030</v>
      </c>
    </row>
    <row r="5064" spans="1:6" ht="15" thickBot="1" x14ac:dyDescent="0.2">
      <c r="A5064" s="30" t="s">
        <v>14606</v>
      </c>
      <c r="B5064" s="26" t="str">
        <f t="shared" si="79"/>
        <v>831526</v>
      </c>
      <c r="C5064" s="30" t="s">
        <v>14607</v>
      </c>
      <c r="D5064" s="31">
        <v>17.21</v>
      </c>
      <c r="E5064" s="31">
        <v>1.96</v>
      </c>
      <c r="F5064" s="31">
        <v>434533430</v>
      </c>
    </row>
    <row r="5065" spans="1:6" ht="15" thickBot="1" x14ac:dyDescent="0.2">
      <c r="A5065" s="30" t="s">
        <v>14608</v>
      </c>
      <c r="B5065" s="26" t="str">
        <f t="shared" si="79"/>
        <v>836395</v>
      </c>
      <c r="C5065" s="30" t="s">
        <v>14609</v>
      </c>
      <c r="D5065" s="31">
        <v>6.73</v>
      </c>
      <c r="E5065" s="31">
        <v>-1.9</v>
      </c>
      <c r="F5065" s="31">
        <v>431983620</v>
      </c>
    </row>
    <row r="5066" spans="1:6" ht="15" thickBot="1" x14ac:dyDescent="0.2">
      <c r="A5066" s="30" t="s">
        <v>14610</v>
      </c>
      <c r="B5066" s="26" t="str">
        <f t="shared" si="79"/>
        <v>001336</v>
      </c>
      <c r="C5066" s="30" t="s">
        <v>14611</v>
      </c>
      <c r="D5066" s="31">
        <v>15</v>
      </c>
      <c r="E5066" s="31">
        <v>-1.25</v>
      </c>
      <c r="F5066" s="31">
        <v>428358900</v>
      </c>
    </row>
    <row r="5067" spans="1:6" ht="15" thickBot="1" x14ac:dyDescent="0.2">
      <c r="A5067" s="30" t="s">
        <v>14612</v>
      </c>
      <c r="B5067" s="26" t="str">
        <f t="shared" si="79"/>
        <v>836807</v>
      </c>
      <c r="C5067" s="30" t="s">
        <v>14613</v>
      </c>
      <c r="D5067" s="31">
        <v>4.3899999999999997</v>
      </c>
      <c r="E5067" s="31">
        <v>-1.35</v>
      </c>
      <c r="F5067" s="31">
        <v>427040810</v>
      </c>
    </row>
    <row r="5068" spans="1:6" ht="15" thickBot="1" x14ac:dyDescent="0.2">
      <c r="A5068" s="30" t="s">
        <v>14614</v>
      </c>
      <c r="B5068" s="26" t="str">
        <f t="shared" si="79"/>
        <v>301107</v>
      </c>
      <c r="C5068" s="30" t="s">
        <v>7739</v>
      </c>
      <c r="D5068" s="31">
        <v>20.29</v>
      </c>
      <c r="E5068" s="31">
        <v>-3.38</v>
      </c>
      <c r="F5068" s="31">
        <v>425656810</v>
      </c>
    </row>
    <row r="5069" spans="1:6" ht="15" thickBot="1" x14ac:dyDescent="0.2">
      <c r="A5069" s="30" t="s">
        <v>14615</v>
      </c>
      <c r="B5069" s="26" t="str">
        <f t="shared" si="79"/>
        <v>833454</v>
      </c>
      <c r="C5069" s="30" t="s">
        <v>14616</v>
      </c>
      <c r="D5069" s="31">
        <v>7.22</v>
      </c>
      <c r="E5069" s="31">
        <v>-0.82</v>
      </c>
      <c r="F5069" s="31">
        <v>425565750</v>
      </c>
    </row>
    <row r="5070" spans="1:6" ht="15" thickBot="1" x14ac:dyDescent="0.2">
      <c r="A5070" s="30" t="s">
        <v>14617</v>
      </c>
      <c r="B5070" s="26" t="str">
        <f t="shared" si="79"/>
        <v>831278</v>
      </c>
      <c r="C5070" s="30" t="s">
        <v>14618</v>
      </c>
      <c r="D5070" s="31">
        <v>4.3499999999999996</v>
      </c>
      <c r="E5070" s="31">
        <v>0.93</v>
      </c>
      <c r="F5070" s="31">
        <v>424172480</v>
      </c>
    </row>
    <row r="5071" spans="1:6" ht="15" thickBot="1" x14ac:dyDescent="0.2">
      <c r="A5071" s="30" t="s">
        <v>14619</v>
      </c>
      <c r="B5071" s="26" t="str">
        <f t="shared" si="79"/>
        <v>839946</v>
      </c>
      <c r="C5071" s="30" t="s">
        <v>8391</v>
      </c>
      <c r="D5071" s="31">
        <v>4.26</v>
      </c>
      <c r="E5071" s="31">
        <v>-3.62</v>
      </c>
      <c r="F5071" s="31">
        <v>423268280</v>
      </c>
    </row>
    <row r="5072" spans="1:6" ht="15" thickBot="1" x14ac:dyDescent="0.2">
      <c r="A5072" s="30" t="s">
        <v>14620</v>
      </c>
      <c r="B5072" s="26" t="str">
        <f t="shared" si="79"/>
        <v>688530</v>
      </c>
      <c r="C5072" s="30" t="s">
        <v>14621</v>
      </c>
      <c r="D5072" s="31">
        <v>13.85</v>
      </c>
      <c r="E5072" s="31">
        <v>-1.42</v>
      </c>
      <c r="F5072" s="31">
        <v>416690450</v>
      </c>
    </row>
    <row r="5073" spans="1:6" ht="15" thickBot="1" x14ac:dyDescent="0.2">
      <c r="A5073" s="30" t="s">
        <v>14622</v>
      </c>
      <c r="B5073" s="26" t="str">
        <f t="shared" si="79"/>
        <v>832786</v>
      </c>
      <c r="C5073" s="30" t="s">
        <v>14623</v>
      </c>
      <c r="D5073" s="31">
        <v>4.34</v>
      </c>
      <c r="E5073" s="31">
        <v>-1.1399999999999999</v>
      </c>
      <c r="F5073" s="31">
        <v>414703140</v>
      </c>
    </row>
    <row r="5074" spans="1:6" ht="15" thickBot="1" x14ac:dyDescent="0.2">
      <c r="A5074" s="30" t="s">
        <v>14624</v>
      </c>
      <c r="B5074" s="26" t="str">
        <f t="shared" si="79"/>
        <v>430300</v>
      </c>
      <c r="C5074" s="30" t="s">
        <v>8393</v>
      </c>
      <c r="D5074" s="31">
        <v>6.9</v>
      </c>
      <c r="E5074" s="31">
        <v>0.15</v>
      </c>
      <c r="F5074" s="31">
        <v>414642850</v>
      </c>
    </row>
    <row r="5075" spans="1:6" ht="15" thickBot="1" x14ac:dyDescent="0.2">
      <c r="A5075" s="30" t="s">
        <v>14625</v>
      </c>
      <c r="B5075" s="26" t="str">
        <f t="shared" si="79"/>
        <v>001234</v>
      </c>
      <c r="C5075" s="30" t="s">
        <v>14626</v>
      </c>
      <c r="D5075" s="31">
        <v>14.26</v>
      </c>
      <c r="E5075" s="31">
        <v>-0.35</v>
      </c>
      <c r="F5075" s="31">
        <v>414491140</v>
      </c>
    </row>
    <row r="5076" spans="1:6" ht="15" thickBot="1" x14ac:dyDescent="0.2">
      <c r="A5076" s="30" t="s">
        <v>14627</v>
      </c>
      <c r="B5076" s="26" t="str">
        <f t="shared" si="79"/>
        <v>688657</v>
      </c>
      <c r="C5076" s="30" t="s">
        <v>14628</v>
      </c>
      <c r="D5076" s="31">
        <v>27.95</v>
      </c>
      <c r="E5076" s="31">
        <v>-0.36</v>
      </c>
      <c r="F5076" s="31">
        <v>411891600</v>
      </c>
    </row>
    <row r="5077" spans="1:6" ht="15" thickBot="1" x14ac:dyDescent="0.2">
      <c r="A5077" s="30" t="s">
        <v>14629</v>
      </c>
      <c r="B5077" s="26" t="str">
        <f t="shared" si="79"/>
        <v>831726</v>
      </c>
      <c r="C5077" s="30" t="s">
        <v>14630</v>
      </c>
      <c r="D5077" s="31">
        <v>7.35</v>
      </c>
      <c r="E5077" s="31">
        <v>-0.54</v>
      </c>
      <c r="F5077" s="31">
        <v>411156830</v>
      </c>
    </row>
    <row r="5078" spans="1:6" ht="15" thickBot="1" x14ac:dyDescent="0.2">
      <c r="A5078" s="30" t="s">
        <v>14631</v>
      </c>
      <c r="B5078" s="26" t="str">
        <f t="shared" si="79"/>
        <v>001259</v>
      </c>
      <c r="C5078" s="30" t="s">
        <v>14632</v>
      </c>
      <c r="D5078" s="31">
        <v>18.3</v>
      </c>
      <c r="E5078" s="31">
        <v>-1.72</v>
      </c>
      <c r="F5078" s="31">
        <v>401298650</v>
      </c>
    </row>
    <row r="5079" spans="1:6" ht="15" thickBot="1" x14ac:dyDescent="0.2">
      <c r="A5079" s="30" t="s">
        <v>14633</v>
      </c>
      <c r="B5079" s="26" t="str">
        <f t="shared" si="79"/>
        <v>832149</v>
      </c>
      <c r="C5079" s="30" t="s">
        <v>14634</v>
      </c>
      <c r="D5079" s="31">
        <v>3.5</v>
      </c>
      <c r="E5079" s="31">
        <v>-1.96</v>
      </c>
      <c r="F5079" s="31">
        <v>400885950</v>
      </c>
    </row>
    <row r="5080" spans="1:6" ht="15" thickBot="1" x14ac:dyDescent="0.2">
      <c r="A5080" s="30" t="s">
        <v>14635</v>
      </c>
      <c r="B5080" s="26" t="str">
        <f t="shared" si="79"/>
        <v>301588</v>
      </c>
      <c r="C5080" s="30" t="s">
        <v>14636</v>
      </c>
      <c r="D5080" s="31">
        <v>16.84</v>
      </c>
      <c r="E5080" s="31">
        <v>-2.15</v>
      </c>
      <c r="F5080" s="31">
        <v>400346620</v>
      </c>
    </row>
    <row r="5081" spans="1:6" ht="15" thickBot="1" x14ac:dyDescent="0.2">
      <c r="A5081" s="30" t="s">
        <v>14637</v>
      </c>
      <c r="B5081" s="26" t="str">
        <f t="shared" si="79"/>
        <v>001260</v>
      </c>
      <c r="C5081" s="30" t="s">
        <v>14638</v>
      </c>
      <c r="D5081" s="31">
        <v>12.58</v>
      </c>
      <c r="E5081" s="31">
        <v>-3.45</v>
      </c>
      <c r="F5081" s="31">
        <v>399415000</v>
      </c>
    </row>
    <row r="5082" spans="1:6" ht="15" thickBot="1" x14ac:dyDescent="0.2">
      <c r="A5082" s="30" t="s">
        <v>14639</v>
      </c>
      <c r="B5082" s="26" t="str">
        <f t="shared" si="79"/>
        <v>832171</v>
      </c>
      <c r="C5082" s="30" t="s">
        <v>14640</v>
      </c>
      <c r="D5082" s="31">
        <v>5.89</v>
      </c>
      <c r="E5082" s="31">
        <v>-2.65</v>
      </c>
      <c r="F5082" s="31">
        <v>396307080</v>
      </c>
    </row>
    <row r="5083" spans="1:6" ht="15" thickBot="1" x14ac:dyDescent="0.2">
      <c r="A5083" s="30" t="s">
        <v>14641</v>
      </c>
      <c r="B5083" s="26" t="str">
        <f t="shared" si="79"/>
        <v>836263</v>
      </c>
      <c r="C5083" s="30" t="s">
        <v>8407</v>
      </c>
      <c r="D5083" s="31">
        <v>3.86</v>
      </c>
      <c r="E5083" s="31">
        <v>0</v>
      </c>
      <c r="F5083" s="31">
        <v>394773830</v>
      </c>
    </row>
    <row r="5084" spans="1:6" ht="15" thickBot="1" x14ac:dyDescent="0.2">
      <c r="A5084" s="30" t="s">
        <v>14642</v>
      </c>
      <c r="B5084" s="26" t="str">
        <f t="shared" si="79"/>
        <v>870199</v>
      </c>
      <c r="C5084" s="30" t="s">
        <v>14643</v>
      </c>
      <c r="D5084" s="31">
        <v>10.56</v>
      </c>
      <c r="E5084" s="31">
        <v>0.67</v>
      </c>
      <c r="F5084" s="31">
        <v>392847790</v>
      </c>
    </row>
    <row r="5085" spans="1:6" ht="15" thickBot="1" x14ac:dyDescent="0.2">
      <c r="A5085" s="30" t="s">
        <v>14644</v>
      </c>
      <c r="B5085" s="26" t="str">
        <f t="shared" si="79"/>
        <v>430476</v>
      </c>
      <c r="C5085" s="30" t="s">
        <v>14645</v>
      </c>
      <c r="D5085" s="31">
        <v>6.1</v>
      </c>
      <c r="E5085" s="31">
        <v>-0.49</v>
      </c>
      <c r="F5085" s="31">
        <v>392764330</v>
      </c>
    </row>
    <row r="5086" spans="1:6" ht="15" thickBot="1" x14ac:dyDescent="0.2">
      <c r="A5086" s="30" t="s">
        <v>14646</v>
      </c>
      <c r="B5086" s="26" t="str">
        <f t="shared" si="79"/>
        <v>833427</v>
      </c>
      <c r="C5086" s="30" t="s">
        <v>14647</v>
      </c>
      <c r="D5086" s="31">
        <v>8.02</v>
      </c>
      <c r="E5086" s="31">
        <v>-1.72</v>
      </c>
      <c r="F5086" s="31">
        <v>391437470</v>
      </c>
    </row>
    <row r="5087" spans="1:6" ht="15" thickBot="1" x14ac:dyDescent="0.2">
      <c r="A5087" s="30" t="s">
        <v>14648</v>
      </c>
      <c r="B5087" s="26" t="str">
        <f t="shared" si="79"/>
        <v>837212</v>
      </c>
      <c r="C5087" s="30" t="s">
        <v>14649</v>
      </c>
      <c r="D5087" s="31">
        <v>7.49</v>
      </c>
      <c r="E5087" s="31">
        <v>-3.11</v>
      </c>
      <c r="F5087" s="31">
        <v>390801990</v>
      </c>
    </row>
    <row r="5088" spans="1:6" ht="15" thickBot="1" x14ac:dyDescent="0.2">
      <c r="A5088" s="30" t="s">
        <v>14650</v>
      </c>
      <c r="B5088" s="26" t="str">
        <f t="shared" si="79"/>
        <v>430478</v>
      </c>
      <c r="C5088" s="30" t="s">
        <v>14651</v>
      </c>
      <c r="D5088" s="31">
        <v>11.41</v>
      </c>
      <c r="E5088" s="31">
        <v>-1.72</v>
      </c>
      <c r="F5088" s="31">
        <v>390604490</v>
      </c>
    </row>
    <row r="5089" spans="1:6" ht="15" thickBot="1" x14ac:dyDescent="0.2">
      <c r="A5089" s="30" t="s">
        <v>14652</v>
      </c>
      <c r="B5089" s="26" t="str">
        <f t="shared" si="79"/>
        <v>836675</v>
      </c>
      <c r="C5089" s="30" t="s">
        <v>8345</v>
      </c>
      <c r="D5089" s="31">
        <v>4.97</v>
      </c>
      <c r="E5089" s="31">
        <v>-0.6</v>
      </c>
      <c r="F5089" s="31">
        <v>390417700</v>
      </c>
    </row>
    <row r="5090" spans="1:6" ht="15" thickBot="1" x14ac:dyDescent="0.2">
      <c r="A5090" s="30" t="s">
        <v>14653</v>
      </c>
      <c r="B5090" s="26" t="str">
        <f t="shared" si="79"/>
        <v>831396</v>
      </c>
      <c r="C5090" s="30" t="s">
        <v>14654</v>
      </c>
      <c r="D5090" s="31">
        <v>4.1399999999999997</v>
      </c>
      <c r="E5090" s="31">
        <v>-0.96</v>
      </c>
      <c r="F5090" s="31">
        <v>389778380</v>
      </c>
    </row>
    <row r="5091" spans="1:6" ht="15" thickBot="1" x14ac:dyDescent="0.2">
      <c r="A5091" s="30" t="s">
        <v>14655</v>
      </c>
      <c r="B5091" s="26" t="str">
        <f t="shared" si="79"/>
        <v>873152</v>
      </c>
      <c r="C5091" s="30" t="s">
        <v>14656</v>
      </c>
      <c r="D5091" s="31">
        <v>6.94</v>
      </c>
      <c r="E5091" s="31">
        <v>-1.42</v>
      </c>
      <c r="F5091" s="31">
        <v>389295720</v>
      </c>
    </row>
    <row r="5092" spans="1:6" ht="15" thickBot="1" x14ac:dyDescent="0.2">
      <c r="A5092" s="30" t="s">
        <v>14657</v>
      </c>
      <c r="B5092" s="26" t="str">
        <f t="shared" si="79"/>
        <v>839719</v>
      </c>
      <c r="C5092" s="30" t="s">
        <v>14658</v>
      </c>
      <c r="D5092" s="31">
        <v>5.84</v>
      </c>
      <c r="E5092" s="31">
        <v>-2.0099999999999998</v>
      </c>
      <c r="F5092" s="31">
        <v>388724520</v>
      </c>
    </row>
    <row r="5093" spans="1:6" ht="15" thickBot="1" x14ac:dyDescent="0.2">
      <c r="A5093" s="30" t="s">
        <v>14659</v>
      </c>
      <c r="B5093" s="26" t="str">
        <f t="shared" si="79"/>
        <v>920008</v>
      </c>
      <c r="C5093" s="30" t="s">
        <v>14660</v>
      </c>
      <c r="D5093" s="31">
        <v>16.25</v>
      </c>
      <c r="E5093" s="31">
        <v>-8.35</v>
      </c>
      <c r="F5093" s="31">
        <v>387940040</v>
      </c>
    </row>
    <row r="5094" spans="1:6" ht="15" thickBot="1" x14ac:dyDescent="0.2">
      <c r="A5094" s="30" t="s">
        <v>14661</v>
      </c>
      <c r="B5094" s="26" t="str">
        <f t="shared" si="79"/>
        <v>301234</v>
      </c>
      <c r="C5094" s="30" t="s">
        <v>14662</v>
      </c>
      <c r="D5094" s="31">
        <v>20.97</v>
      </c>
      <c r="E5094" s="31">
        <v>-2.4700000000000002</v>
      </c>
      <c r="F5094" s="31">
        <v>386101740</v>
      </c>
    </row>
    <row r="5095" spans="1:6" ht="15" thickBot="1" x14ac:dyDescent="0.2">
      <c r="A5095" s="30" t="s">
        <v>14663</v>
      </c>
      <c r="B5095" s="26" t="str">
        <f t="shared" si="79"/>
        <v>871396</v>
      </c>
      <c r="C5095" s="30" t="s">
        <v>8401</v>
      </c>
      <c r="D5095" s="31">
        <v>9.14</v>
      </c>
      <c r="E5095" s="31">
        <v>-0.76</v>
      </c>
      <c r="F5095" s="31">
        <v>383914910</v>
      </c>
    </row>
    <row r="5096" spans="1:6" ht="15" thickBot="1" x14ac:dyDescent="0.2">
      <c r="A5096" s="30" t="s">
        <v>14664</v>
      </c>
      <c r="B5096" s="26" t="str">
        <f t="shared" si="79"/>
        <v>836720</v>
      </c>
      <c r="C5096" s="30" t="s">
        <v>14665</v>
      </c>
      <c r="D5096" s="31">
        <v>7.68</v>
      </c>
      <c r="E5096" s="31">
        <v>1.05</v>
      </c>
      <c r="F5096" s="31">
        <v>380925770</v>
      </c>
    </row>
    <row r="5097" spans="1:6" ht="15" thickBot="1" x14ac:dyDescent="0.2">
      <c r="A5097" s="30" t="s">
        <v>14666</v>
      </c>
      <c r="B5097" s="26" t="str">
        <f t="shared" si="79"/>
        <v>839729</v>
      </c>
      <c r="C5097" s="30" t="s">
        <v>8065</v>
      </c>
      <c r="D5097" s="31">
        <v>4.74</v>
      </c>
      <c r="E5097" s="31">
        <v>-1.04</v>
      </c>
      <c r="F5097" s="31">
        <v>380359250</v>
      </c>
    </row>
    <row r="5098" spans="1:6" ht="15" thickBot="1" x14ac:dyDescent="0.2">
      <c r="A5098" s="30" t="s">
        <v>14667</v>
      </c>
      <c r="B5098" s="26" t="str">
        <f t="shared" si="79"/>
        <v>001255</v>
      </c>
      <c r="C5098" s="30" t="s">
        <v>14668</v>
      </c>
      <c r="D5098" s="31">
        <v>19.010000000000002</v>
      </c>
      <c r="E5098" s="31">
        <v>-3.26</v>
      </c>
      <c r="F5098" s="31">
        <v>380200000</v>
      </c>
    </row>
    <row r="5099" spans="1:6" ht="15" thickBot="1" x14ac:dyDescent="0.2">
      <c r="A5099" s="30" t="s">
        <v>14669</v>
      </c>
      <c r="B5099" s="26" t="str">
        <f t="shared" si="79"/>
        <v>831445</v>
      </c>
      <c r="C5099" s="30" t="s">
        <v>8389</v>
      </c>
      <c r="D5099" s="31">
        <v>4.08</v>
      </c>
      <c r="E5099" s="31">
        <v>-0.97</v>
      </c>
      <c r="F5099" s="31">
        <v>377222410</v>
      </c>
    </row>
    <row r="5100" spans="1:6" ht="15" thickBot="1" x14ac:dyDescent="0.2">
      <c r="A5100" s="30" t="s">
        <v>14670</v>
      </c>
      <c r="B5100" s="26" t="str">
        <f t="shared" si="79"/>
        <v>301287</v>
      </c>
      <c r="C5100" s="30" t="s">
        <v>14671</v>
      </c>
      <c r="D5100" s="31">
        <v>22.41</v>
      </c>
      <c r="E5100" s="31">
        <v>-3.78</v>
      </c>
      <c r="F5100" s="31">
        <v>373574700</v>
      </c>
    </row>
    <row r="5101" spans="1:6" ht="15" thickBot="1" x14ac:dyDescent="0.2">
      <c r="A5101" s="30" t="s">
        <v>14672</v>
      </c>
      <c r="B5101" s="26" t="str">
        <f t="shared" si="79"/>
        <v>835207</v>
      </c>
      <c r="C5101" s="30" t="s">
        <v>14673</v>
      </c>
      <c r="D5101" s="31">
        <v>6.68</v>
      </c>
      <c r="E5101" s="31">
        <v>-1.77</v>
      </c>
      <c r="F5101" s="31">
        <v>372222750</v>
      </c>
    </row>
    <row r="5102" spans="1:6" ht="15" thickBot="1" x14ac:dyDescent="0.2">
      <c r="A5102" s="30" t="s">
        <v>14674</v>
      </c>
      <c r="B5102" s="26" t="str">
        <f t="shared" si="79"/>
        <v>001226</v>
      </c>
      <c r="C5102" s="30" t="s">
        <v>14675</v>
      </c>
      <c r="D5102" s="31">
        <v>19.93</v>
      </c>
      <c r="E5102" s="31">
        <v>-0.65</v>
      </c>
      <c r="F5102" s="31">
        <v>372027330</v>
      </c>
    </row>
    <row r="5103" spans="1:6" ht="15" thickBot="1" x14ac:dyDescent="0.2">
      <c r="A5103" s="30" t="s">
        <v>14676</v>
      </c>
      <c r="B5103" s="26" t="str">
        <f t="shared" si="79"/>
        <v>839790</v>
      </c>
      <c r="C5103" s="30" t="s">
        <v>14677</v>
      </c>
      <c r="D5103" s="31">
        <v>6.82</v>
      </c>
      <c r="E5103" s="31">
        <v>-0.44</v>
      </c>
      <c r="F5103" s="31">
        <v>370659890</v>
      </c>
    </row>
    <row r="5104" spans="1:6" ht="15" thickBot="1" x14ac:dyDescent="0.2">
      <c r="A5104" s="30" t="s">
        <v>14678</v>
      </c>
      <c r="B5104" s="26" t="str">
        <f t="shared" si="79"/>
        <v>301105</v>
      </c>
      <c r="C5104" s="30" t="s">
        <v>14679</v>
      </c>
      <c r="D5104" s="31">
        <v>22.43</v>
      </c>
      <c r="E5104" s="31">
        <v>-2.27</v>
      </c>
      <c r="F5104" s="31">
        <v>368693060</v>
      </c>
    </row>
    <row r="5105" spans="1:6" ht="15" thickBot="1" x14ac:dyDescent="0.2">
      <c r="A5105" s="30" t="s">
        <v>14680</v>
      </c>
      <c r="B5105" s="26" t="str">
        <f t="shared" si="79"/>
        <v>833781</v>
      </c>
      <c r="C5105" s="30" t="s">
        <v>14681</v>
      </c>
      <c r="D5105" s="31">
        <v>3.97</v>
      </c>
      <c r="E5105" s="31">
        <v>-1</v>
      </c>
      <c r="F5105" s="31">
        <v>368424050</v>
      </c>
    </row>
    <row r="5106" spans="1:6" ht="15" thickBot="1" x14ac:dyDescent="0.2">
      <c r="A5106" s="30" t="s">
        <v>14682</v>
      </c>
      <c r="B5106" s="26" t="str">
        <f t="shared" si="79"/>
        <v>688638</v>
      </c>
      <c r="C5106" s="30" t="s">
        <v>14683</v>
      </c>
      <c r="D5106" s="31">
        <v>21.22</v>
      </c>
      <c r="E5106" s="31">
        <v>-1.9</v>
      </c>
      <c r="F5106" s="31">
        <v>366223350</v>
      </c>
    </row>
    <row r="5107" spans="1:6" ht="15" thickBot="1" x14ac:dyDescent="0.2">
      <c r="A5107" s="30" t="s">
        <v>14684</v>
      </c>
      <c r="B5107" s="26" t="str">
        <f t="shared" si="79"/>
        <v>831689</v>
      </c>
      <c r="C5107" s="30" t="s">
        <v>14685</v>
      </c>
      <c r="D5107" s="31">
        <v>10.26</v>
      </c>
      <c r="E5107" s="31">
        <v>0.89</v>
      </c>
      <c r="F5107" s="31">
        <v>365546390</v>
      </c>
    </row>
    <row r="5108" spans="1:6" ht="15" thickBot="1" x14ac:dyDescent="0.2">
      <c r="A5108" s="30" t="s">
        <v>14686</v>
      </c>
      <c r="B5108" s="26" t="str">
        <f t="shared" si="79"/>
        <v>430425</v>
      </c>
      <c r="C5108" s="30" t="s">
        <v>14687</v>
      </c>
      <c r="D5108" s="31">
        <v>8.8800000000000008</v>
      </c>
      <c r="E5108" s="31">
        <v>-2.1</v>
      </c>
      <c r="F5108" s="31">
        <v>364532550</v>
      </c>
    </row>
    <row r="5109" spans="1:6" ht="15" thickBot="1" x14ac:dyDescent="0.2">
      <c r="A5109" s="30" t="s">
        <v>14688</v>
      </c>
      <c r="B5109" s="26" t="str">
        <f t="shared" si="79"/>
        <v>839725</v>
      </c>
      <c r="C5109" s="30" t="s">
        <v>14689</v>
      </c>
      <c r="D5109" s="31">
        <v>8.64</v>
      </c>
      <c r="E5109" s="31">
        <v>-0.12</v>
      </c>
      <c r="F5109" s="31">
        <v>363551860</v>
      </c>
    </row>
    <row r="5110" spans="1:6" ht="15" thickBot="1" x14ac:dyDescent="0.2">
      <c r="A5110" s="30" t="s">
        <v>14690</v>
      </c>
      <c r="B5110" s="26" t="str">
        <f t="shared" si="79"/>
        <v>430718</v>
      </c>
      <c r="C5110" s="30" t="s">
        <v>14691</v>
      </c>
      <c r="D5110" s="31">
        <v>8.48</v>
      </c>
      <c r="E5110" s="31">
        <v>-1.17</v>
      </c>
      <c r="F5110" s="31">
        <v>362471830</v>
      </c>
    </row>
    <row r="5111" spans="1:6" ht="15" thickBot="1" x14ac:dyDescent="0.2">
      <c r="A5111" s="30" t="s">
        <v>14692</v>
      </c>
      <c r="B5111" s="26" t="str">
        <f t="shared" si="79"/>
        <v>833751</v>
      </c>
      <c r="C5111" s="30" t="s">
        <v>14693</v>
      </c>
      <c r="D5111" s="31">
        <v>7.8</v>
      </c>
      <c r="E5111" s="31">
        <v>0.13</v>
      </c>
      <c r="F5111" s="31">
        <v>359763300</v>
      </c>
    </row>
    <row r="5112" spans="1:6" ht="15" thickBot="1" x14ac:dyDescent="0.2">
      <c r="A5112" s="30" t="s">
        <v>14694</v>
      </c>
      <c r="B5112" s="26" t="str">
        <f t="shared" si="79"/>
        <v>835857</v>
      </c>
      <c r="C5112" s="30" t="s">
        <v>14695</v>
      </c>
      <c r="D5112" s="31">
        <v>3.06</v>
      </c>
      <c r="E5112" s="31">
        <v>-0.65</v>
      </c>
      <c r="F5112" s="31">
        <v>355725850</v>
      </c>
    </row>
    <row r="5113" spans="1:6" ht="15" thickBot="1" x14ac:dyDescent="0.2">
      <c r="A5113" s="30" t="s">
        <v>14696</v>
      </c>
      <c r="B5113" s="26" t="str">
        <f t="shared" si="79"/>
        <v>603272</v>
      </c>
      <c r="C5113" s="30" t="s">
        <v>14697</v>
      </c>
      <c r="D5113" s="31">
        <v>8.35</v>
      </c>
      <c r="E5113" s="31">
        <v>-2.68</v>
      </c>
      <c r="F5113" s="31">
        <v>354891700</v>
      </c>
    </row>
    <row r="5114" spans="1:6" ht="15" thickBot="1" x14ac:dyDescent="0.2">
      <c r="A5114" s="30" t="s">
        <v>14698</v>
      </c>
      <c r="B5114" s="26" t="str">
        <f t="shared" si="79"/>
        <v>688272</v>
      </c>
      <c r="C5114" s="30" t="s">
        <v>8299</v>
      </c>
      <c r="D5114" s="31">
        <v>12.75</v>
      </c>
      <c r="E5114" s="31">
        <v>-0.31</v>
      </c>
      <c r="F5114" s="31">
        <v>352265300</v>
      </c>
    </row>
    <row r="5115" spans="1:6" ht="15" thickBot="1" x14ac:dyDescent="0.2">
      <c r="A5115" s="30" t="s">
        <v>14699</v>
      </c>
      <c r="B5115" s="26" t="str">
        <f t="shared" si="79"/>
        <v>831175</v>
      </c>
      <c r="C5115" s="30" t="s">
        <v>14700</v>
      </c>
      <c r="D5115" s="31">
        <v>8.68</v>
      </c>
      <c r="E5115" s="31">
        <v>-1.92</v>
      </c>
      <c r="F5115" s="31">
        <v>349861290</v>
      </c>
    </row>
    <row r="5116" spans="1:6" ht="15" thickBot="1" x14ac:dyDescent="0.2">
      <c r="A5116" s="30" t="s">
        <v>14701</v>
      </c>
      <c r="B5116" s="26" t="str">
        <f t="shared" si="79"/>
        <v>871553</v>
      </c>
      <c r="C5116" s="30" t="s">
        <v>8405</v>
      </c>
      <c r="D5116" s="31">
        <v>3.79</v>
      </c>
      <c r="E5116" s="31">
        <v>1.07</v>
      </c>
      <c r="F5116" s="31">
        <v>348169180</v>
      </c>
    </row>
    <row r="5117" spans="1:6" ht="15" thickBot="1" x14ac:dyDescent="0.2">
      <c r="A5117" s="30" t="s">
        <v>14702</v>
      </c>
      <c r="B5117" s="26" t="str">
        <f t="shared" si="79"/>
        <v>834014</v>
      </c>
      <c r="C5117" s="30" t="s">
        <v>14703</v>
      </c>
      <c r="D5117" s="31">
        <v>7.51</v>
      </c>
      <c r="E5117" s="31">
        <v>-1.44</v>
      </c>
      <c r="F5117" s="31">
        <v>347403660</v>
      </c>
    </row>
    <row r="5118" spans="1:6" ht="15" thickBot="1" x14ac:dyDescent="0.2">
      <c r="A5118" s="30" t="s">
        <v>14704</v>
      </c>
      <c r="B5118" s="26" t="str">
        <f t="shared" si="79"/>
        <v>873305</v>
      </c>
      <c r="C5118" s="30" t="s">
        <v>14705</v>
      </c>
      <c r="D5118" s="31">
        <v>9.41</v>
      </c>
      <c r="E5118" s="31">
        <v>-0.21</v>
      </c>
      <c r="F5118" s="31">
        <v>341368370</v>
      </c>
    </row>
    <row r="5119" spans="1:6" ht="15" thickBot="1" x14ac:dyDescent="0.2">
      <c r="A5119" s="30" t="s">
        <v>14706</v>
      </c>
      <c r="B5119" s="26" t="str">
        <f t="shared" si="79"/>
        <v>871642</v>
      </c>
      <c r="C5119" s="30" t="s">
        <v>8381</v>
      </c>
      <c r="D5119" s="31">
        <v>6.21</v>
      </c>
      <c r="E5119" s="31">
        <v>-0.64</v>
      </c>
      <c r="F5119" s="31">
        <v>340402130</v>
      </c>
    </row>
    <row r="5120" spans="1:6" ht="15" thickBot="1" x14ac:dyDescent="0.2">
      <c r="A5120" s="30" t="s">
        <v>14707</v>
      </c>
      <c r="B5120" s="26" t="str">
        <f t="shared" si="79"/>
        <v>831906</v>
      </c>
      <c r="C5120" s="30" t="s">
        <v>14708</v>
      </c>
      <c r="D5120" s="31">
        <v>10.15</v>
      </c>
      <c r="E5120" s="31">
        <v>-2.12</v>
      </c>
      <c r="F5120" s="31">
        <v>336809710</v>
      </c>
    </row>
    <row r="5121" spans="1:6" ht="15" thickBot="1" x14ac:dyDescent="0.2">
      <c r="A5121" s="30" t="s">
        <v>14709</v>
      </c>
      <c r="B5121" s="26" t="str">
        <f t="shared" si="79"/>
        <v>301113</v>
      </c>
      <c r="C5121" s="30" t="s">
        <v>14710</v>
      </c>
      <c r="D5121" s="31">
        <v>18.21</v>
      </c>
      <c r="E5121" s="31">
        <v>-1.94</v>
      </c>
      <c r="F5121" s="31">
        <v>336315030</v>
      </c>
    </row>
    <row r="5122" spans="1:6" ht="15" thickBot="1" x14ac:dyDescent="0.2">
      <c r="A5122" s="30" t="s">
        <v>14711</v>
      </c>
      <c r="B5122" s="26" t="str">
        <f t="shared" si="79"/>
        <v>835508</v>
      </c>
      <c r="C5122" s="30" t="s">
        <v>8387</v>
      </c>
      <c r="D5122" s="31">
        <v>12.9</v>
      </c>
      <c r="E5122" s="31">
        <v>-0.62</v>
      </c>
      <c r="F5122" s="31">
        <v>335883750</v>
      </c>
    </row>
    <row r="5123" spans="1:6" ht="15" thickBot="1" x14ac:dyDescent="0.2">
      <c r="A5123" s="30" t="s">
        <v>14712</v>
      </c>
      <c r="B5123" s="26" t="str">
        <f t="shared" ref="B5123:B5186" si="80">LEFT(A5123,6)</f>
        <v>834770</v>
      </c>
      <c r="C5123" s="30" t="s">
        <v>14713</v>
      </c>
      <c r="D5123" s="31">
        <v>5.08</v>
      </c>
      <c r="E5123" s="31">
        <v>-2.5</v>
      </c>
      <c r="F5123" s="31">
        <v>334336860</v>
      </c>
    </row>
    <row r="5124" spans="1:6" ht="15" thickBot="1" x14ac:dyDescent="0.2">
      <c r="A5124" s="30" t="s">
        <v>14714</v>
      </c>
      <c r="B5124" s="26" t="str">
        <f t="shared" si="80"/>
        <v>872374</v>
      </c>
      <c r="C5124" s="30" t="s">
        <v>14715</v>
      </c>
      <c r="D5124" s="31">
        <v>11.39</v>
      </c>
      <c r="E5124" s="31">
        <v>-2.15</v>
      </c>
      <c r="F5124" s="31">
        <v>332762290</v>
      </c>
    </row>
    <row r="5125" spans="1:6" ht="15" thickBot="1" x14ac:dyDescent="0.2">
      <c r="A5125" s="30" t="s">
        <v>14716</v>
      </c>
      <c r="B5125" s="26" t="str">
        <f t="shared" si="80"/>
        <v>832175</v>
      </c>
      <c r="C5125" s="30" t="s">
        <v>14717</v>
      </c>
      <c r="D5125" s="31">
        <v>5.5</v>
      </c>
      <c r="E5125" s="31">
        <v>-1.61</v>
      </c>
      <c r="F5125" s="31">
        <v>332713140</v>
      </c>
    </row>
    <row r="5126" spans="1:6" ht="15" thickBot="1" x14ac:dyDescent="0.2">
      <c r="A5126" s="30" t="s">
        <v>14718</v>
      </c>
      <c r="B5126" s="26" t="str">
        <f t="shared" si="80"/>
        <v>870866</v>
      </c>
      <c r="C5126" s="30" t="s">
        <v>14719</v>
      </c>
      <c r="D5126" s="31">
        <v>4.97</v>
      </c>
      <c r="E5126" s="31">
        <v>0</v>
      </c>
      <c r="F5126" s="31">
        <v>332293240</v>
      </c>
    </row>
    <row r="5127" spans="1:6" ht="15" thickBot="1" x14ac:dyDescent="0.2">
      <c r="A5127" s="30" t="s">
        <v>14720</v>
      </c>
      <c r="B5127" s="26" t="str">
        <f t="shared" si="80"/>
        <v>838030</v>
      </c>
      <c r="C5127" s="30" t="s">
        <v>8385</v>
      </c>
      <c r="D5127" s="31">
        <v>3.39</v>
      </c>
      <c r="E5127" s="31">
        <v>-0.88</v>
      </c>
      <c r="F5127" s="31">
        <v>331294700</v>
      </c>
    </row>
    <row r="5128" spans="1:6" ht="15" thickBot="1" x14ac:dyDescent="0.2">
      <c r="A5128" s="30" t="s">
        <v>14721</v>
      </c>
      <c r="B5128" s="26" t="str">
        <f t="shared" si="80"/>
        <v>870204</v>
      </c>
      <c r="C5128" s="30" t="s">
        <v>14722</v>
      </c>
      <c r="D5128" s="31">
        <v>6.62</v>
      </c>
      <c r="E5128" s="31">
        <v>0.15</v>
      </c>
      <c r="F5128" s="31">
        <v>330212590</v>
      </c>
    </row>
    <row r="5129" spans="1:6" ht="15" thickBot="1" x14ac:dyDescent="0.2">
      <c r="A5129" s="30" t="s">
        <v>14723</v>
      </c>
      <c r="B5129" s="26" t="str">
        <f t="shared" si="80"/>
        <v>430685</v>
      </c>
      <c r="C5129" s="30" t="s">
        <v>14724</v>
      </c>
      <c r="D5129" s="31">
        <v>7.38</v>
      </c>
      <c r="E5129" s="31">
        <v>-3.78</v>
      </c>
      <c r="F5129" s="31">
        <v>329033170</v>
      </c>
    </row>
    <row r="5130" spans="1:6" ht="15" thickBot="1" x14ac:dyDescent="0.2">
      <c r="A5130" s="30" t="s">
        <v>14725</v>
      </c>
      <c r="B5130" s="26" t="str">
        <f t="shared" si="80"/>
        <v>838227</v>
      </c>
      <c r="C5130" s="30" t="s">
        <v>14726</v>
      </c>
      <c r="D5130" s="31">
        <v>18.5</v>
      </c>
      <c r="E5130" s="31">
        <v>-1.7</v>
      </c>
      <c r="F5130" s="31">
        <v>326038520</v>
      </c>
    </row>
    <row r="5131" spans="1:6" ht="15" thickBot="1" x14ac:dyDescent="0.2">
      <c r="A5131" s="30" t="s">
        <v>14727</v>
      </c>
      <c r="B5131" s="26" t="str">
        <f t="shared" si="80"/>
        <v>833533</v>
      </c>
      <c r="C5131" s="30" t="s">
        <v>14728</v>
      </c>
      <c r="D5131" s="31">
        <v>8.76</v>
      </c>
      <c r="E5131" s="31">
        <v>-2.99</v>
      </c>
      <c r="F5131" s="31">
        <v>323976140</v>
      </c>
    </row>
    <row r="5132" spans="1:6" ht="15" thickBot="1" x14ac:dyDescent="0.2">
      <c r="A5132" s="30" t="s">
        <v>14729</v>
      </c>
      <c r="B5132" s="26" t="str">
        <f t="shared" si="80"/>
        <v>836414</v>
      </c>
      <c r="C5132" s="30" t="s">
        <v>14730</v>
      </c>
      <c r="D5132" s="31">
        <v>5.86</v>
      </c>
      <c r="E5132" s="31">
        <v>-1.01</v>
      </c>
      <c r="F5132" s="31">
        <v>323916400</v>
      </c>
    </row>
    <row r="5133" spans="1:6" ht="15" thickBot="1" x14ac:dyDescent="0.2">
      <c r="A5133" s="30" t="s">
        <v>14731</v>
      </c>
      <c r="B5133" s="26" t="str">
        <f t="shared" si="80"/>
        <v>301024</v>
      </c>
      <c r="C5133" s="30" t="s">
        <v>14732</v>
      </c>
      <c r="D5133" s="31">
        <v>18.260000000000002</v>
      </c>
      <c r="E5133" s="31">
        <v>-1.56</v>
      </c>
      <c r="F5133" s="31">
        <v>323886750</v>
      </c>
    </row>
    <row r="5134" spans="1:6" ht="15" thickBot="1" x14ac:dyDescent="0.2">
      <c r="A5134" s="30" t="s">
        <v>14733</v>
      </c>
      <c r="B5134" s="26" t="str">
        <f t="shared" si="80"/>
        <v>832278</v>
      </c>
      <c r="C5134" s="30" t="s">
        <v>8353</v>
      </c>
      <c r="D5134" s="31">
        <v>4.2699999999999996</v>
      </c>
      <c r="E5134" s="31">
        <v>-4.05</v>
      </c>
      <c r="F5134" s="31">
        <v>322589960</v>
      </c>
    </row>
    <row r="5135" spans="1:6" ht="15" thickBot="1" x14ac:dyDescent="0.2">
      <c r="A5135" s="30" t="s">
        <v>14734</v>
      </c>
      <c r="B5135" s="26" t="str">
        <f t="shared" si="80"/>
        <v>832876</v>
      </c>
      <c r="C5135" s="30" t="s">
        <v>14735</v>
      </c>
      <c r="D5135" s="31">
        <v>8.3800000000000008</v>
      </c>
      <c r="E5135" s="31">
        <v>-1.41</v>
      </c>
      <c r="F5135" s="31">
        <v>319608810</v>
      </c>
    </row>
    <row r="5136" spans="1:6" ht="15" thickBot="1" x14ac:dyDescent="0.2">
      <c r="A5136" s="30" t="s">
        <v>14736</v>
      </c>
      <c r="B5136" s="26" t="str">
        <f t="shared" si="80"/>
        <v>872953</v>
      </c>
      <c r="C5136" s="30" t="s">
        <v>14737</v>
      </c>
      <c r="D5136" s="31">
        <v>12.28</v>
      </c>
      <c r="E5136" s="31">
        <v>0.25</v>
      </c>
      <c r="F5136" s="31">
        <v>318594780</v>
      </c>
    </row>
    <row r="5137" spans="1:6" ht="15" thickBot="1" x14ac:dyDescent="0.2">
      <c r="A5137" s="30" t="s">
        <v>14738</v>
      </c>
      <c r="B5137" s="26" t="str">
        <f t="shared" si="80"/>
        <v>838701</v>
      </c>
      <c r="C5137" s="30" t="s">
        <v>14739</v>
      </c>
      <c r="D5137" s="31">
        <v>12.9</v>
      </c>
      <c r="E5137" s="31">
        <v>-2.12</v>
      </c>
      <c r="F5137" s="31">
        <v>316062900</v>
      </c>
    </row>
    <row r="5138" spans="1:6" ht="15" thickBot="1" x14ac:dyDescent="0.2">
      <c r="A5138" s="30" t="s">
        <v>14740</v>
      </c>
      <c r="B5138" s="26" t="str">
        <f t="shared" si="80"/>
        <v>834950</v>
      </c>
      <c r="C5138" s="30" t="s">
        <v>14741</v>
      </c>
      <c r="D5138" s="31">
        <v>10.1</v>
      </c>
      <c r="E5138" s="31">
        <v>-1.75</v>
      </c>
      <c r="F5138" s="31">
        <v>311837500</v>
      </c>
    </row>
    <row r="5139" spans="1:6" ht="15" thickBot="1" x14ac:dyDescent="0.2">
      <c r="A5139" s="30" t="s">
        <v>14742</v>
      </c>
      <c r="B5139" s="26" t="str">
        <f t="shared" si="80"/>
        <v>873223</v>
      </c>
      <c r="C5139" s="30" t="s">
        <v>14743</v>
      </c>
      <c r="D5139" s="31">
        <v>3.88</v>
      </c>
      <c r="E5139" s="31">
        <v>2.11</v>
      </c>
      <c r="F5139" s="31">
        <v>311035350</v>
      </c>
    </row>
    <row r="5140" spans="1:6" ht="15" thickBot="1" x14ac:dyDescent="0.2">
      <c r="A5140" s="30" t="s">
        <v>14744</v>
      </c>
      <c r="B5140" s="26" t="str">
        <f t="shared" si="80"/>
        <v>833873</v>
      </c>
      <c r="C5140" s="30" t="s">
        <v>14745</v>
      </c>
      <c r="D5140" s="31">
        <v>2.84</v>
      </c>
      <c r="E5140" s="31">
        <v>-1.05</v>
      </c>
      <c r="F5140" s="31">
        <v>310072630</v>
      </c>
    </row>
    <row r="5141" spans="1:6" ht="15" thickBot="1" x14ac:dyDescent="0.2">
      <c r="A5141" s="30" t="s">
        <v>14746</v>
      </c>
      <c r="B5141" s="26" t="str">
        <f t="shared" si="80"/>
        <v>837046</v>
      </c>
      <c r="C5141" s="30" t="s">
        <v>14747</v>
      </c>
      <c r="D5141" s="31">
        <v>6.79</v>
      </c>
      <c r="E5141" s="31">
        <v>0.15</v>
      </c>
      <c r="F5141" s="31">
        <v>309759710</v>
      </c>
    </row>
    <row r="5142" spans="1:6" ht="15" thickBot="1" x14ac:dyDescent="0.2">
      <c r="A5142" s="30" t="s">
        <v>14748</v>
      </c>
      <c r="B5142" s="26" t="str">
        <f t="shared" si="80"/>
        <v>833943</v>
      </c>
      <c r="C5142" s="30" t="s">
        <v>14749</v>
      </c>
      <c r="D5142" s="31">
        <v>7.5</v>
      </c>
      <c r="E5142" s="31">
        <v>-2.85</v>
      </c>
      <c r="F5142" s="31">
        <v>309015810</v>
      </c>
    </row>
    <row r="5143" spans="1:6" ht="15" thickBot="1" x14ac:dyDescent="0.2">
      <c r="A5143" s="30" t="s">
        <v>14750</v>
      </c>
      <c r="B5143" s="26" t="str">
        <f t="shared" si="80"/>
        <v>836826</v>
      </c>
      <c r="C5143" s="30" t="s">
        <v>8375</v>
      </c>
      <c r="D5143" s="31">
        <v>4.93</v>
      </c>
      <c r="E5143" s="31">
        <v>-0.61</v>
      </c>
      <c r="F5143" s="31">
        <v>307470720</v>
      </c>
    </row>
    <row r="5144" spans="1:6" ht="15" thickBot="1" x14ac:dyDescent="0.2">
      <c r="A5144" s="30" t="s">
        <v>14751</v>
      </c>
      <c r="B5144" s="26" t="str">
        <f t="shared" si="80"/>
        <v>839792</v>
      </c>
      <c r="C5144" s="30" t="s">
        <v>14752</v>
      </c>
      <c r="D5144" s="31">
        <v>5.66</v>
      </c>
      <c r="E5144" s="31">
        <v>4.24</v>
      </c>
      <c r="F5144" s="31">
        <v>306852890</v>
      </c>
    </row>
    <row r="5145" spans="1:6" ht="15" thickBot="1" x14ac:dyDescent="0.2">
      <c r="A5145" s="30" t="s">
        <v>14753</v>
      </c>
      <c r="B5145" s="26" t="str">
        <f t="shared" si="80"/>
        <v>871634</v>
      </c>
      <c r="C5145" s="30" t="s">
        <v>14754</v>
      </c>
      <c r="D5145" s="31">
        <v>9.33</v>
      </c>
      <c r="E5145" s="31">
        <v>-3.62</v>
      </c>
      <c r="F5145" s="31">
        <v>306786540</v>
      </c>
    </row>
    <row r="5146" spans="1:6" ht="15" thickBot="1" x14ac:dyDescent="0.2">
      <c r="A5146" s="30" t="s">
        <v>14755</v>
      </c>
      <c r="B5146" s="26" t="str">
        <f t="shared" si="80"/>
        <v>430556</v>
      </c>
      <c r="C5146" s="30" t="s">
        <v>14756</v>
      </c>
      <c r="D5146" s="31">
        <v>3.82</v>
      </c>
      <c r="E5146" s="31">
        <v>-1.55</v>
      </c>
      <c r="F5146" s="31">
        <v>304936290</v>
      </c>
    </row>
    <row r="5147" spans="1:6" ht="15" thickBot="1" x14ac:dyDescent="0.2">
      <c r="A5147" s="30" t="s">
        <v>14757</v>
      </c>
      <c r="B5147" s="26" t="str">
        <f t="shared" si="80"/>
        <v>873169</v>
      </c>
      <c r="C5147" s="30" t="s">
        <v>8411</v>
      </c>
      <c r="D5147" s="31">
        <v>5.98</v>
      </c>
      <c r="E5147" s="31">
        <v>-1.81</v>
      </c>
      <c r="F5147" s="31">
        <v>301895760</v>
      </c>
    </row>
    <row r="5148" spans="1:6" ht="15" thickBot="1" x14ac:dyDescent="0.2">
      <c r="A5148" s="30" t="s">
        <v>14758</v>
      </c>
      <c r="B5148" s="26" t="str">
        <f t="shared" si="80"/>
        <v>870436</v>
      </c>
      <c r="C5148" s="30" t="s">
        <v>14759</v>
      </c>
      <c r="D5148" s="31">
        <v>6.72</v>
      </c>
      <c r="E5148" s="31">
        <v>-1.75</v>
      </c>
      <c r="F5148" s="31">
        <v>300247920</v>
      </c>
    </row>
    <row r="5149" spans="1:6" ht="15" thickBot="1" x14ac:dyDescent="0.2">
      <c r="A5149" s="30" t="s">
        <v>14760</v>
      </c>
      <c r="B5149" s="26" t="str">
        <f t="shared" si="80"/>
        <v>831768</v>
      </c>
      <c r="C5149" s="30" t="s">
        <v>14761</v>
      </c>
      <c r="D5149" s="31">
        <v>3.91</v>
      </c>
      <c r="E5149" s="31">
        <v>-0.51</v>
      </c>
      <c r="F5149" s="31">
        <v>299735250</v>
      </c>
    </row>
    <row r="5150" spans="1:6" ht="15" thickBot="1" x14ac:dyDescent="0.2">
      <c r="A5150" s="30" t="s">
        <v>14762</v>
      </c>
      <c r="B5150" s="26" t="str">
        <f t="shared" si="80"/>
        <v>833580</v>
      </c>
      <c r="C5150" s="30" t="s">
        <v>14763</v>
      </c>
      <c r="D5150" s="31">
        <v>5.35</v>
      </c>
      <c r="E5150" s="31">
        <v>1.52</v>
      </c>
      <c r="F5150" s="31">
        <v>299084050</v>
      </c>
    </row>
    <row r="5151" spans="1:6" ht="15" thickBot="1" x14ac:dyDescent="0.2">
      <c r="A5151" s="30" t="s">
        <v>14764</v>
      </c>
      <c r="B5151" s="26" t="str">
        <f t="shared" si="80"/>
        <v>833230</v>
      </c>
      <c r="C5151" s="30" t="s">
        <v>14765</v>
      </c>
      <c r="D5151" s="31">
        <v>8.92</v>
      </c>
      <c r="E5151" s="31">
        <v>-0.89</v>
      </c>
      <c r="F5151" s="31">
        <v>298668960</v>
      </c>
    </row>
    <row r="5152" spans="1:6" ht="15" thickBot="1" x14ac:dyDescent="0.2">
      <c r="A5152" s="30" t="s">
        <v>14766</v>
      </c>
      <c r="B5152" s="26" t="str">
        <f t="shared" si="80"/>
        <v>832000</v>
      </c>
      <c r="C5152" s="30" t="s">
        <v>14767</v>
      </c>
      <c r="D5152" s="31">
        <v>6.15</v>
      </c>
      <c r="E5152" s="31">
        <v>-1.6</v>
      </c>
      <c r="F5152" s="31">
        <v>297083750</v>
      </c>
    </row>
    <row r="5153" spans="1:6" ht="15" thickBot="1" x14ac:dyDescent="0.2">
      <c r="A5153" s="30" t="s">
        <v>14768</v>
      </c>
      <c r="B5153" s="26" t="str">
        <f t="shared" si="80"/>
        <v>836149</v>
      </c>
      <c r="C5153" s="30" t="s">
        <v>8415</v>
      </c>
      <c r="D5153" s="31">
        <v>6.17</v>
      </c>
      <c r="E5153" s="31">
        <v>-8.19</v>
      </c>
      <c r="F5153" s="31">
        <v>295388390</v>
      </c>
    </row>
    <row r="5154" spans="1:6" ht="15" thickBot="1" x14ac:dyDescent="0.2">
      <c r="A5154" s="30" t="s">
        <v>14769</v>
      </c>
      <c r="B5154" s="26" t="str">
        <f t="shared" si="80"/>
        <v>837663</v>
      </c>
      <c r="C5154" s="30" t="s">
        <v>14770</v>
      </c>
      <c r="D5154" s="31">
        <v>9.64</v>
      </c>
      <c r="E5154" s="31">
        <v>-2.4300000000000002</v>
      </c>
      <c r="F5154" s="31">
        <v>292899640</v>
      </c>
    </row>
    <row r="5155" spans="1:6" ht="15" thickBot="1" x14ac:dyDescent="0.2">
      <c r="A5155" s="30" t="s">
        <v>14771</v>
      </c>
      <c r="B5155" s="26" t="str">
        <f t="shared" si="80"/>
        <v>873570</v>
      </c>
      <c r="C5155" s="30" t="s">
        <v>14772</v>
      </c>
      <c r="D5155" s="31">
        <v>20.87</v>
      </c>
      <c r="E5155" s="31">
        <v>8.8699999999999992</v>
      </c>
      <c r="F5155" s="31">
        <v>291860000</v>
      </c>
    </row>
    <row r="5156" spans="1:6" ht="15" thickBot="1" x14ac:dyDescent="0.2">
      <c r="A5156" s="30" t="s">
        <v>14773</v>
      </c>
      <c r="B5156" s="26" t="str">
        <f t="shared" si="80"/>
        <v>430564</v>
      </c>
      <c r="C5156" s="30" t="s">
        <v>14774</v>
      </c>
      <c r="D5156" s="31">
        <v>8.6300000000000008</v>
      </c>
      <c r="E5156" s="31">
        <v>-1.48</v>
      </c>
      <c r="F5156" s="31">
        <v>291542600</v>
      </c>
    </row>
    <row r="5157" spans="1:6" ht="15" thickBot="1" x14ac:dyDescent="0.2">
      <c r="A5157" s="30" t="s">
        <v>14775</v>
      </c>
      <c r="B5157" s="26" t="str">
        <f t="shared" si="80"/>
        <v>833346</v>
      </c>
      <c r="C5157" s="30" t="s">
        <v>14776</v>
      </c>
      <c r="D5157" s="31">
        <v>10.74</v>
      </c>
      <c r="E5157" s="31">
        <v>-0.83</v>
      </c>
      <c r="F5157" s="31">
        <v>291334350</v>
      </c>
    </row>
    <row r="5158" spans="1:6" ht="15" thickBot="1" x14ac:dyDescent="0.2">
      <c r="A5158" s="30" t="s">
        <v>14777</v>
      </c>
      <c r="B5158" s="26" t="str">
        <f t="shared" si="80"/>
        <v>836547</v>
      </c>
      <c r="C5158" s="30" t="s">
        <v>14778</v>
      </c>
      <c r="D5158" s="31">
        <v>12.13</v>
      </c>
      <c r="E5158" s="31">
        <v>-0.17</v>
      </c>
      <c r="F5158" s="31">
        <v>290248100</v>
      </c>
    </row>
    <row r="5159" spans="1:6" ht="15" thickBot="1" x14ac:dyDescent="0.2">
      <c r="A5159" s="30" t="s">
        <v>14779</v>
      </c>
      <c r="B5159" s="26" t="str">
        <f t="shared" si="80"/>
        <v>870508</v>
      </c>
      <c r="C5159" s="30" t="s">
        <v>14780</v>
      </c>
      <c r="D5159" s="31">
        <v>7.08</v>
      </c>
      <c r="E5159" s="31">
        <v>-0.56000000000000005</v>
      </c>
      <c r="F5159" s="31">
        <v>289568800</v>
      </c>
    </row>
    <row r="5160" spans="1:6" ht="15" thickBot="1" x14ac:dyDescent="0.2">
      <c r="A5160" s="30" t="s">
        <v>14781</v>
      </c>
      <c r="B5160" s="26" t="str">
        <f t="shared" si="80"/>
        <v>834475</v>
      </c>
      <c r="C5160" s="30" t="s">
        <v>8383</v>
      </c>
      <c r="D5160" s="31">
        <v>6.36</v>
      </c>
      <c r="E5160" s="31">
        <v>-0.16</v>
      </c>
      <c r="F5160" s="31">
        <v>289513550</v>
      </c>
    </row>
    <row r="5161" spans="1:6" ht="15" thickBot="1" x14ac:dyDescent="0.2">
      <c r="A5161" s="30" t="s">
        <v>14782</v>
      </c>
      <c r="B5161" s="26" t="str">
        <f t="shared" si="80"/>
        <v>831641</v>
      </c>
      <c r="C5161" s="30" t="s">
        <v>14783</v>
      </c>
      <c r="D5161" s="31">
        <v>6.59</v>
      </c>
      <c r="E5161" s="31">
        <v>-1.05</v>
      </c>
      <c r="F5161" s="31">
        <v>289494050</v>
      </c>
    </row>
    <row r="5162" spans="1:6" ht="15" thickBot="1" x14ac:dyDescent="0.2">
      <c r="A5162" s="30" t="s">
        <v>14784</v>
      </c>
      <c r="B5162" s="26" t="str">
        <f t="shared" si="80"/>
        <v>831627</v>
      </c>
      <c r="C5162" s="30" t="s">
        <v>14785</v>
      </c>
      <c r="D5162" s="31">
        <v>10.73</v>
      </c>
      <c r="E5162" s="31">
        <v>-3.25</v>
      </c>
      <c r="F5162" s="31">
        <v>287764650</v>
      </c>
    </row>
    <row r="5163" spans="1:6" ht="15" thickBot="1" x14ac:dyDescent="0.2">
      <c r="A5163" s="30" t="s">
        <v>14786</v>
      </c>
      <c r="B5163" s="26" t="str">
        <f t="shared" si="80"/>
        <v>837006</v>
      </c>
      <c r="C5163" s="30" t="s">
        <v>14787</v>
      </c>
      <c r="D5163" s="31">
        <v>8.8699999999999992</v>
      </c>
      <c r="E5163" s="31">
        <v>-1.66</v>
      </c>
      <c r="F5163" s="31">
        <v>284967610</v>
      </c>
    </row>
    <row r="5164" spans="1:6" ht="15" thickBot="1" x14ac:dyDescent="0.2">
      <c r="A5164" s="30" t="s">
        <v>14788</v>
      </c>
      <c r="B5164" s="26" t="str">
        <f t="shared" si="80"/>
        <v>831167</v>
      </c>
      <c r="C5164" s="30" t="s">
        <v>14789</v>
      </c>
      <c r="D5164" s="31">
        <v>11.24</v>
      </c>
      <c r="E5164" s="31">
        <v>-1.49</v>
      </c>
      <c r="F5164" s="31">
        <v>282760850</v>
      </c>
    </row>
    <row r="5165" spans="1:6" ht="15" thickBot="1" x14ac:dyDescent="0.2">
      <c r="A5165" s="30" t="s">
        <v>14790</v>
      </c>
      <c r="B5165" s="26" t="str">
        <f t="shared" si="80"/>
        <v>920016</v>
      </c>
      <c r="C5165" s="30" t="s">
        <v>14791</v>
      </c>
      <c r="D5165" s="31">
        <v>17.920000000000002</v>
      </c>
      <c r="E5165" s="31">
        <v>-30</v>
      </c>
      <c r="F5165" s="31">
        <v>280074400</v>
      </c>
    </row>
    <row r="5166" spans="1:6" ht="15" thickBot="1" x14ac:dyDescent="0.2">
      <c r="A5166" s="30" t="s">
        <v>14792</v>
      </c>
      <c r="B5166" s="26" t="str">
        <f t="shared" si="80"/>
        <v>837023</v>
      </c>
      <c r="C5166" s="30" t="s">
        <v>14793</v>
      </c>
      <c r="D5166" s="31">
        <v>8.5299999999999994</v>
      </c>
      <c r="E5166" s="31">
        <v>-6.67</v>
      </c>
      <c r="F5166" s="31">
        <v>278644480</v>
      </c>
    </row>
    <row r="5167" spans="1:6" ht="15" thickBot="1" x14ac:dyDescent="0.2">
      <c r="A5167" s="30" t="s">
        <v>14794</v>
      </c>
      <c r="B5167" s="26" t="str">
        <f t="shared" si="80"/>
        <v>836422</v>
      </c>
      <c r="C5167" s="30" t="s">
        <v>14795</v>
      </c>
      <c r="D5167" s="31">
        <v>4.96</v>
      </c>
      <c r="E5167" s="31">
        <v>-0.8</v>
      </c>
      <c r="F5167" s="31">
        <v>276350740</v>
      </c>
    </row>
    <row r="5168" spans="1:6" ht="15" thickBot="1" x14ac:dyDescent="0.2">
      <c r="A5168" s="30" t="s">
        <v>14796</v>
      </c>
      <c r="B5168" s="26" t="str">
        <f t="shared" si="80"/>
        <v>873665</v>
      </c>
      <c r="C5168" s="30" t="s">
        <v>14797</v>
      </c>
      <c r="D5168" s="31">
        <v>7.01</v>
      </c>
      <c r="E5168" s="31">
        <v>-0.99</v>
      </c>
      <c r="F5168" s="31">
        <v>273172690</v>
      </c>
    </row>
    <row r="5169" spans="1:6" ht="15" thickBot="1" x14ac:dyDescent="0.2">
      <c r="A5169" s="30" t="s">
        <v>14798</v>
      </c>
      <c r="B5169" s="26" t="str">
        <f t="shared" si="80"/>
        <v>872392</v>
      </c>
      <c r="C5169" s="30" t="s">
        <v>14799</v>
      </c>
      <c r="D5169" s="31">
        <v>9.67</v>
      </c>
      <c r="E5169" s="31">
        <v>-2.81</v>
      </c>
      <c r="F5169" s="31">
        <v>271465910</v>
      </c>
    </row>
    <row r="5170" spans="1:6" ht="15" thickBot="1" x14ac:dyDescent="0.2">
      <c r="A5170" s="30" t="s">
        <v>14800</v>
      </c>
      <c r="B5170" s="26" t="str">
        <f t="shared" si="80"/>
        <v>688701</v>
      </c>
      <c r="C5170" s="30" t="s">
        <v>8397</v>
      </c>
      <c r="D5170" s="31">
        <v>4.03</v>
      </c>
      <c r="E5170" s="31">
        <v>-2.42</v>
      </c>
      <c r="F5170" s="31">
        <v>271250250</v>
      </c>
    </row>
    <row r="5171" spans="1:6" ht="15" thickBot="1" x14ac:dyDescent="0.2">
      <c r="A5171" s="30" t="s">
        <v>14801</v>
      </c>
      <c r="B5171" s="26" t="str">
        <f t="shared" si="80"/>
        <v>831834</v>
      </c>
      <c r="C5171" s="30" t="s">
        <v>1974</v>
      </c>
      <c r="D5171" s="31">
        <v>4.28</v>
      </c>
      <c r="E5171" s="31">
        <v>-1.84</v>
      </c>
      <c r="F5171" s="31">
        <v>267290210</v>
      </c>
    </row>
    <row r="5172" spans="1:6" ht="15" thickBot="1" x14ac:dyDescent="0.2">
      <c r="A5172" s="30" t="s">
        <v>14802</v>
      </c>
      <c r="B5172" s="26" t="str">
        <f t="shared" si="80"/>
        <v>833075</v>
      </c>
      <c r="C5172" s="30" t="s">
        <v>14803</v>
      </c>
      <c r="D5172" s="31">
        <v>10.81</v>
      </c>
      <c r="E5172" s="31">
        <v>-0.74</v>
      </c>
      <c r="F5172" s="31">
        <v>266182740</v>
      </c>
    </row>
    <row r="5173" spans="1:6" ht="15" thickBot="1" x14ac:dyDescent="0.2">
      <c r="A5173" s="30" t="s">
        <v>14804</v>
      </c>
      <c r="B5173" s="26" t="str">
        <f t="shared" si="80"/>
        <v>836419</v>
      </c>
      <c r="C5173" s="30" t="s">
        <v>14805</v>
      </c>
      <c r="D5173" s="31">
        <v>6.73</v>
      </c>
      <c r="E5173" s="31">
        <v>-0.88</v>
      </c>
      <c r="F5173" s="31">
        <v>263775300</v>
      </c>
    </row>
    <row r="5174" spans="1:6" ht="15" thickBot="1" x14ac:dyDescent="0.2">
      <c r="A5174" s="30" t="s">
        <v>14806</v>
      </c>
      <c r="B5174" s="26" t="str">
        <f t="shared" si="80"/>
        <v>832471</v>
      </c>
      <c r="C5174" s="30" t="s">
        <v>14807</v>
      </c>
      <c r="D5174" s="31">
        <v>9.19</v>
      </c>
      <c r="E5174" s="31">
        <v>-1.92</v>
      </c>
      <c r="F5174" s="31">
        <v>262688270</v>
      </c>
    </row>
    <row r="5175" spans="1:6" ht="15" thickBot="1" x14ac:dyDescent="0.2">
      <c r="A5175" s="30" t="s">
        <v>14808</v>
      </c>
      <c r="B5175" s="26" t="str">
        <f t="shared" si="80"/>
        <v>834765</v>
      </c>
      <c r="C5175" s="30" t="s">
        <v>8417</v>
      </c>
      <c r="D5175" s="31">
        <v>5.93</v>
      </c>
      <c r="E5175" s="31">
        <v>0</v>
      </c>
      <c r="F5175" s="31">
        <v>260903960</v>
      </c>
    </row>
    <row r="5176" spans="1:6" ht="15" thickBot="1" x14ac:dyDescent="0.2">
      <c r="A5176" s="30" t="s">
        <v>14809</v>
      </c>
      <c r="B5176" s="26" t="str">
        <f t="shared" si="80"/>
        <v>833030</v>
      </c>
      <c r="C5176" s="30" t="s">
        <v>14810</v>
      </c>
      <c r="D5176" s="31">
        <v>10.15</v>
      </c>
      <c r="E5176" s="31">
        <v>-2.4</v>
      </c>
      <c r="F5176" s="31">
        <v>256822680</v>
      </c>
    </row>
    <row r="5177" spans="1:6" ht="15" thickBot="1" x14ac:dyDescent="0.2">
      <c r="A5177" s="30" t="s">
        <v>14811</v>
      </c>
      <c r="B5177" s="26" t="str">
        <f t="shared" si="80"/>
        <v>838275</v>
      </c>
      <c r="C5177" s="30" t="s">
        <v>8413</v>
      </c>
      <c r="D5177" s="31">
        <v>2.85</v>
      </c>
      <c r="E5177" s="31">
        <v>-1.72</v>
      </c>
      <c r="F5177" s="31">
        <v>256607500</v>
      </c>
    </row>
    <row r="5178" spans="1:6" ht="15" thickBot="1" x14ac:dyDescent="0.2">
      <c r="A5178" s="30" t="s">
        <v>14812</v>
      </c>
      <c r="B5178" s="26" t="str">
        <f t="shared" si="80"/>
        <v>836942</v>
      </c>
      <c r="C5178" s="30" t="s">
        <v>14813</v>
      </c>
      <c r="D5178" s="31">
        <v>7.69</v>
      </c>
      <c r="E5178" s="31">
        <v>-1.91</v>
      </c>
      <c r="F5178" s="31">
        <v>256245950</v>
      </c>
    </row>
    <row r="5179" spans="1:6" ht="15" thickBot="1" x14ac:dyDescent="0.2">
      <c r="A5179" s="30" t="s">
        <v>14814</v>
      </c>
      <c r="B5179" s="26" t="str">
        <f t="shared" si="80"/>
        <v>873726</v>
      </c>
      <c r="C5179" s="30" t="s">
        <v>14815</v>
      </c>
      <c r="D5179" s="31">
        <v>14.61</v>
      </c>
      <c r="E5179" s="31">
        <v>0.41</v>
      </c>
      <c r="F5179" s="31">
        <v>254819090</v>
      </c>
    </row>
    <row r="5180" spans="1:6" ht="15" thickBot="1" x14ac:dyDescent="0.2">
      <c r="A5180" s="30" t="s">
        <v>14816</v>
      </c>
      <c r="B5180" s="26" t="str">
        <f t="shared" si="80"/>
        <v>839273</v>
      </c>
      <c r="C5180" s="30" t="s">
        <v>14817</v>
      </c>
      <c r="D5180" s="31">
        <v>9.44</v>
      </c>
      <c r="E5180" s="31">
        <v>-1.05</v>
      </c>
      <c r="F5180" s="31">
        <v>253612680</v>
      </c>
    </row>
    <row r="5181" spans="1:6" ht="15" thickBot="1" x14ac:dyDescent="0.2">
      <c r="A5181" s="30" t="s">
        <v>14818</v>
      </c>
      <c r="B5181" s="26" t="str">
        <f t="shared" si="80"/>
        <v>871694</v>
      </c>
      <c r="C5181" s="30" t="s">
        <v>14819</v>
      </c>
      <c r="D5181" s="31">
        <v>10.07</v>
      </c>
      <c r="E5181" s="31">
        <v>-0.49</v>
      </c>
      <c r="F5181" s="31">
        <v>253010170</v>
      </c>
    </row>
    <row r="5182" spans="1:6" ht="15" thickBot="1" x14ac:dyDescent="0.2">
      <c r="A5182" s="30" t="s">
        <v>14820</v>
      </c>
      <c r="B5182" s="26" t="str">
        <f t="shared" si="80"/>
        <v>830779</v>
      </c>
      <c r="C5182" s="30" t="s">
        <v>14821</v>
      </c>
      <c r="D5182" s="31">
        <v>17.07</v>
      </c>
      <c r="E5182" s="31">
        <v>-1.33</v>
      </c>
      <c r="F5182" s="31">
        <v>244326340</v>
      </c>
    </row>
    <row r="5183" spans="1:6" ht="15" thickBot="1" x14ac:dyDescent="0.2">
      <c r="A5183" s="30" t="s">
        <v>14822</v>
      </c>
      <c r="B5183" s="26" t="str">
        <f t="shared" si="80"/>
        <v>920118</v>
      </c>
      <c r="C5183" s="30" t="s">
        <v>14823</v>
      </c>
      <c r="D5183" s="31">
        <v>17</v>
      </c>
      <c r="E5183" s="31">
        <v>-5.03</v>
      </c>
      <c r="F5183" s="31">
        <v>244283200</v>
      </c>
    </row>
    <row r="5184" spans="1:6" ht="15" thickBot="1" x14ac:dyDescent="0.2">
      <c r="A5184" s="30" t="s">
        <v>14824</v>
      </c>
      <c r="B5184" s="26" t="str">
        <f t="shared" si="80"/>
        <v>871263</v>
      </c>
      <c r="C5184" s="30" t="s">
        <v>14825</v>
      </c>
      <c r="D5184" s="31">
        <v>8.92</v>
      </c>
      <c r="E5184" s="31">
        <v>-0.56000000000000005</v>
      </c>
      <c r="F5184" s="31">
        <v>243676980</v>
      </c>
    </row>
    <row r="5185" spans="1:6" ht="15" thickBot="1" x14ac:dyDescent="0.2">
      <c r="A5185" s="30" t="s">
        <v>14826</v>
      </c>
      <c r="B5185" s="26" t="str">
        <f t="shared" si="80"/>
        <v>873527</v>
      </c>
      <c r="C5185" s="30" t="s">
        <v>14827</v>
      </c>
      <c r="D5185" s="31">
        <v>6.66</v>
      </c>
      <c r="E5185" s="31">
        <v>-1.04</v>
      </c>
      <c r="F5185" s="31">
        <v>241195140</v>
      </c>
    </row>
    <row r="5186" spans="1:6" ht="15" thickBot="1" x14ac:dyDescent="0.2">
      <c r="A5186" s="30" t="s">
        <v>14828</v>
      </c>
      <c r="B5186" s="26" t="str">
        <f t="shared" si="80"/>
        <v>837403</v>
      </c>
      <c r="C5186" s="30" t="s">
        <v>14829</v>
      </c>
      <c r="D5186" s="31">
        <v>8.0299999999999994</v>
      </c>
      <c r="E5186" s="31">
        <v>-1.47</v>
      </c>
      <c r="F5186" s="31">
        <v>239512420</v>
      </c>
    </row>
    <row r="5187" spans="1:6" ht="15" thickBot="1" x14ac:dyDescent="0.2">
      <c r="A5187" s="30" t="s">
        <v>14830</v>
      </c>
      <c r="B5187" s="26" t="str">
        <f t="shared" ref="B5187:B5228" si="81">LEFT(A5187,6)</f>
        <v>873833</v>
      </c>
      <c r="C5187" s="30" t="s">
        <v>14831</v>
      </c>
      <c r="D5187" s="31">
        <v>7.44</v>
      </c>
      <c r="E5187" s="31">
        <v>-0.8</v>
      </c>
      <c r="F5187" s="31">
        <v>236051360</v>
      </c>
    </row>
    <row r="5188" spans="1:6" ht="15" thickBot="1" x14ac:dyDescent="0.2">
      <c r="A5188" s="30" t="s">
        <v>14832</v>
      </c>
      <c r="B5188" s="26" t="str">
        <f t="shared" si="81"/>
        <v>873690</v>
      </c>
      <c r="C5188" s="30" t="s">
        <v>14833</v>
      </c>
      <c r="D5188" s="31">
        <v>10.39</v>
      </c>
      <c r="E5188" s="31">
        <v>-0.19</v>
      </c>
      <c r="F5188" s="31">
        <v>235319990</v>
      </c>
    </row>
    <row r="5189" spans="1:6" ht="15" thickBot="1" x14ac:dyDescent="0.2">
      <c r="A5189" s="30" t="s">
        <v>14834</v>
      </c>
      <c r="B5189" s="26" t="str">
        <f t="shared" si="81"/>
        <v>838810</v>
      </c>
      <c r="C5189" s="30" t="s">
        <v>14835</v>
      </c>
      <c r="D5189" s="31">
        <v>5.24</v>
      </c>
      <c r="E5189" s="31">
        <v>-2.6</v>
      </c>
      <c r="F5189" s="31">
        <v>233582530</v>
      </c>
    </row>
    <row r="5190" spans="1:6" ht="15" thickBot="1" x14ac:dyDescent="0.2">
      <c r="A5190" s="30" t="s">
        <v>14836</v>
      </c>
      <c r="B5190" s="26" t="str">
        <f t="shared" si="81"/>
        <v>836871</v>
      </c>
      <c r="C5190" s="30" t="s">
        <v>14837</v>
      </c>
      <c r="D5190" s="31">
        <v>5.89</v>
      </c>
      <c r="E5190" s="31">
        <v>-0.51</v>
      </c>
      <c r="F5190" s="31">
        <v>233126550</v>
      </c>
    </row>
    <row r="5191" spans="1:6" ht="15" thickBot="1" x14ac:dyDescent="0.2">
      <c r="A5191" s="30" t="s">
        <v>14838</v>
      </c>
      <c r="B5191" s="26" t="str">
        <f t="shared" si="81"/>
        <v>871970</v>
      </c>
      <c r="C5191" s="30" t="s">
        <v>14839</v>
      </c>
      <c r="D5191" s="31">
        <v>3.35</v>
      </c>
      <c r="E5191" s="31">
        <v>-2.62</v>
      </c>
      <c r="F5191" s="31">
        <v>232643770</v>
      </c>
    </row>
    <row r="5192" spans="1:6" ht="15" thickBot="1" x14ac:dyDescent="0.2">
      <c r="A5192" s="30" t="s">
        <v>14840</v>
      </c>
      <c r="B5192" s="26" t="str">
        <f t="shared" si="81"/>
        <v>871245</v>
      </c>
      <c r="C5192" s="30" t="s">
        <v>14841</v>
      </c>
      <c r="D5192" s="31">
        <v>9.48</v>
      </c>
      <c r="E5192" s="31">
        <v>-1.04</v>
      </c>
      <c r="F5192" s="31">
        <v>230885650</v>
      </c>
    </row>
    <row r="5193" spans="1:6" ht="15" thickBot="1" x14ac:dyDescent="0.2">
      <c r="A5193" s="30" t="s">
        <v>14842</v>
      </c>
      <c r="B5193" s="26" t="str">
        <f t="shared" si="81"/>
        <v>871478</v>
      </c>
      <c r="C5193" s="30" t="s">
        <v>14843</v>
      </c>
      <c r="D5193" s="31">
        <v>10</v>
      </c>
      <c r="E5193" s="31">
        <v>-3.66</v>
      </c>
      <c r="F5193" s="31">
        <v>230000000</v>
      </c>
    </row>
    <row r="5194" spans="1:6" ht="15" thickBot="1" x14ac:dyDescent="0.2">
      <c r="A5194" s="30" t="s">
        <v>14844</v>
      </c>
      <c r="B5194" s="26" t="str">
        <f t="shared" si="81"/>
        <v>833284</v>
      </c>
      <c r="C5194" s="30" t="s">
        <v>14845</v>
      </c>
      <c r="D5194" s="31">
        <v>5.08</v>
      </c>
      <c r="E5194" s="31">
        <v>-2.12</v>
      </c>
      <c r="F5194" s="31">
        <v>229605180</v>
      </c>
    </row>
    <row r="5195" spans="1:6" ht="15" thickBot="1" x14ac:dyDescent="0.2">
      <c r="A5195" s="30" t="s">
        <v>14846</v>
      </c>
      <c r="B5195" s="26" t="str">
        <f t="shared" si="81"/>
        <v>836699</v>
      </c>
      <c r="C5195" s="30" t="s">
        <v>14847</v>
      </c>
      <c r="D5195" s="31">
        <v>17.78</v>
      </c>
      <c r="E5195" s="31">
        <v>-2.25</v>
      </c>
      <c r="F5195" s="31">
        <v>224477830</v>
      </c>
    </row>
    <row r="5196" spans="1:6" ht="15" thickBot="1" x14ac:dyDescent="0.2">
      <c r="A5196" s="30" t="s">
        <v>14848</v>
      </c>
      <c r="B5196" s="26" t="str">
        <f t="shared" si="81"/>
        <v>838262</v>
      </c>
      <c r="C5196" s="30" t="s">
        <v>14849</v>
      </c>
      <c r="D5196" s="31">
        <v>8.7799999999999994</v>
      </c>
      <c r="E5196" s="31">
        <v>0.23</v>
      </c>
      <c r="F5196" s="31">
        <v>223386340</v>
      </c>
    </row>
    <row r="5197" spans="1:6" ht="15" thickBot="1" x14ac:dyDescent="0.2">
      <c r="A5197" s="30" t="s">
        <v>14850</v>
      </c>
      <c r="B5197" s="26" t="str">
        <f t="shared" si="81"/>
        <v>836260</v>
      </c>
      <c r="C5197" s="30" t="s">
        <v>14851</v>
      </c>
      <c r="D5197" s="31">
        <v>5.38</v>
      </c>
      <c r="E5197" s="31">
        <v>-0.74</v>
      </c>
      <c r="F5197" s="31">
        <v>223110170</v>
      </c>
    </row>
    <row r="5198" spans="1:6" ht="15" thickBot="1" x14ac:dyDescent="0.2">
      <c r="A5198" s="30" t="s">
        <v>14852</v>
      </c>
      <c r="B5198" s="26" t="str">
        <f t="shared" si="81"/>
        <v>835892</v>
      </c>
      <c r="C5198" s="30" t="s">
        <v>14853</v>
      </c>
      <c r="D5198" s="31">
        <v>7.98</v>
      </c>
      <c r="E5198" s="31">
        <v>-3.16</v>
      </c>
      <c r="F5198" s="31">
        <v>222627450</v>
      </c>
    </row>
    <row r="5199" spans="1:6" ht="15" thickBot="1" x14ac:dyDescent="0.2">
      <c r="A5199" s="30" t="s">
        <v>14854</v>
      </c>
      <c r="B5199" s="26" t="str">
        <f t="shared" si="81"/>
        <v>870976</v>
      </c>
      <c r="C5199" s="30" t="s">
        <v>14855</v>
      </c>
      <c r="D5199" s="31">
        <v>8.51</v>
      </c>
      <c r="E5199" s="31">
        <v>-1.96</v>
      </c>
      <c r="F5199" s="31">
        <v>219384400</v>
      </c>
    </row>
    <row r="5200" spans="1:6" ht="15" thickBot="1" x14ac:dyDescent="0.2">
      <c r="A5200" s="30" t="s">
        <v>14856</v>
      </c>
      <c r="B5200" s="26" t="str">
        <f t="shared" si="81"/>
        <v>834058</v>
      </c>
      <c r="C5200" s="30" t="s">
        <v>14857</v>
      </c>
      <c r="D5200" s="31">
        <v>15.48</v>
      </c>
      <c r="E5200" s="31">
        <v>-7.0000000000000007E-2</v>
      </c>
      <c r="F5200" s="31">
        <v>217376230</v>
      </c>
    </row>
    <row r="5201" spans="1:6" ht="15" thickBot="1" x14ac:dyDescent="0.2">
      <c r="A5201" s="30" t="s">
        <v>14858</v>
      </c>
      <c r="B5201" s="26" t="str">
        <f t="shared" si="81"/>
        <v>839371</v>
      </c>
      <c r="C5201" s="30" t="s">
        <v>14859</v>
      </c>
      <c r="D5201" s="31">
        <v>4</v>
      </c>
      <c r="E5201" s="31">
        <v>-0.74</v>
      </c>
      <c r="F5201" s="31">
        <v>217279980</v>
      </c>
    </row>
    <row r="5202" spans="1:6" ht="15" thickBot="1" x14ac:dyDescent="0.2">
      <c r="A5202" s="30" t="s">
        <v>14860</v>
      </c>
      <c r="B5202" s="26" t="str">
        <f t="shared" si="81"/>
        <v>834407</v>
      </c>
      <c r="C5202" s="30" t="s">
        <v>14861</v>
      </c>
      <c r="D5202" s="31">
        <v>8.34</v>
      </c>
      <c r="E5202" s="31">
        <v>1.34</v>
      </c>
      <c r="F5202" s="31">
        <v>215598590</v>
      </c>
    </row>
    <row r="5203" spans="1:6" ht="15" thickBot="1" x14ac:dyDescent="0.2">
      <c r="A5203" s="30" t="s">
        <v>14862</v>
      </c>
      <c r="B5203" s="26" t="str">
        <f t="shared" si="81"/>
        <v>831856</v>
      </c>
      <c r="C5203" s="30" t="s">
        <v>14863</v>
      </c>
      <c r="D5203" s="31">
        <v>4.4000000000000004</v>
      </c>
      <c r="E5203" s="31">
        <v>-1.1200000000000001</v>
      </c>
      <c r="F5203" s="31">
        <v>210843280</v>
      </c>
    </row>
    <row r="5204" spans="1:6" ht="15" thickBot="1" x14ac:dyDescent="0.2">
      <c r="A5204" s="30" t="s">
        <v>14864</v>
      </c>
      <c r="B5204" s="26" t="str">
        <f t="shared" si="81"/>
        <v>832662</v>
      </c>
      <c r="C5204" s="30" t="s">
        <v>8371</v>
      </c>
      <c r="D5204" s="31">
        <v>8.44</v>
      </c>
      <c r="E5204" s="31">
        <v>-0.82</v>
      </c>
      <c r="F5204" s="31">
        <v>207461000</v>
      </c>
    </row>
    <row r="5205" spans="1:6" ht="15" thickBot="1" x14ac:dyDescent="0.2">
      <c r="A5205" s="30" t="s">
        <v>14865</v>
      </c>
      <c r="B5205" s="26" t="str">
        <f t="shared" si="81"/>
        <v>832145</v>
      </c>
      <c r="C5205" s="30" t="s">
        <v>14866</v>
      </c>
      <c r="D5205" s="31">
        <v>4.54</v>
      </c>
      <c r="E5205" s="31">
        <v>-1.0900000000000001</v>
      </c>
      <c r="F5205" s="31">
        <v>203515720</v>
      </c>
    </row>
    <row r="5206" spans="1:6" ht="15" thickBot="1" x14ac:dyDescent="0.2">
      <c r="A5206" s="30" t="s">
        <v>14867</v>
      </c>
      <c r="B5206" s="26" t="str">
        <f t="shared" si="81"/>
        <v>836961</v>
      </c>
      <c r="C5206" s="30" t="s">
        <v>14868</v>
      </c>
      <c r="D5206" s="31">
        <v>9.75</v>
      </c>
      <c r="E5206" s="31">
        <v>-1.62</v>
      </c>
      <c r="F5206" s="31">
        <v>201104480</v>
      </c>
    </row>
    <row r="5207" spans="1:6" ht="15" thickBot="1" x14ac:dyDescent="0.2">
      <c r="A5207" s="30" t="s">
        <v>14869</v>
      </c>
      <c r="B5207" s="26" t="str">
        <f t="shared" si="81"/>
        <v>872351</v>
      </c>
      <c r="C5207" s="30" t="s">
        <v>14870</v>
      </c>
      <c r="D5207" s="31">
        <v>5.42</v>
      </c>
      <c r="E5207" s="31">
        <v>-0.18</v>
      </c>
      <c r="F5207" s="31">
        <v>191111580</v>
      </c>
    </row>
    <row r="5208" spans="1:6" ht="15" thickBot="1" x14ac:dyDescent="0.2">
      <c r="A5208" s="30" t="s">
        <v>14871</v>
      </c>
      <c r="B5208" s="26" t="str">
        <f t="shared" si="81"/>
        <v>831855</v>
      </c>
      <c r="C5208" s="30" t="s">
        <v>14872</v>
      </c>
      <c r="D5208" s="31">
        <v>7.17</v>
      </c>
      <c r="E5208" s="31">
        <v>-0.56000000000000005</v>
      </c>
      <c r="F5208" s="31">
        <v>189749460</v>
      </c>
    </row>
    <row r="5209" spans="1:6" ht="15" thickBot="1" x14ac:dyDescent="0.2">
      <c r="A5209" s="30" t="s">
        <v>14873</v>
      </c>
      <c r="B5209" s="26" t="str">
        <f t="shared" si="81"/>
        <v>833455</v>
      </c>
      <c r="C5209" s="30" t="s">
        <v>14874</v>
      </c>
      <c r="D5209" s="31">
        <v>3.71</v>
      </c>
      <c r="E5209" s="31">
        <v>-1.33</v>
      </c>
      <c r="F5209" s="31">
        <v>188687110</v>
      </c>
    </row>
    <row r="5210" spans="1:6" ht="15" thickBot="1" x14ac:dyDescent="0.2">
      <c r="A5210" s="30" t="s">
        <v>14875</v>
      </c>
      <c r="B5210" s="26" t="str">
        <f t="shared" si="81"/>
        <v>870656</v>
      </c>
      <c r="C5210" s="30" t="s">
        <v>14876</v>
      </c>
      <c r="D5210" s="31">
        <v>11.79</v>
      </c>
      <c r="E5210" s="31">
        <v>-0.09</v>
      </c>
      <c r="F5210" s="31">
        <v>188641180</v>
      </c>
    </row>
    <row r="5211" spans="1:6" ht="15" thickBot="1" x14ac:dyDescent="0.2">
      <c r="A5211" s="30" t="s">
        <v>14877</v>
      </c>
      <c r="B5211" s="26" t="str">
        <f t="shared" si="81"/>
        <v>920002</v>
      </c>
      <c r="C5211" s="30" t="s">
        <v>14878</v>
      </c>
      <c r="D5211" s="31">
        <v>38.4</v>
      </c>
      <c r="E5211" s="31">
        <v>-3.83</v>
      </c>
      <c r="F5211" s="31">
        <v>182400000</v>
      </c>
    </row>
    <row r="5212" spans="1:6" ht="15" thickBot="1" x14ac:dyDescent="0.2">
      <c r="A5212" s="30" t="s">
        <v>14879</v>
      </c>
      <c r="B5212" s="26" t="str">
        <f t="shared" si="81"/>
        <v>873167</v>
      </c>
      <c r="C5212" s="30" t="s">
        <v>14880</v>
      </c>
      <c r="D5212" s="31">
        <v>9.23</v>
      </c>
      <c r="E5212" s="31">
        <v>-3.65</v>
      </c>
      <c r="F5212" s="31">
        <v>181345960</v>
      </c>
    </row>
    <row r="5213" spans="1:6" ht="15" thickBot="1" x14ac:dyDescent="0.2">
      <c r="A5213" s="30" t="s">
        <v>14881</v>
      </c>
      <c r="B5213" s="26" t="str">
        <f t="shared" si="81"/>
        <v>870299</v>
      </c>
      <c r="C5213" s="30" t="s">
        <v>14882</v>
      </c>
      <c r="D5213" s="31">
        <v>6.07</v>
      </c>
      <c r="E5213" s="31">
        <v>-0.49</v>
      </c>
      <c r="F5213" s="31">
        <v>178838310</v>
      </c>
    </row>
    <row r="5214" spans="1:6" ht="15" thickBot="1" x14ac:dyDescent="0.2">
      <c r="A5214" s="30" t="s">
        <v>14883</v>
      </c>
      <c r="B5214" s="26" t="str">
        <f t="shared" si="81"/>
        <v>832110</v>
      </c>
      <c r="C5214" s="30" t="s">
        <v>14884</v>
      </c>
      <c r="D5214" s="31">
        <v>14.78</v>
      </c>
      <c r="E5214" s="31">
        <v>-1.1399999999999999</v>
      </c>
      <c r="F5214" s="31">
        <v>177759060</v>
      </c>
    </row>
    <row r="5215" spans="1:6" ht="15" thickBot="1" x14ac:dyDescent="0.2">
      <c r="A5215" s="30" t="s">
        <v>14885</v>
      </c>
      <c r="B5215" s="26" t="str">
        <f t="shared" si="81"/>
        <v>837748</v>
      </c>
      <c r="C5215" s="30" t="s">
        <v>14886</v>
      </c>
      <c r="D5215" s="31">
        <v>13.2</v>
      </c>
      <c r="E5215" s="31">
        <v>1.07</v>
      </c>
      <c r="F5215" s="31">
        <v>177355650</v>
      </c>
    </row>
    <row r="5216" spans="1:6" ht="15" thickBot="1" x14ac:dyDescent="0.2">
      <c r="A5216" s="30" t="s">
        <v>14887</v>
      </c>
      <c r="B5216" s="26" t="str">
        <f t="shared" si="81"/>
        <v>830896</v>
      </c>
      <c r="C5216" s="30" t="s">
        <v>14888</v>
      </c>
      <c r="D5216" s="31">
        <v>6.91</v>
      </c>
      <c r="E5216" s="31">
        <v>1.32</v>
      </c>
      <c r="F5216" s="31">
        <v>175935520</v>
      </c>
    </row>
    <row r="5217" spans="1:6" ht="15" thickBot="1" x14ac:dyDescent="0.2">
      <c r="A5217" s="30" t="s">
        <v>14889</v>
      </c>
      <c r="B5217" s="26" t="str">
        <f t="shared" si="81"/>
        <v>832651</v>
      </c>
      <c r="C5217" s="30" t="s">
        <v>14890</v>
      </c>
      <c r="D5217" s="31">
        <v>11.21</v>
      </c>
      <c r="E5217" s="31">
        <v>3.8</v>
      </c>
      <c r="F5217" s="31">
        <v>171231300</v>
      </c>
    </row>
    <row r="5218" spans="1:6" ht="15" thickBot="1" x14ac:dyDescent="0.2">
      <c r="A5218" s="30" t="s">
        <v>14891</v>
      </c>
      <c r="B5218" s="26" t="str">
        <f t="shared" si="81"/>
        <v>873706</v>
      </c>
      <c r="C5218" s="30" t="s">
        <v>14892</v>
      </c>
      <c r="D5218" s="31">
        <v>8</v>
      </c>
      <c r="E5218" s="31">
        <v>-1.84</v>
      </c>
      <c r="F5218" s="31">
        <v>169659880</v>
      </c>
    </row>
    <row r="5219" spans="1:6" ht="15" thickBot="1" x14ac:dyDescent="0.2">
      <c r="A5219" s="30" t="s">
        <v>14893</v>
      </c>
      <c r="B5219" s="26" t="str">
        <f t="shared" si="81"/>
        <v>837174</v>
      </c>
      <c r="C5219" s="30" t="s">
        <v>14894</v>
      </c>
      <c r="D5219" s="31">
        <v>8.19</v>
      </c>
      <c r="E5219" s="31">
        <v>-3.08</v>
      </c>
      <c r="F5219" s="31">
        <v>166531640</v>
      </c>
    </row>
    <row r="5220" spans="1:6" ht="15" thickBot="1" x14ac:dyDescent="0.2">
      <c r="A5220" s="30" t="s">
        <v>14895</v>
      </c>
      <c r="B5220" s="26" t="str">
        <f t="shared" si="81"/>
        <v>836957</v>
      </c>
      <c r="C5220" s="30" t="s">
        <v>14896</v>
      </c>
      <c r="D5220" s="31">
        <v>6.18</v>
      </c>
      <c r="E5220" s="31">
        <v>0</v>
      </c>
      <c r="F5220" s="31">
        <v>165780560</v>
      </c>
    </row>
    <row r="5221" spans="1:6" ht="15" thickBot="1" x14ac:dyDescent="0.2">
      <c r="A5221" s="30" t="s">
        <v>14897</v>
      </c>
      <c r="B5221" s="26" t="str">
        <f t="shared" si="81"/>
        <v>873679</v>
      </c>
      <c r="C5221" s="30" t="s">
        <v>14898</v>
      </c>
      <c r="D5221" s="31">
        <v>10.11</v>
      </c>
      <c r="E5221" s="31">
        <v>-1.46</v>
      </c>
      <c r="F5221" s="31">
        <v>164681790</v>
      </c>
    </row>
    <row r="5222" spans="1:6" ht="15" thickBot="1" x14ac:dyDescent="0.2">
      <c r="A5222" s="30" t="s">
        <v>14899</v>
      </c>
      <c r="B5222" s="26" t="str">
        <f t="shared" si="81"/>
        <v>873132</v>
      </c>
      <c r="C5222" s="30" t="s">
        <v>14900</v>
      </c>
      <c r="D5222" s="31">
        <v>6.89</v>
      </c>
      <c r="E5222" s="31">
        <v>-0.57999999999999996</v>
      </c>
      <c r="F5222" s="31">
        <v>162090620</v>
      </c>
    </row>
    <row r="5223" spans="1:6" ht="15" thickBot="1" x14ac:dyDescent="0.2">
      <c r="A5223" s="30" t="s">
        <v>14901</v>
      </c>
      <c r="B5223" s="26" t="str">
        <f t="shared" si="81"/>
        <v>870726</v>
      </c>
      <c r="C5223" s="30" t="s">
        <v>14902</v>
      </c>
      <c r="D5223" s="31">
        <v>9.98</v>
      </c>
      <c r="E5223" s="31">
        <v>0.1</v>
      </c>
      <c r="F5223" s="31">
        <v>161160710</v>
      </c>
    </row>
    <row r="5224" spans="1:6" ht="15" thickBot="1" x14ac:dyDescent="0.2">
      <c r="A5224" s="30" t="s">
        <v>14903</v>
      </c>
      <c r="B5224" s="26" t="str">
        <f t="shared" si="81"/>
        <v>836717</v>
      </c>
      <c r="C5224" s="30" t="s">
        <v>14904</v>
      </c>
      <c r="D5224" s="31">
        <v>4.67</v>
      </c>
      <c r="E5224" s="31">
        <v>-0.43</v>
      </c>
      <c r="F5224" s="31">
        <v>158219600</v>
      </c>
    </row>
    <row r="5225" spans="1:6" ht="15" thickBot="1" x14ac:dyDescent="0.2">
      <c r="A5225" s="30" t="s">
        <v>14905</v>
      </c>
      <c r="B5225" s="26" t="str">
        <f t="shared" si="81"/>
        <v>872931</v>
      </c>
      <c r="C5225" s="30" t="s">
        <v>14906</v>
      </c>
      <c r="D5225" s="31">
        <v>6.46</v>
      </c>
      <c r="E5225" s="31">
        <v>-1.67</v>
      </c>
      <c r="F5225" s="31">
        <v>153591670</v>
      </c>
    </row>
    <row r="5226" spans="1:6" ht="15" thickBot="1" x14ac:dyDescent="0.2">
      <c r="A5226" s="30" t="s">
        <v>14907</v>
      </c>
      <c r="B5226" s="26" t="str">
        <f t="shared" si="81"/>
        <v>836504</v>
      </c>
      <c r="C5226" s="30" t="s">
        <v>14908</v>
      </c>
      <c r="D5226" s="31">
        <v>10.36</v>
      </c>
      <c r="E5226" s="31">
        <v>0.49</v>
      </c>
      <c r="F5226" s="31">
        <v>129165403</v>
      </c>
    </row>
    <row r="5227" spans="1:6" ht="15" thickBot="1" x14ac:dyDescent="0.2">
      <c r="A5227" s="30" t="s">
        <v>14909</v>
      </c>
      <c r="B5227" s="26" t="str">
        <f t="shared" si="81"/>
        <v>872895</v>
      </c>
      <c r="C5227" s="30" t="s">
        <v>14910</v>
      </c>
      <c r="D5227" s="31">
        <v>6.85</v>
      </c>
      <c r="E5227" s="31">
        <v>-0.87</v>
      </c>
      <c r="F5227" s="31">
        <v>127251765</v>
      </c>
    </row>
    <row r="5228" spans="1:6" ht="15" thickBot="1" x14ac:dyDescent="0.2">
      <c r="A5228" s="30" t="s">
        <v>14911</v>
      </c>
      <c r="B5228" s="26" t="str">
        <f t="shared" si="81"/>
        <v>832802</v>
      </c>
      <c r="C5228" s="30" t="s">
        <v>14912</v>
      </c>
      <c r="D5228" s="31">
        <v>7.76</v>
      </c>
      <c r="E5228" s="31">
        <v>-1.52</v>
      </c>
      <c r="F5228" s="31">
        <v>123181604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J119"/>
  <sheetViews>
    <sheetView workbookViewId="0">
      <selection activeCell="F8" sqref="F8"/>
    </sheetView>
  </sheetViews>
  <sheetFormatPr defaultRowHeight="16.5" customHeight="1" x14ac:dyDescent="0.15"/>
  <cols>
    <col min="1" max="2" width="12.25" bestFit="1" customWidth="1"/>
    <col min="3" max="3" width="15" bestFit="1" customWidth="1"/>
    <col min="4" max="4" width="19.75" style="19" bestFit="1" customWidth="1"/>
    <col min="5" max="5" width="14.875" bestFit="1" customWidth="1"/>
    <col min="6" max="6" width="12.5" bestFit="1" customWidth="1"/>
    <col min="7" max="7" width="38.25" bestFit="1" customWidth="1"/>
    <col min="8" max="8" width="12.75" bestFit="1" customWidth="1"/>
    <col min="9" max="9" width="48.25" bestFit="1" customWidth="1"/>
  </cols>
  <sheetData>
    <row r="1" spans="1:9" ht="16.5" customHeight="1" x14ac:dyDescent="0.15">
      <c r="A1" s="7" t="s">
        <v>0</v>
      </c>
      <c r="B1" s="8" t="s">
        <v>1</v>
      </c>
      <c r="C1" s="8" t="s">
        <v>14915</v>
      </c>
      <c r="D1" s="27" t="s">
        <v>14917</v>
      </c>
      <c r="E1" s="8" t="s">
        <v>2</v>
      </c>
      <c r="F1" s="8" t="s">
        <v>3</v>
      </c>
      <c r="G1" s="8" t="s">
        <v>4</v>
      </c>
      <c r="H1" s="8" t="s">
        <v>8611</v>
      </c>
      <c r="I1" s="21" t="s">
        <v>8612</v>
      </c>
    </row>
    <row r="2" spans="1:9" ht="16.5" customHeight="1" x14ac:dyDescent="0.15">
      <c r="A2" s="9" t="s">
        <v>492</v>
      </c>
      <c r="B2" s="10" t="s">
        <v>493</v>
      </c>
      <c r="C2" s="10">
        <f>VLOOKUP(B2,当前走势!$B:$F,3,)</f>
        <v>16.18</v>
      </c>
      <c r="D2" s="17">
        <f>VLOOKUP(B2,当前走势!$B:$F,5,FALSE)/100000000</f>
        <v>402.41136999999998</v>
      </c>
      <c r="E2" s="10">
        <f>VLOOKUP(B2,'China Index ROIC'!$B:$D,2,FALSE)</f>
        <v>2.83</v>
      </c>
      <c r="F2" s="10">
        <f>VLOOKUP(B2,'China Index ROIC'!$B:$D,3,FALSE)</f>
        <v>0.39269999999999999</v>
      </c>
      <c r="G2" s="10" t="str">
        <f>VLOOKUP(B2,'China Index ROIC'!B:E,4,FALSE)</f>
        <v>有色金属-贵金属-贵金属Ⅲ</v>
      </c>
      <c r="H2" s="15" t="s">
        <v>8609</v>
      </c>
      <c r="I2" s="11" t="str">
        <f>CONCATENATE("https://gushitong.baidu.com/stock/ab-", B2)</f>
        <v>https://gushitong.baidu.com/stock/ab-000975</v>
      </c>
    </row>
    <row r="3" spans="1:9" ht="16.5" customHeight="1" x14ac:dyDescent="0.15">
      <c r="A3" s="9" t="s">
        <v>36</v>
      </c>
      <c r="B3" s="10" t="s">
        <v>37</v>
      </c>
      <c r="C3" s="10">
        <f>VLOOKUP(B3,当前走势!B:F,3,)</f>
        <v>15.04</v>
      </c>
      <c r="D3" s="17">
        <f>VLOOKUP(B3,当前走势!$B:$F,5,FALSE)/100000000</f>
        <v>3091.6664999999998</v>
      </c>
      <c r="E3" s="10">
        <f>VLOOKUP(B3,'China Index ROIC'!$B:$D,2,FALSE)</f>
        <v>2.09</v>
      </c>
      <c r="F3" s="10">
        <f>VLOOKUP(B3,'China Index ROIC'!$B:$D,3,FALSE)</f>
        <v>0.59209999999999996</v>
      </c>
      <c r="G3" s="10" t="str">
        <f>VLOOKUP(B3,'China Index ROIC'!B:E,4,FALSE)</f>
        <v>有色金属-工业金属-铜</v>
      </c>
      <c r="H3" s="15" t="s">
        <v>8609</v>
      </c>
      <c r="I3" s="11" t="str">
        <f>CONCATENATE("https://gushitong.baidu.com/stock/ab-", B3)</f>
        <v>https://gushitong.baidu.com/stock/ab-601899</v>
      </c>
    </row>
    <row r="4" spans="1:9" ht="16.5" customHeight="1" x14ac:dyDescent="0.15">
      <c r="A4" s="9" t="s">
        <v>138</v>
      </c>
      <c r="B4" s="10" t="s">
        <v>139</v>
      </c>
      <c r="C4" s="10">
        <f>VLOOKUP(B4,当前走势!B:F,3,)</f>
        <v>193.5</v>
      </c>
      <c r="D4" s="17">
        <f>VLOOKUP(B4,当前走势!$B:$F,5,FALSE)/100000000</f>
        <v>1167.4187999999999</v>
      </c>
      <c r="E4" s="10">
        <f>VLOOKUP(B4,'China Index ROIC'!$B:$D,2,FALSE)</f>
        <v>5.86</v>
      </c>
      <c r="F4" s="10">
        <f>VLOOKUP(B4,'China Index ROIC'!$B:$D,3,FALSE)</f>
        <v>2.0427</v>
      </c>
      <c r="G4" s="10" t="str">
        <f>VLOOKUP(B4,'China Index ROIC'!B:E,4,FALSE)</f>
        <v>医药生物-中药-中药Ⅲ</v>
      </c>
      <c r="H4" s="15" t="s">
        <v>8600</v>
      </c>
      <c r="I4" s="11" t="str">
        <f>CONCATENATE("https://gushitong.baidu.com/stock/ab-", B4)</f>
        <v>https://gushitong.baidu.com/stock/ab-600436</v>
      </c>
    </row>
    <row r="5" spans="1:9" ht="16.5" customHeight="1" x14ac:dyDescent="0.15">
      <c r="A5" s="9" t="s">
        <v>944</v>
      </c>
      <c r="B5" s="10" t="s">
        <v>945</v>
      </c>
      <c r="C5" s="10">
        <f>VLOOKUP(B5,当前走势!B:F,3,)</f>
        <v>24.46</v>
      </c>
      <c r="D5" s="17">
        <f>VLOOKUP(B5,当前走势!$B:$F,5,FALSE)/100000000</f>
        <v>223.99199999999999</v>
      </c>
      <c r="E5" s="10">
        <f>VLOOKUP(B5,'China Index ROIC'!$B:$D,2,FALSE)</f>
        <v>4.8600000000000003</v>
      </c>
      <c r="F5" s="10">
        <f>VLOOKUP(B5,'China Index ROIC'!$B:$D,3,FALSE)</f>
        <v>0.85499999999999998</v>
      </c>
      <c r="G5" s="10" t="str">
        <f>VLOOKUP(B5,'China Index ROIC'!B:E,4,FALSE)</f>
        <v>医药生物-中药-中药Ⅲ</v>
      </c>
      <c r="H5" s="15" t="s">
        <v>8600</v>
      </c>
      <c r="I5" s="11" t="str">
        <f>CONCATENATE("https://gushitong.baidu.com/stock/ab-", B5)</f>
        <v>https://gushitong.baidu.com/stock/ab-600566</v>
      </c>
    </row>
    <row r="6" spans="1:9" ht="16.5" customHeight="1" x14ac:dyDescent="0.15">
      <c r="A6" s="9" t="s">
        <v>426</v>
      </c>
      <c r="B6" s="10" t="s">
        <v>427</v>
      </c>
      <c r="C6" s="10">
        <f>VLOOKUP(B6,当前走势!B:F,3,)</f>
        <v>37.369999999999997</v>
      </c>
      <c r="D6" s="17">
        <f>VLOOKUP(B6,当前走势!$B:$F,5,FALSE)/100000000</f>
        <v>476.72953999999999</v>
      </c>
      <c r="E6" s="10">
        <f>VLOOKUP(B6,'China Index ROIC'!$B:$D,2,FALSE)</f>
        <v>3.63</v>
      </c>
      <c r="F6" s="10">
        <f>VLOOKUP(B6,'China Index ROIC'!$B:$D,3,FALSE)</f>
        <v>2.2219000000000002</v>
      </c>
      <c r="G6" s="10" t="str">
        <f>VLOOKUP(B6,'China Index ROIC'!B:E,4,FALSE)</f>
        <v>医药生物-中药-中药Ⅲ</v>
      </c>
      <c r="H6" s="15" t="s">
        <v>8600</v>
      </c>
      <c r="I6" s="11" t="str">
        <f>CONCATENATE("https://gushitong.baidu.com/stock/ab-", B6)</f>
        <v>https://gushitong.baidu.com/stock/ab-000999</v>
      </c>
    </row>
    <row r="7" spans="1:9" ht="16.5" customHeight="1" x14ac:dyDescent="0.15">
      <c r="A7" s="9" t="s">
        <v>1410</v>
      </c>
      <c r="B7" s="10" t="s">
        <v>1411</v>
      </c>
      <c r="C7" s="10">
        <f>VLOOKUP(B7,当前走势!B:F,3,)</f>
        <v>26.75</v>
      </c>
      <c r="D7" s="17">
        <f>VLOOKUP(B7,当前走势!$B:$F,5,FALSE)/100000000</f>
        <v>151.36971</v>
      </c>
      <c r="E7" s="10">
        <f>VLOOKUP(B7,'China Index ROIC'!$B:$D,2,FALSE)</f>
        <v>3.2</v>
      </c>
      <c r="F7" s="10">
        <f>VLOOKUP(B7,'China Index ROIC'!$B:$D,3,FALSE)</f>
        <v>1.1316999999999999</v>
      </c>
      <c r="G7" s="10" t="str">
        <f>VLOOKUP(B7,'China Index ROIC'!B:E,4,FALSE)</f>
        <v>医药生物-中药-中药Ⅲ</v>
      </c>
      <c r="H7" s="15" t="s">
        <v>8600</v>
      </c>
      <c r="I7" s="11" t="str">
        <f>CONCATENATE("https://gushitong.baidu.com/stock/ab-", B7)</f>
        <v>https://gushitong.baidu.com/stock/ab-600329</v>
      </c>
    </row>
    <row r="8" spans="1:9" ht="16.5" customHeight="1" x14ac:dyDescent="0.15">
      <c r="A8" s="9" t="s">
        <v>208</v>
      </c>
      <c r="B8" s="10" t="s">
        <v>209</v>
      </c>
      <c r="C8" s="10">
        <f>VLOOKUP(B8,当前走势!B:F,3,)</f>
        <v>50.46</v>
      </c>
      <c r="D8" s="17">
        <f>VLOOKUP(B8,当前走势!$B:$F,5,FALSE)/100000000</f>
        <v>892.83925999999997</v>
      </c>
      <c r="E8" s="10">
        <f>VLOOKUP(B8,'China Index ROIC'!$B:$D,2,FALSE)</f>
        <v>2.58</v>
      </c>
      <c r="F8" s="10">
        <f>VLOOKUP(B8,'China Index ROIC'!$B:$D,3,FALSE)</f>
        <v>1.2202999999999999</v>
      </c>
      <c r="G8" s="10" t="str">
        <f>VLOOKUP(B8,'China Index ROIC'!B:E,4,FALSE)</f>
        <v>医药生物-中药-中药Ⅲ</v>
      </c>
      <c r="H8" s="15" t="s">
        <v>8600</v>
      </c>
      <c r="I8" s="11" t="str">
        <f>CONCATENATE("https://gushitong.baidu.com/stock/ab-", B8)</f>
        <v>https://gushitong.baidu.com/stock/ab-000538</v>
      </c>
    </row>
    <row r="9" spans="1:9" ht="16.5" customHeight="1" x14ac:dyDescent="0.15">
      <c r="A9" s="9" t="s">
        <v>494</v>
      </c>
      <c r="B9" s="10" t="s">
        <v>495</v>
      </c>
      <c r="C9" s="10">
        <f>VLOOKUP(B9,当前走势!B:F,3,)</f>
        <v>31.21</v>
      </c>
      <c r="D9" s="17">
        <f>VLOOKUP(B9,当前走势!$B:$F,5,FALSE)/100000000</f>
        <v>428.03586999999999</v>
      </c>
      <c r="E9" s="10">
        <f>VLOOKUP(B9,'China Index ROIC'!$B:$D,2,FALSE)</f>
        <v>2.25</v>
      </c>
      <c r="F9" s="10">
        <f>VLOOKUP(B9,'China Index ROIC'!$B:$D,3,FALSE)</f>
        <v>0.2757</v>
      </c>
      <c r="G9" s="10" t="str">
        <f>VLOOKUP(B9,'China Index ROIC'!B:E,4,FALSE)</f>
        <v>医药生物-中药-中药Ⅲ</v>
      </c>
      <c r="H9" s="15" t="s">
        <v>8600</v>
      </c>
      <c r="I9" s="11" t="str">
        <f>CONCATENATE("https://gushitong.baidu.com/stock/ab-", B9)</f>
        <v>https://gushitong.baidu.com/stock/ab-600085</v>
      </c>
    </row>
    <row r="10" spans="1:9" ht="16.5" customHeight="1" x14ac:dyDescent="0.15">
      <c r="A10" s="9" t="s">
        <v>545</v>
      </c>
      <c r="B10" s="10" t="s">
        <v>546</v>
      </c>
      <c r="C10" s="10">
        <f>VLOOKUP(B10,当前走势!B:F,3,)</f>
        <v>24.69</v>
      </c>
      <c r="D10" s="17">
        <f>VLOOKUP(B10,当前走势!$B:$F,5,FALSE)/100000000</f>
        <v>347.11448000000001</v>
      </c>
      <c r="E10" s="10">
        <f>VLOOKUP(B10,'China Index ROIC'!$B:$D,2,FALSE)</f>
        <v>2.0499999999999998</v>
      </c>
      <c r="F10" s="10">
        <f>VLOOKUP(B10,'China Index ROIC'!$B:$D,3,FALSE)</f>
        <v>1.7235</v>
      </c>
      <c r="G10" s="10" t="str">
        <f>VLOOKUP(B10,'China Index ROIC'!B:E,4,FALSE)</f>
        <v>医药生物-中药-中药Ⅲ</v>
      </c>
      <c r="H10" s="15" t="s">
        <v>8600</v>
      </c>
      <c r="I10" s="11" t="str">
        <f>CONCATENATE("https://gushitong.baidu.com/stock/ab-", B10)</f>
        <v>https://gushitong.baidu.com/stock/ab-600332</v>
      </c>
    </row>
    <row r="11" spans="1:9" ht="16.5" customHeight="1" x14ac:dyDescent="0.15">
      <c r="A11" s="9" t="s">
        <v>1028</v>
      </c>
      <c r="B11" s="10" t="s">
        <v>1029</v>
      </c>
      <c r="C11" s="10">
        <f>VLOOKUP(B11,当前走势!B:F,3,)</f>
        <v>27.4</v>
      </c>
      <c r="D11" s="17">
        <f>VLOOKUP(B11,当前走势!$B:$F,5,FALSE)/100000000</f>
        <v>151.61691999999999</v>
      </c>
      <c r="E11" s="10">
        <f>VLOOKUP(B11,'China Index ROIC'!$B:$D,2,FALSE)</f>
        <v>3.33</v>
      </c>
      <c r="F11" s="10">
        <f>VLOOKUP(B11,'China Index ROIC'!$B:$D,3,FALSE)</f>
        <v>0.4803</v>
      </c>
      <c r="G11" s="10" t="str">
        <f>VLOOKUP(B11,'China Index ROIC'!B:E,4,FALSE)</f>
        <v>医药生物-医药商业-医药流通</v>
      </c>
      <c r="H11" s="15" t="s">
        <v>8600</v>
      </c>
      <c r="I11" s="11" t="str">
        <f>CONCATENATE("https://gushitong.baidu.com/stock/ab-", B11)</f>
        <v>https://gushitong.baidu.com/stock/ab-600511</v>
      </c>
    </row>
    <row r="12" spans="1:9" ht="16.5" customHeight="1" x14ac:dyDescent="0.15">
      <c r="A12" s="9" t="s">
        <v>959</v>
      </c>
      <c r="B12" s="10" t="s">
        <v>960</v>
      </c>
      <c r="C12" s="10">
        <f>VLOOKUP(B12,当前走势!B:F,3,)</f>
        <v>17.850000000000001</v>
      </c>
      <c r="D12" s="17">
        <f>VLOOKUP(B12,当前走势!$B:$F,5,FALSE)/100000000</f>
        <v>215.93847</v>
      </c>
      <c r="E12" s="10">
        <f>VLOOKUP(B12,'China Index ROIC'!$B:$D,2,FALSE)</f>
        <v>2.63</v>
      </c>
      <c r="F12" s="10">
        <f>VLOOKUP(B12,'China Index ROIC'!$B:$D,3,FALSE)</f>
        <v>0.23760000000000001</v>
      </c>
      <c r="G12" s="10" t="str">
        <f>VLOOKUP(B12,'China Index ROIC'!B:E,4,FALSE)</f>
        <v>医药生物-医药商业-药店</v>
      </c>
      <c r="H12" s="15" t="s">
        <v>8600</v>
      </c>
      <c r="I12" s="11" t="str">
        <f>CONCATENATE("https://gushitong.baidu.com/stock/ab-", B12)</f>
        <v>https://gushitong.baidu.com/stock/ab-603939</v>
      </c>
    </row>
    <row r="13" spans="1:9" ht="16.5" customHeight="1" x14ac:dyDescent="0.15">
      <c r="A13" s="9" t="s">
        <v>372</v>
      </c>
      <c r="B13" s="10" t="s">
        <v>373</v>
      </c>
      <c r="C13" s="10">
        <f>VLOOKUP(B13,当前走势!B:F,3,)</f>
        <v>69.86</v>
      </c>
      <c r="D13" s="17">
        <f>VLOOKUP(B13,当前走势!$B:$F,5,FALSE)/100000000</f>
        <v>475.19297999999998</v>
      </c>
      <c r="E13" s="10">
        <f>VLOOKUP(B13,'China Index ROIC'!$B:$D,2,FALSE)</f>
        <v>5.4450000000000003</v>
      </c>
      <c r="F13" s="10">
        <f>VLOOKUP(B13,'China Index ROIC'!$B:$D,3,FALSE)</f>
        <v>1.5008999999999999</v>
      </c>
      <c r="G13" s="10" t="str">
        <f>VLOOKUP(B13,'China Index ROIC'!B:E,4,FALSE)</f>
        <v>医药生物-医疗器械-体外诊断</v>
      </c>
      <c r="H13" s="15" t="s">
        <v>8600</v>
      </c>
      <c r="I13" s="11" t="str">
        <f>CONCATENATE("https://gushitong.baidu.com/stock/ab-", B13)</f>
        <v>https://gushitong.baidu.com/stock/ab-300832</v>
      </c>
    </row>
    <row r="14" spans="1:9" ht="16.5" customHeight="1" x14ac:dyDescent="0.15">
      <c r="A14" s="9" t="s">
        <v>954</v>
      </c>
      <c r="B14" s="10" t="s">
        <v>955</v>
      </c>
      <c r="C14" s="10">
        <f>VLOOKUP(B14,当前走势!B:F,3,)</f>
        <v>38.19</v>
      </c>
      <c r="D14" s="17">
        <f>VLOOKUP(B14,当前走势!$B:$F,5,FALSE)/100000000</f>
        <v>221.88822999999999</v>
      </c>
      <c r="E14" s="10">
        <f>VLOOKUP(B14,'China Index ROIC'!$B:$D,2,FALSE)</f>
        <v>3.51</v>
      </c>
      <c r="F14" s="10">
        <f>VLOOKUP(B14,'China Index ROIC'!$B:$D,3,FALSE)</f>
        <v>1.7385999999999999</v>
      </c>
      <c r="G14" s="10" t="str">
        <f>VLOOKUP(B14,'China Index ROIC'!B:E,4,FALSE)</f>
        <v>医药生物-医疗器械-体外诊断</v>
      </c>
      <c r="H14" s="15" t="s">
        <v>8600</v>
      </c>
      <c r="I14" s="11" t="str">
        <f>CONCATENATE("https://gushitong.baidu.com/stock/ab-", B14)</f>
        <v>https://gushitong.baidu.com/stock/ab-603658</v>
      </c>
    </row>
    <row r="15" spans="1:9" ht="16.5" customHeight="1" x14ac:dyDescent="0.15">
      <c r="A15" s="9" t="s">
        <v>658</v>
      </c>
      <c r="B15" s="10" t="s">
        <v>659</v>
      </c>
      <c r="C15" s="10">
        <f>VLOOKUP(B15,当前走势!B:F,3,)</f>
        <v>20.69</v>
      </c>
      <c r="D15" s="17">
        <f>VLOOKUP(B15,当前走势!$B:$F,5,FALSE)/100000000</f>
        <v>295.57389999999998</v>
      </c>
      <c r="E15" s="10">
        <f>VLOOKUP(B15,'China Index ROIC'!$B:$D,2,FALSE)</f>
        <v>2.5</v>
      </c>
      <c r="F15" s="10">
        <f>VLOOKUP(B15,'China Index ROIC'!$B:$D,3,FALSE)</f>
        <v>1.0354000000000001</v>
      </c>
      <c r="G15" s="10" t="str">
        <f>VLOOKUP(B15,'China Index ROIC'!B:E,4,FALSE)</f>
        <v>医药生物-医疗服务-医疗研发外包</v>
      </c>
      <c r="H15" s="15" t="s">
        <v>8600</v>
      </c>
      <c r="I15" s="11" t="str">
        <f>CONCATENATE("https://gushitong.baidu.com/stock/ab-", B15)</f>
        <v>https://gushitong.baidu.com/stock/ab-300759</v>
      </c>
    </row>
    <row r="16" spans="1:9" ht="16.5" customHeight="1" x14ac:dyDescent="0.15">
      <c r="A16" s="9" t="s">
        <v>474</v>
      </c>
      <c r="B16" s="10" t="s">
        <v>475</v>
      </c>
      <c r="C16" s="10">
        <f>VLOOKUP(B16,当前走势!B:F,3,)</f>
        <v>20.9</v>
      </c>
      <c r="D16" s="17">
        <f>VLOOKUP(B16,当前走势!$B:$F,5,FALSE)/100000000</f>
        <v>413.27062999999998</v>
      </c>
      <c r="E16" s="10">
        <f>VLOOKUP(B16,'China Index ROIC'!$B:$D,2,FALSE)</f>
        <v>2.81</v>
      </c>
      <c r="F16" s="10">
        <f>VLOOKUP(B16,'China Index ROIC'!$B:$D,3,FALSE)</f>
        <v>0.28210000000000002</v>
      </c>
      <c r="G16" s="10" t="str">
        <f>VLOOKUP(B16,'China Index ROIC'!B:E,4,FALSE)</f>
        <v>医药生物-生物制品-血液制品</v>
      </c>
      <c r="H16" s="15" t="s">
        <v>8600</v>
      </c>
      <c r="I16" s="11" t="str">
        <f>CONCATENATE("https://gushitong.baidu.com/stock/ab-", B16)</f>
        <v>https://gushitong.baidu.com/stock/ab-600161</v>
      </c>
    </row>
    <row r="17" spans="1:9" ht="16.5" customHeight="1" x14ac:dyDescent="0.15">
      <c r="A17" s="9" t="s">
        <v>1259</v>
      </c>
      <c r="B17" s="10" t="s">
        <v>1260</v>
      </c>
      <c r="C17" s="10">
        <f>VLOOKUP(B17,当前走势!B:F,3,)</f>
        <v>21.83</v>
      </c>
      <c r="D17" s="17">
        <f>VLOOKUP(B17,当前走势!$B:$F,5,FALSE)/100000000</f>
        <v>148.79656</v>
      </c>
      <c r="E17" s="10">
        <f>VLOOKUP(B17,'China Index ROIC'!$B:$D,2,FALSE)</f>
        <v>2.0099999999999998</v>
      </c>
      <c r="F17" s="10">
        <f>VLOOKUP(B17,'China Index ROIC'!$B:$D,3,FALSE)</f>
        <v>1.6814</v>
      </c>
      <c r="G17" s="10" t="str">
        <f>VLOOKUP(B17,'China Index ROIC'!B:E,4,FALSE)</f>
        <v>医药生物-生物制品-血液制品</v>
      </c>
      <c r="H17" s="15" t="s">
        <v>8600</v>
      </c>
      <c r="I17" s="11" t="str">
        <f>CONCATENATE("https://gushitong.baidu.com/stock/ab-", B17)</f>
        <v>https://gushitong.baidu.com/stock/ab-000403</v>
      </c>
    </row>
    <row r="18" spans="1:9" ht="16.5" customHeight="1" x14ac:dyDescent="0.15">
      <c r="A18" s="9" t="s">
        <v>357</v>
      </c>
      <c r="B18" s="10" t="s">
        <v>358</v>
      </c>
      <c r="C18" s="10">
        <f>VLOOKUP(B18,当前走势!B:F,3,)</f>
        <v>19.079999999999998</v>
      </c>
      <c r="D18" s="17">
        <f>VLOOKUP(B18,当前走势!$B:$F,5,FALSE)/100000000</f>
        <v>582.79813999999999</v>
      </c>
      <c r="E18" s="10">
        <f>VLOOKUP(B18,'China Index ROIC'!$B:$D,2,FALSE)</f>
        <v>2.78</v>
      </c>
      <c r="F18" s="10">
        <f>VLOOKUP(B18,'China Index ROIC'!$B:$D,3,FALSE)</f>
        <v>0.90229999999999999</v>
      </c>
      <c r="G18" s="10" t="str">
        <f>VLOOKUP(B18,'China Index ROIC'!B:E,4,FALSE)</f>
        <v>医药生物-化学制药-原料药</v>
      </c>
      <c r="H18" s="15" t="s">
        <v>8600</v>
      </c>
      <c r="I18" s="11" t="str">
        <f>CONCATENATE("https://gushitong.baidu.com/stock/ab-", B18)</f>
        <v>https://gushitong.baidu.com/stock/ab-002001</v>
      </c>
    </row>
    <row r="19" spans="1:9" ht="16.5" customHeight="1" x14ac:dyDescent="0.15">
      <c r="A19" s="9" t="s">
        <v>806</v>
      </c>
      <c r="B19" s="10" t="s">
        <v>807</v>
      </c>
      <c r="C19" s="10">
        <f>VLOOKUP(B19,当前走势!B:F,3,)</f>
        <v>24.42</v>
      </c>
      <c r="D19" s="17">
        <f>VLOOKUP(B19,当前走势!$B:$F,5,FALSE)/100000000</f>
        <v>215.33374000000001</v>
      </c>
      <c r="E19" s="10">
        <f>VLOOKUP(B19,'China Index ROIC'!$B:$D,2,FALSE)</f>
        <v>3.99</v>
      </c>
      <c r="F19" s="10">
        <f>VLOOKUP(B19,'China Index ROIC'!$B:$D,3,FALSE)</f>
        <v>1.137</v>
      </c>
      <c r="G19" s="10" t="str">
        <f>VLOOKUP(B19,'China Index ROIC'!B:E,4,FALSE)</f>
        <v>医药生物-化学制药-化学制剂</v>
      </c>
      <c r="H19" s="15" t="s">
        <v>8600</v>
      </c>
      <c r="I19" s="11" t="str">
        <f>CONCATENATE("https://gushitong.baidu.com/stock/ab-", B19)</f>
        <v>https://gushitong.baidu.com/stock/ab-002262</v>
      </c>
    </row>
    <row r="20" spans="1:9" ht="16.5" customHeight="1" x14ac:dyDescent="0.15">
      <c r="A20" s="9" t="s">
        <v>424</v>
      </c>
      <c r="B20" s="10" t="s">
        <v>425</v>
      </c>
      <c r="C20" s="10">
        <f>VLOOKUP(B20,当前走势!B:F,3,)</f>
        <v>27.56</v>
      </c>
      <c r="D20" s="17">
        <f>VLOOKUP(B20,当前走势!$B:$F,5,FALSE)/100000000</f>
        <v>482.54914000000002</v>
      </c>
      <c r="E20" s="10">
        <f>VLOOKUP(B20,'China Index ROIC'!$B:$D,2,FALSE)</f>
        <v>3.42</v>
      </c>
      <c r="F20" s="10">
        <f>VLOOKUP(B20,'China Index ROIC'!$B:$D,3,FALSE)</f>
        <v>1.3101</v>
      </c>
      <c r="G20" s="10" t="str">
        <f>VLOOKUP(B20,'China Index ROIC'!B:E,4,FALSE)</f>
        <v>医药生物-化学制药-化学制剂</v>
      </c>
      <c r="H20" s="15" t="s">
        <v>8600</v>
      </c>
      <c r="I20" s="11" t="str">
        <f>CONCATENATE("https://gushitong.baidu.com/stock/ab-", B20)</f>
        <v>https://gushitong.baidu.com/stock/ab-000963</v>
      </c>
    </row>
    <row r="21" spans="1:9" ht="16.5" customHeight="1" x14ac:dyDescent="0.15">
      <c r="A21" s="9" t="s">
        <v>976</v>
      </c>
      <c r="B21" s="10" t="s">
        <v>977</v>
      </c>
      <c r="C21" s="10">
        <f>VLOOKUP(B21,当前走势!B:F,3,)</f>
        <v>20.88</v>
      </c>
      <c r="D21" s="17">
        <f>VLOOKUP(B21,当前走势!$B:$F,5,FALSE)/100000000</f>
        <v>214.40692000000001</v>
      </c>
      <c r="E21" s="10">
        <f>VLOOKUP(B21,'China Index ROIC'!$B:$D,2,FALSE)</f>
        <v>3.12</v>
      </c>
      <c r="F21" s="10">
        <f>VLOOKUP(B21,'China Index ROIC'!$B:$D,3,FALSE)</f>
        <v>1.7064999999999999</v>
      </c>
      <c r="G21" s="10" t="str">
        <f>VLOOKUP(B21,'China Index ROIC'!B:E,4,FALSE)</f>
        <v>医药生物-化学制药-化学制剂</v>
      </c>
      <c r="H21" s="15" t="s">
        <v>8600</v>
      </c>
      <c r="I21" s="11" t="str">
        <f>CONCATENATE("https://gushitong.baidu.com/stock/ab-", B21)</f>
        <v>https://gushitong.baidu.com/stock/ab-600062</v>
      </c>
    </row>
    <row r="22" spans="1:9" ht="16.5" customHeight="1" x14ac:dyDescent="0.15">
      <c r="A22" s="9" t="s">
        <v>730</v>
      </c>
      <c r="B22" s="10" t="s">
        <v>731</v>
      </c>
      <c r="C22" s="10">
        <f>VLOOKUP(B22,当前走势!B:F,3,)</f>
        <v>35.58</v>
      </c>
      <c r="D22" s="17">
        <f>VLOOKUP(B22,当前走势!$B:$F,5,FALSE)/100000000</f>
        <v>213.33998</v>
      </c>
      <c r="E22" s="10">
        <f>VLOOKUP(B22,'China Index ROIC'!$B:$D,2,FALSE)</f>
        <v>2.99</v>
      </c>
      <c r="F22" s="10">
        <f>VLOOKUP(B22,'China Index ROIC'!$B:$D,3,FALSE)</f>
        <v>0.54079999999999995</v>
      </c>
      <c r="G22" s="10" t="str">
        <f>VLOOKUP(B22,'China Index ROIC'!B:E,4,FALSE)</f>
        <v>医药生物-化学制药-化学制剂</v>
      </c>
      <c r="H22" s="15" t="s">
        <v>8600</v>
      </c>
      <c r="I22" s="11" t="str">
        <f>CONCATENATE("https://gushitong.baidu.com/stock/ab-", B22)</f>
        <v>https://gushitong.baidu.com/stock/ab-000513</v>
      </c>
    </row>
    <row r="23" spans="1:9" ht="16.5" customHeight="1" x14ac:dyDescent="0.15">
      <c r="A23" s="9" t="s">
        <v>1214</v>
      </c>
      <c r="B23" s="10" t="s">
        <v>1215</v>
      </c>
      <c r="C23" s="10">
        <f>VLOOKUP(B23,当前走势!B:F,3,)</f>
        <v>9.5399999999999991</v>
      </c>
      <c r="D23" s="17">
        <f>VLOOKUP(B23,当前走势!$B:$F,5,FALSE)/100000000</f>
        <v>178.79872</v>
      </c>
      <c r="E23" s="10">
        <f>VLOOKUP(B23,'China Index ROIC'!$B:$D,2,FALSE)</f>
        <v>2.12</v>
      </c>
      <c r="F23" s="10">
        <f>VLOOKUP(B23,'China Index ROIC'!$B:$D,3,FALSE)</f>
        <v>0.37469999999999998</v>
      </c>
      <c r="G23" s="10" t="str">
        <f>VLOOKUP(B23,'China Index ROIC'!B:E,4,FALSE)</f>
        <v>医药生物-化学制药-化学制剂</v>
      </c>
      <c r="H23" s="15" t="s">
        <v>8600</v>
      </c>
      <c r="I23" s="11" t="str">
        <f>CONCATENATE("https://gushitong.baidu.com/stock/ab-", B23)</f>
        <v>https://gushitong.baidu.com/stock/ab-600380</v>
      </c>
    </row>
    <row r="24" spans="1:9" ht="16.5" customHeight="1" x14ac:dyDescent="0.15">
      <c r="A24" s="9" t="s">
        <v>499</v>
      </c>
      <c r="B24" s="10" t="s">
        <v>500</v>
      </c>
      <c r="C24" s="10">
        <f>VLOOKUP(B24,当前走势!B:F,3,)</f>
        <v>34.979999999999997</v>
      </c>
      <c r="D24" s="17">
        <f>VLOOKUP(B24,当前走势!$B:$F,5,FALSE)/100000000</f>
        <v>252.92760999999999</v>
      </c>
      <c r="E24" s="10">
        <f>VLOOKUP(B24,'China Index ROIC'!$B:$D,2,FALSE)</f>
        <v>7.29</v>
      </c>
      <c r="F24" s="10">
        <f>VLOOKUP(B24,'China Index ROIC'!$B:$D,3,FALSE)</f>
        <v>1.8425</v>
      </c>
      <c r="G24" s="10" t="str">
        <f>VLOOKUP(B24,'China Index ROIC'!B:E,4,FALSE)</f>
        <v>通信-通信设备-通信终端及配件</v>
      </c>
      <c r="H24" s="15" t="s">
        <v>8598</v>
      </c>
      <c r="I24" s="11" t="str">
        <f>CONCATENATE("https://gushitong.baidu.com/stock/ab-", B24)</f>
        <v>https://gushitong.baidu.com/stock/ab-300628</v>
      </c>
    </row>
    <row r="25" spans="1:9" ht="16.5" customHeight="1" x14ac:dyDescent="0.15">
      <c r="A25" s="9" t="s">
        <v>107</v>
      </c>
      <c r="B25" s="10" t="s">
        <v>108</v>
      </c>
      <c r="C25" s="10">
        <f>VLOOKUP(B25,当前走势!B:F,3,)</f>
        <v>100.02</v>
      </c>
      <c r="D25" s="17">
        <f>VLOOKUP(B25,当前走势!$B:$F,5,FALSE)/100000000</f>
        <v>1467.4342999999999</v>
      </c>
      <c r="E25" s="10">
        <f>VLOOKUP(B25,'China Index ROIC'!$B:$D,2,FALSE)</f>
        <v>6.96</v>
      </c>
      <c r="F25" s="10">
        <f>VLOOKUP(B25,'China Index ROIC'!$B:$D,3,FALSE)</f>
        <v>1.6021000000000001</v>
      </c>
      <c r="G25" s="10" t="str">
        <f>VLOOKUP(B25,'China Index ROIC'!B:E,4,FALSE)</f>
        <v>食品饮料-白酒-白酒Ⅲ</v>
      </c>
      <c r="H25" s="15" t="s">
        <v>8596</v>
      </c>
      <c r="I25" s="11" t="str">
        <f>CONCATENATE("https://gushitong.baidu.com/stock/ab-", B25)</f>
        <v>https://gushitong.baidu.com/stock/ab-000568</v>
      </c>
    </row>
    <row r="26" spans="1:9" ht="16.5" customHeight="1" x14ac:dyDescent="0.15">
      <c r="A26" s="9" t="s">
        <v>266</v>
      </c>
      <c r="B26" s="10" t="s">
        <v>267</v>
      </c>
      <c r="C26" s="10">
        <f>VLOOKUP(B26,当前走势!B:F,3,)</f>
        <v>22.93</v>
      </c>
      <c r="D26" s="17">
        <f>VLOOKUP(B26,当前走势!$B:$F,5,FALSE)/100000000</f>
        <v>794.32357000000002</v>
      </c>
      <c r="E26" s="10">
        <f>VLOOKUP(B26,'China Index ROIC'!$B:$D,2,FALSE)</f>
        <v>4.78</v>
      </c>
      <c r="F26" s="10">
        <f>VLOOKUP(B26,'China Index ROIC'!$B:$D,3,FALSE)</f>
        <v>1.8169</v>
      </c>
      <c r="G26" s="10" t="str">
        <f>VLOOKUP(B26,'China Index ROIC'!B:E,4,FALSE)</f>
        <v>食品饮料-食品加工制造-肉制品</v>
      </c>
      <c r="H26" s="15" t="s">
        <v>8596</v>
      </c>
      <c r="I26" s="11" t="str">
        <f>CONCATENATE("https://gushitong.baidu.com/stock/ab-", B26)</f>
        <v>https://gushitong.baidu.com/stock/ab-000895</v>
      </c>
    </row>
    <row r="27" spans="1:9" ht="16.5" customHeight="1" x14ac:dyDescent="0.15">
      <c r="A27" s="9" t="s">
        <v>592</v>
      </c>
      <c r="B27" s="10" t="s">
        <v>593</v>
      </c>
      <c r="C27" s="10">
        <f>VLOOKUP(B27,当前走势!B:F,3,)</f>
        <v>68.959999999999994</v>
      </c>
      <c r="D27" s="17">
        <f>VLOOKUP(B27,当前走势!$B:$F,5,FALSE)/100000000</f>
        <v>204.39872</v>
      </c>
      <c r="E27" s="10">
        <f>VLOOKUP(B27,'China Index ROIC'!$B:$D,2,FALSE)</f>
        <v>4.3600000000000003</v>
      </c>
      <c r="F27" s="10">
        <f>VLOOKUP(B27,'China Index ROIC'!$B:$D,3,FALSE)</f>
        <v>1.3291999999999999</v>
      </c>
      <c r="G27" s="10" t="str">
        <f>VLOOKUP(B27,'China Index ROIC'!B:E,4,FALSE)</f>
        <v>电子-消费电子-品牌消费电子</v>
      </c>
      <c r="H27" s="15" t="s">
        <v>8598</v>
      </c>
      <c r="I27" s="11" t="str">
        <f>CONCATENATE("https://gushitong.baidu.com/stock/ab-", B27)</f>
        <v>https://gushitong.baidu.com/stock/ab-300866</v>
      </c>
    </row>
    <row r="28" spans="1:9" ht="16.5" customHeight="1" x14ac:dyDescent="0.15">
      <c r="A28" s="9" t="s">
        <v>755</v>
      </c>
      <c r="B28" s="10" t="s">
        <v>756</v>
      </c>
      <c r="C28" s="10">
        <f>VLOOKUP(B28,当前走势!B:F,3,)</f>
        <v>32.31</v>
      </c>
      <c r="D28" s="17">
        <f>VLOOKUP(B28,当前走势!$B:$F,5,FALSE)/100000000</f>
        <v>276.08762000000002</v>
      </c>
      <c r="E28" s="10">
        <f>VLOOKUP(B28,'China Index ROIC'!$B:$D,2,FALSE)</f>
        <v>2.87</v>
      </c>
      <c r="F28" s="10">
        <f>VLOOKUP(B28,'China Index ROIC'!$B:$D,3,FALSE)</f>
        <v>1.0345</v>
      </c>
      <c r="G28" s="10" t="str">
        <f>VLOOKUP(B28,'China Index ROIC'!B:E,4,FALSE)</f>
        <v>食品饮料-食品加工制造-调味发酵品</v>
      </c>
      <c r="H28" s="15" t="s">
        <v>8607</v>
      </c>
      <c r="I28" s="11" t="str">
        <f>CONCATENATE("https://gushitong.baidu.com/stock/ab-", B28)</f>
        <v>https://gushitong.baidu.com/stock/ab-600298</v>
      </c>
    </row>
    <row r="29" spans="1:9" ht="16.5" customHeight="1" x14ac:dyDescent="0.15">
      <c r="A29" s="9" t="s">
        <v>394</v>
      </c>
      <c r="B29" s="10" t="s">
        <v>395</v>
      </c>
      <c r="C29" s="10">
        <f>VLOOKUP(B29,当前走势!B:F,3,)</f>
        <v>93.8</v>
      </c>
      <c r="D29" s="17">
        <f>VLOOKUP(B29,当前走势!$B:$F,5,FALSE)/100000000</f>
        <v>517.31886999999995</v>
      </c>
      <c r="E29" s="10">
        <f>VLOOKUP(B29,'China Index ROIC'!$B:$D,2,FALSE)</f>
        <v>4.1399999999999997</v>
      </c>
      <c r="F29" s="10">
        <f>VLOOKUP(B29,'China Index ROIC'!$B:$D,3,FALSE)</f>
        <v>2.2033999999999998</v>
      </c>
      <c r="G29" s="10" t="str">
        <f>VLOOKUP(B29,'China Index ROIC'!B:E,4,FALSE)</f>
        <v>汽车-汽车零部件-汽车电子电气系统</v>
      </c>
      <c r="H29" s="15" t="s">
        <v>8596</v>
      </c>
      <c r="I29" s="11" t="str">
        <f>CONCATENATE("https://gushitong.baidu.com/stock/ab-", B29)</f>
        <v>https://gushitong.baidu.com/stock/ab-002920</v>
      </c>
    </row>
    <row r="30" spans="1:9" ht="16.5" customHeight="1" x14ac:dyDescent="0.15">
      <c r="A30" s="9" t="s">
        <v>350</v>
      </c>
      <c r="B30" s="10" t="s">
        <v>351</v>
      </c>
      <c r="C30" s="10">
        <f>VLOOKUP(B30,当前走势!B:F,3,)</f>
        <v>33.42</v>
      </c>
      <c r="D30" s="17">
        <f>VLOOKUP(B30,当前走势!$B:$F,5,FALSE)/100000000</f>
        <v>639.66444000000001</v>
      </c>
      <c r="E30" s="10">
        <f>VLOOKUP(B30,'China Index ROIC'!$B:$D,2,FALSE)</f>
        <v>3.93</v>
      </c>
      <c r="F30" s="10">
        <f>VLOOKUP(B30,'China Index ROIC'!$B:$D,3,FALSE)</f>
        <v>1.4067000000000001</v>
      </c>
      <c r="G30" s="10" t="str">
        <f>VLOOKUP(B30,'China Index ROIC'!B:E,4,FALSE)</f>
        <v>电子-元件-印制电路板</v>
      </c>
      <c r="H30" s="15" t="s">
        <v>8598</v>
      </c>
      <c r="I30" s="11" t="str">
        <f>CONCATENATE("https://gushitong.baidu.com/stock/ab-", B30)</f>
        <v>https://gushitong.baidu.com/stock/ab-002463</v>
      </c>
    </row>
    <row r="31" spans="1:9" ht="16.5" customHeight="1" x14ac:dyDescent="0.15">
      <c r="A31" s="9" t="s">
        <v>56</v>
      </c>
      <c r="B31" s="10" t="s">
        <v>57</v>
      </c>
      <c r="C31" s="10">
        <f>VLOOKUP(B31,当前走势!B:F,3,)</f>
        <v>40.520000000000003</v>
      </c>
      <c r="D31" s="17">
        <f>VLOOKUP(B31,当前走势!$B:$F,5,FALSE)/100000000</f>
        <v>2247.0147999999999</v>
      </c>
      <c r="E31" s="10">
        <f>VLOOKUP(B31,'China Index ROIC'!$B:$D,2,FALSE)</f>
        <v>3.91</v>
      </c>
      <c r="F31" s="10">
        <f>VLOOKUP(B31,'China Index ROIC'!$B:$D,3,FALSE)</f>
        <v>1.7498</v>
      </c>
      <c r="G31" s="10" t="str">
        <f>VLOOKUP(B31,'China Index ROIC'!B:E,4,FALSE)</f>
        <v>家用电器-白色家电-空调</v>
      </c>
      <c r="H31" s="15" t="s">
        <v>8596</v>
      </c>
      <c r="I31" s="11" t="str">
        <f>CONCATENATE("https://gushitong.baidu.com/stock/ab-", B31)</f>
        <v>https://gushitong.baidu.com/stock/ab-000651</v>
      </c>
    </row>
    <row r="32" spans="1:9" ht="16.5" customHeight="1" x14ac:dyDescent="0.15">
      <c r="A32" s="9" t="s">
        <v>538</v>
      </c>
      <c r="B32" s="10" t="s">
        <v>539</v>
      </c>
      <c r="C32" s="10">
        <f>VLOOKUP(B32,当前走势!B:F,3,)</f>
        <v>3.88</v>
      </c>
      <c r="D32" s="17">
        <f>VLOOKUP(B32,当前走势!$B:$F,5,FALSE)/100000000</f>
        <v>394.40604000000002</v>
      </c>
      <c r="E32" s="10">
        <f>VLOOKUP(B32,'China Index ROIC'!$B:$D,2,FALSE)</f>
        <v>2.38</v>
      </c>
      <c r="F32" s="10">
        <f>VLOOKUP(B32,'China Index ROIC'!$B:$D,3,FALSE)</f>
        <v>1.1736</v>
      </c>
      <c r="G32" s="10" t="str">
        <f>VLOOKUP(B32,'China Index ROIC'!B:E,4,FALSE)</f>
        <v>石油石化-油气开采及服务-油服工程</v>
      </c>
      <c r="H32" s="15" t="s">
        <v>8605</v>
      </c>
      <c r="I32" s="11" t="str">
        <f>CONCATENATE("https://gushitong.baidu.com/stock/ab-", B32)</f>
        <v>https://gushitong.baidu.com/stock/ab-600968</v>
      </c>
    </row>
    <row r="33" spans="1:9" ht="16.5" customHeight="1" x14ac:dyDescent="0.15">
      <c r="A33" s="9" t="s">
        <v>1241</v>
      </c>
      <c r="B33" s="10" t="s">
        <v>1242</v>
      </c>
      <c r="C33" s="10">
        <f>VLOOKUP(B33,当前走势!B:F,3,)</f>
        <v>10.31</v>
      </c>
      <c r="D33" s="17">
        <f>VLOOKUP(B33,当前走势!$B:$F,5,FALSE)/100000000</f>
        <v>147.61545000000001</v>
      </c>
      <c r="E33" s="10">
        <f>VLOOKUP(B33,'China Index ROIC'!$B:$D,2,FALSE)</f>
        <v>4.51</v>
      </c>
      <c r="F33" s="10">
        <f>VLOOKUP(B33,'China Index ROIC'!$B:$D,3,FALSE)</f>
        <v>2.0041000000000002</v>
      </c>
      <c r="G33" s="10" t="str">
        <f>VLOOKUP(B33,'China Index ROIC'!B:E,4,FALSE)</f>
        <v>社会服务-其他社会服务-专业服务</v>
      </c>
      <c r="H33" s="15" t="s">
        <v>8603</v>
      </c>
      <c r="I33" s="11" t="str">
        <f>CONCATENATE("https://gushitong.baidu.com/stock/ab-", B33)</f>
        <v>https://gushitong.baidu.com/stock/ab-300012</v>
      </c>
    </row>
    <row r="34" spans="1:9" ht="16.5" customHeight="1" x14ac:dyDescent="0.15">
      <c r="A34" s="9" t="s">
        <v>30</v>
      </c>
      <c r="B34" s="10" t="s">
        <v>31</v>
      </c>
      <c r="C34" s="10">
        <f>VLOOKUP(B34,当前走势!B:F,3,)</f>
        <v>65.25</v>
      </c>
      <c r="D34" s="17">
        <f>VLOOKUP(B34,当前走势!$B:$F,5,FALSE)/100000000</f>
        <v>4488.2655999999997</v>
      </c>
      <c r="E34" s="10">
        <f>VLOOKUP(B34,'China Index ROIC'!$B:$D,2,FALSE)</f>
        <v>3.78</v>
      </c>
      <c r="F34" s="10">
        <f>VLOOKUP(B34,'China Index ROIC'!$B:$D,3,FALSE)</f>
        <v>0.90859999999999996</v>
      </c>
      <c r="G34" s="10" t="str">
        <f>VLOOKUP(B34,'China Index ROIC'!B:E,4,FALSE)</f>
        <v>家用电器-白色家电-空调</v>
      </c>
      <c r="H34" s="15" t="s">
        <v>8596</v>
      </c>
      <c r="I34" s="11" t="str">
        <f>CONCATENATE("https://gushitong.baidu.com/stock/ab-", B34)</f>
        <v>https://gushitong.baidu.com/stock/ab-000333</v>
      </c>
    </row>
    <row r="35" spans="1:9" ht="16.5" customHeight="1" x14ac:dyDescent="0.15">
      <c r="A35" s="9" t="s">
        <v>308</v>
      </c>
      <c r="B35" s="10" t="s">
        <v>309</v>
      </c>
      <c r="C35" s="10">
        <f>VLOOKUP(B35,当前走势!B:F,3,)</f>
        <v>17.5</v>
      </c>
      <c r="D35" s="17">
        <f>VLOOKUP(B35,当前走势!$B:$F,5,FALSE)/100000000</f>
        <v>642.32875999999999</v>
      </c>
      <c r="E35" s="10">
        <f>VLOOKUP(B35,'China Index ROIC'!$B:$D,2,FALSE)</f>
        <v>3.28</v>
      </c>
      <c r="F35" s="10">
        <f>VLOOKUP(B35,'China Index ROIC'!$B:$D,3,FALSE)</f>
        <v>0.42</v>
      </c>
      <c r="G35" s="10" t="str">
        <f>VLOOKUP(B35,'China Index ROIC'!B:E,4,FALSE)</f>
        <v>家用电器-白色家电-家电零部件</v>
      </c>
      <c r="H35" s="15" t="s">
        <v>8596</v>
      </c>
      <c r="I35" s="11" t="str">
        <f>CONCATENATE("https://gushitong.baidu.com/stock/ab-", B35)</f>
        <v>https://gushitong.baidu.com/stock/ab-002050</v>
      </c>
    </row>
    <row r="36" spans="1:9" ht="16.5" customHeight="1" x14ac:dyDescent="0.15">
      <c r="A36" s="9" t="s">
        <v>1161</v>
      </c>
      <c r="B36" s="10" t="s">
        <v>1162</v>
      </c>
      <c r="C36" s="10">
        <f>VLOOKUP(B36,当前走势!B:F,3,)</f>
        <v>33.659999999999997</v>
      </c>
      <c r="D36" s="17">
        <f>VLOOKUP(B36,当前走势!$B:$F,5,FALSE)/100000000</f>
        <v>182.48697000000001</v>
      </c>
      <c r="E36" s="10">
        <f>VLOOKUP(B36,'China Index ROIC'!$B:$D,2,FALSE)</f>
        <v>3.19</v>
      </c>
      <c r="F36" s="10">
        <f>VLOOKUP(B36,'China Index ROIC'!$B:$D,3,FALSE)</f>
        <v>1.0973999999999999</v>
      </c>
      <c r="G36" s="10" t="str">
        <f>VLOOKUP(B36,'China Index ROIC'!B:E,4,FALSE)</f>
        <v>电子-半导体-分立器件</v>
      </c>
      <c r="H36" s="15" t="s">
        <v>8598</v>
      </c>
      <c r="I36" s="11" t="str">
        <f>CONCATENATE("https://gushitong.baidu.com/stock/ab-", B36)</f>
        <v>https://gushitong.baidu.com/stock/ab-300373</v>
      </c>
    </row>
    <row r="37" spans="1:9" ht="16.5" customHeight="1" x14ac:dyDescent="0.15">
      <c r="A37" s="9" t="s">
        <v>455</v>
      </c>
      <c r="B37" s="10" t="s">
        <v>456</v>
      </c>
      <c r="C37" s="10">
        <f>VLOOKUP(B37,当前走势!B:F,3,)</f>
        <v>96.64</v>
      </c>
      <c r="D37" s="17">
        <f>VLOOKUP(B37,当前走势!$B:$F,5,FALSE)/100000000</f>
        <v>493.64875000000001</v>
      </c>
      <c r="E37" s="10">
        <f>VLOOKUP(B37,'China Index ROIC'!$B:$D,2,FALSE)</f>
        <v>3.11</v>
      </c>
      <c r="F37" s="10">
        <f>VLOOKUP(B37,'China Index ROIC'!$B:$D,3,FALSE)</f>
        <v>0.95469999999999999</v>
      </c>
      <c r="G37" s="10" t="str">
        <f>VLOOKUP(B37,'China Index ROIC'!B:E,4,FALSE)</f>
        <v>电子-元件-印制电路板</v>
      </c>
      <c r="H37" s="15" t="s">
        <v>8598</v>
      </c>
      <c r="I37" s="11" t="str">
        <f>CONCATENATE("https://gushitong.baidu.com/stock/ab-", B37)</f>
        <v>https://gushitong.baidu.com/stock/ab-002916</v>
      </c>
    </row>
    <row r="38" spans="1:9" ht="16.5" customHeight="1" x14ac:dyDescent="0.15">
      <c r="A38" s="9" t="s">
        <v>45</v>
      </c>
      <c r="B38" s="10" t="s">
        <v>46</v>
      </c>
      <c r="C38" s="10">
        <f>VLOOKUP(B38,当前走势!B:F,3,)</f>
        <v>35.9</v>
      </c>
      <c r="D38" s="17">
        <f>VLOOKUP(B38,当前走势!$B:$F,5,FALSE)/100000000</f>
        <v>2580.4009000000001</v>
      </c>
      <c r="E38" s="10">
        <f>VLOOKUP(B38,'China Index ROIC'!$B:$D,2,FALSE)</f>
        <v>3.07</v>
      </c>
      <c r="F38" s="10">
        <f>VLOOKUP(B38,'China Index ROIC'!$B:$D,3,FALSE)</f>
        <v>2.2627999999999999</v>
      </c>
      <c r="G38" s="10" t="str">
        <f>VLOOKUP(B38,'China Index ROIC'!B:E,4,FALSE)</f>
        <v>电子-消费电子-消费电子零部件及组装</v>
      </c>
      <c r="H38" s="15" t="s">
        <v>8598</v>
      </c>
      <c r="I38" s="11" t="str">
        <f>CONCATENATE("https://gushitong.baidu.com/stock/ab-", B38)</f>
        <v>https://gushitong.baidu.com/stock/ab-002475</v>
      </c>
    </row>
    <row r="39" spans="1:9" ht="16.5" customHeight="1" x14ac:dyDescent="0.15">
      <c r="A39" s="9" t="s">
        <v>104</v>
      </c>
      <c r="B39" s="10" t="s">
        <v>105</v>
      </c>
      <c r="C39" s="10">
        <f>VLOOKUP(B39,当前走势!B:F,3,)</f>
        <v>294.68</v>
      </c>
      <c r="D39" s="17">
        <f>VLOOKUP(B39,当前走势!$B:$F,5,FALSE)/100000000</f>
        <v>1568.4906000000001</v>
      </c>
      <c r="E39" s="10">
        <f>VLOOKUP(B39,'China Index ROIC'!$B:$D,2,FALSE)</f>
        <v>2.95</v>
      </c>
      <c r="F39" s="10">
        <f>VLOOKUP(B39,'China Index ROIC'!$B:$D,3,FALSE)</f>
        <v>1.6884999999999999</v>
      </c>
      <c r="G39" s="10" t="str">
        <f>VLOOKUP(B39,'China Index ROIC'!B:E,4,FALSE)</f>
        <v>电子-半导体-半导体设备</v>
      </c>
      <c r="H39" s="15" t="s">
        <v>8598</v>
      </c>
      <c r="I39" s="11" t="str">
        <f>CONCATENATE("https://gushitong.baidu.com/stock/ab-", B39)</f>
        <v>https://gushitong.baidu.com/stock/ab-002371</v>
      </c>
    </row>
    <row r="40" spans="1:9" ht="16.5" customHeight="1" x14ac:dyDescent="0.15">
      <c r="A40" s="9" t="s">
        <v>856</v>
      </c>
      <c r="B40" s="10" t="s">
        <v>857</v>
      </c>
      <c r="C40" s="10">
        <f>VLOOKUP(B40,当前走势!B:F,3,)</f>
        <v>23.49</v>
      </c>
      <c r="D40" s="17">
        <f>VLOOKUP(B40,当前走势!$B:$F,5,FALSE)/100000000</f>
        <v>164.19881000000001</v>
      </c>
      <c r="E40" s="10">
        <f>VLOOKUP(B40,'China Index ROIC'!$B:$D,2,FALSE)</f>
        <v>2.74</v>
      </c>
      <c r="F40" s="10">
        <f>VLOOKUP(B40,'China Index ROIC'!$B:$D,3,FALSE)</f>
        <v>0.81740000000000002</v>
      </c>
      <c r="G40" s="10" t="str">
        <f>VLOOKUP(B40,'China Index ROIC'!B:E,4,FALSE)</f>
        <v>汽车-汽车零部件-轮胎轮毂</v>
      </c>
      <c r="H40" s="15" t="s">
        <v>8596</v>
      </c>
      <c r="I40" s="11" t="str">
        <f>CONCATENATE("https://gushitong.baidu.com/stock/ab-", B40)</f>
        <v>https://gushitong.baidu.com/stock/ab-002984</v>
      </c>
    </row>
    <row r="41" spans="1:9" ht="16.5" customHeight="1" x14ac:dyDescent="0.15">
      <c r="A41" s="9" t="s">
        <v>1393</v>
      </c>
      <c r="B41" s="10" t="s">
        <v>1394</v>
      </c>
      <c r="C41" s="10">
        <f>VLOOKUP(B41,当前走势!B:F,3,)</f>
        <v>32.57</v>
      </c>
      <c r="D41" s="17">
        <f>VLOOKUP(B41,当前走势!$B:$F,5,FALSE)/100000000</f>
        <v>119.29810500000001</v>
      </c>
      <c r="E41" s="10">
        <f>VLOOKUP(B41,'China Index ROIC'!$B:$D,2,FALSE)</f>
        <v>2.67</v>
      </c>
      <c r="F41" s="10">
        <f>VLOOKUP(B41,'China Index ROIC'!$B:$D,3,FALSE)</f>
        <v>1.7949999999999999</v>
      </c>
      <c r="G41" s="10" t="str">
        <f>VLOOKUP(B41,'China Index ROIC'!B:E,4,FALSE)</f>
        <v>计算机-IT服务-IT服务Ⅲ</v>
      </c>
      <c r="H41" s="15" t="s">
        <v>8598</v>
      </c>
      <c r="I41" s="11" t="str">
        <f>CONCATENATE("https://gushitong.baidu.com/stock/ab-", B41)</f>
        <v>https://gushitong.baidu.com/stock/ab-300496</v>
      </c>
    </row>
    <row r="42" spans="1:9" ht="16.5" customHeight="1" x14ac:dyDescent="0.15">
      <c r="A42" s="9" t="s">
        <v>360</v>
      </c>
      <c r="B42" s="10" t="s">
        <v>361</v>
      </c>
      <c r="C42" s="10">
        <f>VLOOKUP(B42,当前走势!B:F,3,)</f>
        <v>29.77</v>
      </c>
      <c r="D42" s="17">
        <f>VLOOKUP(B42,当前走势!$B:$F,5,FALSE)/100000000</f>
        <v>556.64184999999998</v>
      </c>
      <c r="E42" s="10">
        <f>VLOOKUP(B42,'China Index ROIC'!$B:$D,2,FALSE)</f>
        <v>2.65</v>
      </c>
      <c r="F42" s="10">
        <f>VLOOKUP(B42,'China Index ROIC'!$B:$D,3,FALSE)</f>
        <v>1.6740999999999999</v>
      </c>
      <c r="G42" s="10" t="str">
        <f>VLOOKUP(B42,'China Index ROIC'!B:E,4,FALSE)</f>
        <v>电子-元件-被动元件</v>
      </c>
      <c r="H42" s="15" t="s">
        <v>8598</v>
      </c>
      <c r="I42" s="11" t="str">
        <f>CONCATENATE("https://gushitong.baidu.com/stock/ab-", B42)</f>
        <v>https://gushitong.baidu.com/stock/ab-300408</v>
      </c>
    </row>
    <row r="43" spans="1:9" ht="16.5" customHeight="1" x14ac:dyDescent="0.15">
      <c r="A43" s="9" t="s">
        <v>1169</v>
      </c>
      <c r="B43" s="10" t="s">
        <v>1170</v>
      </c>
      <c r="C43" s="10">
        <f>VLOOKUP(B43,当前走势!B:F,3,)</f>
        <v>9.19</v>
      </c>
      <c r="D43" s="17">
        <f>VLOOKUP(B43,当前走势!$B:$F,5,FALSE)/100000000</f>
        <v>181.36855</v>
      </c>
      <c r="E43" s="10">
        <f>VLOOKUP(B43,'China Index ROIC'!$B:$D,2,FALSE)</f>
        <v>2.39</v>
      </c>
      <c r="F43" s="10">
        <f>VLOOKUP(B43,'China Index ROIC'!$B:$D,3,FALSE)</f>
        <v>0.91720000000000002</v>
      </c>
      <c r="G43" s="10" t="str">
        <f>VLOOKUP(B43,'China Index ROIC'!B:E,4,FALSE)</f>
        <v>传媒-游戏-游戏Ⅲ</v>
      </c>
      <c r="H43" s="15" t="s">
        <v>8596</v>
      </c>
      <c r="I43" s="11" t="str">
        <f>CONCATENATE("https://gushitong.baidu.com/stock/ab-", B43)</f>
        <v>https://gushitong.baidu.com/stock/ab-002558</v>
      </c>
    </row>
    <row r="44" spans="1:9" ht="16.5" customHeight="1" x14ac:dyDescent="0.15">
      <c r="A44" s="9" t="s">
        <v>327</v>
      </c>
      <c r="B44" s="10" t="s">
        <v>328</v>
      </c>
      <c r="C44" s="10">
        <f>VLOOKUP(B44,当前走势!B:F,3,)</f>
        <v>34.56</v>
      </c>
      <c r="D44" s="17">
        <f>VLOOKUP(B44,当前走势!$B:$F,5,FALSE)/100000000</f>
        <v>574.56736000000001</v>
      </c>
      <c r="E44" s="10">
        <f>VLOOKUP(B44,'China Index ROIC'!$B:$D,2,FALSE)</f>
        <v>2.52</v>
      </c>
      <c r="F44" s="10">
        <f>VLOOKUP(B44,'China Index ROIC'!$B:$D,3,FALSE)</f>
        <v>1.8741000000000001</v>
      </c>
      <c r="G44" s="10" t="str">
        <f>VLOOKUP(B44,'China Index ROIC'!B:E,4,FALSE)</f>
        <v>农林牧渔-农产品加工-水产饲料</v>
      </c>
      <c r="H44" s="15" t="s">
        <v>8609</v>
      </c>
      <c r="I44" s="11" t="str">
        <f>CONCATENATE("https://gushitong.baidu.com/stock/ab-", B44)</f>
        <v>https://gushitong.baidu.com/stock/ab-002311</v>
      </c>
    </row>
    <row r="45" spans="1:9" ht="16.5" customHeight="1" x14ac:dyDescent="0.15">
      <c r="A45" s="9" t="s">
        <v>873</v>
      </c>
      <c r="B45" s="10" t="s">
        <v>874</v>
      </c>
      <c r="C45" s="10">
        <f>VLOOKUP(B45,当前走势!B:F,3,)</f>
        <v>49.85</v>
      </c>
      <c r="D45" s="17">
        <f>VLOOKUP(B45,当前走势!$B:$F,5,FALSE)/100000000</f>
        <v>158.78359</v>
      </c>
      <c r="E45" s="10">
        <f>VLOOKUP(B45,'China Index ROIC'!$B:$D,2,FALSE)</f>
        <v>2.2799999999999998</v>
      </c>
      <c r="F45" s="10">
        <f>VLOOKUP(B45,'China Index ROIC'!$B:$D,3,FALSE)</f>
        <v>0.68779999999999997</v>
      </c>
      <c r="G45" s="10" t="str">
        <f>VLOOKUP(B45,'China Index ROIC'!B:E,4,FALSE)</f>
        <v>电子-半导体-半导体材料</v>
      </c>
      <c r="H45" s="15" t="s">
        <v>8598</v>
      </c>
      <c r="I45" s="11" t="str">
        <f>CONCATENATE("https://gushitong.baidu.com/stock/ab-", B45)</f>
        <v>https://gushitong.baidu.com/stock/ab-002409</v>
      </c>
    </row>
    <row r="46" spans="1:9" ht="16.5" customHeight="1" x14ac:dyDescent="0.15">
      <c r="A46" s="9" t="s">
        <v>902</v>
      </c>
      <c r="B46" s="10" t="s">
        <v>903</v>
      </c>
      <c r="C46" s="10">
        <f>VLOOKUP(B46,当前走势!B:F,3,)</f>
        <v>27.82</v>
      </c>
      <c r="D46" s="17">
        <f>VLOOKUP(B46,当前走势!$B:$F,5,FALSE)/100000000</f>
        <v>237.91906</v>
      </c>
      <c r="E46" s="10">
        <f>VLOOKUP(B46,'China Index ROIC'!$B:$D,2,FALSE)</f>
        <v>2.13</v>
      </c>
      <c r="F46" s="10">
        <f>VLOOKUP(B46,'China Index ROIC'!$B:$D,3,FALSE)</f>
        <v>0.63800000000000001</v>
      </c>
      <c r="G46" s="10" t="str">
        <f>VLOOKUP(B46,'China Index ROIC'!B:E,4,FALSE)</f>
        <v>电子-元件-印制电路板</v>
      </c>
      <c r="H46" s="15" t="s">
        <v>8598</v>
      </c>
      <c r="I46" s="11" t="str">
        <f>CONCATENATE("https://gushitong.baidu.com/stock/ab-", B46)</f>
        <v>https://gushitong.baidu.com/stock/ab-300476</v>
      </c>
    </row>
    <row r="47" spans="1:9" ht="16.5" customHeight="1" x14ac:dyDescent="0.15">
      <c r="A47" s="9" t="s">
        <v>19</v>
      </c>
      <c r="B47" s="10" t="s">
        <v>20</v>
      </c>
      <c r="C47" s="10">
        <f>VLOOKUP(B47,当前走势!B:F,3,)</f>
        <v>38.24</v>
      </c>
      <c r="D47" s="17">
        <f>VLOOKUP(B47,当前走势!$B:$F,5,FALSE)/100000000</f>
        <v>6306.1728999999996</v>
      </c>
      <c r="E47" s="10">
        <f>VLOOKUP(B47,'China Index ROIC'!$B:$D,2,FALSE)</f>
        <v>3.09</v>
      </c>
      <c r="F47" s="10">
        <f>VLOOKUP(B47,'China Index ROIC'!$B:$D,3,FALSE)</f>
        <v>0.76719999999999999</v>
      </c>
      <c r="G47" s="10" t="str">
        <f>VLOOKUP(B47,'China Index ROIC'!B:E,4,FALSE)</f>
        <v>煤炭-煤炭开采加工-煤炭开采</v>
      </c>
      <c r="H47" s="15" t="s">
        <v>14922</v>
      </c>
      <c r="I47" s="11" t="str">
        <f>CONCATENATE("https://gushitong.baidu.com/stock/ab-", B47)</f>
        <v>https://gushitong.baidu.com/stock/ab-601088</v>
      </c>
    </row>
    <row r="48" spans="1:9" ht="16.5" customHeight="1" x14ac:dyDescent="0.15">
      <c r="A48" s="9" t="s">
        <v>608</v>
      </c>
      <c r="B48" s="10" t="s">
        <v>609</v>
      </c>
      <c r="C48" s="10">
        <f>VLOOKUP(B48,当前走势!B:F,3,)</f>
        <v>13.62</v>
      </c>
      <c r="D48" s="17">
        <f>VLOOKUP(B48,当前走势!$B:$F,5,FALSE)/100000000</f>
        <v>366.82184000000001</v>
      </c>
      <c r="E48" s="10">
        <f>VLOOKUP(B48,'China Index ROIC'!$B:$D,2,FALSE)</f>
        <v>2.74</v>
      </c>
      <c r="F48" s="10">
        <f>VLOOKUP(B48,'China Index ROIC'!$B:$D,3,FALSE)</f>
        <v>0.46179999999999999</v>
      </c>
      <c r="G48" s="10" t="str">
        <f>VLOOKUP(B48,'China Index ROIC'!B:E,4,FALSE)</f>
        <v>煤炭-煤炭开采加工-煤炭开采</v>
      </c>
      <c r="H48" s="15" t="s">
        <v>14922</v>
      </c>
      <c r="I48" s="11" t="str">
        <f>CONCATENATE("https://gushitong.baidu.com/stock/ab-", B48)</f>
        <v>https://gushitong.baidu.com/stock/ab-600985</v>
      </c>
    </row>
    <row r="49" spans="1:9" ht="16.5" customHeight="1" x14ac:dyDescent="0.15">
      <c r="A49" s="9" t="s">
        <v>634</v>
      </c>
      <c r="B49" s="10" t="s">
        <v>635</v>
      </c>
      <c r="C49" s="10">
        <f>VLOOKUP(B49,当前走势!B:F,3,)</f>
        <v>15.73</v>
      </c>
      <c r="D49" s="17">
        <f>VLOOKUP(B49,当前走势!$B:$F,5,FALSE)/100000000</f>
        <v>332.46510999999998</v>
      </c>
      <c r="E49" s="10">
        <f>VLOOKUP(B49,'China Index ROIC'!$B:$D,2,FALSE)</f>
        <v>2.56</v>
      </c>
      <c r="F49" s="10">
        <f>VLOOKUP(B49,'China Index ROIC'!$B:$D,3,FALSE)</f>
        <v>1.206</v>
      </c>
      <c r="G49" s="10" t="str">
        <f>VLOOKUP(B49,'China Index ROIC'!B:E,4,FALSE)</f>
        <v>煤炭-煤炭开采加工-煤炭开采</v>
      </c>
      <c r="H49" s="15" t="s">
        <v>14922</v>
      </c>
      <c r="I49" s="11" t="str">
        <f>CONCATENATE("https://gushitong.baidu.com/stock/ab-", B49)</f>
        <v>https://gushitong.baidu.com/stock/ab-002128</v>
      </c>
    </row>
    <row r="50" spans="1:9" ht="16.5" customHeight="1" x14ac:dyDescent="0.15">
      <c r="A50" s="9" t="s">
        <v>172</v>
      </c>
      <c r="B50" s="10" t="s">
        <v>173</v>
      </c>
      <c r="C50" s="10">
        <f>VLOOKUP(B50,当前走势!B:F,3,)</f>
        <v>13.2</v>
      </c>
      <c r="D50" s="17">
        <f>VLOOKUP(B50,当前走势!$B:$F,5,FALSE)/100000000</f>
        <v>777.10675000000003</v>
      </c>
      <c r="E50" s="10">
        <f>VLOOKUP(B50,'China Index ROIC'!$B:$D,2,FALSE)</f>
        <v>2.54</v>
      </c>
      <c r="F50" s="10">
        <f>VLOOKUP(B50,'China Index ROIC'!$B:$D,3,FALSE)</f>
        <v>2.0981999999999998</v>
      </c>
      <c r="G50" s="10" t="str">
        <f>VLOOKUP(B50,'China Index ROIC'!B:E,4,FALSE)</f>
        <v>煤炭-煤炭开采加工-煤炭开采</v>
      </c>
      <c r="H50" s="15" t="s">
        <v>14922</v>
      </c>
      <c r="I50" s="11" t="str">
        <f>CONCATENATE("https://gushitong.baidu.com/stock/ab-", B50)</f>
        <v>https://gushitong.baidu.com/stock/ab-600188</v>
      </c>
    </row>
    <row r="51" spans="1:9" ht="16.5" customHeight="1" x14ac:dyDescent="0.15">
      <c r="A51" s="9" t="s">
        <v>381</v>
      </c>
      <c r="B51" s="10" t="s">
        <v>382</v>
      </c>
      <c r="C51" s="10">
        <f>VLOOKUP(B51,当前走势!B:F,3,)</f>
        <v>15.43</v>
      </c>
      <c r="D51" s="17">
        <f>VLOOKUP(B51,当前走势!$B:$F,5,FALSE)/100000000</f>
        <v>531.60434999999995</v>
      </c>
      <c r="E51" s="10">
        <f>VLOOKUP(B51,'China Index ROIC'!$B:$D,2,FALSE)</f>
        <v>2.89</v>
      </c>
      <c r="F51" s="10">
        <f>VLOOKUP(B51,'China Index ROIC'!$B:$D,3,FALSE)</f>
        <v>0.8145</v>
      </c>
      <c r="G51" s="10" t="str">
        <f>VLOOKUP(B51,'China Index ROIC'!B:E,4,FALSE)</f>
        <v>交通运输-物流-物流Ⅲ</v>
      </c>
      <c r="H51" s="15" t="s">
        <v>8603</v>
      </c>
      <c r="I51" s="11" t="str">
        <f>CONCATENATE("https://gushitong.baidu.com/stock/ab-", B51)</f>
        <v>https://gushitong.baidu.com/stock/ab-600233</v>
      </c>
    </row>
    <row r="52" spans="1:9" ht="16.5" customHeight="1" x14ac:dyDescent="0.15">
      <c r="A52" s="9" t="s">
        <v>179</v>
      </c>
      <c r="B52" s="10" t="s">
        <v>180</v>
      </c>
      <c r="C52" s="10">
        <f>VLOOKUP(B52,当前走势!B:F,3,)</f>
        <v>5.99</v>
      </c>
      <c r="D52" s="17">
        <f>VLOOKUP(B52,当前走势!$B:$F,5,FALSE)/100000000</f>
        <v>1093.6090899999999</v>
      </c>
      <c r="E52" s="10">
        <f>VLOOKUP(B52,'China Index ROIC'!$B:$D,2,FALSE)</f>
        <v>2.0299999999999998</v>
      </c>
      <c r="F52" s="10">
        <f>VLOOKUP(B52,'China Index ROIC'!$B:$D,3,FALSE)</f>
        <v>0.41170000000000001</v>
      </c>
      <c r="G52" s="10" t="str">
        <f>VLOOKUP(B52,'China Index ROIC'!B:E,4,FALSE)</f>
        <v>交通运输-公路铁路运输-铁路运输</v>
      </c>
      <c r="H52" s="15" t="s">
        <v>8603</v>
      </c>
      <c r="I52" s="11" t="str">
        <f>CONCATENATE("https://gushitong.baidu.com/stock/ab-", B52)</f>
        <v>https://gushitong.baidu.com/stock/ab-601006</v>
      </c>
    </row>
    <row r="53" spans="1:9" ht="16.5" customHeight="1" x14ac:dyDescent="0.15">
      <c r="A53" s="9" t="s">
        <v>774</v>
      </c>
      <c r="B53" s="10" t="s">
        <v>775</v>
      </c>
      <c r="C53" s="10">
        <f>VLOOKUP(B53,当前走势!B:F,3,)</f>
        <v>4.93</v>
      </c>
      <c r="D53" s="17">
        <f>VLOOKUP(B53,当前走势!$B:$F,5,FALSE)/100000000</f>
        <v>292.14828</v>
      </c>
      <c r="E53" s="10">
        <f>VLOOKUP(B53,'China Index ROIC'!$B:$D,2,FALSE)</f>
        <v>2.57</v>
      </c>
      <c r="F53" s="10">
        <f>VLOOKUP(B53,'China Index ROIC'!$B:$D,3,FALSE)</f>
        <v>0.31119999999999998</v>
      </c>
      <c r="G53" s="10" t="str">
        <f>VLOOKUP(B53,'China Index ROIC'!B:E,4,FALSE)</f>
        <v>交通运输-港口航运-港口</v>
      </c>
      <c r="H53" s="15" t="s">
        <v>8603</v>
      </c>
      <c r="I53" s="11" t="str">
        <f>CONCATENATE("https://gushitong.baidu.com/stock/ab-", B53)</f>
        <v>https://gushitong.baidu.com/stock/ab-601000</v>
      </c>
    </row>
    <row r="54" spans="1:9" ht="16.5" customHeight="1" x14ac:dyDescent="0.15">
      <c r="A54" s="9" t="s">
        <v>132</v>
      </c>
      <c r="B54" s="10" t="s">
        <v>133</v>
      </c>
      <c r="C54" s="10">
        <f>VLOOKUP(B54,当前走势!B:F,3,)</f>
        <v>5.75</v>
      </c>
      <c r="D54" s="17">
        <f>VLOOKUP(B54,当前走势!$B:$F,5,FALSE)/100000000</f>
        <v>1334.8382200000001</v>
      </c>
      <c r="E54" s="10">
        <f>VLOOKUP(B54,'China Index ROIC'!$B:$D,2,FALSE)</f>
        <v>2.17</v>
      </c>
      <c r="F54" s="10">
        <f>VLOOKUP(B54,'China Index ROIC'!$B:$D,3,FALSE)</f>
        <v>0.7369</v>
      </c>
      <c r="G54" s="10" t="str">
        <f>VLOOKUP(B54,'China Index ROIC'!B:E,4,FALSE)</f>
        <v>交通运输-港口航运-港口</v>
      </c>
      <c r="H54" s="15" t="s">
        <v>8603</v>
      </c>
      <c r="I54" s="11" t="str">
        <f>CONCATENATE("https://gushitong.baidu.com/stock/ab-", B54)</f>
        <v>https://gushitong.baidu.com/stock/ab-600018</v>
      </c>
    </row>
    <row r="55" spans="1:9" ht="16.5" customHeight="1" x14ac:dyDescent="0.15">
      <c r="A55" s="9" t="s">
        <v>891</v>
      </c>
      <c r="B55" s="10" t="s">
        <v>892</v>
      </c>
      <c r="C55" s="10">
        <f>VLOOKUP(B55,当前走势!B:F,3,)</f>
        <v>8.8000000000000007</v>
      </c>
      <c r="D55" s="17">
        <f>VLOOKUP(B55,当前走势!$B:$F,5,FALSE)/100000000</f>
        <v>154.67443</v>
      </c>
      <c r="E55" s="10">
        <f>VLOOKUP(B55,'China Index ROIC'!$B:$D,2,FALSE)</f>
        <v>2.96</v>
      </c>
      <c r="F55" s="10">
        <f>VLOOKUP(B55,'China Index ROIC'!$B:$D,3,FALSE)</f>
        <v>0.9143</v>
      </c>
      <c r="G55" s="10" t="str">
        <f>VLOOKUP(B55,'China Index ROIC'!B:E,4,FALSE)</f>
        <v>建筑装饰-建筑装饰-专业工程</v>
      </c>
      <c r="H55" s="15" t="s">
        <v>8609</v>
      </c>
      <c r="I55" s="11" t="str">
        <f>CONCATENATE("https://gushitong.baidu.com/stock/ab-", B55)</f>
        <v>https://gushitong.baidu.com/stock/ab-600970</v>
      </c>
    </row>
    <row r="56" spans="1:9" ht="16.5" customHeight="1" x14ac:dyDescent="0.15">
      <c r="A56" s="9" t="s">
        <v>527</v>
      </c>
      <c r="B56" s="10" t="s">
        <v>528</v>
      </c>
      <c r="C56" s="10">
        <f>VLOOKUP(B56,当前走势!B:F,3,)</f>
        <v>24.05</v>
      </c>
      <c r="D56" s="17">
        <f>VLOOKUP(B56,当前走势!$B:$F,5,FALSE)/100000000</f>
        <v>392.60399999999998</v>
      </c>
      <c r="E56" s="10">
        <f>VLOOKUP(B56,'China Index ROIC'!$B:$D,2,FALSE)</f>
        <v>3.54</v>
      </c>
      <c r="F56" s="10">
        <f>VLOOKUP(B56,'China Index ROIC'!$B:$D,3,FALSE)</f>
        <v>2.1762999999999999</v>
      </c>
      <c r="G56" s="10" t="str">
        <f>VLOOKUP(B56,'China Index ROIC'!B:E,4,FALSE)</f>
        <v>建筑材料-建筑材料-其他建材</v>
      </c>
      <c r="H56" s="15" t="s">
        <v>8609</v>
      </c>
      <c r="I56" s="11" t="str">
        <f>CONCATENATE("https://gushitong.baidu.com/stock/ab-", B56)</f>
        <v>https://gushitong.baidu.com/stock/ab-000786</v>
      </c>
    </row>
    <row r="57" spans="1:9" ht="16.5" customHeight="1" x14ac:dyDescent="0.15">
      <c r="A57" s="9" t="s">
        <v>1355</v>
      </c>
      <c r="B57" s="10" t="s">
        <v>1356</v>
      </c>
      <c r="C57" s="10">
        <f>VLOOKUP(B57,当前走势!B:F,3,)</f>
        <v>9.48</v>
      </c>
      <c r="D57" s="17">
        <f>VLOOKUP(B57,当前走势!$B:$F,5,FALSE)/100000000</f>
        <v>159.08611999999999</v>
      </c>
      <c r="E57" s="10">
        <f>VLOOKUP(B57,'China Index ROIC'!$B:$D,2,FALSE)</f>
        <v>2.36</v>
      </c>
      <c r="F57" s="10">
        <f>VLOOKUP(B57,'China Index ROIC'!$B:$D,3,FALSE)</f>
        <v>1.3399000000000001</v>
      </c>
      <c r="G57" s="10" t="str">
        <f>VLOOKUP(B57,'China Index ROIC'!B:E,4,FALSE)</f>
        <v>建筑材料-建筑材料-玻璃玻纤</v>
      </c>
      <c r="H57" s="15" t="s">
        <v>8609</v>
      </c>
      <c r="I57" s="11" t="str">
        <f>CONCATENATE("https://gushitong.baidu.com/stock/ab-", B57)</f>
        <v>https://gushitong.baidu.com/stock/ab-002080</v>
      </c>
    </row>
    <row r="58" spans="1:9" ht="16.5" customHeight="1" x14ac:dyDescent="0.15">
      <c r="A58" s="9" t="s">
        <v>1133</v>
      </c>
      <c r="B58" s="10" t="s">
        <v>1134</v>
      </c>
      <c r="C58" s="10">
        <f>VLOOKUP(B58,当前走势!B:F,3,)</f>
        <v>23.44</v>
      </c>
      <c r="D58" s="17">
        <f>VLOOKUP(B58,当前走势!$B:$F,5,FALSE)/100000000</f>
        <v>177.32007999999999</v>
      </c>
      <c r="E58" s="10">
        <f>VLOOKUP(B58,'China Index ROIC'!$B:$D,2,FALSE)</f>
        <v>2.06</v>
      </c>
      <c r="F58" s="10">
        <f>VLOOKUP(B58,'China Index ROIC'!$B:$D,3,FALSE)</f>
        <v>0.55879999999999996</v>
      </c>
      <c r="G58" s="10" t="str">
        <f>VLOOKUP(B58,'China Index ROIC'!B:E,4,FALSE)</f>
        <v>电子-元件-被动元件</v>
      </c>
      <c r="H58" s="15" t="s">
        <v>8598</v>
      </c>
      <c r="I58" s="11" t="str">
        <f>CONCATENATE("https://gushitong.baidu.com/stock/ab-", B58)</f>
        <v>https://gushitong.baidu.com/stock/ab-002138</v>
      </c>
    </row>
    <row r="59" spans="1:9" ht="16.5" customHeight="1" x14ac:dyDescent="0.15">
      <c r="A59" s="9" t="s">
        <v>1014</v>
      </c>
      <c r="B59" s="10" t="s">
        <v>1015</v>
      </c>
      <c r="C59" s="10">
        <f>VLOOKUP(B59,当前走势!B:F,3,)</f>
        <v>26.57</v>
      </c>
      <c r="D59" s="17">
        <f>VLOOKUP(B59,当前走势!$B:$F,5,FALSE)/100000000</f>
        <v>200.88666000000001</v>
      </c>
      <c r="E59" s="10">
        <f>VLOOKUP(B59,'China Index ROIC'!$B:$D,2,FALSE)</f>
        <v>2.06</v>
      </c>
      <c r="F59" s="10">
        <f>VLOOKUP(B59,'China Index ROIC'!$B:$D,3,FALSE)</f>
        <v>0.91539999999999999</v>
      </c>
      <c r="G59" s="10" t="str">
        <f>VLOOKUP(B59,'China Index ROIC'!B:E,4,FALSE)</f>
        <v>通信-通信设备-通信网络设备及器件</v>
      </c>
      <c r="H59" s="15" t="s">
        <v>8598</v>
      </c>
      <c r="I59" s="11" t="str">
        <f>CONCATENATE("https://gushitong.baidu.com/stock/ab-", B59)</f>
        <v>https://gushitong.baidu.com/stock/ab-002281</v>
      </c>
    </row>
    <row r="60" spans="1:9" ht="16.5" customHeight="1" x14ac:dyDescent="0.15">
      <c r="A60" s="9" t="s">
        <v>515</v>
      </c>
      <c r="B60" s="10" t="s">
        <v>516</v>
      </c>
      <c r="C60" s="10">
        <f>VLOOKUP(B60,当前走势!B:F,3,)</f>
        <v>16.75</v>
      </c>
      <c r="D60" s="17">
        <f>VLOOKUP(B60,当前走势!$B:$F,5,FALSE)/100000000</f>
        <v>397.19925999999998</v>
      </c>
      <c r="E60" s="10">
        <f>VLOOKUP(B60,'China Index ROIC'!$B:$D,2,FALSE)</f>
        <v>2.8</v>
      </c>
      <c r="F60" s="10">
        <f>VLOOKUP(B60,'China Index ROIC'!$B:$D,3,FALSE)</f>
        <v>1.4936</v>
      </c>
      <c r="G60" s="10" t="str">
        <f>VLOOKUP(B60,'China Index ROIC'!B:E,4,FALSE)</f>
        <v>电子-元件-印制电路板</v>
      </c>
      <c r="H60" s="15" t="s">
        <v>8598</v>
      </c>
      <c r="I60" s="11" t="str">
        <f>CONCATENATE("https://gushitong.baidu.com/stock/ab-", B60)</f>
        <v>https://gushitong.baidu.com/stock/ab-600183</v>
      </c>
    </row>
    <row r="61" spans="1:9" ht="16.5" customHeight="1" x14ac:dyDescent="0.15">
      <c r="A61" s="9" t="s">
        <v>834</v>
      </c>
      <c r="B61" s="10" t="s">
        <v>835</v>
      </c>
      <c r="C61" s="10">
        <f>VLOOKUP(B61,当前走势!B:F,3,)</f>
        <v>5.24</v>
      </c>
      <c r="D61" s="17">
        <f>VLOOKUP(B61,当前走势!$B:$F,5,FALSE)/100000000</f>
        <v>251.66515999999999</v>
      </c>
      <c r="E61" s="10">
        <f>VLOOKUP(B61,'China Index ROIC'!$B:$D,2,FALSE)</f>
        <v>3.62</v>
      </c>
      <c r="F61" s="10">
        <f>VLOOKUP(B61,'China Index ROIC'!$B:$D,3,FALSE)</f>
        <v>0.88970000000000005</v>
      </c>
      <c r="G61" s="10" t="str">
        <f>VLOOKUP(B61,'China Index ROIC'!B:E,4,FALSE)</f>
        <v>纺织服饰-服装家纺-服装</v>
      </c>
      <c r="H61" s="15" t="s">
        <v>8607</v>
      </c>
      <c r="I61" s="11" t="str">
        <f>CONCATENATE("https://gushitong.baidu.com/stock/ab-", B61)</f>
        <v>https://gushitong.baidu.com/stock/ab-600398</v>
      </c>
    </row>
    <row r="62" spans="1:9" ht="16.5" customHeight="1" x14ac:dyDescent="0.15">
      <c r="A62" s="9" t="s">
        <v>5</v>
      </c>
      <c r="B62" s="10" t="s">
        <v>6</v>
      </c>
      <c r="C62" s="10">
        <f>VLOOKUP(B62,当前走势!B:F,3,)</f>
        <v>1266.9000000000001</v>
      </c>
      <c r="D62" s="17">
        <f>VLOOKUP(B62,当前走势!$B:$F,5,FALSE)/100000000</f>
        <v>15914.77</v>
      </c>
      <c r="E62" s="10">
        <f>VLOOKUP(B62,'China Index ROIC'!$B:$D,2,FALSE)</f>
        <v>7.6</v>
      </c>
      <c r="F62" s="10">
        <f>VLOOKUP(B62,'China Index ROIC'!$B:$D,3,FALSE)</f>
        <v>1.3796999999999999</v>
      </c>
      <c r="G62" s="10" t="str">
        <f>VLOOKUP(B62,'China Index ROIC'!B:E,4,FALSE)</f>
        <v>食品饮料-白酒-白酒Ⅲ</v>
      </c>
      <c r="H62" s="15" t="s">
        <v>8596</v>
      </c>
      <c r="I62" s="11" t="str">
        <f>CONCATENATE("https://gushitong.baidu.com/stock/ab-", B62)</f>
        <v>https://gushitong.baidu.com/stock/ab-600519</v>
      </c>
    </row>
    <row r="63" spans="1:9" ht="16.5" customHeight="1" x14ac:dyDescent="0.15">
      <c r="A63" s="9" t="s">
        <v>1131</v>
      </c>
      <c r="B63" s="10" t="s">
        <v>1132</v>
      </c>
      <c r="C63" s="10">
        <f>VLOOKUP(B63,当前走势!B:F,3,)</f>
        <v>84.37</v>
      </c>
      <c r="D63" s="17">
        <f>VLOOKUP(B63,当前走势!$B:$F,5,FALSE)/100000000</f>
        <v>189.83250000000001</v>
      </c>
      <c r="E63" s="10">
        <f>VLOOKUP(B63,'China Index ROIC'!$B:$D,2,FALSE)</f>
        <v>5.92</v>
      </c>
      <c r="F63" s="10">
        <f>VLOOKUP(B63,'China Index ROIC'!$B:$D,3,FALSE)</f>
        <v>1.2579</v>
      </c>
      <c r="G63" s="10" t="str">
        <f>VLOOKUP(B63,'China Index ROIC'!B:E,4,FALSE)</f>
        <v>电子-元件-被动元件</v>
      </c>
      <c r="H63" s="15" t="s">
        <v>8598</v>
      </c>
      <c r="I63" s="11" t="str">
        <f>CONCATENATE("https://gushitong.baidu.com/stock/ab-", B63)</f>
        <v>https://gushitong.baidu.com/stock/ab-600563</v>
      </c>
    </row>
    <row r="64" spans="1:9" ht="16.5" customHeight="1" x14ac:dyDescent="0.15">
      <c r="A64" s="9" t="s">
        <v>141</v>
      </c>
      <c r="B64" s="10" t="s">
        <v>142</v>
      </c>
      <c r="C64" s="10">
        <f>VLOOKUP(B64,当前走势!B:F,3,)</f>
        <v>51.75</v>
      </c>
      <c r="D64" s="17">
        <f>VLOOKUP(B64,当前走势!$B:$F,5,FALSE)/100000000</f>
        <v>1036.5454299999999</v>
      </c>
      <c r="E64" s="10">
        <f>VLOOKUP(B64,'China Index ROIC'!$B:$D,2,FALSE)</f>
        <v>2.61</v>
      </c>
      <c r="F64" s="10">
        <f>VLOOKUP(B64,'China Index ROIC'!$B:$D,3,FALSE)</f>
        <v>0.77229999999999999</v>
      </c>
      <c r="G64" s="10" t="str">
        <f>VLOOKUP(B64,'China Index ROIC'!B:E,4,FALSE)</f>
        <v>汽车-汽车零部件-车身附件及饰件</v>
      </c>
      <c r="H64" s="15" t="s">
        <v>8596</v>
      </c>
      <c r="I64" s="11" t="str">
        <f>CONCATENATE("https://gushitong.baidu.com/stock/ab-", B64)</f>
        <v>https://gushitong.baidu.com/stock/ab-600660</v>
      </c>
    </row>
    <row r="65" spans="1:9" ht="16.5" customHeight="1" x14ac:dyDescent="0.15">
      <c r="A65" s="9" t="s">
        <v>612</v>
      </c>
      <c r="B65" s="10" t="s">
        <v>613</v>
      </c>
      <c r="C65" s="10">
        <f>VLOOKUP(B65,当前走势!B:F,3,)</f>
        <v>18.63</v>
      </c>
      <c r="D65" s="17">
        <f>VLOOKUP(B65,当前走势!$B:$F,5,FALSE)/100000000</f>
        <v>341.73545000000001</v>
      </c>
      <c r="E65" s="10">
        <f>VLOOKUP(B65,'China Index ROIC'!$B:$D,2,FALSE)</f>
        <v>2.35</v>
      </c>
      <c r="F65" s="10">
        <f>VLOOKUP(B65,'China Index ROIC'!$B:$D,3,FALSE)</f>
        <v>1.9561999999999999</v>
      </c>
      <c r="G65" s="10" t="str">
        <f>VLOOKUP(B65,'China Index ROIC'!B:E,4,FALSE)</f>
        <v>基础化工-农化制品-磷肥及磷化工</v>
      </c>
      <c r="H65" s="15" t="s">
        <v>8609</v>
      </c>
      <c r="I65" s="11" t="str">
        <f>CONCATENATE("https://gushitong.baidu.com/stock/ab-", B65)</f>
        <v>https://gushitong.baidu.com/stock/ab-600096</v>
      </c>
    </row>
    <row r="66" spans="1:9" ht="16.5" customHeight="1" x14ac:dyDescent="0.15">
      <c r="A66" s="9" t="s">
        <v>404</v>
      </c>
      <c r="B66" s="10" t="s">
        <v>405</v>
      </c>
      <c r="C66" s="10">
        <f>VLOOKUP(B66,当前走势!B:F,3,)</f>
        <v>15.06</v>
      </c>
      <c r="D66" s="17">
        <f>VLOOKUP(B66,当前走势!$B:$F,5,FALSE)/100000000</f>
        <v>506.97822000000002</v>
      </c>
      <c r="E66" s="10">
        <f>VLOOKUP(B66,'China Index ROIC'!$B:$D,2,FALSE)</f>
        <v>2.46</v>
      </c>
      <c r="F66" s="10">
        <f>VLOOKUP(B66,'China Index ROIC'!$B:$D,3,FALSE)</f>
        <v>1.7232000000000001</v>
      </c>
      <c r="G66" s="10" t="str">
        <f>VLOOKUP(B66,'China Index ROIC'!B:E,4,FALSE)</f>
        <v>基础化工-化学制品-其他化学制品</v>
      </c>
      <c r="H66" s="15" t="s">
        <v>8609</v>
      </c>
      <c r="I66" s="11" t="str">
        <f>CONCATENATE("https://gushitong.baidu.com/stock/ab-", B66)</f>
        <v>https://gushitong.baidu.com/stock/ab-002648</v>
      </c>
    </row>
    <row r="67" spans="1:9" ht="16.5" customHeight="1" x14ac:dyDescent="0.15">
      <c r="A67" s="9" t="s">
        <v>1271</v>
      </c>
      <c r="B67" s="10" t="s">
        <v>1272</v>
      </c>
      <c r="C67" s="10">
        <f>VLOOKUP(B67,当前走势!B:F,3,)</f>
        <v>16.91</v>
      </c>
      <c r="D67" s="17">
        <f>VLOOKUP(B67,当前走势!$B:$F,5,FALSE)/100000000</f>
        <v>164.29949999999999</v>
      </c>
      <c r="E67" s="10">
        <f>VLOOKUP(B67,'China Index ROIC'!$B:$D,2,FALSE)</f>
        <v>2.37</v>
      </c>
      <c r="F67" s="10">
        <f>VLOOKUP(B67,'China Index ROIC'!$B:$D,3,FALSE)</f>
        <v>1.4671000000000001</v>
      </c>
      <c r="G67" s="10" t="str">
        <f>VLOOKUP(B67,'China Index ROIC'!B:E,4,FALSE)</f>
        <v>基础化工-化学制品-其他化学制品</v>
      </c>
      <c r="H67" s="15" t="s">
        <v>8609</v>
      </c>
      <c r="I67" s="11" t="str">
        <f>CONCATENATE("https://gushitong.baidu.com/stock/ab-", B67)</f>
        <v>https://gushitong.baidu.com/stock/ab-002430</v>
      </c>
    </row>
    <row r="68" spans="1:9" ht="16.5" customHeight="1" x14ac:dyDescent="0.15">
      <c r="A68" s="9" t="s">
        <v>53</v>
      </c>
      <c r="B68" s="10" t="s">
        <v>54</v>
      </c>
      <c r="C68" s="10">
        <f>VLOOKUP(B68,当前走势!B:F,3,)</f>
        <v>72.760000000000005</v>
      </c>
      <c r="D68" s="17">
        <f>VLOOKUP(B68,当前走势!$B:$F,5,FALSE)/100000000</f>
        <v>2284.4796000000001</v>
      </c>
      <c r="E68" s="10">
        <f>VLOOKUP(B68,'China Index ROIC'!$B:$D,2,FALSE)</f>
        <v>2.46</v>
      </c>
      <c r="F68" s="10">
        <f>VLOOKUP(B68,'China Index ROIC'!$B:$D,3,FALSE)</f>
        <v>1.8142</v>
      </c>
      <c r="G68" s="10" t="str">
        <f>VLOOKUP(B68,'China Index ROIC'!B:E,4,FALSE)</f>
        <v>基础化工-化学制品-聚氨酯</v>
      </c>
      <c r="H68" s="15" t="s">
        <v>8609</v>
      </c>
      <c r="I68" s="11" t="str">
        <f>CONCATENATE("https://gushitong.baidu.com/stock/ab-", B68)</f>
        <v>https://gushitong.baidu.com/stock/ab-600309</v>
      </c>
    </row>
    <row r="69" spans="1:9" ht="16.5" customHeight="1" x14ac:dyDescent="0.15">
      <c r="A69" s="9" t="s">
        <v>559</v>
      </c>
      <c r="B69" s="10" t="s">
        <v>560</v>
      </c>
      <c r="C69" s="10">
        <f>VLOOKUP(B69,当前走势!B:F,3,)</f>
        <v>16.11</v>
      </c>
      <c r="D69" s="17">
        <f>VLOOKUP(B69,当前走势!$B:$F,5,FALSE)/100000000</f>
        <v>380.97825999999998</v>
      </c>
      <c r="E69" s="10">
        <f>VLOOKUP(B69,'China Index ROIC'!$B:$D,2,FALSE)</f>
        <v>2.72</v>
      </c>
      <c r="F69" s="10">
        <f>VLOOKUP(B69,'China Index ROIC'!$B:$D,3,FALSE)</f>
        <v>1.7742</v>
      </c>
      <c r="G69" s="10" t="str">
        <f>VLOOKUP(B69,'China Index ROIC'!B:E,4,FALSE)</f>
        <v>基础化工-化学原料-钛白粉</v>
      </c>
      <c r="H69" s="15" t="s">
        <v>8609</v>
      </c>
      <c r="I69" s="11" t="str">
        <f>CONCATENATE("https://gushitong.baidu.com/stock/ab-", B69)</f>
        <v>https://gushitong.baidu.com/stock/ab-002601</v>
      </c>
    </row>
    <row r="70" spans="1:9" ht="16.5" customHeight="1" x14ac:dyDescent="0.15">
      <c r="A70" s="9" t="s">
        <v>186</v>
      </c>
      <c r="B70" s="10" t="s">
        <v>187</v>
      </c>
      <c r="C70" s="10">
        <f>VLOOKUP(B70,当前走势!B:F,3,)</f>
        <v>14.63</v>
      </c>
      <c r="D70" s="17">
        <f>VLOOKUP(B70,当前走势!$B:$F,5,FALSE)/100000000</f>
        <v>1072.87057</v>
      </c>
      <c r="E70" s="10">
        <f>VLOOKUP(B70,'China Index ROIC'!$B:$D,2,FALSE)</f>
        <v>3.27</v>
      </c>
      <c r="F70" s="10">
        <f>VLOOKUP(B70,'China Index ROIC'!$B:$D,3,FALSE)</f>
        <v>1.1903999999999999</v>
      </c>
      <c r="G70" s="10" t="str">
        <f>VLOOKUP(B70,'China Index ROIC'!B:E,4,FALSE)</f>
        <v>基础化工-化学原料-煤化工</v>
      </c>
      <c r="H70" s="15" t="s">
        <v>8609</v>
      </c>
      <c r="I70" s="11" t="str">
        <f>CONCATENATE("https://gushitong.baidu.com/stock/ab-", B70)</f>
        <v>https://gushitong.baidu.com/stock/ab-600989</v>
      </c>
    </row>
    <row r="71" spans="1:9" ht="16.5" customHeight="1" x14ac:dyDescent="0.15">
      <c r="A71" s="9" t="s">
        <v>14920</v>
      </c>
      <c r="B71" s="10" t="s">
        <v>156</v>
      </c>
      <c r="C71" s="10">
        <f>VLOOKUP(B71,当前走势!B:F,3,)</f>
        <v>43.86</v>
      </c>
      <c r="D71" s="17">
        <f>VLOOKUP(B71,当前走势!$B:$F,5,FALSE)/100000000</f>
        <v>994.35176000000001</v>
      </c>
      <c r="E71" s="10">
        <f>VLOOKUP(B71,'China Index ROIC'!$B:$D,2,FALSE)</f>
        <v>4.96</v>
      </c>
      <c r="F71" s="10">
        <f>VLOOKUP(B71,'China Index ROIC'!$B:$D,3,FALSE)</f>
        <v>1.6424000000000001</v>
      </c>
      <c r="G71" s="10" t="str">
        <f>VLOOKUP(B71,'China Index ROIC'!B:E,4,FALSE)</f>
        <v>机械设备-自动化设备-工控设备</v>
      </c>
      <c r="H71" s="15" t="s">
        <v>8598</v>
      </c>
      <c r="I71" s="11" t="str">
        <f>CONCATENATE("https://gushitong.baidu.com/stock/ab-", B71)</f>
        <v>https://gushitong.baidu.com/stock/ab-300124</v>
      </c>
    </row>
    <row r="72" spans="1:9" ht="16.5" customHeight="1" x14ac:dyDescent="0.15">
      <c r="A72" s="9" t="s">
        <v>624</v>
      </c>
      <c r="B72" s="10" t="s">
        <v>625</v>
      </c>
      <c r="C72" s="10">
        <f>VLOOKUP(B72,当前走势!B:F,3,)</f>
        <v>171.1</v>
      </c>
      <c r="D72" s="17">
        <f>VLOOKUP(B72,当前走势!$B:$F,5,FALSE)/100000000</f>
        <v>351.52958000000001</v>
      </c>
      <c r="E72" s="10">
        <f>VLOOKUP(B72,'China Index ROIC'!$B:$D,2,FALSE)</f>
        <v>3.86</v>
      </c>
      <c r="F72" s="10">
        <f>VLOOKUP(B72,'China Index ROIC'!$B:$D,3,FALSE)</f>
        <v>1.6571</v>
      </c>
      <c r="G72" s="10" t="str">
        <f>VLOOKUP(B72,'China Index ROIC'!B:E,4,FALSE)</f>
        <v>机械设备-自动化设备-工控设备</v>
      </c>
      <c r="H72" s="15" t="s">
        <v>8598</v>
      </c>
      <c r="I72" s="11" t="str">
        <f>CONCATENATE("https://gushitong.baidu.com/stock/ab-", B72)</f>
        <v>https://gushitong.baidu.com/stock/ab-688188</v>
      </c>
    </row>
    <row r="73" spans="1:9" ht="16.5" customHeight="1" x14ac:dyDescent="0.15">
      <c r="A73" s="9" t="s">
        <v>14919</v>
      </c>
      <c r="B73" s="10" t="s">
        <v>629</v>
      </c>
      <c r="C73" s="10">
        <f>VLOOKUP(B73,当前走势!B:F,3,)</f>
        <v>43.2</v>
      </c>
      <c r="D73" s="17">
        <f>VLOOKUP(B73,当前走势!$B:$F,5,FALSE)/100000000</f>
        <v>343.33848</v>
      </c>
      <c r="E73" s="10">
        <f>VLOOKUP(B73,'China Index ROIC'!$B:$D,2,FALSE)</f>
        <v>4.51</v>
      </c>
      <c r="F73" s="10">
        <f>VLOOKUP(B73,'China Index ROIC'!$B:$D,3,FALSE)</f>
        <v>0.75790000000000002</v>
      </c>
      <c r="G73" s="10" t="str">
        <f>VLOOKUP(B73,'China Index ROIC'!B:E,4,FALSE)</f>
        <v>机械设备-专用设备-其他专用设备</v>
      </c>
      <c r="H73" s="15" t="s">
        <v>8605</v>
      </c>
      <c r="I73" s="11" t="str">
        <f>CONCATENATE("https://gushitong.baidu.com/stock/ab-", B73)</f>
        <v>https://gushitong.baidu.com/stock/ab-002595</v>
      </c>
    </row>
    <row r="74" spans="1:9" ht="16.5" customHeight="1" x14ac:dyDescent="0.15">
      <c r="A74" s="9" t="s">
        <v>782</v>
      </c>
      <c r="B74" s="10" t="s">
        <v>783</v>
      </c>
      <c r="C74" s="10">
        <f>VLOOKUP(B74,当前走势!B:F,3,)</f>
        <v>27.07</v>
      </c>
      <c r="D74" s="17">
        <f>VLOOKUP(B74,当前走势!$B:$F,5,FALSE)/100000000</f>
        <v>187.71295000000001</v>
      </c>
      <c r="E74" s="10">
        <f>VLOOKUP(B74,'China Index ROIC'!$B:$D,2,FALSE)</f>
        <v>3.2</v>
      </c>
      <c r="F74" s="10">
        <f>VLOOKUP(B74,'China Index ROIC'!$B:$D,3,FALSE)</f>
        <v>0.9446</v>
      </c>
      <c r="G74" s="10" t="str">
        <f>VLOOKUP(B74,'China Index ROIC'!B:E,4,FALSE)</f>
        <v>机械设备-专用设备-能源及重型设备</v>
      </c>
      <c r="H74" s="15" t="s">
        <v>8605</v>
      </c>
      <c r="I74" s="11" t="str">
        <f>CONCATENATE("https://gushitong.baidu.com/stock/ab-", B74)</f>
        <v>https://gushitong.baidu.com/stock/ab-002353</v>
      </c>
    </row>
    <row r="75" spans="1:9" ht="16.5" customHeight="1" x14ac:dyDescent="0.15">
      <c r="A75" s="9" t="s">
        <v>1191</v>
      </c>
      <c r="B75" s="10" t="s">
        <v>1192</v>
      </c>
      <c r="C75" s="10">
        <f>VLOOKUP(B75,当前走势!B:F,3,)</f>
        <v>10.89</v>
      </c>
      <c r="D75" s="17">
        <f>VLOOKUP(B75,当前走势!$B:$F,5,FALSE)/100000000</f>
        <v>167.94184999999999</v>
      </c>
      <c r="E75" s="10">
        <f>VLOOKUP(B75,'China Index ROIC'!$B:$D,2,FALSE)</f>
        <v>2.71</v>
      </c>
      <c r="F75" s="10">
        <f>VLOOKUP(B75,'China Index ROIC'!$B:$D,3,FALSE)</f>
        <v>1.3275999999999999</v>
      </c>
      <c r="G75" s="10" t="str">
        <f>VLOOKUP(B75,'China Index ROIC'!B:E,4,FALSE)</f>
        <v>机械设备-专用设备-能源及重型设备</v>
      </c>
      <c r="H75" s="15" t="s">
        <v>8605</v>
      </c>
      <c r="I75" s="11" t="str">
        <f>CONCATENATE("https://gushitong.baidu.com/stock/ab-", B75)</f>
        <v>https://gushitong.baidu.com/stock/ab-601717</v>
      </c>
    </row>
    <row r="76" spans="1:9" ht="16.5" customHeight="1" x14ac:dyDescent="0.15">
      <c r="A76" s="9" t="s">
        <v>14921</v>
      </c>
      <c r="B76" s="10" t="s">
        <v>1008</v>
      </c>
      <c r="C76" s="10">
        <f>VLOOKUP(B76,当前走势!B:F,3,)</f>
        <v>5.3</v>
      </c>
      <c r="D76" s="17">
        <f>VLOOKUP(B76,当前走势!$B:$F,5,FALSE)/100000000</f>
        <v>219.34521000000001</v>
      </c>
      <c r="E76" s="10">
        <f>VLOOKUP(B76,'China Index ROIC'!$B:$D,2,FALSE)</f>
        <v>2.4500000000000002</v>
      </c>
      <c r="F76" s="10">
        <f>VLOOKUP(B76,'China Index ROIC'!$B:$D,3,FALSE)</f>
        <v>0.59009999999999996</v>
      </c>
      <c r="G76" s="10" t="str">
        <f>VLOOKUP(B76,'China Index ROIC'!B:E,4,FALSE)</f>
        <v>机械设备-专用设备-能源及重型设备</v>
      </c>
      <c r="H76" s="15" t="s">
        <v>8605</v>
      </c>
      <c r="I76" s="11" t="str">
        <f>CONCATENATE("https://gushitong.baidu.com/stock/ab-", B76)</f>
        <v>https://gushitong.baidu.com/stock/ab-600582</v>
      </c>
    </row>
    <row r="77" spans="1:9" ht="16.5" customHeight="1" x14ac:dyDescent="0.15">
      <c r="A77" s="9" t="s">
        <v>636</v>
      </c>
      <c r="B77" s="10" t="s">
        <v>637</v>
      </c>
      <c r="C77" s="10">
        <f>VLOOKUP(B77,当前走势!B:F,3,)</f>
        <v>28</v>
      </c>
      <c r="D77" s="17">
        <f>VLOOKUP(B77,当前走势!$B:$F,5,FALSE)/100000000</f>
        <v>322.27981</v>
      </c>
      <c r="E77" s="10">
        <f>VLOOKUP(B77,'China Index ROIC'!$B:$D,2,FALSE)</f>
        <v>2.33</v>
      </c>
      <c r="F77" s="10">
        <f>VLOOKUP(B77,'China Index ROIC'!$B:$D,3,FALSE)</f>
        <v>1.3769</v>
      </c>
      <c r="G77" s="10" t="str">
        <f>VLOOKUP(B77,'China Index ROIC'!B:E,4,FALSE)</f>
        <v>机械设备-通用设备-其他通用设备</v>
      </c>
      <c r="H77" s="15" t="s">
        <v>8605</v>
      </c>
      <c r="I77" s="11" t="str">
        <f>CONCATENATE("https://gushitong.baidu.com/stock/ab-", B77)</f>
        <v>https://gushitong.baidu.com/stock/ab-002444</v>
      </c>
    </row>
    <row r="78" spans="1:9" ht="16.5" customHeight="1" x14ac:dyDescent="0.15">
      <c r="A78" s="9" t="s">
        <v>410</v>
      </c>
      <c r="B78" s="10" t="s">
        <v>411</v>
      </c>
      <c r="C78" s="10">
        <f>VLOOKUP(B78,当前走势!B:F,3,)</f>
        <v>43.25</v>
      </c>
      <c r="D78" s="17">
        <f>VLOOKUP(B78,当前走势!$B:$F,5,FALSE)/100000000</f>
        <v>120.806684</v>
      </c>
      <c r="E78" s="10">
        <f>VLOOKUP(B78,'China Index ROIC'!$B:$D,2,FALSE)</f>
        <v>1.99</v>
      </c>
      <c r="F78" s="10">
        <f>VLOOKUP(B78,'China Index ROIC'!$B:$D,3,FALSE)</f>
        <v>0.63400000000000001</v>
      </c>
      <c r="G78" s="10" t="str">
        <f>VLOOKUP(B78,'China Index ROIC'!B:E,4,FALSE)</f>
        <v>机械设备-轨交设备-轨交设备Ⅲ</v>
      </c>
      <c r="H78" s="15" t="s">
        <v>8603</v>
      </c>
      <c r="I78" s="11" t="str">
        <f>CONCATENATE("https://gushitong.baidu.com/stock/ab-", B78)</f>
        <v>https://gushitong.baidu.com/stock/ab-688187</v>
      </c>
    </row>
    <row r="79" spans="1:9" ht="16.5" customHeight="1" x14ac:dyDescent="0.15">
      <c r="A79" s="9" t="s">
        <v>906</v>
      </c>
      <c r="B79" s="10" t="s">
        <v>907</v>
      </c>
      <c r="C79" s="10">
        <f>VLOOKUP(B79,当前走势!B:F,3,)</f>
        <v>18.55</v>
      </c>
      <c r="D79" s="17">
        <f>VLOOKUP(B79,当前走势!$B:$F,5,FALSE)/100000000</f>
        <v>242.97013999999999</v>
      </c>
      <c r="E79" s="10">
        <f>VLOOKUP(B79,'China Index ROIC'!$B:$D,2,FALSE)</f>
        <v>3.76</v>
      </c>
      <c r="F79" s="10">
        <f>VLOOKUP(B79,'China Index ROIC'!$B:$D,3,FALSE)</f>
        <v>1.0954999999999999</v>
      </c>
      <c r="G79" s="10" t="str">
        <f>VLOOKUP(B79,'China Index ROIC'!B:E,4,FALSE)</f>
        <v>机械设备-工程机械-工程机械Ⅲ</v>
      </c>
      <c r="H79" s="15" t="s">
        <v>8605</v>
      </c>
      <c r="I79" s="11" t="str">
        <f>CONCATENATE("https://gushitong.baidu.com/stock/ab-", B79)</f>
        <v>https://gushitong.baidu.com/stock/ab-603298</v>
      </c>
    </row>
    <row r="80" spans="1:9" ht="16.5" customHeight="1" x14ac:dyDescent="0.15">
      <c r="A80" s="9" t="s">
        <v>291</v>
      </c>
      <c r="B80" s="10" t="s">
        <v>292</v>
      </c>
      <c r="C80" s="10">
        <f>VLOOKUP(B80,当前走势!B:F,3,)</f>
        <v>6.25</v>
      </c>
      <c r="D80" s="17">
        <f>VLOOKUP(B80,当前走势!$B:$F,5,FALSE)/100000000</f>
        <v>507.50576999999998</v>
      </c>
      <c r="E80" s="10">
        <f>VLOOKUP(B80,'China Index ROIC'!$B:$D,2,FALSE)</f>
        <v>2</v>
      </c>
      <c r="F80" s="10">
        <f>VLOOKUP(B80,'China Index ROIC'!$B:$D,3,FALSE)</f>
        <v>2.1656</v>
      </c>
      <c r="G80" s="10" t="str">
        <f>VLOOKUP(B80,'China Index ROIC'!B:E,4,FALSE)</f>
        <v>机械设备-工程机械-工程机械Ⅲ</v>
      </c>
      <c r="H80" s="15" t="s">
        <v>8605</v>
      </c>
      <c r="I80" s="11" t="str">
        <f>CONCATENATE("https://gushitong.baidu.com/stock/ab-", B80)</f>
        <v>https://gushitong.baidu.com/stock/ab-000425</v>
      </c>
    </row>
    <row r="81" spans="1:9" ht="16.5" customHeight="1" x14ac:dyDescent="0.15">
      <c r="A81" s="9" t="s">
        <v>697</v>
      </c>
      <c r="B81" s="10" t="s">
        <v>698</v>
      </c>
      <c r="C81" s="10">
        <f>VLOOKUP(B81,当前走势!B:F,3,)</f>
        <v>17.7</v>
      </c>
      <c r="D81" s="17">
        <f>VLOOKUP(B81,当前走势!$B:$F,5,FALSE)/100000000</f>
        <v>300.61505</v>
      </c>
      <c r="E81" s="10">
        <f>VLOOKUP(B81,'China Index ROIC'!$B:$D,2,FALSE)</f>
        <v>3.65</v>
      </c>
      <c r="F81" s="10">
        <f>VLOOKUP(B81,'China Index ROIC'!$B:$D,3,FALSE)</f>
        <v>1.0215000000000001</v>
      </c>
      <c r="G81" s="10" t="str">
        <f>VLOOKUP(B81,'China Index ROIC'!B:E,4,FALSE)</f>
        <v>环保-环境治理-固废治理</v>
      </c>
      <c r="H81" s="15" t="s">
        <v>8603</v>
      </c>
      <c r="I81" s="11" t="str">
        <f>CONCATENATE("https://gushitong.baidu.com/stock/ab-", B81)</f>
        <v>https://gushitong.baidu.com/stock/ab-603568</v>
      </c>
    </row>
    <row r="82" spans="1:9" ht="16.5" customHeight="1" x14ac:dyDescent="0.15">
      <c r="A82" s="9" t="s">
        <v>948</v>
      </c>
      <c r="B82" s="10" t="s">
        <v>949</v>
      </c>
      <c r="C82" s="10">
        <f>VLOOKUP(B82,当前走势!B:F,3,)</f>
        <v>26.92</v>
      </c>
      <c r="D82" s="17">
        <f>VLOOKUP(B82,当前走势!$B:$F,5,FALSE)/100000000</f>
        <v>221.13247000000001</v>
      </c>
      <c r="E82" s="10">
        <f>VLOOKUP(B82,'China Index ROIC'!$B:$D,2,FALSE)</f>
        <v>4.71</v>
      </c>
      <c r="F82" s="10">
        <f>VLOOKUP(B82,'China Index ROIC'!$B:$D,3,FALSE)</f>
        <v>1.2502</v>
      </c>
      <c r="G82" s="10" t="str">
        <f>VLOOKUP(B82,'China Index ROIC'!B:E,4,FALSE)</f>
        <v>国防军工-军工装备-航空装备</v>
      </c>
      <c r="H82" s="15" t="s">
        <v>8609</v>
      </c>
      <c r="I82" s="11" t="str">
        <f>CONCATENATE("https://gushitong.baidu.com/stock/ab-", B82)</f>
        <v>https://gushitong.baidu.com/stock/ab-300699</v>
      </c>
    </row>
    <row r="83" spans="1:9" ht="16.5" customHeight="1" x14ac:dyDescent="0.15">
      <c r="A83" s="9" t="s">
        <v>169</v>
      </c>
      <c r="B83" s="10" t="s">
        <v>170</v>
      </c>
      <c r="C83" s="10">
        <f>VLOOKUP(B83,当前走势!B:F,3,)</f>
        <v>40.15</v>
      </c>
      <c r="D83" s="17">
        <f>VLOOKUP(B83,当前走势!$B:$F,5,FALSE)/100000000</f>
        <v>1102.0118299999999</v>
      </c>
      <c r="E83" s="10">
        <f>VLOOKUP(B83,'China Index ROIC'!$B:$D,2,FALSE)</f>
        <v>4.3899999999999997</v>
      </c>
      <c r="F83" s="10">
        <f>VLOOKUP(B83,'China Index ROIC'!$B:$D,3,FALSE)</f>
        <v>1.4602999999999999</v>
      </c>
      <c r="G83" s="10" t="str">
        <f>VLOOKUP(B83,'China Index ROIC'!B:E,4,FALSE)</f>
        <v>国防军工-军工装备-航空装备</v>
      </c>
      <c r="H83" s="15" t="s">
        <v>8605</v>
      </c>
      <c r="I83" s="11" t="str">
        <f>CONCATENATE("https://gushitong.baidu.com/stock/ab-", B83)</f>
        <v>https://gushitong.baidu.com/stock/ab-600760</v>
      </c>
    </row>
    <row r="84" spans="1:9" ht="16.5" customHeight="1" x14ac:dyDescent="0.15">
      <c r="A84" s="9" t="s">
        <v>828</v>
      </c>
      <c r="B84" s="10" t="s">
        <v>829</v>
      </c>
      <c r="C84" s="10">
        <f>VLOOKUP(B84,当前走势!B:F,3,)</f>
        <v>17.649999999999999</v>
      </c>
      <c r="D84" s="17">
        <f>VLOOKUP(B84,当前走势!$B:$F,5,FALSE)/100000000</f>
        <v>245.87316999999999</v>
      </c>
      <c r="E84" s="10">
        <f>VLOOKUP(B84,'China Index ROIC'!$B:$D,2,FALSE)</f>
        <v>3.61</v>
      </c>
      <c r="F84" s="10">
        <f>VLOOKUP(B84,'China Index ROIC'!$B:$D,3,FALSE)</f>
        <v>2.3212000000000002</v>
      </c>
      <c r="G84" s="10" t="str">
        <f>VLOOKUP(B84,'China Index ROIC'!B:E,4,FALSE)</f>
        <v>国防军工-军工装备-航空装备</v>
      </c>
      <c r="H84" s="15" t="s">
        <v>8605</v>
      </c>
      <c r="I84" s="11" t="str">
        <f>CONCATENATE("https://gushitong.baidu.com/stock/ab-", B84)</f>
        <v>https://gushitong.baidu.com/stock/ab-600862</v>
      </c>
    </row>
    <row r="85" spans="1:9" ht="16.5" customHeight="1" x14ac:dyDescent="0.15">
      <c r="A85" s="9" t="s">
        <v>962</v>
      </c>
      <c r="B85" s="10" t="s">
        <v>963</v>
      </c>
      <c r="C85" s="10">
        <f>VLOOKUP(B85,当前走势!B:F,3,)</f>
        <v>33.840000000000003</v>
      </c>
      <c r="D85" s="17">
        <f>VLOOKUP(B85,当前走势!$B:$F,5,FALSE)/100000000</f>
        <v>219.84647000000001</v>
      </c>
      <c r="E85" s="10">
        <f>VLOOKUP(B85,'China Index ROIC'!$B:$D,2,FALSE)</f>
        <v>2.4700000000000002</v>
      </c>
      <c r="F85" s="10">
        <f>VLOOKUP(B85,'China Index ROIC'!$B:$D,3,FALSE)</f>
        <v>1.2344999999999999</v>
      </c>
      <c r="G85" s="10" t="str">
        <f>VLOOKUP(B85,'China Index ROIC'!B:E,4,FALSE)</f>
        <v>国防军工-军工装备-航空装备</v>
      </c>
      <c r="H85" s="15" t="s">
        <v>8609</v>
      </c>
      <c r="I85" s="11" t="str">
        <f>CONCATENATE("https://gushitong.baidu.com/stock/ab-", B85)</f>
        <v>https://gushitong.baidu.com/stock/ab-688122</v>
      </c>
    </row>
    <row r="86" spans="1:9" ht="16.5" customHeight="1" x14ac:dyDescent="0.15">
      <c r="A86" s="9" t="s">
        <v>263</v>
      </c>
      <c r="B86" s="10" t="s">
        <v>264</v>
      </c>
      <c r="C86" s="10">
        <f>VLOOKUP(B86,当前走势!B:F,3,)</f>
        <v>37.06</v>
      </c>
      <c r="D86" s="17">
        <f>VLOOKUP(B86,当前走势!$B:$F,5,FALSE)/100000000</f>
        <v>764.81109000000004</v>
      </c>
      <c r="E86" s="10">
        <f>VLOOKUP(B86,'China Index ROIC'!$B:$D,2,FALSE)</f>
        <v>4.1399999999999997</v>
      </c>
      <c r="F86" s="10">
        <f>VLOOKUP(B86,'China Index ROIC'!$B:$D,3,FALSE)</f>
        <v>1.1861999999999999</v>
      </c>
      <c r="G86" s="10" t="str">
        <f>VLOOKUP(B86,'China Index ROIC'!B:E,4,FALSE)</f>
        <v>国防军工-军工电子-军工电子Ⅲ</v>
      </c>
      <c r="H86" s="15" t="s">
        <v>8605</v>
      </c>
      <c r="I86" s="11" t="str">
        <f>CONCATENATE("https://gushitong.baidu.com/stock/ab-", B86)</f>
        <v>https://gushitong.baidu.com/stock/ab-002179</v>
      </c>
    </row>
    <row r="87" spans="1:9" ht="16.5" customHeight="1" x14ac:dyDescent="0.15">
      <c r="A87" s="9" t="s">
        <v>1024</v>
      </c>
      <c r="B87" s="10" t="s">
        <v>1025</v>
      </c>
      <c r="C87" s="10">
        <f>VLOOKUP(B87,当前走势!B:F,3,)</f>
        <v>43.3</v>
      </c>
      <c r="D87" s="17">
        <f>VLOOKUP(B87,当前走势!$B:$F,5,FALSE)/100000000</f>
        <v>195.95893000000001</v>
      </c>
      <c r="E87" s="10">
        <f>VLOOKUP(B87,'China Index ROIC'!$B:$D,2,FALSE)</f>
        <v>3.07</v>
      </c>
      <c r="F87" s="10">
        <f>VLOOKUP(B87,'China Index ROIC'!$B:$D,3,FALSE)</f>
        <v>0.43319999999999997</v>
      </c>
      <c r="G87" s="10" t="str">
        <f>VLOOKUP(B87,'China Index ROIC'!B:E,4,FALSE)</f>
        <v>国防军工-军工电子-军工电子Ⅲ</v>
      </c>
      <c r="H87" s="15" t="s">
        <v>8605</v>
      </c>
      <c r="I87" s="11" t="str">
        <f>CONCATENATE("https://gushitong.baidu.com/stock/ab-", B87)</f>
        <v>https://gushitong.baidu.com/stock/ab-002025</v>
      </c>
    </row>
    <row r="88" spans="1:9" ht="16.5" customHeight="1" x14ac:dyDescent="0.15">
      <c r="A88" s="9" t="s">
        <v>363</v>
      </c>
      <c r="B88" s="10" t="s">
        <v>364</v>
      </c>
      <c r="C88" s="10">
        <f>VLOOKUP(B88,当前走势!B:F,3,)</f>
        <v>10.55</v>
      </c>
      <c r="D88" s="17">
        <f>VLOOKUP(B88,当前走势!$B:$F,5,FALSE)/100000000</f>
        <v>532.47501999999997</v>
      </c>
      <c r="E88" s="10">
        <f>VLOOKUP(B88,'China Index ROIC'!$B:$D,2,FALSE)</f>
        <v>3.43</v>
      </c>
      <c r="F88" s="10">
        <f>VLOOKUP(B88,'China Index ROIC'!$B:$D,3,FALSE)</f>
        <v>0.9325</v>
      </c>
      <c r="G88" s="10" t="str">
        <f>VLOOKUP(B88,'China Index ROIC'!B:E,4,FALSE)</f>
        <v>钢铁-钢铁-特钢</v>
      </c>
      <c r="H88" s="15" t="s">
        <v>8609</v>
      </c>
      <c r="I88" s="11" t="str">
        <f>CONCATENATE("https://gushitong.baidu.com/stock/ab-", B88)</f>
        <v>https://gushitong.baidu.com/stock/ab-000708</v>
      </c>
    </row>
    <row r="89" spans="1:9" ht="16.5" customHeight="1" x14ac:dyDescent="0.15">
      <c r="A89" s="9" t="s">
        <v>908</v>
      </c>
      <c r="B89" s="10" t="s">
        <v>909</v>
      </c>
      <c r="C89" s="10">
        <f>VLOOKUP(B89,当前走势!B:F,3,)</f>
        <v>3.4</v>
      </c>
      <c r="D89" s="17">
        <f>VLOOKUP(B89,当前走势!$B:$F,5,FALSE)/100000000</f>
        <v>234.89058</v>
      </c>
      <c r="E89" s="10">
        <f>VLOOKUP(B89,'China Index ROIC'!$B:$D,2,FALSE)</f>
        <v>2.44</v>
      </c>
      <c r="F89" s="10">
        <f>VLOOKUP(B89,'China Index ROIC'!$B:$D,3,FALSE)</f>
        <v>1.411</v>
      </c>
      <c r="G89" s="10" t="str">
        <f>VLOOKUP(B89,'China Index ROIC'!B:E,4,FALSE)</f>
        <v>钢铁-钢铁-普钢</v>
      </c>
      <c r="H89" s="15" t="s">
        <v>8609</v>
      </c>
      <c r="I89" s="11" t="str">
        <f>CONCATENATE("https://gushitong.baidu.com/stock/ab-", B89)</f>
        <v>https://gushitong.baidu.com/stock/ab-000932</v>
      </c>
    </row>
    <row r="90" spans="1:9" ht="16.5" customHeight="1" x14ac:dyDescent="0.15">
      <c r="A90" s="9" t="s">
        <v>58</v>
      </c>
      <c r="B90" s="10" t="s">
        <v>59</v>
      </c>
      <c r="C90" s="10">
        <f>VLOOKUP(B90,当前走势!B:F,3,)</f>
        <v>26.11</v>
      </c>
      <c r="D90" s="17">
        <f>VLOOKUP(B90,当前走势!$B:$F,5,FALSE)/100000000</f>
        <v>1633.0501999999999</v>
      </c>
      <c r="E90" s="10">
        <f>VLOOKUP(B90,'China Index ROIC'!$B:$D,2,FALSE)</f>
        <v>3.08</v>
      </c>
      <c r="F90" s="10">
        <f>VLOOKUP(B90,'China Index ROIC'!$B:$D,3,FALSE)</f>
        <v>0.73919999999999997</v>
      </c>
      <c r="G90" s="10" t="str">
        <f>VLOOKUP(B90,'China Index ROIC'!B:E,4,FALSE)</f>
        <v>家用电器-白色家电-冰洗</v>
      </c>
      <c r="H90" s="15" t="s">
        <v>8596</v>
      </c>
      <c r="I90" s="11" t="str">
        <f>CONCATENATE("https://gushitong.baidu.com/stock/ab-", B90)</f>
        <v>https://gushitong.baidu.com/stock/ab-600690</v>
      </c>
    </row>
    <row r="91" spans="1:9" ht="16.5" customHeight="1" x14ac:dyDescent="0.15">
      <c r="A91" s="9" t="s">
        <v>422</v>
      </c>
      <c r="B91" s="10" t="s">
        <v>423</v>
      </c>
      <c r="C91" s="10">
        <f>VLOOKUP(B91,当前走势!B:F,3,)</f>
        <v>15.97</v>
      </c>
      <c r="D91" s="17">
        <f>VLOOKUP(B91,当前走势!$B:$F,5,FALSE)/100000000</f>
        <v>503.49002000000002</v>
      </c>
      <c r="E91" s="10">
        <f>VLOOKUP(B91,'China Index ROIC'!$B:$D,2,FALSE)</f>
        <v>2.5</v>
      </c>
      <c r="F91" s="10">
        <f>VLOOKUP(B91,'China Index ROIC'!$B:$D,3,FALSE)</f>
        <v>0.67449999999999999</v>
      </c>
      <c r="G91" s="10" t="str">
        <f>VLOOKUP(B91,'China Index ROIC'!B:E,4,FALSE)</f>
        <v>汽车-汽车零部件-车身附件及饰件</v>
      </c>
      <c r="H91" s="15" t="s">
        <v>8596</v>
      </c>
      <c r="I91" s="11" t="str">
        <f>CONCATENATE("https://gushitong.baidu.com/stock/ab-", B91)</f>
        <v>https://gushitong.baidu.com/stock/ab-600741</v>
      </c>
    </row>
    <row r="92" spans="1:9" ht="16.5" customHeight="1" x14ac:dyDescent="0.15">
      <c r="A92" s="9" t="s">
        <v>297</v>
      </c>
      <c r="B92" s="10" t="s">
        <v>298</v>
      </c>
      <c r="C92" s="10">
        <f>VLOOKUP(B92,当前走势!B:F,3,)</f>
        <v>29.37</v>
      </c>
      <c r="D92" s="17">
        <f>VLOOKUP(B92,当前走势!$B:$F,5,FALSE)/100000000</f>
        <v>622.98299999999995</v>
      </c>
      <c r="E92" s="10">
        <f>VLOOKUP(B92,'China Index ROIC'!$B:$D,2,FALSE)</f>
        <v>5.25</v>
      </c>
      <c r="F92" s="10">
        <f>VLOOKUP(B92,'China Index ROIC'!$B:$D,3,FALSE)</f>
        <v>0.68810000000000004</v>
      </c>
      <c r="G92" s="10" t="str">
        <f>VLOOKUP(B92,'China Index ROIC'!B:E,4,FALSE)</f>
        <v>计算机-IT服务-IT服务Ⅲ</v>
      </c>
      <c r="H92" s="15" t="s">
        <v>8598</v>
      </c>
      <c r="I92" s="11" t="str">
        <f>CONCATENATE("https://gushitong.baidu.com/stock/ab-", B92)</f>
        <v>https://gushitong.baidu.com/stock/ab-600845</v>
      </c>
    </row>
    <row r="93" spans="1:9" ht="16.5" customHeight="1" x14ac:dyDescent="0.15">
      <c r="A93" s="9" t="s">
        <v>33</v>
      </c>
      <c r="B93" s="10" t="s">
        <v>34</v>
      </c>
      <c r="C93" s="10">
        <f>VLOOKUP(B93,当前走势!B:F,3,)</f>
        <v>18.75</v>
      </c>
      <c r="D93" s="17">
        <f>VLOOKUP(B93,当前走势!$B:$F,5,FALSE)/100000000</f>
        <v>3724.1974</v>
      </c>
      <c r="E93" s="10">
        <f>VLOOKUP(B93,'China Index ROIC'!$B:$D,2,FALSE)</f>
        <v>2.52</v>
      </c>
      <c r="F93" s="10">
        <f>VLOOKUP(B93,'China Index ROIC'!$B:$D,3,FALSE)</f>
        <v>2.4569000000000001</v>
      </c>
      <c r="G93" s="10" t="str">
        <f>VLOOKUP(B93,'China Index ROIC'!B:E,4,FALSE)</f>
        <v>电子-消费电子-消费电子零部件及组装</v>
      </c>
      <c r="H93" s="15" t="s">
        <v>8598</v>
      </c>
      <c r="I93" s="11" t="str">
        <f>CONCATENATE("https://gushitong.baidu.com/stock/ab-", B93)</f>
        <v>https://gushitong.baidu.com/stock/ab-601138</v>
      </c>
    </row>
    <row r="94" spans="1:9" ht="16.5" customHeight="1" x14ac:dyDescent="0.15">
      <c r="A94" s="9" t="s">
        <v>700</v>
      </c>
      <c r="B94" s="10" t="s">
        <v>701</v>
      </c>
      <c r="C94" s="10">
        <f>VLOOKUP(B94,当前走势!B:F,3,)</f>
        <v>13.45</v>
      </c>
      <c r="D94" s="17">
        <f>VLOOKUP(B94,当前走势!$B:$F,5,FALSE)/100000000</f>
        <v>297.44148000000001</v>
      </c>
      <c r="E94" s="10">
        <f>VLOOKUP(B94,'China Index ROIC'!$B:$D,2,FALSE)</f>
        <v>2.4</v>
      </c>
      <c r="F94" s="10">
        <f>VLOOKUP(B94,'China Index ROIC'!$B:$D,3,FALSE)</f>
        <v>1.1605000000000001</v>
      </c>
      <c r="G94" s="10" t="str">
        <f>VLOOKUP(B94,'China Index ROIC'!B:E,4,FALSE)</f>
        <v>电子-消费电子-消费电子零部件及组装</v>
      </c>
      <c r="H94" s="15" t="s">
        <v>8598</v>
      </c>
      <c r="I94" s="11" t="str">
        <f>CONCATENATE("https://gushitong.baidu.com/stock/ab-", B94)</f>
        <v>https://gushitong.baidu.com/stock/ab-601231</v>
      </c>
    </row>
    <row r="95" spans="1:9" ht="16.5" customHeight="1" x14ac:dyDescent="0.15">
      <c r="A95" s="9" t="s">
        <v>96</v>
      </c>
      <c r="B95" s="10" t="s">
        <v>97</v>
      </c>
      <c r="C95" s="10">
        <f>VLOOKUP(B95,当前走势!B:F,3,)</f>
        <v>23.88</v>
      </c>
      <c r="D95" s="17">
        <f>VLOOKUP(B95,当前走势!$B:$F,5,FALSE)/100000000</f>
        <v>1475.2057</v>
      </c>
      <c r="E95" s="10">
        <f>VLOOKUP(B95,'China Index ROIC'!$B:$D,2,FALSE)</f>
        <v>2.17</v>
      </c>
      <c r="F95" s="10">
        <f>VLOOKUP(B95,'China Index ROIC'!$B:$D,3,FALSE)</f>
        <v>1.7736000000000001</v>
      </c>
      <c r="G95" s="10" t="str">
        <f>VLOOKUP(B95,'China Index ROIC'!B:E,4,FALSE)</f>
        <v>汽车-汽车整车-乘用车</v>
      </c>
      <c r="H95" s="15" t="s">
        <v>8596</v>
      </c>
      <c r="I95" s="11" t="str">
        <f>CONCATENATE("https://gushitong.baidu.com/stock/ab-", B95)</f>
        <v>https://gushitong.baidu.com/stock/ab-601633</v>
      </c>
    </row>
    <row r="96" spans="1:9" ht="16.5" customHeight="1" x14ac:dyDescent="0.15">
      <c r="A96" s="9" t="s">
        <v>332</v>
      </c>
      <c r="B96" s="10" t="s">
        <v>333</v>
      </c>
      <c r="C96" s="10">
        <f>VLOOKUP(B96,当前走势!B:F,3,)</f>
        <v>35.6</v>
      </c>
      <c r="D96" s="17">
        <f>VLOOKUP(B96,当前走势!$B:$F,5,FALSE)/100000000</f>
        <v>600.22495000000004</v>
      </c>
      <c r="E96" s="10">
        <f>VLOOKUP(B96,'China Index ROIC'!$B:$D,2,FALSE)</f>
        <v>2.63</v>
      </c>
      <c r="F96" s="10">
        <f>VLOOKUP(B96,'China Index ROIC'!$B:$D,3,FALSE)</f>
        <v>0.33650000000000002</v>
      </c>
      <c r="G96" s="10" t="str">
        <f>VLOOKUP(B96,'China Index ROIC'!B:E,4,FALSE)</f>
        <v>汽车-汽车零部件-底盘与发动机系统</v>
      </c>
      <c r="H96" s="15" t="s">
        <v>8596</v>
      </c>
      <c r="I96" s="11" t="str">
        <f>CONCATENATE("https://gushitong.baidu.com/stock/ab-", B96)</f>
        <v>https://gushitong.baidu.com/stock/ab-601689</v>
      </c>
    </row>
    <row r="97" spans="1:9" ht="16.5" customHeight="1" x14ac:dyDescent="0.15">
      <c r="A97" s="9" t="s">
        <v>606</v>
      </c>
      <c r="B97" s="10" t="s">
        <v>607</v>
      </c>
      <c r="C97" s="10">
        <f>VLOOKUP(B97,当前走势!B:F,3,)</f>
        <v>125.98</v>
      </c>
      <c r="D97" s="17">
        <f>VLOOKUP(B97,当前走势!$B:$F,5,FALSE)/100000000</f>
        <v>359.89893000000001</v>
      </c>
      <c r="E97" s="10">
        <f>VLOOKUP(B97,'China Index ROIC'!$B:$D,2,FALSE)</f>
        <v>3.5</v>
      </c>
      <c r="F97" s="10">
        <f>VLOOKUP(B97,'China Index ROIC'!$B:$D,3,FALSE)</f>
        <v>1.5023</v>
      </c>
      <c r="G97" s="10" t="str">
        <f>VLOOKUP(B97,'China Index ROIC'!B:E,4,FALSE)</f>
        <v>汽车-汽车零部件-车身附件及饰件</v>
      </c>
      <c r="H97" s="15" t="s">
        <v>8596</v>
      </c>
      <c r="I97" s="11" t="str">
        <f>CONCATENATE("https://gushitong.baidu.com/stock/ab-", B97)</f>
        <v>https://gushitong.baidu.com/stock/ab-601799</v>
      </c>
    </row>
    <row r="98" spans="1:9" ht="16.5" customHeight="1" x14ac:dyDescent="0.15">
      <c r="A98" s="9" t="s">
        <v>1163</v>
      </c>
      <c r="B98" s="10" t="s">
        <v>1164</v>
      </c>
      <c r="C98" s="10">
        <f>VLOOKUP(B98,当前走势!B:F,3,)</f>
        <v>38.880000000000003</v>
      </c>
      <c r="D98" s="17">
        <f>VLOOKUP(B98,当前走势!$B:$F,5,FALSE)/100000000</f>
        <v>189.46315999999999</v>
      </c>
      <c r="E98" s="10">
        <f>VLOOKUP(B98,'China Index ROIC'!$B:$D,2,FALSE)</f>
        <v>2.29</v>
      </c>
      <c r="F98" s="10">
        <f>VLOOKUP(B98,'China Index ROIC'!$B:$D,3,FALSE)</f>
        <v>0.5857</v>
      </c>
      <c r="G98" s="10" t="str">
        <f>VLOOKUP(B98,'China Index ROIC'!B:E,4,FALSE)</f>
        <v>汽车-汽车零部件-汽车电子电气系统</v>
      </c>
      <c r="H98" s="15" t="s">
        <v>8598</v>
      </c>
      <c r="I98" s="11" t="str">
        <f>CONCATENATE("https://gushitong.baidu.com/stock/ab-", B98)</f>
        <v>https://gushitong.baidu.com/stock/ab-603179</v>
      </c>
    </row>
    <row r="99" spans="1:9" ht="16.5" customHeight="1" x14ac:dyDescent="0.15">
      <c r="A99" s="9" t="s">
        <v>1253</v>
      </c>
      <c r="B99" s="10" t="s">
        <v>1254</v>
      </c>
      <c r="C99" s="10">
        <f>VLOOKUP(B99,当前走势!B:F,3,)</f>
        <v>68.05</v>
      </c>
      <c r="D99" s="17">
        <f>VLOOKUP(B99,当前走势!$B:$F,5,FALSE)/100000000</f>
        <v>162.89366000000001</v>
      </c>
      <c r="E99" s="10">
        <f>VLOOKUP(B99,'China Index ROIC'!$B:$D,2,FALSE)</f>
        <v>3.68</v>
      </c>
      <c r="F99" s="10">
        <f>VLOOKUP(B99,'China Index ROIC'!$B:$D,3,FALSE)</f>
        <v>2.4527000000000001</v>
      </c>
      <c r="G99" s="10" t="str">
        <f>VLOOKUP(B99,'China Index ROIC'!B:E,4,FALSE)</f>
        <v>电子-半导体-分立器件</v>
      </c>
      <c r="H99" s="15" t="s">
        <v>8598</v>
      </c>
      <c r="I99" s="11" t="str">
        <f>CONCATENATE("https://gushitong.baidu.com/stock/ab-", B99)</f>
        <v>https://gushitong.baidu.com/stock/ab-603290</v>
      </c>
    </row>
    <row r="100" spans="1:9" ht="16.5" customHeight="1" x14ac:dyDescent="0.15">
      <c r="A100" s="9" t="s">
        <v>1039</v>
      </c>
      <c r="B100" s="10" t="s">
        <v>1040</v>
      </c>
      <c r="C100" s="10">
        <f>VLOOKUP(B100,当前走势!B:F,3,)</f>
        <v>70.05</v>
      </c>
      <c r="D100" s="17">
        <f>VLOOKUP(B100,当前走势!$B:$F,5,FALSE)/100000000</f>
        <v>205.45260999999999</v>
      </c>
      <c r="E100" s="10">
        <f>VLOOKUP(B100,'China Index ROIC'!$B:$D,2,FALSE)</f>
        <v>2.96</v>
      </c>
      <c r="F100" s="10">
        <f>VLOOKUP(B100,'China Index ROIC'!$B:$D,3,FALSE)</f>
        <v>0.60870000000000002</v>
      </c>
      <c r="G100" s="10" t="str">
        <f>VLOOKUP(B100,'China Index ROIC'!B:E,4,FALSE)</f>
        <v>食品饮料-食品加工制造-预加工食品</v>
      </c>
      <c r="H100" s="15" t="s">
        <v>8596</v>
      </c>
      <c r="I100" s="11" t="str">
        <f>CONCATENATE("https://gushitong.baidu.com/stock/ab-", B100)</f>
        <v>https://gushitong.baidu.com/stock/ab-603345</v>
      </c>
    </row>
    <row r="101" spans="1:9" ht="16.5" customHeight="1" x14ac:dyDescent="0.15">
      <c r="A101" s="9" t="s">
        <v>1012</v>
      </c>
      <c r="B101" s="10" t="s">
        <v>1013</v>
      </c>
      <c r="C101" s="10">
        <f>VLOOKUP(B101,当前走势!B:F,3,)</f>
        <v>34.799999999999997</v>
      </c>
      <c r="D101" s="17">
        <f>VLOOKUP(B101,当前走势!$B:$F,5,FALSE)/100000000</f>
        <v>208.14558</v>
      </c>
      <c r="E101" s="10">
        <f>VLOOKUP(B101,'China Index ROIC'!$B:$D,2,FALSE)</f>
        <v>5.55</v>
      </c>
      <c r="F101" s="10">
        <f>VLOOKUP(B101,'China Index ROIC'!$B:$D,3,FALSE)</f>
        <v>1.5513999999999999</v>
      </c>
      <c r="G101" s="10" t="str">
        <f>VLOOKUP(B101,'China Index ROIC'!B:E,4,FALSE)</f>
        <v>食品饮料-白酒-白酒Ⅲ</v>
      </c>
      <c r="H101" s="15" t="s">
        <v>8596</v>
      </c>
      <c r="I101" s="11" t="str">
        <f>CONCATENATE("https://gushitong.baidu.com/stock/ab-", B101)</f>
        <v>https://gushitong.baidu.com/stock/ab-603589</v>
      </c>
    </row>
    <row r="102" spans="1:9" ht="16.5" customHeight="1" x14ac:dyDescent="0.15">
      <c r="A102" s="9" t="s">
        <v>1480</v>
      </c>
      <c r="B102" s="10" t="s">
        <v>1481</v>
      </c>
      <c r="C102" s="10">
        <f>VLOOKUP(B102,当前走势!B:F,3,)</f>
        <v>14.32</v>
      </c>
      <c r="D102" s="17">
        <f>VLOOKUP(B102,当前走势!$B:$F,5,FALSE)/100000000</f>
        <v>115.125618</v>
      </c>
      <c r="E102" s="10">
        <f>VLOOKUP(B102,'China Index ROIC'!$B:$D,2,FALSE)</f>
        <v>3.28</v>
      </c>
      <c r="F102" s="10">
        <f>VLOOKUP(B102,'China Index ROIC'!$B:$D,3,FALSE)</f>
        <v>0.9496</v>
      </c>
      <c r="G102" s="10" t="str">
        <f>VLOOKUP(B102,'China Index ROIC'!B:E,4,FALSE)</f>
        <v>电子-电子化学品-电子化学品Ⅲ</v>
      </c>
      <c r="H102" s="15" t="s">
        <v>8609</v>
      </c>
      <c r="I102" s="11" t="str">
        <f>CONCATENATE("https://gushitong.baidu.com/stock/ab-", B102)</f>
        <v>https://gushitong.baidu.com/stock/ab-300285</v>
      </c>
    </row>
    <row r="103" spans="1:9" ht="16.5" customHeight="1" x14ac:dyDescent="0.15">
      <c r="A103" s="9" t="s">
        <v>871</v>
      </c>
      <c r="B103" s="10" t="s">
        <v>872</v>
      </c>
      <c r="C103" s="10">
        <f>VLOOKUP(B103,当前走势!B:F,3,)</f>
        <v>39.770000000000003</v>
      </c>
      <c r="D103" s="17">
        <f>VLOOKUP(B103,当前走势!$B:$F,5,FALSE)/100000000</f>
        <v>240.72913</v>
      </c>
      <c r="E103" s="10">
        <f>VLOOKUP(B103,'China Index ROIC'!$B:$D,2,FALSE)</f>
        <v>3.7</v>
      </c>
      <c r="F103" s="10">
        <f>VLOOKUP(B103,'China Index ROIC'!$B:$D,3,FALSE)</f>
        <v>0.76780000000000004</v>
      </c>
      <c r="G103" s="10" t="str">
        <f>VLOOKUP(B103,'China Index ROIC'!B:E,4,FALSE)</f>
        <v>汽车-汽车零部件-底盘与发动机系统</v>
      </c>
      <c r="H103" s="15" t="s">
        <v>8596</v>
      </c>
      <c r="I103" s="11" t="str">
        <f>CONCATENATE("https://gushitong.baidu.com/stock/ab-", B103)</f>
        <v>https://gushitong.baidu.com/stock/ab-603596</v>
      </c>
    </row>
    <row r="104" spans="1:9" ht="16.5" customHeight="1" x14ac:dyDescent="0.15">
      <c r="A104" s="9" t="s">
        <v>587</v>
      </c>
      <c r="B104" s="10" t="s">
        <v>588</v>
      </c>
      <c r="C104" s="10">
        <f>VLOOKUP(B104,当前走势!B:F,3,)</f>
        <v>85.94</v>
      </c>
      <c r="D104" s="17">
        <f>VLOOKUP(B104,当前走势!$B:$F,5,FALSE)/100000000</f>
        <v>339.29142999999999</v>
      </c>
      <c r="E104" s="10">
        <f>VLOOKUP(B104,'China Index ROIC'!$B:$D,2,FALSE)</f>
        <v>5.03</v>
      </c>
      <c r="F104" s="10">
        <f>VLOOKUP(B104,'China Index ROIC'!$B:$D,3,FALSE)</f>
        <v>2.2349999999999999</v>
      </c>
      <c r="G104" s="10" t="str">
        <f>VLOOKUP(B104,'China Index ROIC'!B:E,4,FALSE)</f>
        <v>美容护理-美容护理-化妆品</v>
      </c>
      <c r="H104" s="15" t="s">
        <v>8596</v>
      </c>
      <c r="I104" s="11" t="str">
        <f>CONCATENATE("https://gushitong.baidu.com/stock/ab-", B104)</f>
        <v>https://gushitong.baidu.com/stock/ab-603605</v>
      </c>
    </row>
    <row r="105" spans="1:9" ht="16.5" customHeight="1" x14ac:dyDescent="0.15">
      <c r="A105" s="9" t="s">
        <v>860</v>
      </c>
      <c r="B105" s="10" t="s">
        <v>861</v>
      </c>
      <c r="C105" s="10">
        <f>VLOOKUP(B105,当前走势!B:F,3,)</f>
        <v>25.28</v>
      </c>
      <c r="D105" s="17">
        <f>VLOOKUP(B105,当前走势!$B:$F,5,FALSE)/100000000</f>
        <v>233.54382000000001</v>
      </c>
      <c r="E105" s="10">
        <f>VLOOKUP(B105,'China Index ROIC'!$B:$D,2,FALSE)</f>
        <v>5.24</v>
      </c>
      <c r="F105" s="10">
        <f>VLOOKUP(B105,'China Index ROIC'!$B:$D,3,FALSE)</f>
        <v>2.1006999999999998</v>
      </c>
      <c r="G105" s="10" t="str">
        <f>VLOOKUP(B105,'China Index ROIC'!B:E,4,FALSE)</f>
        <v>轻工制造-家居用品-文娱用品</v>
      </c>
      <c r="H105" s="15" t="s">
        <v>8607</v>
      </c>
      <c r="I105" s="11" t="str">
        <f>CONCATENATE("https://gushitong.baidu.com/stock/ab-", B105)</f>
        <v>https://gushitong.baidu.com/stock/ab-603899</v>
      </c>
    </row>
    <row r="106" spans="1:9" ht="16.5" customHeight="1" x14ac:dyDescent="0.15">
      <c r="A106" s="9" t="s">
        <v>352</v>
      </c>
      <c r="B106" s="10" t="s">
        <v>353</v>
      </c>
      <c r="C106" s="10">
        <f>VLOOKUP(B106,当前走势!B:F,3,)</f>
        <v>49.3</v>
      </c>
      <c r="D106" s="17">
        <f>VLOOKUP(B106,当前走势!$B:$F,5,FALSE)/100000000</f>
        <v>563.27108999999996</v>
      </c>
      <c r="E106" s="10">
        <f>VLOOKUP(B106,'China Index ROIC'!$B:$D,2,FALSE)</f>
        <v>2.82</v>
      </c>
      <c r="F106" s="10">
        <f>VLOOKUP(B106,'China Index ROIC'!$B:$D,3,FALSE)</f>
        <v>1.2572000000000001</v>
      </c>
      <c r="G106" s="10" t="str">
        <f>VLOOKUP(B106,'China Index ROIC'!B:E,4,FALSE)</f>
        <v>电子-半导体-数字芯片设计</v>
      </c>
      <c r="H106" s="15" t="s">
        <v>8598</v>
      </c>
      <c r="I106" s="11" t="str">
        <f>CONCATENATE("https://gushitong.baidu.com/stock/ab-", B106)</f>
        <v>https://gushitong.baidu.com/stock/ab-688008</v>
      </c>
    </row>
    <row r="107" spans="1:9" ht="16.5" customHeight="1" x14ac:dyDescent="0.15">
      <c r="A107" s="9" t="s">
        <v>261</v>
      </c>
      <c r="B107" s="10" t="s">
        <v>262</v>
      </c>
      <c r="C107" s="10">
        <f>VLOOKUP(B107,当前走势!B:F,3,)</f>
        <v>124.07</v>
      </c>
      <c r="D107" s="17">
        <f>VLOOKUP(B107,当前走势!$B:$F,5,FALSE)/100000000</f>
        <v>770.85373000000004</v>
      </c>
      <c r="E107" s="10">
        <f>VLOOKUP(B107,'China Index ROIC'!$B:$D,2,FALSE)</f>
        <v>2.4</v>
      </c>
      <c r="F107" s="10">
        <f>VLOOKUP(B107,'China Index ROIC'!$B:$D,3,FALSE)</f>
        <v>1.5202</v>
      </c>
      <c r="G107" s="10" t="str">
        <f>VLOOKUP(B107,'China Index ROIC'!B:E,4,FALSE)</f>
        <v>电子-半导体-半导体设备</v>
      </c>
      <c r="H107" s="15" t="s">
        <v>8598</v>
      </c>
      <c r="I107" s="11" t="str">
        <f>CONCATENATE("https://gushitong.baidu.com/stock/ab-", B107)</f>
        <v>https://gushitong.baidu.com/stock/ab-688012</v>
      </c>
    </row>
    <row r="108" spans="1:9" ht="16.5" customHeight="1" x14ac:dyDescent="0.15">
      <c r="A108" s="9" t="s">
        <v>599</v>
      </c>
      <c r="B108" s="10" t="s">
        <v>600</v>
      </c>
      <c r="C108" s="10">
        <f>VLOOKUP(B108,当前走势!B:F,3,)</f>
        <v>81.2</v>
      </c>
      <c r="D108" s="17">
        <f>VLOOKUP(B108,当前走势!$B:$F,5,FALSE)/100000000</f>
        <v>61.602210999999997</v>
      </c>
      <c r="E108" s="10">
        <f>VLOOKUP(B108,'China Index ROIC'!$B:$D,2,FALSE)</f>
        <v>3.53</v>
      </c>
      <c r="F108" s="10">
        <f>VLOOKUP(B108,'China Index ROIC'!$B:$D,3,FALSE)</f>
        <v>1.9602999999999999</v>
      </c>
      <c r="G108" s="10" t="str">
        <f>VLOOKUP(B108,'China Index ROIC'!B:E,4,FALSE)</f>
        <v>电子-半导体-半导体设备</v>
      </c>
      <c r="H108" s="15" t="s">
        <v>8598</v>
      </c>
      <c r="I108" s="11" t="str">
        <f>CONCATENATE("https://gushitong.baidu.com/stock/ab-", B108)</f>
        <v>https://gushitong.baidu.com/stock/ab-688082</v>
      </c>
    </row>
    <row r="109" spans="1:9" ht="16.5" customHeight="1" x14ac:dyDescent="0.15">
      <c r="A109" s="9" t="s">
        <v>243</v>
      </c>
      <c r="B109" s="10" t="s">
        <v>244</v>
      </c>
      <c r="C109" s="10">
        <f>VLOOKUP(B109,当前走势!B:F,3,)</f>
        <v>183.82</v>
      </c>
      <c r="D109" s="17">
        <f>VLOOKUP(B109,当前走势!$B:$F,5,FALSE)/100000000</f>
        <v>850.21464000000003</v>
      </c>
      <c r="E109" s="10">
        <f>VLOOKUP(B109,'China Index ROIC'!$B:$D,2,FALSE)</f>
        <v>3.49</v>
      </c>
      <c r="F109" s="10">
        <f>VLOOKUP(B109,'China Index ROIC'!$B:$D,3,FALSE)</f>
        <v>0.53010000000000002</v>
      </c>
      <c r="G109" s="10" t="str">
        <f>VLOOKUP(B109,'China Index ROIC'!B:E,4,FALSE)</f>
        <v>计算机-软件开发-横向通用软件</v>
      </c>
      <c r="H109" s="15" t="s">
        <v>8598</v>
      </c>
      <c r="I109" s="11" t="str">
        <f>CONCATENATE("https://gushitong.baidu.com/stock/ab-", B109)</f>
        <v>https://gushitong.baidu.com/stock/ab-688111</v>
      </c>
    </row>
    <row r="110" spans="1:9" ht="16.5" customHeight="1" x14ac:dyDescent="0.15">
      <c r="A110" s="9" t="s">
        <v>1129</v>
      </c>
      <c r="B110" s="10" t="s">
        <v>1130</v>
      </c>
      <c r="C110" s="10">
        <f>VLOOKUP(B110,当前走势!B:F,3,)</f>
        <v>11.39</v>
      </c>
      <c r="D110" s="17">
        <f>VLOOKUP(B110,当前走势!$B:$F,5,FALSE)/100000000</f>
        <v>185.09411</v>
      </c>
      <c r="E110" s="10">
        <f>VLOOKUP(B110,'China Index ROIC'!$B:$D,2,FALSE)</f>
        <v>4.1900000000000004</v>
      </c>
      <c r="F110" s="10">
        <f>VLOOKUP(B110,'China Index ROIC'!$B:$D,3,FALSE)</f>
        <v>1.7261</v>
      </c>
      <c r="G110" s="10" t="str">
        <f>VLOOKUP(B110,'China Index ROIC'!B:E,4,FALSE)</f>
        <v>电力设备-光伏设备-光伏电池组件</v>
      </c>
      <c r="H110" s="15" t="s">
        <v>14922</v>
      </c>
      <c r="I110" s="11" t="str">
        <f>CONCATENATE("https://gushitong.baidu.com/stock/ab-", B110)</f>
        <v>https://gushitong.baidu.com/stock/ab-002056</v>
      </c>
    </row>
    <row r="111" spans="1:9" ht="16.5" customHeight="1" x14ac:dyDescent="0.15">
      <c r="A111" s="9" t="s">
        <v>389</v>
      </c>
      <c r="B111" s="10" t="s">
        <v>390</v>
      </c>
      <c r="C111" s="10">
        <f>VLOOKUP(B111,当前走势!B:F,3,)</f>
        <v>69.22</v>
      </c>
      <c r="D111" s="17">
        <f>VLOOKUP(B111,当前走势!$B:$F,5,FALSE)/100000000</f>
        <v>417.14512999999999</v>
      </c>
      <c r="E111" s="10">
        <f>VLOOKUP(B111,'China Index ROIC'!$B:$D,2,FALSE)</f>
        <v>3.95</v>
      </c>
      <c r="F111" s="10">
        <f>VLOOKUP(B111,'China Index ROIC'!$B:$D,3,FALSE)</f>
        <v>1.9923</v>
      </c>
      <c r="G111" s="10" t="str">
        <f>VLOOKUP(B111,'China Index ROIC'!B:E,4,FALSE)</f>
        <v>电力设备-电网设备-输变电设备</v>
      </c>
      <c r="H111" s="15" t="s">
        <v>14922</v>
      </c>
      <c r="I111" s="11" t="str">
        <f>CONCATENATE("https://gushitong.baidu.com/stock/ab-", B111)</f>
        <v>https://gushitong.baidu.com/stock/ab-002028</v>
      </c>
    </row>
    <row r="112" spans="1:9" ht="16.5" customHeight="1" x14ac:dyDescent="0.15">
      <c r="A112" s="9" t="s">
        <v>765</v>
      </c>
      <c r="B112" s="10" t="s">
        <v>766</v>
      </c>
      <c r="C112" s="10">
        <f>VLOOKUP(B112,当前走势!B:F,3,)</f>
        <v>26.65</v>
      </c>
      <c r="D112" s="17">
        <f>VLOOKUP(B112,当前走势!$B:$F,5,FALSE)/100000000</f>
        <v>277.87311</v>
      </c>
      <c r="E112" s="10">
        <f>VLOOKUP(B112,'China Index ROIC'!$B:$D,2,FALSE)</f>
        <v>3.3</v>
      </c>
      <c r="F112" s="10">
        <f>VLOOKUP(B112,'China Index ROIC'!$B:$D,3,FALSE)</f>
        <v>0.29270000000000002</v>
      </c>
      <c r="G112" s="10" t="str">
        <f>VLOOKUP(B112,'China Index ROIC'!B:E,4,FALSE)</f>
        <v>电力设备-电网设备-输变电设备</v>
      </c>
      <c r="H112" s="15" t="s">
        <v>14922</v>
      </c>
      <c r="I112" s="11" t="str">
        <f>CONCATENATE("https://gushitong.baidu.com/stock/ab-", B112)</f>
        <v>https://gushitong.baidu.com/stock/ab-600885</v>
      </c>
    </row>
    <row r="113" spans="1:9" ht="16.5" customHeight="1" x14ac:dyDescent="0.15">
      <c r="A113" s="9" t="s">
        <v>465</v>
      </c>
      <c r="B113" s="10" t="s">
        <v>466</v>
      </c>
      <c r="C113" s="10">
        <f>VLOOKUP(B113,当前走势!B:F,3,)</f>
        <v>33.79</v>
      </c>
      <c r="D113" s="17">
        <f>VLOOKUP(B113,当前走势!$B:$F,5,FALSE)/100000000</f>
        <v>474.07567999999998</v>
      </c>
      <c r="E113" s="10">
        <f>VLOOKUP(B113,'China Index ROIC'!$B:$D,2,FALSE)</f>
        <v>2.2400000000000002</v>
      </c>
      <c r="F113" s="10">
        <f>VLOOKUP(B113,'China Index ROIC'!$B:$D,3,FALSE)</f>
        <v>2.0459000000000001</v>
      </c>
      <c r="G113" s="10" t="str">
        <f>VLOOKUP(B113,'China Index ROIC'!B:E,4,FALSE)</f>
        <v>电力设备-电网设备-输变电设备</v>
      </c>
      <c r="H113" s="15" t="s">
        <v>14922</v>
      </c>
      <c r="I113" s="11" t="str">
        <f>CONCATENATE("https://gushitong.baidu.com/stock/ab-", B113)</f>
        <v>https://gushitong.baidu.com/stock/ab-601567</v>
      </c>
    </row>
    <row r="114" spans="1:9" ht="16.5" customHeight="1" x14ac:dyDescent="0.15">
      <c r="A114" s="9" t="s">
        <v>11</v>
      </c>
      <c r="B114" s="10" t="s">
        <v>12</v>
      </c>
      <c r="C114" s="10">
        <f>VLOOKUP(B114,当前走势!B:F,3,)</f>
        <v>186.4</v>
      </c>
      <c r="D114" s="17">
        <f>VLOOKUP(B114,当前走势!$B:$F,5,FALSE)/100000000</f>
        <v>7260.0087999999996</v>
      </c>
      <c r="E114" s="10">
        <f>VLOOKUP(B114,'China Index ROIC'!$B:$D,2,FALSE)</f>
        <v>3.01</v>
      </c>
      <c r="F114" s="10">
        <f>VLOOKUP(B114,'China Index ROIC'!$B:$D,3,FALSE)</f>
        <v>1.5585</v>
      </c>
      <c r="G114" s="10" t="str">
        <f>VLOOKUP(B114,'China Index ROIC'!B:E,4,FALSE)</f>
        <v>电力设备-电池-锂电池</v>
      </c>
      <c r="H114" s="15" t="s">
        <v>14922</v>
      </c>
      <c r="I114" s="11" t="str">
        <f>CONCATENATE("https://gushitong.baidu.com/stock/ab-", B114)</f>
        <v>https://gushitong.baidu.com/stock/ab-300750</v>
      </c>
    </row>
    <row r="115" spans="1:9" ht="16.5" customHeight="1" x14ac:dyDescent="0.15">
      <c r="A115" s="9" t="s">
        <v>987</v>
      </c>
      <c r="B115" s="10" t="s">
        <v>988</v>
      </c>
      <c r="C115" s="10">
        <f>VLOOKUP(B115,当前走势!B:F,3,)</f>
        <v>76.59</v>
      </c>
      <c r="D115" s="17">
        <f>VLOOKUP(B115,当前走势!$B:$F,5,FALSE)/100000000</f>
        <v>147.7379</v>
      </c>
      <c r="E115" s="10">
        <f>VLOOKUP(B115,'China Index ROIC'!$B:$D,2,FALSE)</f>
        <v>2.88</v>
      </c>
      <c r="F115" s="10">
        <f>VLOOKUP(B115,'China Index ROIC'!$B:$D,3,FALSE)</f>
        <v>0.61370000000000002</v>
      </c>
      <c r="G115" s="10" t="str">
        <f>VLOOKUP(B115,'China Index ROIC'!B:E,4,FALSE)</f>
        <v>电力设备-电池-锂电池</v>
      </c>
      <c r="H115" s="15" t="s">
        <v>14922</v>
      </c>
      <c r="I115" s="11" t="str">
        <f>CONCATENATE("https://gushitong.baidu.com/stock/ab-", B115)</f>
        <v>https://gushitong.baidu.com/stock/ab-002850</v>
      </c>
    </row>
    <row r="116" spans="1:9" ht="16.5" customHeight="1" x14ac:dyDescent="0.15">
      <c r="A116" s="9" t="s">
        <v>306</v>
      </c>
      <c r="B116" s="10" t="s">
        <v>307</v>
      </c>
      <c r="C116" s="10">
        <f>VLOOKUP(B116,当前走势!B:F,3,)</f>
        <v>32.479999999999997</v>
      </c>
      <c r="D116" s="17">
        <f>VLOOKUP(B116,当前走势!$B:$F,5,FALSE)/100000000</f>
        <v>604.59397000000001</v>
      </c>
      <c r="E116" s="10">
        <f>VLOOKUP(B116,'China Index ROIC'!$B:$D,2,FALSE)</f>
        <v>2.37</v>
      </c>
      <c r="F116" s="10">
        <f>VLOOKUP(B116,'China Index ROIC'!$B:$D,3,FALSE)</f>
        <v>1.4724999999999999</v>
      </c>
      <c r="G116" s="10" t="str">
        <f>VLOOKUP(B116,'China Index ROIC'!B:E,4,FALSE)</f>
        <v>电力设备-电池-锂电池</v>
      </c>
      <c r="H116" s="15" t="s">
        <v>14922</v>
      </c>
      <c r="I116" s="11" t="str">
        <f>CONCATENATE("https://gushitong.baidu.com/stock/ab-", B116)</f>
        <v>https://gushitong.baidu.com/stock/ab-300014</v>
      </c>
    </row>
    <row r="117" spans="1:9" ht="16.5" customHeight="1" x14ac:dyDescent="0.15">
      <c r="A117" s="9" t="s">
        <v>846</v>
      </c>
      <c r="B117" s="10" t="s">
        <v>847</v>
      </c>
      <c r="C117" s="10">
        <f>VLOOKUP(B117,当前走势!B:F,3,)</f>
        <v>10.61</v>
      </c>
      <c r="D117" s="17">
        <f>VLOOKUP(B117,当前走势!$B:$F,5,FALSE)/100000000</f>
        <v>226.67194000000001</v>
      </c>
      <c r="E117" s="10">
        <f>VLOOKUP(B117,'China Index ROIC'!$B:$D,2,FALSE)</f>
        <v>3.37</v>
      </c>
      <c r="F117" s="10">
        <f>VLOOKUP(B117,'China Index ROIC'!$B:$D,3,FALSE)</f>
        <v>1.7362</v>
      </c>
      <c r="G117" s="10" t="str">
        <f>VLOOKUP(B117,'China Index ROIC'!B:E,4,FALSE)</f>
        <v>电力设备-电池-电池化学品</v>
      </c>
      <c r="H117" s="15" t="s">
        <v>14922</v>
      </c>
      <c r="I117" s="11" t="str">
        <f>CONCATENATE("https://gushitong.baidu.com/stock/ab-", B117)</f>
        <v>https://gushitong.baidu.com/stock/ab-603659</v>
      </c>
    </row>
    <row r="118" spans="1:9" ht="16.5" customHeight="1" x14ac:dyDescent="0.15">
      <c r="A118" s="9" t="s">
        <v>804</v>
      </c>
      <c r="B118" s="10" t="s">
        <v>805</v>
      </c>
      <c r="C118" s="10">
        <f>VLOOKUP(B118,当前走势!B:F,3,)</f>
        <v>24.65</v>
      </c>
      <c r="D118" s="17">
        <f>VLOOKUP(B118,当前走势!$B:$F,5,FALSE)/100000000</f>
        <v>202.87354999999999</v>
      </c>
      <c r="E118" s="10">
        <f>VLOOKUP(B118,'China Index ROIC'!$B:$D,2,FALSE)</f>
        <v>2.42</v>
      </c>
      <c r="F118" s="10">
        <f>VLOOKUP(B118,'China Index ROIC'!$B:$D,3,FALSE)</f>
        <v>1.6624000000000001</v>
      </c>
      <c r="G118" s="10" t="str">
        <f>VLOOKUP(B118,'China Index ROIC'!B:E,4,FALSE)</f>
        <v>电力设备-电池-电池化学品</v>
      </c>
      <c r="H118" s="15" t="s">
        <v>14922</v>
      </c>
      <c r="I118" s="11" t="str">
        <f>CONCATENATE("https://gushitong.baidu.com/stock/ab-", B118)</f>
        <v>https://gushitong.baidu.com/stock/ab-002812</v>
      </c>
    </row>
    <row r="119" spans="1:9" ht="16.5" customHeight="1" thickBot="1" x14ac:dyDescent="0.2">
      <c r="A119" s="12" t="s">
        <v>946</v>
      </c>
      <c r="B119" s="13" t="s">
        <v>947</v>
      </c>
      <c r="C119" s="13">
        <f>VLOOKUP(B119,当前走势!B:F,3,)</f>
        <v>44.97</v>
      </c>
      <c r="D119" s="18">
        <f>VLOOKUP(B119,当前走势!$B:$F,5,FALSE)/100000000</f>
        <v>89.120755000000003</v>
      </c>
      <c r="E119" s="10">
        <f>VLOOKUP(B119,'China Index ROIC'!$B:$D,2,FALSE)</f>
        <v>3.4</v>
      </c>
      <c r="F119" s="10">
        <f>VLOOKUP(B119,'China Index ROIC'!$B:$D,3,FALSE)</f>
        <v>1.0684</v>
      </c>
      <c r="G119" s="13" t="str">
        <f>VLOOKUP(B119,'China Index ROIC'!B:E,4,FALSE)</f>
        <v>美容护理-美容护理-医疗美容</v>
      </c>
      <c r="H119" s="16" t="s">
        <v>8596</v>
      </c>
      <c r="I119" s="14" t="str">
        <f>CONCATENATE("https://gushitong.baidu.com/stock/ab-", B119)</f>
        <v>https://gushitong.baidu.com/stock/ab-688363</v>
      </c>
    </row>
  </sheetData>
  <autoFilter ref="A1:I119"/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List!$A$1:$A$9</xm:f>
          </x14:formula1>
          <xm:sqref>H2:H119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119"/>
  <sheetViews>
    <sheetView workbookViewId="0">
      <selection activeCell="B108" sqref="A1:I119"/>
    </sheetView>
  </sheetViews>
  <sheetFormatPr defaultRowHeight="16.5" customHeight="1" x14ac:dyDescent="0.15"/>
  <cols>
    <col min="1" max="2" width="12.25" bestFit="1" customWidth="1"/>
    <col min="3" max="3" width="15" bestFit="1" customWidth="1"/>
    <col min="4" max="4" width="19.75" style="19" bestFit="1" customWidth="1"/>
    <col min="5" max="5" width="14.875" bestFit="1" customWidth="1"/>
    <col min="6" max="6" width="12.5" bestFit="1" customWidth="1"/>
    <col min="7" max="7" width="38.25" bestFit="1" customWidth="1"/>
    <col min="8" max="8" width="12.75" bestFit="1" customWidth="1"/>
    <col min="9" max="9" width="48.25" bestFit="1" customWidth="1"/>
  </cols>
  <sheetData>
    <row r="1" spans="1:9" ht="16.5" customHeight="1" x14ac:dyDescent="0.15">
      <c r="A1" s="7" t="s">
        <v>0</v>
      </c>
      <c r="B1" s="8" t="s">
        <v>1</v>
      </c>
      <c r="C1" s="8" t="s">
        <v>14914</v>
      </c>
      <c r="D1" s="27" t="s">
        <v>14916</v>
      </c>
      <c r="E1" s="8" t="s">
        <v>2</v>
      </c>
      <c r="F1" s="8" t="s">
        <v>3</v>
      </c>
      <c r="G1" s="8" t="s">
        <v>4</v>
      </c>
      <c r="H1" s="8" t="s">
        <v>14924</v>
      </c>
      <c r="I1" s="8" t="s">
        <v>8612</v>
      </c>
    </row>
    <row r="2" spans="1:9" ht="16.5" customHeight="1" x14ac:dyDescent="0.15">
      <c r="A2" s="9" t="s">
        <v>5</v>
      </c>
      <c r="B2" s="10" t="s">
        <v>6</v>
      </c>
      <c r="C2" s="10">
        <v>1266.9000000000001</v>
      </c>
      <c r="D2" s="17">
        <v>15914.77</v>
      </c>
      <c r="E2" s="10">
        <v>7.6</v>
      </c>
      <c r="F2" s="10">
        <v>1.3796999999999999</v>
      </c>
      <c r="G2" s="10" t="s">
        <v>7</v>
      </c>
      <c r="H2" s="10" t="s">
        <v>8596</v>
      </c>
      <c r="I2" s="15" t="str">
        <f>CONCATENATE("https://gushitong.baidu.com/stock/ab-", B2)</f>
        <v>https://gushitong.baidu.com/stock/ab-600519</v>
      </c>
    </row>
    <row r="3" spans="1:9" ht="16.5" customHeight="1" x14ac:dyDescent="0.15">
      <c r="A3" s="9" t="s">
        <v>499</v>
      </c>
      <c r="B3" s="10" t="s">
        <v>500</v>
      </c>
      <c r="C3" s="10">
        <v>34.979999999999997</v>
      </c>
      <c r="D3" s="17">
        <v>252.92760999999999</v>
      </c>
      <c r="E3" s="10">
        <v>7.29</v>
      </c>
      <c r="F3" s="10">
        <v>1.8425</v>
      </c>
      <c r="G3" s="10" t="s">
        <v>501</v>
      </c>
      <c r="H3" s="10" t="s">
        <v>8598</v>
      </c>
      <c r="I3" s="15" t="str">
        <f>CONCATENATE("https://gushitong.baidu.com/stock/ab-", B3)</f>
        <v>https://gushitong.baidu.com/stock/ab-300628</v>
      </c>
    </row>
    <row r="4" spans="1:9" ht="16.5" customHeight="1" x14ac:dyDescent="0.15">
      <c r="A4" s="9" t="s">
        <v>107</v>
      </c>
      <c r="B4" s="10" t="s">
        <v>108</v>
      </c>
      <c r="C4" s="10">
        <v>100.02</v>
      </c>
      <c r="D4" s="17">
        <v>1467.4342999999999</v>
      </c>
      <c r="E4" s="10">
        <v>6.96</v>
      </c>
      <c r="F4" s="10">
        <v>1.6021000000000001</v>
      </c>
      <c r="G4" s="10" t="s">
        <v>7</v>
      </c>
      <c r="H4" s="10" t="s">
        <v>8596</v>
      </c>
      <c r="I4" s="15" t="str">
        <f>CONCATENATE("https://gushitong.baidu.com/stock/ab-", B4)</f>
        <v>https://gushitong.baidu.com/stock/ab-000568</v>
      </c>
    </row>
    <row r="5" spans="1:9" ht="16.5" customHeight="1" x14ac:dyDescent="0.15">
      <c r="A5" s="9" t="s">
        <v>1131</v>
      </c>
      <c r="B5" s="10" t="s">
        <v>1132</v>
      </c>
      <c r="C5" s="10">
        <v>84.37</v>
      </c>
      <c r="D5" s="17">
        <v>189.83250000000001</v>
      </c>
      <c r="E5" s="10">
        <v>5.92</v>
      </c>
      <c r="F5" s="10">
        <v>1.2579</v>
      </c>
      <c r="G5" s="10" t="s">
        <v>362</v>
      </c>
      <c r="H5" s="10" t="s">
        <v>8598</v>
      </c>
      <c r="I5" s="15" t="str">
        <f>CONCATENATE("https://gushitong.baidu.com/stock/ab-", B5)</f>
        <v>https://gushitong.baidu.com/stock/ab-600563</v>
      </c>
    </row>
    <row r="6" spans="1:9" ht="16.5" customHeight="1" x14ac:dyDescent="0.15">
      <c r="A6" s="9" t="s">
        <v>138</v>
      </c>
      <c r="B6" s="10" t="s">
        <v>139</v>
      </c>
      <c r="C6" s="10">
        <v>193.5</v>
      </c>
      <c r="D6" s="17">
        <v>1167.4187999999999</v>
      </c>
      <c r="E6" s="10">
        <v>5.86</v>
      </c>
      <c r="F6" s="10">
        <v>2.0427</v>
      </c>
      <c r="G6" s="10" t="s">
        <v>140</v>
      </c>
      <c r="H6" s="10" t="s">
        <v>8600</v>
      </c>
      <c r="I6" s="15" t="str">
        <f>CONCATENATE("https://gushitong.baidu.com/stock/ab-", B6)</f>
        <v>https://gushitong.baidu.com/stock/ab-600436</v>
      </c>
    </row>
    <row r="7" spans="1:9" ht="16.5" customHeight="1" x14ac:dyDescent="0.15">
      <c r="A7" s="9" t="s">
        <v>1012</v>
      </c>
      <c r="B7" s="10" t="s">
        <v>1013</v>
      </c>
      <c r="C7" s="10">
        <v>34.799999999999997</v>
      </c>
      <c r="D7" s="17">
        <v>208.14558</v>
      </c>
      <c r="E7" s="10">
        <v>5.55</v>
      </c>
      <c r="F7" s="10">
        <v>1.5513999999999999</v>
      </c>
      <c r="G7" s="10" t="s">
        <v>7</v>
      </c>
      <c r="H7" s="10" t="s">
        <v>8596</v>
      </c>
      <c r="I7" s="15" t="str">
        <f>CONCATENATE("https://gushitong.baidu.com/stock/ab-", B7)</f>
        <v>https://gushitong.baidu.com/stock/ab-603589</v>
      </c>
    </row>
    <row r="8" spans="1:9" ht="16.5" customHeight="1" x14ac:dyDescent="0.15">
      <c r="A8" s="9" t="s">
        <v>372</v>
      </c>
      <c r="B8" s="10" t="s">
        <v>373</v>
      </c>
      <c r="C8" s="10">
        <v>69.86</v>
      </c>
      <c r="D8" s="17">
        <v>475.19297999999998</v>
      </c>
      <c r="E8" s="10">
        <v>5.4450000000000003</v>
      </c>
      <c r="F8" s="10">
        <v>1.5008999999999999</v>
      </c>
      <c r="G8" s="10" t="s">
        <v>374</v>
      </c>
      <c r="H8" s="10" t="s">
        <v>8600</v>
      </c>
      <c r="I8" s="15" t="str">
        <f>CONCATENATE("https://gushitong.baidu.com/stock/ab-", B8)</f>
        <v>https://gushitong.baidu.com/stock/ab-300832</v>
      </c>
    </row>
    <row r="9" spans="1:9" ht="16.5" customHeight="1" x14ac:dyDescent="0.15">
      <c r="A9" s="9" t="s">
        <v>297</v>
      </c>
      <c r="B9" s="10" t="s">
        <v>298</v>
      </c>
      <c r="C9" s="10">
        <v>29.37</v>
      </c>
      <c r="D9" s="17">
        <v>622.98299999999995</v>
      </c>
      <c r="E9" s="10">
        <v>5.25</v>
      </c>
      <c r="F9" s="10">
        <v>0.68810000000000004</v>
      </c>
      <c r="G9" s="10" t="s">
        <v>299</v>
      </c>
      <c r="H9" s="10" t="s">
        <v>8598</v>
      </c>
      <c r="I9" s="15" t="str">
        <f>CONCATENATE("https://gushitong.baidu.com/stock/ab-", B9)</f>
        <v>https://gushitong.baidu.com/stock/ab-600845</v>
      </c>
    </row>
    <row r="10" spans="1:9" ht="16.5" customHeight="1" x14ac:dyDescent="0.15">
      <c r="A10" s="9" t="s">
        <v>860</v>
      </c>
      <c r="B10" s="10" t="s">
        <v>861</v>
      </c>
      <c r="C10" s="10">
        <v>25.28</v>
      </c>
      <c r="D10" s="17">
        <v>233.54382000000001</v>
      </c>
      <c r="E10" s="10">
        <v>5.24</v>
      </c>
      <c r="F10" s="10">
        <v>2.1006999999999998</v>
      </c>
      <c r="G10" s="10" t="s">
        <v>862</v>
      </c>
      <c r="H10" s="10" t="s">
        <v>8607</v>
      </c>
      <c r="I10" s="15" t="str">
        <f>CONCATENATE("https://gushitong.baidu.com/stock/ab-", B10)</f>
        <v>https://gushitong.baidu.com/stock/ab-603899</v>
      </c>
    </row>
    <row r="11" spans="1:9" ht="16.5" customHeight="1" x14ac:dyDescent="0.15">
      <c r="A11" s="9" t="s">
        <v>587</v>
      </c>
      <c r="B11" s="10" t="s">
        <v>588</v>
      </c>
      <c r="C11" s="10">
        <v>85.94</v>
      </c>
      <c r="D11" s="17">
        <v>339.29142999999999</v>
      </c>
      <c r="E11" s="10">
        <v>5.03</v>
      </c>
      <c r="F11" s="10">
        <v>2.2349999999999999</v>
      </c>
      <c r="G11" s="10" t="s">
        <v>589</v>
      </c>
      <c r="H11" s="10" t="s">
        <v>8596</v>
      </c>
      <c r="I11" s="15" t="str">
        <f>CONCATENATE("https://gushitong.baidu.com/stock/ab-", B11)</f>
        <v>https://gushitong.baidu.com/stock/ab-603605</v>
      </c>
    </row>
    <row r="12" spans="1:9" ht="16.5" customHeight="1" x14ac:dyDescent="0.15">
      <c r="A12" s="9" t="s">
        <v>155</v>
      </c>
      <c r="B12" s="10" t="s">
        <v>156</v>
      </c>
      <c r="C12" s="10">
        <v>43.86</v>
      </c>
      <c r="D12" s="17">
        <v>994.35176000000001</v>
      </c>
      <c r="E12" s="10">
        <v>4.96</v>
      </c>
      <c r="F12" s="10">
        <v>1.6424000000000001</v>
      </c>
      <c r="G12" s="10" t="s">
        <v>157</v>
      </c>
      <c r="H12" s="10" t="s">
        <v>8598</v>
      </c>
      <c r="I12" s="15" t="str">
        <f>CONCATENATE("https://gushitong.baidu.com/stock/ab-", B12)</f>
        <v>https://gushitong.baidu.com/stock/ab-300124</v>
      </c>
    </row>
    <row r="13" spans="1:9" ht="16.5" customHeight="1" x14ac:dyDescent="0.15">
      <c r="A13" s="9" t="s">
        <v>14918</v>
      </c>
      <c r="B13" s="10" t="s">
        <v>945</v>
      </c>
      <c r="C13" s="10">
        <v>24.46</v>
      </c>
      <c r="D13" s="17">
        <v>223.99199999999999</v>
      </c>
      <c r="E13" s="10">
        <v>4.8600000000000003</v>
      </c>
      <c r="F13" s="10">
        <v>0.85499999999999998</v>
      </c>
      <c r="G13" s="10" t="s">
        <v>140</v>
      </c>
      <c r="H13" s="10" t="s">
        <v>8600</v>
      </c>
      <c r="I13" s="15" t="str">
        <f>CONCATENATE("https://gushitong.baidu.com/stock/ab-", B13)</f>
        <v>https://gushitong.baidu.com/stock/ab-600566</v>
      </c>
    </row>
    <row r="14" spans="1:9" ht="16.5" customHeight="1" x14ac:dyDescent="0.15">
      <c r="A14" s="9" t="s">
        <v>266</v>
      </c>
      <c r="B14" s="10" t="s">
        <v>267</v>
      </c>
      <c r="C14" s="10">
        <v>22.93</v>
      </c>
      <c r="D14" s="17">
        <v>794.32357000000002</v>
      </c>
      <c r="E14" s="10">
        <v>4.78</v>
      </c>
      <c r="F14" s="10">
        <v>1.8169</v>
      </c>
      <c r="G14" s="10" t="s">
        <v>268</v>
      </c>
      <c r="H14" s="10" t="s">
        <v>8596</v>
      </c>
      <c r="I14" s="15" t="str">
        <f>CONCATENATE("https://gushitong.baidu.com/stock/ab-", B14)</f>
        <v>https://gushitong.baidu.com/stock/ab-000895</v>
      </c>
    </row>
    <row r="15" spans="1:9" ht="16.5" customHeight="1" x14ac:dyDescent="0.15">
      <c r="A15" s="9" t="s">
        <v>948</v>
      </c>
      <c r="B15" s="10" t="s">
        <v>949</v>
      </c>
      <c r="C15" s="10">
        <v>26.92</v>
      </c>
      <c r="D15" s="17">
        <v>221.13247000000001</v>
      </c>
      <c r="E15" s="10">
        <v>4.71</v>
      </c>
      <c r="F15" s="10">
        <v>1.2502</v>
      </c>
      <c r="G15" s="10" t="s">
        <v>171</v>
      </c>
      <c r="H15" s="10" t="s">
        <v>8609</v>
      </c>
      <c r="I15" s="15" t="str">
        <f>CONCATENATE("https://gushitong.baidu.com/stock/ab-", B15)</f>
        <v>https://gushitong.baidu.com/stock/ab-300699</v>
      </c>
    </row>
    <row r="16" spans="1:9" ht="16.5" customHeight="1" x14ac:dyDescent="0.15">
      <c r="A16" s="9" t="s">
        <v>1241</v>
      </c>
      <c r="B16" s="10" t="s">
        <v>1242</v>
      </c>
      <c r="C16" s="10">
        <v>10.31</v>
      </c>
      <c r="D16" s="17">
        <v>147.61545000000001</v>
      </c>
      <c r="E16" s="10">
        <v>4.51</v>
      </c>
      <c r="F16" s="10">
        <v>2.0041000000000002</v>
      </c>
      <c r="G16" s="10" t="s">
        <v>1243</v>
      </c>
      <c r="H16" s="10" t="s">
        <v>8603</v>
      </c>
      <c r="I16" s="15" t="str">
        <f>CONCATENATE("https://gushitong.baidu.com/stock/ab-", B16)</f>
        <v>https://gushitong.baidu.com/stock/ab-300012</v>
      </c>
    </row>
    <row r="17" spans="1:9" ht="16.5" customHeight="1" x14ac:dyDescent="0.15">
      <c r="A17" s="9" t="s">
        <v>628</v>
      </c>
      <c r="B17" s="10" t="s">
        <v>629</v>
      </c>
      <c r="C17" s="10">
        <v>43.2</v>
      </c>
      <c r="D17" s="17">
        <v>343.33848</v>
      </c>
      <c r="E17" s="10">
        <v>4.51</v>
      </c>
      <c r="F17" s="10">
        <v>0.75790000000000002</v>
      </c>
      <c r="G17" s="10" t="s">
        <v>630</v>
      </c>
      <c r="H17" s="10" t="s">
        <v>8605</v>
      </c>
      <c r="I17" s="15" t="str">
        <f>CONCATENATE("https://gushitong.baidu.com/stock/ab-", B17)</f>
        <v>https://gushitong.baidu.com/stock/ab-002595</v>
      </c>
    </row>
    <row r="18" spans="1:9" ht="16.5" customHeight="1" x14ac:dyDescent="0.15">
      <c r="A18" s="9" t="s">
        <v>169</v>
      </c>
      <c r="B18" s="10" t="s">
        <v>170</v>
      </c>
      <c r="C18" s="10">
        <v>40.15</v>
      </c>
      <c r="D18" s="17">
        <v>1102.0118299999999</v>
      </c>
      <c r="E18" s="10">
        <v>4.3899999999999997</v>
      </c>
      <c r="F18" s="10">
        <v>1.4602999999999999</v>
      </c>
      <c r="G18" s="10" t="s">
        <v>171</v>
      </c>
      <c r="H18" s="10" t="s">
        <v>8605</v>
      </c>
      <c r="I18" s="15" t="str">
        <f>CONCATENATE("https://gushitong.baidu.com/stock/ab-", B18)</f>
        <v>https://gushitong.baidu.com/stock/ab-600760</v>
      </c>
    </row>
    <row r="19" spans="1:9" ht="16.5" customHeight="1" x14ac:dyDescent="0.15">
      <c r="A19" s="9" t="s">
        <v>592</v>
      </c>
      <c r="B19" s="10" t="s">
        <v>593</v>
      </c>
      <c r="C19" s="10">
        <v>68.959999999999994</v>
      </c>
      <c r="D19" s="17">
        <v>204.39872</v>
      </c>
      <c r="E19" s="10">
        <v>4.3600000000000003</v>
      </c>
      <c r="F19" s="10">
        <v>1.3291999999999999</v>
      </c>
      <c r="G19" s="10" t="s">
        <v>214</v>
      </c>
      <c r="H19" s="10" t="s">
        <v>8598</v>
      </c>
      <c r="I19" s="15" t="str">
        <f>CONCATENATE("https://gushitong.baidu.com/stock/ab-", B19)</f>
        <v>https://gushitong.baidu.com/stock/ab-300866</v>
      </c>
    </row>
    <row r="20" spans="1:9" ht="16.5" customHeight="1" x14ac:dyDescent="0.15">
      <c r="A20" s="9" t="s">
        <v>1129</v>
      </c>
      <c r="B20" s="10" t="s">
        <v>1130</v>
      </c>
      <c r="C20" s="10">
        <v>11.39</v>
      </c>
      <c r="D20" s="17">
        <v>185.09411</v>
      </c>
      <c r="E20" s="10">
        <v>4.1900000000000004</v>
      </c>
      <c r="F20" s="10">
        <v>1.7261</v>
      </c>
      <c r="G20" s="10" t="s">
        <v>198</v>
      </c>
      <c r="H20" s="10" t="s">
        <v>14922</v>
      </c>
      <c r="I20" s="15" t="str">
        <f>CONCATENATE("https://gushitong.baidu.com/stock/ab-", B20)</f>
        <v>https://gushitong.baidu.com/stock/ab-002056</v>
      </c>
    </row>
    <row r="21" spans="1:9" ht="16.5" customHeight="1" x14ac:dyDescent="0.15">
      <c r="A21" s="9" t="s">
        <v>394</v>
      </c>
      <c r="B21" s="10" t="s">
        <v>395</v>
      </c>
      <c r="C21" s="10">
        <v>93.8</v>
      </c>
      <c r="D21" s="17">
        <v>517.31886999999995</v>
      </c>
      <c r="E21" s="10">
        <v>4.1399999999999997</v>
      </c>
      <c r="F21" s="10">
        <v>2.2033999999999998</v>
      </c>
      <c r="G21" s="10" t="s">
        <v>396</v>
      </c>
      <c r="H21" s="10" t="s">
        <v>8596</v>
      </c>
      <c r="I21" s="15" t="str">
        <f>CONCATENATE("https://gushitong.baidu.com/stock/ab-", B21)</f>
        <v>https://gushitong.baidu.com/stock/ab-002920</v>
      </c>
    </row>
    <row r="22" spans="1:9" ht="16.5" customHeight="1" x14ac:dyDescent="0.15">
      <c r="A22" s="9" t="s">
        <v>263</v>
      </c>
      <c r="B22" s="10" t="s">
        <v>264</v>
      </c>
      <c r="C22" s="10">
        <v>37.06</v>
      </c>
      <c r="D22" s="17">
        <v>764.81109000000004</v>
      </c>
      <c r="E22" s="10">
        <v>4.1399999999999997</v>
      </c>
      <c r="F22" s="10">
        <v>1.1861999999999999</v>
      </c>
      <c r="G22" s="10" t="s">
        <v>265</v>
      </c>
      <c r="H22" s="10" t="s">
        <v>8605</v>
      </c>
      <c r="I22" s="15" t="str">
        <f>CONCATENATE("https://gushitong.baidu.com/stock/ab-", B22)</f>
        <v>https://gushitong.baidu.com/stock/ab-002179</v>
      </c>
    </row>
    <row r="23" spans="1:9" ht="16.5" customHeight="1" x14ac:dyDescent="0.15">
      <c r="A23" s="9" t="s">
        <v>806</v>
      </c>
      <c r="B23" s="10" t="s">
        <v>807</v>
      </c>
      <c r="C23" s="10">
        <v>24.42</v>
      </c>
      <c r="D23" s="17">
        <v>215.33374000000001</v>
      </c>
      <c r="E23" s="10">
        <v>3.99</v>
      </c>
      <c r="F23" s="10">
        <v>1.137</v>
      </c>
      <c r="G23" s="10" t="s">
        <v>44</v>
      </c>
      <c r="H23" s="10" t="s">
        <v>8600</v>
      </c>
      <c r="I23" s="15" t="str">
        <f>CONCATENATE("https://gushitong.baidu.com/stock/ab-", B23)</f>
        <v>https://gushitong.baidu.com/stock/ab-002262</v>
      </c>
    </row>
    <row r="24" spans="1:9" ht="16.5" customHeight="1" x14ac:dyDescent="0.15">
      <c r="A24" s="9" t="s">
        <v>389</v>
      </c>
      <c r="B24" s="10" t="s">
        <v>390</v>
      </c>
      <c r="C24" s="10">
        <v>69.22</v>
      </c>
      <c r="D24" s="17">
        <v>417.14512999999999</v>
      </c>
      <c r="E24" s="10">
        <v>3.95</v>
      </c>
      <c r="F24" s="10">
        <v>1.9923</v>
      </c>
      <c r="G24" s="10" t="s">
        <v>391</v>
      </c>
      <c r="H24" s="10" t="s">
        <v>14922</v>
      </c>
      <c r="I24" s="15" t="str">
        <f>CONCATENATE("https://gushitong.baidu.com/stock/ab-", B24)</f>
        <v>https://gushitong.baidu.com/stock/ab-002028</v>
      </c>
    </row>
    <row r="25" spans="1:9" ht="16.5" customHeight="1" x14ac:dyDescent="0.15">
      <c r="A25" s="9" t="s">
        <v>350</v>
      </c>
      <c r="B25" s="10" t="s">
        <v>351</v>
      </c>
      <c r="C25" s="10">
        <v>33.42</v>
      </c>
      <c r="D25" s="17">
        <v>639.66444000000001</v>
      </c>
      <c r="E25" s="10">
        <v>3.93</v>
      </c>
      <c r="F25" s="10">
        <v>1.4067000000000001</v>
      </c>
      <c r="G25" s="10" t="s">
        <v>286</v>
      </c>
      <c r="H25" s="10" t="s">
        <v>8598</v>
      </c>
      <c r="I25" s="15" t="str">
        <f>CONCATENATE("https://gushitong.baidu.com/stock/ab-", B25)</f>
        <v>https://gushitong.baidu.com/stock/ab-002463</v>
      </c>
    </row>
    <row r="26" spans="1:9" ht="16.5" customHeight="1" x14ac:dyDescent="0.15">
      <c r="A26" s="9" t="s">
        <v>56</v>
      </c>
      <c r="B26" s="10" t="s">
        <v>57</v>
      </c>
      <c r="C26" s="10">
        <v>40.520000000000003</v>
      </c>
      <c r="D26" s="17">
        <v>2247.0147999999999</v>
      </c>
      <c r="E26" s="10">
        <v>3.91</v>
      </c>
      <c r="F26" s="10">
        <v>1.7498</v>
      </c>
      <c r="G26" s="10" t="s">
        <v>32</v>
      </c>
      <c r="H26" s="10" t="s">
        <v>8596</v>
      </c>
      <c r="I26" s="15" t="str">
        <f>CONCATENATE("https://gushitong.baidu.com/stock/ab-", B26)</f>
        <v>https://gushitong.baidu.com/stock/ab-000651</v>
      </c>
    </row>
    <row r="27" spans="1:9" ht="16.5" customHeight="1" x14ac:dyDescent="0.15">
      <c r="A27" s="9" t="s">
        <v>624</v>
      </c>
      <c r="B27" s="10" t="s">
        <v>625</v>
      </c>
      <c r="C27" s="10">
        <v>171.1</v>
      </c>
      <c r="D27" s="17">
        <v>351.52958000000001</v>
      </c>
      <c r="E27" s="10">
        <v>3.86</v>
      </c>
      <c r="F27" s="10">
        <v>1.6571</v>
      </c>
      <c r="G27" s="10" t="s">
        <v>157</v>
      </c>
      <c r="H27" s="10" t="s">
        <v>8598</v>
      </c>
      <c r="I27" s="15" t="str">
        <f>CONCATENATE("https://gushitong.baidu.com/stock/ab-", B27)</f>
        <v>https://gushitong.baidu.com/stock/ab-688188</v>
      </c>
    </row>
    <row r="28" spans="1:9" ht="16.5" customHeight="1" x14ac:dyDescent="0.15">
      <c r="A28" s="9" t="s">
        <v>30</v>
      </c>
      <c r="B28" s="10" t="s">
        <v>31</v>
      </c>
      <c r="C28" s="10">
        <v>65.25</v>
      </c>
      <c r="D28" s="17">
        <v>4488.2655999999997</v>
      </c>
      <c r="E28" s="10">
        <v>3.78</v>
      </c>
      <c r="F28" s="10">
        <v>0.90859999999999996</v>
      </c>
      <c r="G28" s="10" t="s">
        <v>32</v>
      </c>
      <c r="H28" s="10" t="s">
        <v>8596</v>
      </c>
      <c r="I28" s="15" t="str">
        <f>CONCATENATE("https://gushitong.baidu.com/stock/ab-", B28)</f>
        <v>https://gushitong.baidu.com/stock/ab-000333</v>
      </c>
    </row>
    <row r="29" spans="1:9" ht="16.5" customHeight="1" x14ac:dyDescent="0.15">
      <c r="A29" s="9" t="s">
        <v>906</v>
      </c>
      <c r="B29" s="10" t="s">
        <v>907</v>
      </c>
      <c r="C29" s="10">
        <v>18.55</v>
      </c>
      <c r="D29" s="17">
        <v>242.97013999999999</v>
      </c>
      <c r="E29" s="10">
        <v>3.76</v>
      </c>
      <c r="F29" s="10">
        <v>1.0954999999999999</v>
      </c>
      <c r="G29" s="10" t="s">
        <v>137</v>
      </c>
      <c r="H29" s="10" t="s">
        <v>8605</v>
      </c>
      <c r="I29" s="15" t="str">
        <f>CONCATENATE("https://gushitong.baidu.com/stock/ab-", B29)</f>
        <v>https://gushitong.baidu.com/stock/ab-603298</v>
      </c>
    </row>
    <row r="30" spans="1:9" ht="16.5" customHeight="1" x14ac:dyDescent="0.15">
      <c r="A30" s="9" t="s">
        <v>871</v>
      </c>
      <c r="B30" s="10" t="s">
        <v>872</v>
      </c>
      <c r="C30" s="10">
        <v>39.770000000000003</v>
      </c>
      <c r="D30" s="17">
        <v>240.72913</v>
      </c>
      <c r="E30" s="10">
        <v>3.7</v>
      </c>
      <c r="F30" s="10">
        <v>0.76780000000000004</v>
      </c>
      <c r="G30" s="10" t="s">
        <v>201</v>
      </c>
      <c r="H30" s="10" t="s">
        <v>8596</v>
      </c>
      <c r="I30" s="15" t="str">
        <f>CONCATENATE("https://gushitong.baidu.com/stock/ab-", B30)</f>
        <v>https://gushitong.baidu.com/stock/ab-603596</v>
      </c>
    </row>
    <row r="31" spans="1:9" ht="16.5" customHeight="1" x14ac:dyDescent="0.15">
      <c r="A31" s="9" t="s">
        <v>1253</v>
      </c>
      <c r="B31" s="10" t="s">
        <v>1254</v>
      </c>
      <c r="C31" s="10">
        <v>68.05</v>
      </c>
      <c r="D31" s="17">
        <v>162.89366000000001</v>
      </c>
      <c r="E31" s="10">
        <v>3.68</v>
      </c>
      <c r="F31" s="10">
        <v>2.4527000000000001</v>
      </c>
      <c r="G31" s="10" t="s">
        <v>682</v>
      </c>
      <c r="H31" s="10" t="s">
        <v>8598</v>
      </c>
      <c r="I31" s="15" t="str">
        <f>CONCATENATE("https://gushitong.baidu.com/stock/ab-", B31)</f>
        <v>https://gushitong.baidu.com/stock/ab-603290</v>
      </c>
    </row>
    <row r="32" spans="1:9" ht="16.5" customHeight="1" x14ac:dyDescent="0.15">
      <c r="A32" s="9" t="s">
        <v>697</v>
      </c>
      <c r="B32" s="10" t="s">
        <v>698</v>
      </c>
      <c r="C32" s="10">
        <v>17.7</v>
      </c>
      <c r="D32" s="17">
        <v>300.61505</v>
      </c>
      <c r="E32" s="10">
        <v>3.65</v>
      </c>
      <c r="F32" s="10">
        <v>1.0215000000000001</v>
      </c>
      <c r="G32" s="10" t="s">
        <v>699</v>
      </c>
      <c r="H32" s="10" t="s">
        <v>8603</v>
      </c>
      <c r="I32" s="15" t="str">
        <f>CONCATENATE("https://gushitong.baidu.com/stock/ab-", B32)</f>
        <v>https://gushitong.baidu.com/stock/ab-603568</v>
      </c>
    </row>
    <row r="33" spans="1:9" ht="16.5" customHeight="1" x14ac:dyDescent="0.15">
      <c r="A33" s="9" t="s">
        <v>426</v>
      </c>
      <c r="B33" s="10" t="s">
        <v>427</v>
      </c>
      <c r="C33" s="10">
        <v>37.369999999999997</v>
      </c>
      <c r="D33" s="17">
        <v>476.72953999999999</v>
      </c>
      <c r="E33" s="10">
        <v>3.63</v>
      </c>
      <c r="F33" s="10">
        <v>2.2219000000000002</v>
      </c>
      <c r="G33" s="10" t="s">
        <v>140</v>
      </c>
      <c r="H33" s="10" t="s">
        <v>8600</v>
      </c>
      <c r="I33" s="15" t="str">
        <f>CONCATENATE("https://gushitong.baidu.com/stock/ab-", B33)</f>
        <v>https://gushitong.baidu.com/stock/ab-000999</v>
      </c>
    </row>
    <row r="34" spans="1:9" ht="16.5" customHeight="1" x14ac:dyDescent="0.15">
      <c r="A34" s="9" t="s">
        <v>834</v>
      </c>
      <c r="B34" s="10" t="s">
        <v>835</v>
      </c>
      <c r="C34" s="10">
        <v>5.24</v>
      </c>
      <c r="D34" s="17">
        <v>251.66515999999999</v>
      </c>
      <c r="E34" s="10">
        <v>3.62</v>
      </c>
      <c r="F34" s="10">
        <v>0.88970000000000005</v>
      </c>
      <c r="G34" s="10" t="s">
        <v>690</v>
      </c>
      <c r="H34" s="10" t="s">
        <v>8607</v>
      </c>
      <c r="I34" s="15" t="str">
        <f>CONCATENATE("https://gushitong.baidu.com/stock/ab-", B34)</f>
        <v>https://gushitong.baidu.com/stock/ab-600398</v>
      </c>
    </row>
    <row r="35" spans="1:9" ht="16.5" customHeight="1" x14ac:dyDescent="0.15">
      <c r="A35" s="9" t="s">
        <v>828</v>
      </c>
      <c r="B35" s="10" t="s">
        <v>829</v>
      </c>
      <c r="C35" s="10">
        <v>17.649999999999999</v>
      </c>
      <c r="D35" s="17">
        <v>245.87316999999999</v>
      </c>
      <c r="E35" s="10">
        <v>3.61</v>
      </c>
      <c r="F35" s="10">
        <v>2.3212000000000002</v>
      </c>
      <c r="G35" s="10" t="s">
        <v>171</v>
      </c>
      <c r="H35" s="10" t="s">
        <v>8605</v>
      </c>
      <c r="I35" s="15" t="str">
        <f>CONCATENATE("https://gushitong.baidu.com/stock/ab-", B35)</f>
        <v>https://gushitong.baidu.com/stock/ab-600862</v>
      </c>
    </row>
    <row r="36" spans="1:9" ht="16.5" customHeight="1" x14ac:dyDescent="0.15">
      <c r="A36" s="9" t="s">
        <v>527</v>
      </c>
      <c r="B36" s="10" t="s">
        <v>528</v>
      </c>
      <c r="C36" s="10">
        <v>24.05</v>
      </c>
      <c r="D36" s="17">
        <v>392.60399999999998</v>
      </c>
      <c r="E36" s="10">
        <v>3.54</v>
      </c>
      <c r="F36" s="10">
        <v>2.1762999999999999</v>
      </c>
      <c r="G36" s="10" t="s">
        <v>529</v>
      </c>
      <c r="H36" s="10" t="s">
        <v>8609</v>
      </c>
      <c r="I36" s="15" t="str">
        <f>CONCATENATE("https://gushitong.baidu.com/stock/ab-", B36)</f>
        <v>https://gushitong.baidu.com/stock/ab-000786</v>
      </c>
    </row>
    <row r="37" spans="1:9" ht="16.5" customHeight="1" x14ac:dyDescent="0.15">
      <c r="A37" s="9" t="s">
        <v>599</v>
      </c>
      <c r="B37" s="10" t="s">
        <v>600</v>
      </c>
      <c r="C37" s="10">
        <v>81.2</v>
      </c>
      <c r="D37" s="17">
        <v>61.602210999999997</v>
      </c>
      <c r="E37" s="10">
        <v>3.53</v>
      </c>
      <c r="F37" s="10">
        <v>1.9602999999999999</v>
      </c>
      <c r="G37" s="10" t="s">
        <v>106</v>
      </c>
      <c r="H37" s="10" t="s">
        <v>8598</v>
      </c>
      <c r="I37" s="15" t="str">
        <f>CONCATENATE("https://gushitong.baidu.com/stock/ab-", B37)</f>
        <v>https://gushitong.baidu.com/stock/ab-688082</v>
      </c>
    </row>
    <row r="38" spans="1:9" ht="16.5" customHeight="1" x14ac:dyDescent="0.15">
      <c r="A38" s="9" t="s">
        <v>954</v>
      </c>
      <c r="B38" s="10" t="s">
        <v>955</v>
      </c>
      <c r="C38" s="10">
        <v>38.19</v>
      </c>
      <c r="D38" s="17">
        <v>221.88822999999999</v>
      </c>
      <c r="E38" s="10">
        <v>3.51</v>
      </c>
      <c r="F38" s="10">
        <v>1.7385999999999999</v>
      </c>
      <c r="G38" s="10" t="s">
        <v>374</v>
      </c>
      <c r="H38" s="10" t="s">
        <v>8600</v>
      </c>
      <c r="I38" s="15" t="str">
        <f>CONCATENATE("https://gushitong.baidu.com/stock/ab-", B38)</f>
        <v>https://gushitong.baidu.com/stock/ab-603658</v>
      </c>
    </row>
    <row r="39" spans="1:9" ht="16.5" customHeight="1" x14ac:dyDescent="0.15">
      <c r="A39" s="9" t="s">
        <v>606</v>
      </c>
      <c r="B39" s="10" t="s">
        <v>607</v>
      </c>
      <c r="C39" s="10">
        <v>125.98</v>
      </c>
      <c r="D39" s="17">
        <v>359.89893000000001</v>
      </c>
      <c r="E39" s="10">
        <v>3.5</v>
      </c>
      <c r="F39" s="10">
        <v>1.5023</v>
      </c>
      <c r="G39" s="10" t="s">
        <v>143</v>
      </c>
      <c r="H39" s="10" t="s">
        <v>8596</v>
      </c>
      <c r="I39" s="15" t="str">
        <f>CONCATENATE("https://gushitong.baidu.com/stock/ab-", B39)</f>
        <v>https://gushitong.baidu.com/stock/ab-601799</v>
      </c>
    </row>
    <row r="40" spans="1:9" ht="16.5" customHeight="1" x14ac:dyDescent="0.15">
      <c r="A40" s="9" t="s">
        <v>243</v>
      </c>
      <c r="B40" s="10" t="s">
        <v>244</v>
      </c>
      <c r="C40" s="10">
        <v>183.82</v>
      </c>
      <c r="D40" s="17">
        <v>850.21464000000003</v>
      </c>
      <c r="E40" s="10">
        <v>3.49</v>
      </c>
      <c r="F40" s="10">
        <v>0.53010000000000002</v>
      </c>
      <c r="G40" s="10" t="s">
        <v>245</v>
      </c>
      <c r="H40" s="10" t="s">
        <v>8598</v>
      </c>
      <c r="I40" s="15" t="str">
        <f>CONCATENATE("https://gushitong.baidu.com/stock/ab-", B40)</f>
        <v>https://gushitong.baidu.com/stock/ab-688111</v>
      </c>
    </row>
    <row r="41" spans="1:9" ht="16.5" customHeight="1" x14ac:dyDescent="0.15">
      <c r="A41" s="9" t="s">
        <v>363</v>
      </c>
      <c r="B41" s="10" t="s">
        <v>364</v>
      </c>
      <c r="C41" s="10">
        <v>10.55</v>
      </c>
      <c r="D41" s="17">
        <v>532.47501999999997</v>
      </c>
      <c r="E41" s="10">
        <v>3.43</v>
      </c>
      <c r="F41" s="10">
        <v>0.9325</v>
      </c>
      <c r="G41" s="10" t="s">
        <v>365</v>
      </c>
      <c r="H41" s="10" t="s">
        <v>8609</v>
      </c>
      <c r="I41" s="15" t="str">
        <f>CONCATENATE("https://gushitong.baidu.com/stock/ab-", B41)</f>
        <v>https://gushitong.baidu.com/stock/ab-000708</v>
      </c>
    </row>
    <row r="42" spans="1:9" ht="16.5" customHeight="1" x14ac:dyDescent="0.15">
      <c r="A42" s="9" t="s">
        <v>424</v>
      </c>
      <c r="B42" s="10" t="s">
        <v>425</v>
      </c>
      <c r="C42" s="10">
        <v>27.56</v>
      </c>
      <c r="D42" s="17">
        <v>482.54914000000002</v>
      </c>
      <c r="E42" s="10">
        <v>3.42</v>
      </c>
      <c r="F42" s="10">
        <v>1.3101</v>
      </c>
      <c r="G42" s="10" t="s">
        <v>44</v>
      </c>
      <c r="H42" s="10" t="s">
        <v>8600</v>
      </c>
      <c r="I42" s="15" t="str">
        <f>CONCATENATE("https://gushitong.baidu.com/stock/ab-", B42)</f>
        <v>https://gushitong.baidu.com/stock/ab-000963</v>
      </c>
    </row>
    <row r="43" spans="1:9" ht="16.5" customHeight="1" x14ac:dyDescent="0.15">
      <c r="A43" s="9" t="s">
        <v>946</v>
      </c>
      <c r="B43" s="10" t="s">
        <v>947</v>
      </c>
      <c r="C43" s="10">
        <v>44.97</v>
      </c>
      <c r="D43" s="17">
        <v>89.120755000000003</v>
      </c>
      <c r="E43" s="10">
        <v>3.4</v>
      </c>
      <c r="F43" s="10">
        <v>1.0684</v>
      </c>
      <c r="G43" s="10" t="s">
        <v>514</v>
      </c>
      <c r="H43" s="10" t="s">
        <v>8596</v>
      </c>
      <c r="I43" s="15" t="str">
        <f>CONCATENATE("https://gushitong.baidu.com/stock/ab-", B43)</f>
        <v>https://gushitong.baidu.com/stock/ab-688363</v>
      </c>
    </row>
    <row r="44" spans="1:9" ht="16.5" customHeight="1" x14ac:dyDescent="0.15">
      <c r="A44" s="9" t="s">
        <v>846</v>
      </c>
      <c r="B44" s="10" t="s">
        <v>847</v>
      </c>
      <c r="C44" s="10">
        <v>10.61</v>
      </c>
      <c r="D44" s="17">
        <v>226.67194000000001</v>
      </c>
      <c r="E44" s="10">
        <v>3.37</v>
      </c>
      <c r="F44" s="10">
        <v>1.7362</v>
      </c>
      <c r="G44" s="10" t="s">
        <v>747</v>
      </c>
      <c r="H44" s="10" t="s">
        <v>14922</v>
      </c>
      <c r="I44" s="15" t="str">
        <f>CONCATENATE("https://gushitong.baidu.com/stock/ab-", B44)</f>
        <v>https://gushitong.baidu.com/stock/ab-603659</v>
      </c>
    </row>
    <row r="45" spans="1:9" ht="16.5" customHeight="1" x14ac:dyDescent="0.15">
      <c r="A45" s="9" t="s">
        <v>1028</v>
      </c>
      <c r="B45" s="10" t="s">
        <v>1029</v>
      </c>
      <c r="C45" s="10">
        <v>27.4</v>
      </c>
      <c r="D45" s="17">
        <v>151.61691999999999</v>
      </c>
      <c r="E45" s="10">
        <v>3.33</v>
      </c>
      <c r="F45" s="10">
        <v>0.4803</v>
      </c>
      <c r="G45" s="10" t="s">
        <v>339</v>
      </c>
      <c r="H45" s="10" t="s">
        <v>8600</v>
      </c>
      <c r="I45" s="15" t="str">
        <f>CONCATENATE("https://gushitong.baidu.com/stock/ab-", B45)</f>
        <v>https://gushitong.baidu.com/stock/ab-600511</v>
      </c>
    </row>
    <row r="46" spans="1:9" ht="16.5" customHeight="1" x14ac:dyDescent="0.15">
      <c r="A46" s="9" t="s">
        <v>765</v>
      </c>
      <c r="B46" s="10" t="s">
        <v>766</v>
      </c>
      <c r="C46" s="10">
        <v>26.65</v>
      </c>
      <c r="D46" s="17">
        <v>277.87311</v>
      </c>
      <c r="E46" s="10">
        <v>3.3</v>
      </c>
      <c r="F46" s="10">
        <v>0.29270000000000002</v>
      </c>
      <c r="G46" s="10" t="s">
        <v>391</v>
      </c>
      <c r="H46" s="10" t="s">
        <v>14922</v>
      </c>
      <c r="I46" s="15" t="str">
        <f>CONCATENATE("https://gushitong.baidu.com/stock/ab-", B46)</f>
        <v>https://gushitong.baidu.com/stock/ab-600885</v>
      </c>
    </row>
    <row r="47" spans="1:9" ht="16.5" customHeight="1" x14ac:dyDescent="0.15">
      <c r="A47" s="9" t="s">
        <v>308</v>
      </c>
      <c r="B47" s="10" t="s">
        <v>309</v>
      </c>
      <c r="C47" s="10">
        <v>17.5</v>
      </c>
      <c r="D47" s="17">
        <v>642.32875999999999</v>
      </c>
      <c r="E47" s="10">
        <v>3.28</v>
      </c>
      <c r="F47" s="10">
        <v>0.42</v>
      </c>
      <c r="G47" s="10" t="s">
        <v>310</v>
      </c>
      <c r="H47" s="10" t="s">
        <v>8596</v>
      </c>
      <c r="I47" s="15" t="str">
        <f>CONCATENATE("https://gushitong.baidu.com/stock/ab-", B47)</f>
        <v>https://gushitong.baidu.com/stock/ab-002050</v>
      </c>
    </row>
    <row r="48" spans="1:9" ht="16.5" customHeight="1" x14ac:dyDescent="0.15">
      <c r="A48" s="9" t="s">
        <v>1480</v>
      </c>
      <c r="B48" s="10" t="s">
        <v>1481</v>
      </c>
      <c r="C48" s="10">
        <v>14.32</v>
      </c>
      <c r="D48" s="17">
        <v>115.125618</v>
      </c>
      <c r="E48" s="10">
        <v>3.28</v>
      </c>
      <c r="F48" s="10">
        <v>0.9496</v>
      </c>
      <c r="G48" s="10" t="s">
        <v>1224</v>
      </c>
      <c r="H48" s="10" t="s">
        <v>8609</v>
      </c>
      <c r="I48" s="15" t="str">
        <f>CONCATENATE("https://gushitong.baidu.com/stock/ab-", B48)</f>
        <v>https://gushitong.baidu.com/stock/ab-300285</v>
      </c>
    </row>
    <row r="49" spans="1:9" ht="16.5" customHeight="1" x14ac:dyDescent="0.15">
      <c r="A49" s="9" t="s">
        <v>186</v>
      </c>
      <c r="B49" s="10" t="s">
        <v>187</v>
      </c>
      <c r="C49" s="10">
        <v>14.63</v>
      </c>
      <c r="D49" s="17">
        <v>1072.87057</v>
      </c>
      <c r="E49" s="10">
        <v>3.27</v>
      </c>
      <c r="F49" s="10">
        <v>1.1903999999999999</v>
      </c>
      <c r="G49" s="10" t="s">
        <v>188</v>
      </c>
      <c r="H49" s="10" t="s">
        <v>8609</v>
      </c>
      <c r="I49" s="15" t="str">
        <f>CONCATENATE("https://gushitong.baidu.com/stock/ab-", B49)</f>
        <v>https://gushitong.baidu.com/stock/ab-600989</v>
      </c>
    </row>
    <row r="50" spans="1:9" ht="16.5" customHeight="1" x14ac:dyDescent="0.15">
      <c r="A50" s="9" t="s">
        <v>1410</v>
      </c>
      <c r="B50" s="10" t="s">
        <v>1411</v>
      </c>
      <c r="C50" s="10">
        <v>26.75</v>
      </c>
      <c r="D50" s="17">
        <v>151.36971</v>
      </c>
      <c r="E50" s="10">
        <v>3.2</v>
      </c>
      <c r="F50" s="10">
        <v>1.1316999999999999</v>
      </c>
      <c r="G50" s="10" t="s">
        <v>140</v>
      </c>
      <c r="H50" s="10" t="s">
        <v>8600</v>
      </c>
      <c r="I50" s="15" t="str">
        <f>CONCATENATE("https://gushitong.baidu.com/stock/ab-", B50)</f>
        <v>https://gushitong.baidu.com/stock/ab-600329</v>
      </c>
    </row>
    <row r="51" spans="1:9" ht="16.5" customHeight="1" x14ac:dyDescent="0.15">
      <c r="A51" s="9" t="s">
        <v>782</v>
      </c>
      <c r="B51" s="10" t="s">
        <v>783</v>
      </c>
      <c r="C51" s="10">
        <v>27.07</v>
      </c>
      <c r="D51" s="17">
        <v>187.71295000000001</v>
      </c>
      <c r="E51" s="10">
        <v>3.2</v>
      </c>
      <c r="F51" s="10">
        <v>0.9446</v>
      </c>
      <c r="G51" s="10" t="s">
        <v>784</v>
      </c>
      <c r="H51" s="10" t="s">
        <v>8605</v>
      </c>
      <c r="I51" s="15" t="str">
        <f>CONCATENATE("https://gushitong.baidu.com/stock/ab-", B51)</f>
        <v>https://gushitong.baidu.com/stock/ab-002353</v>
      </c>
    </row>
    <row r="52" spans="1:9" ht="16.5" customHeight="1" x14ac:dyDescent="0.15">
      <c r="A52" s="9" t="s">
        <v>1161</v>
      </c>
      <c r="B52" s="10" t="s">
        <v>1162</v>
      </c>
      <c r="C52" s="10">
        <v>33.659999999999997</v>
      </c>
      <c r="D52" s="17">
        <v>182.48697000000001</v>
      </c>
      <c r="E52" s="10">
        <v>3.19</v>
      </c>
      <c r="F52" s="10">
        <v>1.0973999999999999</v>
      </c>
      <c r="G52" s="10" t="s">
        <v>682</v>
      </c>
      <c r="H52" s="10" t="s">
        <v>8598</v>
      </c>
      <c r="I52" s="15" t="str">
        <f>CONCATENATE("https://gushitong.baidu.com/stock/ab-", B52)</f>
        <v>https://gushitong.baidu.com/stock/ab-300373</v>
      </c>
    </row>
    <row r="53" spans="1:9" ht="16.5" customHeight="1" x14ac:dyDescent="0.15">
      <c r="A53" s="9" t="s">
        <v>976</v>
      </c>
      <c r="B53" s="10" t="s">
        <v>977</v>
      </c>
      <c r="C53" s="10">
        <v>20.88</v>
      </c>
      <c r="D53" s="17">
        <v>214.40692000000001</v>
      </c>
      <c r="E53" s="10">
        <v>3.12</v>
      </c>
      <c r="F53" s="10">
        <v>1.7064999999999999</v>
      </c>
      <c r="G53" s="10" t="s">
        <v>44</v>
      </c>
      <c r="H53" s="10" t="s">
        <v>8600</v>
      </c>
      <c r="I53" s="15" t="str">
        <f>CONCATENATE("https://gushitong.baidu.com/stock/ab-", B53)</f>
        <v>https://gushitong.baidu.com/stock/ab-600062</v>
      </c>
    </row>
    <row r="54" spans="1:9" ht="16.5" customHeight="1" x14ac:dyDescent="0.15">
      <c r="A54" s="9" t="s">
        <v>455</v>
      </c>
      <c r="B54" s="10" t="s">
        <v>456</v>
      </c>
      <c r="C54" s="10">
        <v>96.64</v>
      </c>
      <c r="D54" s="17">
        <v>493.64875000000001</v>
      </c>
      <c r="E54" s="10">
        <v>3.11</v>
      </c>
      <c r="F54" s="10">
        <v>0.95469999999999999</v>
      </c>
      <c r="G54" s="10" t="s">
        <v>286</v>
      </c>
      <c r="H54" s="10" t="s">
        <v>8598</v>
      </c>
      <c r="I54" s="15" t="str">
        <f>CONCATENATE("https://gushitong.baidu.com/stock/ab-", B54)</f>
        <v>https://gushitong.baidu.com/stock/ab-002916</v>
      </c>
    </row>
    <row r="55" spans="1:9" ht="16.5" customHeight="1" x14ac:dyDescent="0.15">
      <c r="A55" s="9" t="s">
        <v>19</v>
      </c>
      <c r="B55" s="10" t="s">
        <v>20</v>
      </c>
      <c r="C55" s="10">
        <v>38.24</v>
      </c>
      <c r="D55" s="17">
        <v>6306.1728999999996</v>
      </c>
      <c r="E55" s="10">
        <v>3.09</v>
      </c>
      <c r="F55" s="10">
        <v>0.76719999999999999</v>
      </c>
      <c r="G55" s="10" t="s">
        <v>21</v>
      </c>
      <c r="H55" s="10" t="s">
        <v>14922</v>
      </c>
      <c r="I55" s="15" t="str">
        <f>CONCATENATE("https://gushitong.baidu.com/stock/ab-", B55)</f>
        <v>https://gushitong.baidu.com/stock/ab-601088</v>
      </c>
    </row>
    <row r="56" spans="1:9" ht="16.5" customHeight="1" x14ac:dyDescent="0.15">
      <c r="A56" s="9" t="s">
        <v>58</v>
      </c>
      <c r="B56" s="10" t="s">
        <v>59</v>
      </c>
      <c r="C56" s="10">
        <v>26.11</v>
      </c>
      <c r="D56" s="17">
        <v>1633.0501999999999</v>
      </c>
      <c r="E56" s="10">
        <v>3.08</v>
      </c>
      <c r="F56" s="10">
        <v>0.73919999999999997</v>
      </c>
      <c r="G56" s="10" t="s">
        <v>60</v>
      </c>
      <c r="H56" s="10" t="s">
        <v>8596</v>
      </c>
      <c r="I56" s="15" t="str">
        <f>CONCATENATE("https://gushitong.baidu.com/stock/ab-", B56)</f>
        <v>https://gushitong.baidu.com/stock/ab-600690</v>
      </c>
    </row>
    <row r="57" spans="1:9" ht="16.5" customHeight="1" x14ac:dyDescent="0.15">
      <c r="A57" s="9" t="s">
        <v>45</v>
      </c>
      <c r="B57" s="10" t="s">
        <v>46</v>
      </c>
      <c r="C57" s="10">
        <v>35.9</v>
      </c>
      <c r="D57" s="17">
        <v>2580.4009000000001</v>
      </c>
      <c r="E57" s="10">
        <v>3.07</v>
      </c>
      <c r="F57" s="10">
        <v>2.2627999999999999</v>
      </c>
      <c r="G57" s="10" t="s">
        <v>35</v>
      </c>
      <c r="H57" s="10" t="s">
        <v>8598</v>
      </c>
      <c r="I57" s="15" t="str">
        <f>CONCATENATE("https://gushitong.baidu.com/stock/ab-", B57)</f>
        <v>https://gushitong.baidu.com/stock/ab-002475</v>
      </c>
    </row>
    <row r="58" spans="1:9" ht="16.5" customHeight="1" x14ac:dyDescent="0.15">
      <c r="A58" s="9" t="s">
        <v>1024</v>
      </c>
      <c r="B58" s="10" t="s">
        <v>1025</v>
      </c>
      <c r="C58" s="10">
        <v>43.3</v>
      </c>
      <c r="D58" s="17">
        <v>195.95893000000001</v>
      </c>
      <c r="E58" s="10">
        <v>3.07</v>
      </c>
      <c r="F58" s="10">
        <v>0.43319999999999997</v>
      </c>
      <c r="G58" s="10" t="s">
        <v>265</v>
      </c>
      <c r="H58" s="10" t="s">
        <v>8605</v>
      </c>
      <c r="I58" s="15" t="str">
        <f>CONCATENATE("https://gushitong.baidu.com/stock/ab-", B58)</f>
        <v>https://gushitong.baidu.com/stock/ab-002025</v>
      </c>
    </row>
    <row r="59" spans="1:9" ht="16.5" customHeight="1" x14ac:dyDescent="0.15">
      <c r="A59" s="9" t="s">
        <v>11</v>
      </c>
      <c r="B59" s="10" t="s">
        <v>12</v>
      </c>
      <c r="C59" s="10">
        <v>186.4</v>
      </c>
      <c r="D59" s="17">
        <v>7260.0087999999996</v>
      </c>
      <c r="E59" s="10">
        <v>3.01</v>
      </c>
      <c r="F59" s="10">
        <v>1.5585</v>
      </c>
      <c r="G59" s="10" t="s">
        <v>13</v>
      </c>
      <c r="H59" s="10" t="s">
        <v>14922</v>
      </c>
      <c r="I59" s="15" t="str">
        <f>CONCATENATE("https://gushitong.baidu.com/stock/ab-", B59)</f>
        <v>https://gushitong.baidu.com/stock/ab-300750</v>
      </c>
    </row>
    <row r="60" spans="1:9" ht="16.5" customHeight="1" x14ac:dyDescent="0.15">
      <c r="A60" s="9" t="s">
        <v>730</v>
      </c>
      <c r="B60" s="10" t="s">
        <v>731</v>
      </c>
      <c r="C60" s="10">
        <v>35.58</v>
      </c>
      <c r="D60" s="17">
        <v>213.33998</v>
      </c>
      <c r="E60" s="10">
        <v>2.99</v>
      </c>
      <c r="F60" s="10">
        <v>0.54079999999999995</v>
      </c>
      <c r="G60" s="10" t="s">
        <v>44</v>
      </c>
      <c r="H60" s="10" t="s">
        <v>8600</v>
      </c>
      <c r="I60" s="15" t="str">
        <f>CONCATENATE("https://gushitong.baidu.com/stock/ab-", B60)</f>
        <v>https://gushitong.baidu.com/stock/ab-000513</v>
      </c>
    </row>
    <row r="61" spans="1:9" ht="16.5" customHeight="1" x14ac:dyDescent="0.15">
      <c r="A61" s="9" t="s">
        <v>891</v>
      </c>
      <c r="B61" s="10" t="s">
        <v>892</v>
      </c>
      <c r="C61" s="10">
        <v>8.8000000000000007</v>
      </c>
      <c r="D61" s="17">
        <v>154.67443</v>
      </c>
      <c r="E61" s="10">
        <v>2.96</v>
      </c>
      <c r="F61" s="10">
        <v>0.9143</v>
      </c>
      <c r="G61" s="10" t="s">
        <v>418</v>
      </c>
      <c r="H61" s="10" t="s">
        <v>8609</v>
      </c>
      <c r="I61" s="15" t="str">
        <f>CONCATENATE("https://gushitong.baidu.com/stock/ab-", B61)</f>
        <v>https://gushitong.baidu.com/stock/ab-600970</v>
      </c>
    </row>
    <row r="62" spans="1:9" ht="16.5" customHeight="1" x14ac:dyDescent="0.15">
      <c r="A62" s="9" t="s">
        <v>1039</v>
      </c>
      <c r="B62" s="10" t="s">
        <v>1040</v>
      </c>
      <c r="C62" s="10">
        <v>70.05</v>
      </c>
      <c r="D62" s="17">
        <v>205.45260999999999</v>
      </c>
      <c r="E62" s="10">
        <v>2.96</v>
      </c>
      <c r="F62" s="10">
        <v>0.60870000000000002</v>
      </c>
      <c r="G62" s="10" t="s">
        <v>1041</v>
      </c>
      <c r="H62" s="10" t="s">
        <v>8596</v>
      </c>
      <c r="I62" s="15" t="str">
        <f>CONCATENATE("https://gushitong.baidu.com/stock/ab-", B62)</f>
        <v>https://gushitong.baidu.com/stock/ab-603345</v>
      </c>
    </row>
    <row r="63" spans="1:9" ht="16.5" customHeight="1" x14ac:dyDescent="0.15">
      <c r="A63" s="9" t="s">
        <v>104</v>
      </c>
      <c r="B63" s="10" t="s">
        <v>105</v>
      </c>
      <c r="C63" s="10">
        <v>294.68</v>
      </c>
      <c r="D63" s="17">
        <v>1568.4906000000001</v>
      </c>
      <c r="E63" s="10">
        <v>2.95</v>
      </c>
      <c r="F63" s="10">
        <v>1.6884999999999999</v>
      </c>
      <c r="G63" s="10" t="s">
        <v>106</v>
      </c>
      <c r="H63" s="10" t="s">
        <v>8598</v>
      </c>
      <c r="I63" s="15" t="str">
        <f>CONCATENATE("https://gushitong.baidu.com/stock/ab-", B63)</f>
        <v>https://gushitong.baidu.com/stock/ab-002371</v>
      </c>
    </row>
    <row r="64" spans="1:9" ht="16.5" customHeight="1" x14ac:dyDescent="0.15">
      <c r="A64" s="9" t="s">
        <v>381</v>
      </c>
      <c r="B64" s="10" t="s">
        <v>382</v>
      </c>
      <c r="C64" s="10">
        <v>15.43</v>
      </c>
      <c r="D64" s="17">
        <v>531.60434999999995</v>
      </c>
      <c r="E64" s="10">
        <v>2.89</v>
      </c>
      <c r="F64" s="10">
        <v>0.8145</v>
      </c>
      <c r="G64" s="10" t="s">
        <v>89</v>
      </c>
      <c r="H64" s="10" t="s">
        <v>8603</v>
      </c>
      <c r="I64" s="15" t="str">
        <f>CONCATENATE("https://gushitong.baidu.com/stock/ab-", B64)</f>
        <v>https://gushitong.baidu.com/stock/ab-600233</v>
      </c>
    </row>
    <row r="65" spans="1:9" ht="16.5" customHeight="1" x14ac:dyDescent="0.15">
      <c r="A65" s="9" t="s">
        <v>987</v>
      </c>
      <c r="B65" s="10" t="s">
        <v>988</v>
      </c>
      <c r="C65" s="10">
        <v>76.59</v>
      </c>
      <c r="D65" s="17">
        <v>147.7379</v>
      </c>
      <c r="E65" s="10">
        <v>2.88</v>
      </c>
      <c r="F65" s="10">
        <v>0.61370000000000002</v>
      </c>
      <c r="G65" s="10" t="s">
        <v>13</v>
      </c>
      <c r="H65" s="10" t="s">
        <v>14922</v>
      </c>
      <c r="I65" s="15" t="str">
        <f>CONCATENATE("https://gushitong.baidu.com/stock/ab-", B65)</f>
        <v>https://gushitong.baidu.com/stock/ab-002850</v>
      </c>
    </row>
    <row r="66" spans="1:9" ht="16.5" customHeight="1" x14ac:dyDescent="0.15">
      <c r="A66" s="9" t="s">
        <v>755</v>
      </c>
      <c r="B66" s="10" t="s">
        <v>756</v>
      </c>
      <c r="C66" s="10">
        <v>32.31</v>
      </c>
      <c r="D66" s="17">
        <v>276.08762000000002</v>
      </c>
      <c r="E66" s="10">
        <v>2.87</v>
      </c>
      <c r="F66" s="10">
        <v>1.0345</v>
      </c>
      <c r="G66" s="10" t="s">
        <v>71</v>
      </c>
      <c r="H66" s="10" t="s">
        <v>8607</v>
      </c>
      <c r="I66" s="15" t="str">
        <f>CONCATENATE("https://gushitong.baidu.com/stock/ab-", B66)</f>
        <v>https://gushitong.baidu.com/stock/ab-600298</v>
      </c>
    </row>
    <row r="67" spans="1:9" ht="16.5" customHeight="1" x14ac:dyDescent="0.15">
      <c r="A67" s="9" t="s">
        <v>492</v>
      </c>
      <c r="B67" s="10" t="s">
        <v>493</v>
      </c>
      <c r="C67" s="10">
        <v>16.18</v>
      </c>
      <c r="D67" s="17">
        <v>402.41136999999998</v>
      </c>
      <c r="E67" s="10">
        <v>2.83</v>
      </c>
      <c r="F67" s="10">
        <v>0.39269999999999999</v>
      </c>
      <c r="G67" s="10" t="s">
        <v>193</v>
      </c>
      <c r="H67" s="10" t="s">
        <v>8609</v>
      </c>
      <c r="I67" s="15" t="str">
        <f>CONCATENATE("https://gushitong.baidu.com/stock/ab-", B67)</f>
        <v>https://gushitong.baidu.com/stock/ab-000975</v>
      </c>
    </row>
    <row r="68" spans="1:9" ht="16.5" customHeight="1" x14ac:dyDescent="0.15">
      <c r="A68" s="9" t="s">
        <v>352</v>
      </c>
      <c r="B68" s="10" t="s">
        <v>353</v>
      </c>
      <c r="C68" s="10">
        <v>49.3</v>
      </c>
      <c r="D68" s="17">
        <v>563.27108999999996</v>
      </c>
      <c r="E68" s="10">
        <v>2.82</v>
      </c>
      <c r="F68" s="10">
        <v>1.2572000000000001</v>
      </c>
      <c r="G68" s="10" t="s">
        <v>185</v>
      </c>
      <c r="H68" s="10" t="s">
        <v>8598</v>
      </c>
      <c r="I68" s="15" t="str">
        <f>CONCATENATE("https://gushitong.baidu.com/stock/ab-", B68)</f>
        <v>https://gushitong.baidu.com/stock/ab-688008</v>
      </c>
    </row>
    <row r="69" spans="1:9" ht="16.5" customHeight="1" x14ac:dyDescent="0.15">
      <c r="A69" s="9" t="s">
        <v>474</v>
      </c>
      <c r="B69" s="10" t="s">
        <v>475</v>
      </c>
      <c r="C69" s="10">
        <v>20.9</v>
      </c>
      <c r="D69" s="17">
        <v>413.27062999999998</v>
      </c>
      <c r="E69" s="10">
        <v>2.81</v>
      </c>
      <c r="F69" s="10">
        <v>0.28210000000000002</v>
      </c>
      <c r="G69" s="10" t="s">
        <v>476</v>
      </c>
      <c r="H69" s="10" t="s">
        <v>8600</v>
      </c>
      <c r="I69" s="15" t="str">
        <f>CONCATENATE("https://gushitong.baidu.com/stock/ab-", B69)</f>
        <v>https://gushitong.baidu.com/stock/ab-600161</v>
      </c>
    </row>
    <row r="70" spans="1:9" ht="16.5" customHeight="1" x14ac:dyDescent="0.15">
      <c r="A70" s="9" t="s">
        <v>515</v>
      </c>
      <c r="B70" s="10" t="s">
        <v>516</v>
      </c>
      <c r="C70" s="10">
        <v>16.75</v>
      </c>
      <c r="D70" s="17">
        <v>397.19925999999998</v>
      </c>
      <c r="E70" s="10">
        <v>2.8</v>
      </c>
      <c r="F70" s="10">
        <v>1.4936</v>
      </c>
      <c r="G70" s="10" t="s">
        <v>286</v>
      </c>
      <c r="H70" s="10" t="s">
        <v>8598</v>
      </c>
      <c r="I70" s="15" t="str">
        <f>CONCATENATE("https://gushitong.baidu.com/stock/ab-", B70)</f>
        <v>https://gushitong.baidu.com/stock/ab-600183</v>
      </c>
    </row>
    <row r="71" spans="1:9" ht="16.5" customHeight="1" x14ac:dyDescent="0.15">
      <c r="A71" s="9" t="s">
        <v>357</v>
      </c>
      <c r="B71" s="10" t="s">
        <v>358</v>
      </c>
      <c r="C71" s="10">
        <v>19.079999999999998</v>
      </c>
      <c r="D71" s="17">
        <v>582.79813999999999</v>
      </c>
      <c r="E71" s="10">
        <v>2.78</v>
      </c>
      <c r="F71" s="10">
        <v>0.90229999999999999</v>
      </c>
      <c r="G71" s="10" t="s">
        <v>359</v>
      </c>
      <c r="H71" s="10" t="s">
        <v>8600</v>
      </c>
      <c r="I71" s="15" t="str">
        <f>CONCATENATE("https://gushitong.baidu.com/stock/ab-", B71)</f>
        <v>https://gushitong.baidu.com/stock/ab-002001</v>
      </c>
    </row>
    <row r="72" spans="1:9" ht="16.5" customHeight="1" x14ac:dyDescent="0.15">
      <c r="A72" s="9" t="s">
        <v>856</v>
      </c>
      <c r="B72" s="10" t="s">
        <v>857</v>
      </c>
      <c r="C72" s="10">
        <v>23.49</v>
      </c>
      <c r="D72" s="17">
        <v>164.19881000000001</v>
      </c>
      <c r="E72" s="10">
        <v>2.74</v>
      </c>
      <c r="F72" s="10">
        <v>0.81740000000000002</v>
      </c>
      <c r="G72" s="10" t="s">
        <v>483</v>
      </c>
      <c r="H72" s="10" t="s">
        <v>8596</v>
      </c>
      <c r="I72" s="15" t="str">
        <f>CONCATENATE("https://gushitong.baidu.com/stock/ab-", B72)</f>
        <v>https://gushitong.baidu.com/stock/ab-002984</v>
      </c>
    </row>
    <row r="73" spans="1:9" ht="16.5" customHeight="1" x14ac:dyDescent="0.15">
      <c r="A73" s="9" t="s">
        <v>608</v>
      </c>
      <c r="B73" s="10" t="s">
        <v>609</v>
      </c>
      <c r="C73" s="10">
        <v>13.62</v>
      </c>
      <c r="D73" s="17">
        <v>366.82184000000001</v>
      </c>
      <c r="E73" s="10">
        <v>2.74</v>
      </c>
      <c r="F73" s="10">
        <v>0.46179999999999999</v>
      </c>
      <c r="G73" s="10" t="s">
        <v>21</v>
      </c>
      <c r="H73" s="10" t="s">
        <v>14922</v>
      </c>
      <c r="I73" s="15" t="str">
        <f>CONCATENATE("https://gushitong.baidu.com/stock/ab-", B73)</f>
        <v>https://gushitong.baidu.com/stock/ab-600985</v>
      </c>
    </row>
    <row r="74" spans="1:9" ht="16.5" customHeight="1" x14ac:dyDescent="0.15">
      <c r="A74" s="9" t="s">
        <v>559</v>
      </c>
      <c r="B74" s="10" t="s">
        <v>560</v>
      </c>
      <c r="C74" s="10">
        <v>16.11</v>
      </c>
      <c r="D74" s="17">
        <v>380.97825999999998</v>
      </c>
      <c r="E74" s="10">
        <v>2.72</v>
      </c>
      <c r="F74" s="10">
        <v>1.7742</v>
      </c>
      <c r="G74" s="10" t="s">
        <v>561</v>
      </c>
      <c r="H74" s="10" t="s">
        <v>8609</v>
      </c>
      <c r="I74" s="15" t="str">
        <f>CONCATENATE("https://gushitong.baidu.com/stock/ab-", B74)</f>
        <v>https://gushitong.baidu.com/stock/ab-002601</v>
      </c>
    </row>
    <row r="75" spans="1:9" ht="16.5" customHeight="1" x14ac:dyDescent="0.15">
      <c r="A75" s="9" t="s">
        <v>1191</v>
      </c>
      <c r="B75" s="10" t="s">
        <v>1192</v>
      </c>
      <c r="C75" s="10">
        <v>10.89</v>
      </c>
      <c r="D75" s="17">
        <v>167.94184999999999</v>
      </c>
      <c r="E75" s="10">
        <v>2.71</v>
      </c>
      <c r="F75" s="10">
        <v>1.3275999999999999</v>
      </c>
      <c r="G75" s="10" t="s">
        <v>784</v>
      </c>
      <c r="H75" s="10" t="s">
        <v>8605</v>
      </c>
      <c r="I75" s="15" t="str">
        <f>CONCATENATE("https://gushitong.baidu.com/stock/ab-", B75)</f>
        <v>https://gushitong.baidu.com/stock/ab-601717</v>
      </c>
    </row>
    <row r="76" spans="1:9" ht="16.5" customHeight="1" x14ac:dyDescent="0.15">
      <c r="A76" s="9" t="s">
        <v>1393</v>
      </c>
      <c r="B76" s="10" t="s">
        <v>1394</v>
      </c>
      <c r="C76" s="10">
        <v>32.57</v>
      </c>
      <c r="D76" s="17">
        <v>119.29810500000001</v>
      </c>
      <c r="E76" s="10">
        <v>2.67</v>
      </c>
      <c r="F76" s="10">
        <v>1.7949999999999999</v>
      </c>
      <c r="G76" s="10" t="s">
        <v>299</v>
      </c>
      <c r="H76" s="10" t="s">
        <v>8598</v>
      </c>
      <c r="I76" s="15" t="str">
        <f>CONCATENATE("https://gushitong.baidu.com/stock/ab-", B76)</f>
        <v>https://gushitong.baidu.com/stock/ab-300496</v>
      </c>
    </row>
    <row r="77" spans="1:9" ht="16.5" customHeight="1" x14ac:dyDescent="0.15">
      <c r="A77" s="9" t="s">
        <v>360</v>
      </c>
      <c r="B77" s="10" t="s">
        <v>361</v>
      </c>
      <c r="C77" s="10">
        <v>29.77</v>
      </c>
      <c r="D77" s="17">
        <v>556.64184999999998</v>
      </c>
      <c r="E77" s="10">
        <v>2.65</v>
      </c>
      <c r="F77" s="10">
        <v>1.6740999999999999</v>
      </c>
      <c r="G77" s="10" t="s">
        <v>362</v>
      </c>
      <c r="H77" s="10" t="s">
        <v>8598</v>
      </c>
      <c r="I77" s="15" t="str">
        <f>CONCATENATE("https://gushitong.baidu.com/stock/ab-", B77)</f>
        <v>https://gushitong.baidu.com/stock/ab-300408</v>
      </c>
    </row>
    <row r="78" spans="1:9" ht="16.5" customHeight="1" x14ac:dyDescent="0.15">
      <c r="A78" s="9" t="s">
        <v>959</v>
      </c>
      <c r="B78" s="10" t="s">
        <v>960</v>
      </c>
      <c r="C78" s="10">
        <v>17.850000000000001</v>
      </c>
      <c r="D78" s="17">
        <v>215.93847</v>
      </c>
      <c r="E78" s="10">
        <v>2.63</v>
      </c>
      <c r="F78" s="10">
        <v>0.23760000000000001</v>
      </c>
      <c r="G78" s="10" t="s">
        <v>961</v>
      </c>
      <c r="H78" s="10" t="s">
        <v>8600</v>
      </c>
      <c r="I78" s="15" t="str">
        <f>CONCATENATE("https://gushitong.baidu.com/stock/ab-", B78)</f>
        <v>https://gushitong.baidu.com/stock/ab-603939</v>
      </c>
    </row>
    <row r="79" spans="1:9" ht="16.5" customHeight="1" x14ac:dyDescent="0.15">
      <c r="A79" s="9" t="s">
        <v>332</v>
      </c>
      <c r="B79" s="10" t="s">
        <v>333</v>
      </c>
      <c r="C79" s="10">
        <v>35.6</v>
      </c>
      <c r="D79" s="17">
        <v>600.22495000000004</v>
      </c>
      <c r="E79" s="10">
        <v>2.63</v>
      </c>
      <c r="F79" s="10">
        <v>0.33650000000000002</v>
      </c>
      <c r="G79" s="10" t="s">
        <v>201</v>
      </c>
      <c r="H79" s="10" t="s">
        <v>8596</v>
      </c>
      <c r="I79" s="15" t="str">
        <f>CONCATENATE("https://gushitong.baidu.com/stock/ab-", B79)</f>
        <v>https://gushitong.baidu.com/stock/ab-601689</v>
      </c>
    </row>
    <row r="80" spans="1:9" ht="16.5" customHeight="1" x14ac:dyDescent="0.15">
      <c r="A80" s="9" t="s">
        <v>141</v>
      </c>
      <c r="B80" s="10" t="s">
        <v>142</v>
      </c>
      <c r="C80" s="10">
        <v>51.75</v>
      </c>
      <c r="D80" s="17">
        <v>1036.5454299999999</v>
      </c>
      <c r="E80" s="10">
        <v>2.61</v>
      </c>
      <c r="F80" s="10">
        <v>0.77229999999999999</v>
      </c>
      <c r="G80" s="10" t="s">
        <v>143</v>
      </c>
      <c r="H80" s="10" t="s">
        <v>8596</v>
      </c>
      <c r="I80" s="15" t="str">
        <f>CONCATENATE("https://gushitong.baidu.com/stock/ab-", B80)</f>
        <v>https://gushitong.baidu.com/stock/ab-600660</v>
      </c>
    </row>
    <row r="81" spans="1:9" ht="16.5" customHeight="1" x14ac:dyDescent="0.15">
      <c r="A81" s="9" t="s">
        <v>208</v>
      </c>
      <c r="B81" s="10" t="s">
        <v>209</v>
      </c>
      <c r="C81" s="10">
        <v>50.46</v>
      </c>
      <c r="D81" s="17">
        <v>892.83925999999997</v>
      </c>
      <c r="E81" s="10">
        <v>2.58</v>
      </c>
      <c r="F81" s="10">
        <v>1.2202999999999999</v>
      </c>
      <c r="G81" s="10" t="s">
        <v>140</v>
      </c>
      <c r="H81" s="10" t="s">
        <v>8601</v>
      </c>
      <c r="I81" s="15" t="str">
        <f>CONCATENATE("https://gushitong.baidu.com/stock/ab-", B81)</f>
        <v>https://gushitong.baidu.com/stock/ab-000538</v>
      </c>
    </row>
    <row r="82" spans="1:9" ht="16.5" customHeight="1" x14ac:dyDescent="0.15">
      <c r="A82" s="9" t="s">
        <v>774</v>
      </c>
      <c r="B82" s="10" t="s">
        <v>775</v>
      </c>
      <c r="C82" s="10">
        <v>4.93</v>
      </c>
      <c r="D82" s="17">
        <v>292.14828</v>
      </c>
      <c r="E82" s="10">
        <v>2.57</v>
      </c>
      <c r="F82" s="10">
        <v>0.31119999999999998</v>
      </c>
      <c r="G82" s="10" t="s">
        <v>134</v>
      </c>
      <c r="H82" s="10" t="s">
        <v>8603</v>
      </c>
      <c r="I82" s="15" t="str">
        <f>CONCATENATE("https://gushitong.baidu.com/stock/ab-", B82)</f>
        <v>https://gushitong.baidu.com/stock/ab-601000</v>
      </c>
    </row>
    <row r="83" spans="1:9" ht="16.5" customHeight="1" x14ac:dyDescent="0.15">
      <c r="A83" s="9" t="s">
        <v>634</v>
      </c>
      <c r="B83" s="10" t="s">
        <v>635</v>
      </c>
      <c r="C83" s="10">
        <v>15.73</v>
      </c>
      <c r="D83" s="17">
        <v>332.46510999999998</v>
      </c>
      <c r="E83" s="10">
        <v>2.56</v>
      </c>
      <c r="F83" s="10">
        <v>1.206</v>
      </c>
      <c r="G83" s="10" t="s">
        <v>21</v>
      </c>
      <c r="H83" s="10" t="s">
        <v>14922</v>
      </c>
      <c r="I83" s="15" t="str">
        <f>CONCATENATE("https://gushitong.baidu.com/stock/ab-", B83)</f>
        <v>https://gushitong.baidu.com/stock/ab-002128</v>
      </c>
    </row>
    <row r="84" spans="1:9" ht="16.5" customHeight="1" x14ac:dyDescent="0.15">
      <c r="A84" s="9" t="s">
        <v>172</v>
      </c>
      <c r="B84" s="10" t="s">
        <v>173</v>
      </c>
      <c r="C84" s="10">
        <v>13.2</v>
      </c>
      <c r="D84" s="17">
        <v>777.10675000000003</v>
      </c>
      <c r="E84" s="10">
        <v>2.54</v>
      </c>
      <c r="F84" s="10">
        <v>2.0981999999999998</v>
      </c>
      <c r="G84" s="10" t="s">
        <v>21</v>
      </c>
      <c r="H84" s="10" t="s">
        <v>14922</v>
      </c>
      <c r="I84" s="15" t="str">
        <f>CONCATENATE("https://gushitong.baidu.com/stock/ab-", B84)</f>
        <v>https://gushitong.baidu.com/stock/ab-600188</v>
      </c>
    </row>
    <row r="85" spans="1:9" ht="16.5" customHeight="1" x14ac:dyDescent="0.15">
      <c r="A85" s="9" t="s">
        <v>327</v>
      </c>
      <c r="B85" s="10" t="s">
        <v>328</v>
      </c>
      <c r="C85" s="10">
        <v>34.56</v>
      </c>
      <c r="D85" s="17">
        <v>574.56736000000001</v>
      </c>
      <c r="E85" s="10">
        <v>2.52</v>
      </c>
      <c r="F85" s="10">
        <v>1.8741000000000001</v>
      </c>
      <c r="G85" s="10" t="s">
        <v>329</v>
      </c>
      <c r="H85" s="10" t="s">
        <v>8609</v>
      </c>
      <c r="I85" s="15" t="str">
        <f>CONCATENATE("https://gushitong.baidu.com/stock/ab-", B85)</f>
        <v>https://gushitong.baidu.com/stock/ab-002311</v>
      </c>
    </row>
    <row r="86" spans="1:9" ht="16.5" customHeight="1" x14ac:dyDescent="0.15">
      <c r="A86" s="9" t="s">
        <v>33</v>
      </c>
      <c r="B86" s="10" t="s">
        <v>34</v>
      </c>
      <c r="C86" s="10">
        <v>18.75</v>
      </c>
      <c r="D86" s="17">
        <v>3724.1974</v>
      </c>
      <c r="E86" s="10">
        <v>2.52</v>
      </c>
      <c r="F86" s="10">
        <v>2.4569000000000001</v>
      </c>
      <c r="G86" s="10" t="s">
        <v>35</v>
      </c>
      <c r="H86" s="10" t="s">
        <v>8598</v>
      </c>
      <c r="I86" s="15" t="str">
        <f>CONCATENATE("https://gushitong.baidu.com/stock/ab-", B86)</f>
        <v>https://gushitong.baidu.com/stock/ab-601138</v>
      </c>
    </row>
    <row r="87" spans="1:9" ht="16.5" customHeight="1" x14ac:dyDescent="0.15">
      <c r="A87" s="9" t="s">
        <v>658</v>
      </c>
      <c r="B87" s="10" t="s">
        <v>659</v>
      </c>
      <c r="C87" s="10">
        <v>20.69</v>
      </c>
      <c r="D87" s="17">
        <v>295.57389999999998</v>
      </c>
      <c r="E87" s="10">
        <v>2.5</v>
      </c>
      <c r="F87" s="10">
        <v>1.0354000000000001</v>
      </c>
      <c r="G87" s="10" t="s">
        <v>176</v>
      </c>
      <c r="H87" s="10" t="s">
        <v>8600</v>
      </c>
      <c r="I87" s="15" t="str">
        <f>CONCATENATE("https://gushitong.baidu.com/stock/ab-", B87)</f>
        <v>https://gushitong.baidu.com/stock/ab-300759</v>
      </c>
    </row>
    <row r="88" spans="1:9" ht="16.5" customHeight="1" x14ac:dyDescent="0.15">
      <c r="A88" s="9" t="s">
        <v>422</v>
      </c>
      <c r="B88" s="10" t="s">
        <v>423</v>
      </c>
      <c r="C88" s="10">
        <v>15.97</v>
      </c>
      <c r="D88" s="17">
        <v>503.49002000000002</v>
      </c>
      <c r="E88" s="10">
        <v>2.5</v>
      </c>
      <c r="F88" s="10">
        <v>0.67449999999999999</v>
      </c>
      <c r="G88" s="10" t="s">
        <v>143</v>
      </c>
      <c r="H88" s="10" t="s">
        <v>8596</v>
      </c>
      <c r="I88" s="15" t="str">
        <f>CONCATENATE("https://gushitong.baidu.com/stock/ab-", B88)</f>
        <v>https://gushitong.baidu.com/stock/ab-600741</v>
      </c>
    </row>
    <row r="89" spans="1:9" ht="16.5" customHeight="1" x14ac:dyDescent="0.15">
      <c r="A89" s="9" t="s">
        <v>962</v>
      </c>
      <c r="B89" s="10" t="s">
        <v>963</v>
      </c>
      <c r="C89" s="10">
        <v>33.840000000000003</v>
      </c>
      <c r="D89" s="17">
        <v>219.84647000000001</v>
      </c>
      <c r="E89" s="10">
        <v>2.4700000000000002</v>
      </c>
      <c r="F89" s="10">
        <v>1.2344999999999999</v>
      </c>
      <c r="G89" s="10" t="s">
        <v>171</v>
      </c>
      <c r="H89" s="10" t="s">
        <v>8609</v>
      </c>
      <c r="I89" s="15" t="str">
        <f>CONCATENATE("https://gushitong.baidu.com/stock/ab-", B89)</f>
        <v>https://gushitong.baidu.com/stock/ab-688122</v>
      </c>
    </row>
    <row r="90" spans="1:9" ht="16.5" customHeight="1" x14ac:dyDescent="0.15">
      <c r="A90" s="9" t="s">
        <v>404</v>
      </c>
      <c r="B90" s="10" t="s">
        <v>405</v>
      </c>
      <c r="C90" s="10">
        <v>15.06</v>
      </c>
      <c r="D90" s="17">
        <v>506.97822000000002</v>
      </c>
      <c r="E90" s="10">
        <v>2.46</v>
      </c>
      <c r="F90" s="10">
        <v>1.7232000000000001</v>
      </c>
      <c r="G90" s="10" t="s">
        <v>406</v>
      </c>
      <c r="H90" s="10" t="s">
        <v>8609</v>
      </c>
      <c r="I90" s="15" t="str">
        <f>CONCATENATE("https://gushitong.baidu.com/stock/ab-", B90)</f>
        <v>https://gushitong.baidu.com/stock/ab-002648</v>
      </c>
    </row>
    <row r="91" spans="1:9" ht="16.5" customHeight="1" x14ac:dyDescent="0.15">
      <c r="A91" s="9" t="s">
        <v>53</v>
      </c>
      <c r="B91" s="10" t="s">
        <v>54</v>
      </c>
      <c r="C91" s="10">
        <v>72.760000000000005</v>
      </c>
      <c r="D91" s="17">
        <v>2284.4796000000001</v>
      </c>
      <c r="E91" s="10">
        <v>2.46</v>
      </c>
      <c r="F91" s="10">
        <v>1.8142</v>
      </c>
      <c r="G91" s="10" t="s">
        <v>55</v>
      </c>
      <c r="H91" s="10" t="s">
        <v>8609</v>
      </c>
      <c r="I91" s="15" t="str">
        <f>CONCATENATE("https://gushitong.baidu.com/stock/ab-", B91)</f>
        <v>https://gushitong.baidu.com/stock/ab-600309</v>
      </c>
    </row>
    <row r="92" spans="1:9" ht="16.5" customHeight="1" x14ac:dyDescent="0.15">
      <c r="A92" s="9" t="s">
        <v>1007</v>
      </c>
      <c r="B92" s="10" t="s">
        <v>1008</v>
      </c>
      <c r="C92" s="10">
        <v>5.3</v>
      </c>
      <c r="D92" s="17">
        <v>219.34521000000001</v>
      </c>
      <c r="E92" s="10">
        <v>2.4500000000000002</v>
      </c>
      <c r="F92" s="10">
        <v>0.59009999999999996</v>
      </c>
      <c r="G92" s="10" t="s">
        <v>784</v>
      </c>
      <c r="H92" s="10" t="s">
        <v>8605</v>
      </c>
      <c r="I92" s="15" t="str">
        <f>CONCATENATE("https://gushitong.baidu.com/stock/ab-", B92)</f>
        <v>https://gushitong.baidu.com/stock/ab-600582</v>
      </c>
    </row>
    <row r="93" spans="1:9" ht="16.5" customHeight="1" x14ac:dyDescent="0.15">
      <c r="A93" s="9" t="s">
        <v>908</v>
      </c>
      <c r="B93" s="10" t="s">
        <v>909</v>
      </c>
      <c r="C93" s="10">
        <v>3.4</v>
      </c>
      <c r="D93" s="17">
        <v>234.89058</v>
      </c>
      <c r="E93" s="10">
        <v>2.44</v>
      </c>
      <c r="F93" s="10">
        <v>1.411</v>
      </c>
      <c r="G93" s="10" t="s">
        <v>146</v>
      </c>
      <c r="H93" s="10" t="s">
        <v>8609</v>
      </c>
      <c r="I93" s="15" t="str">
        <f>CONCATENATE("https://gushitong.baidu.com/stock/ab-", B93)</f>
        <v>https://gushitong.baidu.com/stock/ab-000932</v>
      </c>
    </row>
    <row r="94" spans="1:9" ht="16.5" customHeight="1" x14ac:dyDescent="0.15">
      <c r="A94" s="9" t="s">
        <v>804</v>
      </c>
      <c r="B94" s="10" t="s">
        <v>805</v>
      </c>
      <c r="C94" s="10">
        <v>24.65</v>
      </c>
      <c r="D94" s="17">
        <v>202.87354999999999</v>
      </c>
      <c r="E94" s="10">
        <v>2.42</v>
      </c>
      <c r="F94" s="10">
        <v>1.6624000000000001</v>
      </c>
      <c r="G94" s="10" t="s">
        <v>747</v>
      </c>
      <c r="H94" s="10" t="s">
        <v>14922</v>
      </c>
      <c r="I94" s="15" t="str">
        <f>CONCATENATE("https://gushitong.baidu.com/stock/ab-", B94)</f>
        <v>https://gushitong.baidu.com/stock/ab-002812</v>
      </c>
    </row>
    <row r="95" spans="1:9" ht="16.5" customHeight="1" x14ac:dyDescent="0.15">
      <c r="A95" s="9" t="s">
        <v>700</v>
      </c>
      <c r="B95" s="10" t="s">
        <v>701</v>
      </c>
      <c r="C95" s="10">
        <v>13.45</v>
      </c>
      <c r="D95" s="17">
        <v>297.44148000000001</v>
      </c>
      <c r="E95" s="10">
        <v>2.4</v>
      </c>
      <c r="F95" s="10">
        <v>1.1605000000000001</v>
      </c>
      <c r="G95" s="10" t="s">
        <v>35</v>
      </c>
      <c r="H95" s="10" t="s">
        <v>8598</v>
      </c>
      <c r="I95" s="15" t="str">
        <f>CONCATENATE("https://gushitong.baidu.com/stock/ab-", B95)</f>
        <v>https://gushitong.baidu.com/stock/ab-601231</v>
      </c>
    </row>
    <row r="96" spans="1:9" ht="16.5" customHeight="1" x14ac:dyDescent="0.15">
      <c r="A96" s="9" t="s">
        <v>261</v>
      </c>
      <c r="B96" s="10" t="s">
        <v>262</v>
      </c>
      <c r="C96" s="10">
        <v>124.07</v>
      </c>
      <c r="D96" s="17">
        <v>770.85373000000004</v>
      </c>
      <c r="E96" s="10">
        <v>2.4</v>
      </c>
      <c r="F96" s="10">
        <v>1.5202</v>
      </c>
      <c r="G96" s="10" t="s">
        <v>106</v>
      </c>
      <c r="H96" s="10" t="s">
        <v>8598</v>
      </c>
      <c r="I96" s="15" t="str">
        <f>CONCATENATE("https://gushitong.baidu.com/stock/ab-", B96)</f>
        <v>https://gushitong.baidu.com/stock/ab-688012</v>
      </c>
    </row>
    <row r="97" spans="1:9" ht="16.5" customHeight="1" x14ac:dyDescent="0.15">
      <c r="A97" s="9" t="s">
        <v>1169</v>
      </c>
      <c r="B97" s="10" t="s">
        <v>1170</v>
      </c>
      <c r="C97" s="10">
        <v>9.19</v>
      </c>
      <c r="D97" s="17">
        <v>181.36855</v>
      </c>
      <c r="E97" s="10">
        <v>2.39</v>
      </c>
      <c r="F97" s="10">
        <v>0.91720000000000002</v>
      </c>
      <c r="G97" s="10" t="s">
        <v>633</v>
      </c>
      <c r="H97" s="10" t="s">
        <v>8596</v>
      </c>
      <c r="I97" s="15" t="str">
        <f>CONCATENATE("https://gushitong.baidu.com/stock/ab-", B97)</f>
        <v>https://gushitong.baidu.com/stock/ab-002558</v>
      </c>
    </row>
    <row r="98" spans="1:9" ht="16.5" customHeight="1" x14ac:dyDescent="0.15">
      <c r="A98" s="9" t="s">
        <v>538</v>
      </c>
      <c r="B98" s="10" t="s">
        <v>539</v>
      </c>
      <c r="C98" s="10">
        <v>3.88</v>
      </c>
      <c r="D98" s="17">
        <v>394.40604000000002</v>
      </c>
      <c r="E98" s="10">
        <v>2.38</v>
      </c>
      <c r="F98" s="10">
        <v>1.1736</v>
      </c>
      <c r="G98" s="10" t="s">
        <v>430</v>
      </c>
      <c r="H98" s="10" t="s">
        <v>8605</v>
      </c>
      <c r="I98" s="15" t="str">
        <f>CONCATENATE("https://gushitong.baidu.com/stock/ab-", B98)</f>
        <v>https://gushitong.baidu.com/stock/ab-600968</v>
      </c>
    </row>
    <row r="99" spans="1:9" ht="16.5" customHeight="1" x14ac:dyDescent="0.15">
      <c r="A99" s="9" t="s">
        <v>1271</v>
      </c>
      <c r="B99" s="10" t="s">
        <v>1272</v>
      </c>
      <c r="C99" s="10">
        <v>16.91</v>
      </c>
      <c r="D99" s="17">
        <v>164.29949999999999</v>
      </c>
      <c r="E99" s="10">
        <v>2.37</v>
      </c>
      <c r="F99" s="10">
        <v>1.4671000000000001</v>
      </c>
      <c r="G99" s="10" t="s">
        <v>406</v>
      </c>
      <c r="H99" s="10" t="s">
        <v>8609</v>
      </c>
      <c r="I99" s="15" t="str">
        <f>CONCATENATE("https://gushitong.baidu.com/stock/ab-", B99)</f>
        <v>https://gushitong.baidu.com/stock/ab-002430</v>
      </c>
    </row>
    <row r="100" spans="1:9" ht="16.5" customHeight="1" x14ac:dyDescent="0.15">
      <c r="A100" s="9" t="s">
        <v>306</v>
      </c>
      <c r="B100" s="10" t="s">
        <v>307</v>
      </c>
      <c r="C100" s="10">
        <v>32.479999999999997</v>
      </c>
      <c r="D100" s="17">
        <v>604.59397000000001</v>
      </c>
      <c r="E100" s="10">
        <v>2.37</v>
      </c>
      <c r="F100" s="10">
        <v>1.4724999999999999</v>
      </c>
      <c r="G100" s="10" t="s">
        <v>13</v>
      </c>
      <c r="H100" s="10" t="s">
        <v>14922</v>
      </c>
      <c r="I100" s="15" t="str">
        <f>CONCATENATE("https://gushitong.baidu.com/stock/ab-", B100)</f>
        <v>https://gushitong.baidu.com/stock/ab-300014</v>
      </c>
    </row>
    <row r="101" spans="1:9" ht="16.5" customHeight="1" x14ac:dyDescent="0.15">
      <c r="A101" s="9" t="s">
        <v>1355</v>
      </c>
      <c r="B101" s="10" t="s">
        <v>1356</v>
      </c>
      <c r="C101" s="10">
        <v>9.48</v>
      </c>
      <c r="D101" s="17">
        <v>159.08611999999999</v>
      </c>
      <c r="E101" s="10">
        <v>2.36</v>
      </c>
      <c r="F101" s="10">
        <v>1.3399000000000001</v>
      </c>
      <c r="G101" s="10" t="s">
        <v>596</v>
      </c>
      <c r="H101" s="10" t="s">
        <v>8609</v>
      </c>
      <c r="I101" s="15" t="str">
        <f>CONCATENATE("https://gushitong.baidu.com/stock/ab-", B101)</f>
        <v>https://gushitong.baidu.com/stock/ab-002080</v>
      </c>
    </row>
    <row r="102" spans="1:9" ht="16.5" customHeight="1" x14ac:dyDescent="0.15">
      <c r="A102" s="9" t="s">
        <v>612</v>
      </c>
      <c r="B102" s="10" t="s">
        <v>613</v>
      </c>
      <c r="C102" s="10">
        <v>18.63</v>
      </c>
      <c r="D102" s="17">
        <v>341.73545000000001</v>
      </c>
      <c r="E102" s="10">
        <v>2.35</v>
      </c>
      <c r="F102" s="10">
        <v>1.9561999999999999</v>
      </c>
      <c r="G102" s="10" t="s">
        <v>614</v>
      </c>
      <c r="H102" s="10" t="s">
        <v>8609</v>
      </c>
      <c r="I102" s="15" t="str">
        <f>CONCATENATE("https://gushitong.baidu.com/stock/ab-", B102)</f>
        <v>https://gushitong.baidu.com/stock/ab-600096</v>
      </c>
    </row>
    <row r="103" spans="1:9" ht="16.5" customHeight="1" x14ac:dyDescent="0.15">
      <c r="A103" s="9" t="s">
        <v>636</v>
      </c>
      <c r="B103" s="10" t="s">
        <v>637</v>
      </c>
      <c r="C103" s="10">
        <v>28</v>
      </c>
      <c r="D103" s="17">
        <v>322.27981</v>
      </c>
      <c r="E103" s="10">
        <v>2.33</v>
      </c>
      <c r="F103" s="10">
        <v>1.3769</v>
      </c>
      <c r="G103" s="10" t="s">
        <v>638</v>
      </c>
      <c r="H103" s="10" t="s">
        <v>8605</v>
      </c>
      <c r="I103" s="15" t="str">
        <f>CONCATENATE("https://gushitong.baidu.com/stock/ab-", B103)</f>
        <v>https://gushitong.baidu.com/stock/ab-002444</v>
      </c>
    </row>
    <row r="104" spans="1:9" ht="16.5" customHeight="1" x14ac:dyDescent="0.15">
      <c r="A104" s="9" t="s">
        <v>1163</v>
      </c>
      <c r="B104" s="10" t="s">
        <v>1164</v>
      </c>
      <c r="C104" s="10">
        <v>38.880000000000003</v>
      </c>
      <c r="D104" s="17">
        <v>189.46315999999999</v>
      </c>
      <c r="E104" s="10">
        <v>2.29</v>
      </c>
      <c r="F104" s="10">
        <v>0.5857</v>
      </c>
      <c r="G104" s="10" t="s">
        <v>396</v>
      </c>
      <c r="H104" s="10" t="s">
        <v>8598</v>
      </c>
      <c r="I104" s="15" t="str">
        <f>CONCATENATE("https://gushitong.baidu.com/stock/ab-", B104)</f>
        <v>https://gushitong.baidu.com/stock/ab-603179</v>
      </c>
    </row>
    <row r="105" spans="1:9" ht="16.5" customHeight="1" x14ac:dyDescent="0.15">
      <c r="A105" s="9" t="s">
        <v>873</v>
      </c>
      <c r="B105" s="10" t="s">
        <v>874</v>
      </c>
      <c r="C105" s="10">
        <v>49.85</v>
      </c>
      <c r="D105" s="17">
        <v>158.78359</v>
      </c>
      <c r="E105" s="10">
        <v>2.2799999999999998</v>
      </c>
      <c r="F105" s="10">
        <v>0.68779999999999997</v>
      </c>
      <c r="G105" s="10" t="s">
        <v>571</v>
      </c>
      <c r="H105" s="10" t="s">
        <v>8598</v>
      </c>
      <c r="I105" s="15" t="str">
        <f>CONCATENATE("https://gushitong.baidu.com/stock/ab-", B105)</f>
        <v>https://gushitong.baidu.com/stock/ab-002409</v>
      </c>
    </row>
    <row r="106" spans="1:9" ht="16.5" customHeight="1" x14ac:dyDescent="0.15">
      <c r="A106" s="9" t="s">
        <v>494</v>
      </c>
      <c r="B106" s="10" t="s">
        <v>495</v>
      </c>
      <c r="C106" s="10">
        <v>31.21</v>
      </c>
      <c r="D106" s="17">
        <v>428.03586999999999</v>
      </c>
      <c r="E106" s="10">
        <v>2.25</v>
      </c>
      <c r="F106" s="10">
        <v>0.2757</v>
      </c>
      <c r="G106" s="10" t="s">
        <v>140</v>
      </c>
      <c r="H106" s="10" t="s">
        <v>8600</v>
      </c>
      <c r="I106" s="15" t="str">
        <f>CONCATENATE("https://gushitong.baidu.com/stock/ab-", B106)</f>
        <v>https://gushitong.baidu.com/stock/ab-600085</v>
      </c>
    </row>
    <row r="107" spans="1:9" ht="16.5" customHeight="1" x14ac:dyDescent="0.15">
      <c r="A107" s="9" t="s">
        <v>465</v>
      </c>
      <c r="B107" s="10" t="s">
        <v>466</v>
      </c>
      <c r="C107" s="10">
        <v>33.79</v>
      </c>
      <c r="D107" s="17">
        <v>474.07567999999998</v>
      </c>
      <c r="E107" s="10">
        <v>2.2400000000000002</v>
      </c>
      <c r="F107" s="10">
        <v>2.0459000000000001</v>
      </c>
      <c r="G107" s="10" t="s">
        <v>391</v>
      </c>
      <c r="H107" s="10" t="s">
        <v>14922</v>
      </c>
      <c r="I107" s="15" t="str">
        <f>CONCATENATE("https://gushitong.baidu.com/stock/ab-", B107)</f>
        <v>https://gushitong.baidu.com/stock/ab-601567</v>
      </c>
    </row>
    <row r="108" spans="1:9" ht="16.5" customHeight="1" x14ac:dyDescent="0.15">
      <c r="A108" s="9" t="s">
        <v>132</v>
      </c>
      <c r="B108" s="10" t="s">
        <v>133</v>
      </c>
      <c r="C108" s="10">
        <v>5.75</v>
      </c>
      <c r="D108" s="17">
        <v>1334.8382200000001</v>
      </c>
      <c r="E108" s="10">
        <v>2.17</v>
      </c>
      <c r="F108" s="10">
        <v>0.7369</v>
      </c>
      <c r="G108" s="10" t="s">
        <v>134</v>
      </c>
      <c r="H108" s="10" t="s">
        <v>8603</v>
      </c>
      <c r="I108" s="15" t="str">
        <f>CONCATENATE("https://gushitong.baidu.com/stock/ab-", B108)</f>
        <v>https://gushitong.baidu.com/stock/ab-600018</v>
      </c>
    </row>
    <row r="109" spans="1:9" ht="16.5" customHeight="1" x14ac:dyDescent="0.15">
      <c r="A109" s="9" t="s">
        <v>96</v>
      </c>
      <c r="B109" s="10" t="s">
        <v>97</v>
      </c>
      <c r="C109" s="10">
        <v>23.88</v>
      </c>
      <c r="D109" s="17">
        <v>1475.2057</v>
      </c>
      <c r="E109" s="10">
        <v>2.17</v>
      </c>
      <c r="F109" s="10">
        <v>1.7736000000000001</v>
      </c>
      <c r="G109" s="10" t="s">
        <v>18</v>
      </c>
      <c r="H109" s="10" t="s">
        <v>8596</v>
      </c>
      <c r="I109" s="15" t="str">
        <f>CONCATENATE("https://gushitong.baidu.com/stock/ab-", B109)</f>
        <v>https://gushitong.baidu.com/stock/ab-601633</v>
      </c>
    </row>
    <row r="110" spans="1:9" ht="16.5" customHeight="1" x14ac:dyDescent="0.15">
      <c r="A110" s="9" t="s">
        <v>902</v>
      </c>
      <c r="B110" s="10" t="s">
        <v>903</v>
      </c>
      <c r="C110" s="10">
        <v>27.82</v>
      </c>
      <c r="D110" s="17">
        <v>237.91906</v>
      </c>
      <c r="E110" s="10">
        <v>2.13</v>
      </c>
      <c r="F110" s="10">
        <v>0.63800000000000001</v>
      </c>
      <c r="G110" s="10" t="s">
        <v>286</v>
      </c>
      <c r="H110" s="10" t="s">
        <v>8598</v>
      </c>
      <c r="I110" s="15" t="str">
        <f>CONCATENATE("https://gushitong.baidu.com/stock/ab-", B110)</f>
        <v>https://gushitong.baidu.com/stock/ab-300476</v>
      </c>
    </row>
    <row r="111" spans="1:9" ht="16.5" customHeight="1" x14ac:dyDescent="0.15">
      <c r="A111" s="9" t="s">
        <v>1214</v>
      </c>
      <c r="B111" s="10" t="s">
        <v>1215</v>
      </c>
      <c r="C111" s="10">
        <v>9.5399999999999991</v>
      </c>
      <c r="D111" s="17">
        <v>178.79872</v>
      </c>
      <c r="E111" s="10">
        <v>2.12</v>
      </c>
      <c r="F111" s="10">
        <v>0.37469999999999998</v>
      </c>
      <c r="G111" s="10" t="s">
        <v>44</v>
      </c>
      <c r="H111" s="10" t="s">
        <v>8600</v>
      </c>
      <c r="I111" s="15" t="str">
        <f>CONCATENATE("https://gushitong.baidu.com/stock/ab-", B111)</f>
        <v>https://gushitong.baidu.com/stock/ab-600380</v>
      </c>
    </row>
    <row r="112" spans="1:9" ht="16.5" customHeight="1" x14ac:dyDescent="0.15">
      <c r="A112" s="9" t="s">
        <v>36</v>
      </c>
      <c r="B112" s="10" t="s">
        <v>37</v>
      </c>
      <c r="C112" s="10">
        <v>15.04</v>
      </c>
      <c r="D112" s="17">
        <v>3091.6664999999998</v>
      </c>
      <c r="E112" s="10">
        <v>2.09</v>
      </c>
      <c r="F112" s="10">
        <v>0.59209999999999996</v>
      </c>
      <c r="G112" s="10" t="s">
        <v>38</v>
      </c>
      <c r="H112" s="10" t="s">
        <v>8609</v>
      </c>
      <c r="I112" s="15" t="str">
        <f>CONCATENATE("https://gushitong.baidu.com/stock/ab-", B112)</f>
        <v>https://gushitong.baidu.com/stock/ab-601899</v>
      </c>
    </row>
    <row r="113" spans="1:9" ht="16.5" customHeight="1" x14ac:dyDescent="0.15">
      <c r="A113" s="9" t="s">
        <v>1133</v>
      </c>
      <c r="B113" s="10" t="s">
        <v>1134</v>
      </c>
      <c r="C113" s="10">
        <v>23.44</v>
      </c>
      <c r="D113" s="17">
        <v>177.32007999999999</v>
      </c>
      <c r="E113" s="10">
        <v>2.06</v>
      </c>
      <c r="F113" s="10">
        <v>0.55879999999999996</v>
      </c>
      <c r="G113" s="10" t="s">
        <v>362</v>
      </c>
      <c r="H113" s="10" t="s">
        <v>8598</v>
      </c>
      <c r="I113" s="15" t="str">
        <f>CONCATENATE("https://gushitong.baidu.com/stock/ab-", B113)</f>
        <v>https://gushitong.baidu.com/stock/ab-002138</v>
      </c>
    </row>
    <row r="114" spans="1:9" ht="16.5" customHeight="1" x14ac:dyDescent="0.15">
      <c r="A114" s="9" t="s">
        <v>1014</v>
      </c>
      <c r="B114" s="10" t="s">
        <v>1015</v>
      </c>
      <c r="C114" s="10">
        <v>26.57</v>
      </c>
      <c r="D114" s="17">
        <v>200.88666000000001</v>
      </c>
      <c r="E114" s="10">
        <v>2.06</v>
      </c>
      <c r="F114" s="10">
        <v>0.91539999999999999</v>
      </c>
      <c r="G114" s="10" t="s">
        <v>149</v>
      </c>
      <c r="H114" s="10" t="s">
        <v>8598</v>
      </c>
      <c r="I114" s="15" t="str">
        <f>CONCATENATE("https://gushitong.baidu.com/stock/ab-", B114)</f>
        <v>https://gushitong.baidu.com/stock/ab-002281</v>
      </c>
    </row>
    <row r="115" spans="1:9" ht="16.5" customHeight="1" x14ac:dyDescent="0.15">
      <c r="A115" s="9" t="s">
        <v>545</v>
      </c>
      <c r="B115" s="10" t="s">
        <v>546</v>
      </c>
      <c r="C115" s="10">
        <v>24.69</v>
      </c>
      <c r="D115" s="17">
        <v>347.11448000000001</v>
      </c>
      <c r="E115" s="10">
        <v>2.0499999999999998</v>
      </c>
      <c r="F115" s="10">
        <v>1.7235</v>
      </c>
      <c r="G115" s="10" t="s">
        <v>140</v>
      </c>
      <c r="H115" s="10" t="s">
        <v>8600</v>
      </c>
      <c r="I115" s="15" t="str">
        <f>CONCATENATE("https://gushitong.baidu.com/stock/ab-", B115)</f>
        <v>https://gushitong.baidu.com/stock/ab-600332</v>
      </c>
    </row>
    <row r="116" spans="1:9" ht="16.5" customHeight="1" x14ac:dyDescent="0.15">
      <c r="A116" s="9" t="s">
        <v>179</v>
      </c>
      <c r="B116" s="10" t="s">
        <v>180</v>
      </c>
      <c r="C116" s="10">
        <v>5.99</v>
      </c>
      <c r="D116" s="17">
        <v>1093.6090899999999</v>
      </c>
      <c r="E116" s="10">
        <v>2.0299999999999998</v>
      </c>
      <c r="F116" s="10">
        <v>0.41170000000000001</v>
      </c>
      <c r="G116" s="10" t="s">
        <v>49</v>
      </c>
      <c r="H116" s="10" t="s">
        <v>8603</v>
      </c>
      <c r="I116" s="15" t="str">
        <f>CONCATENATE("https://gushitong.baidu.com/stock/ab-", B116)</f>
        <v>https://gushitong.baidu.com/stock/ab-601006</v>
      </c>
    </row>
    <row r="117" spans="1:9" ht="16.5" customHeight="1" x14ac:dyDescent="0.15">
      <c r="A117" s="9" t="s">
        <v>1259</v>
      </c>
      <c r="B117" s="10" t="s">
        <v>1260</v>
      </c>
      <c r="C117" s="10">
        <v>21.83</v>
      </c>
      <c r="D117" s="17">
        <v>148.79656</v>
      </c>
      <c r="E117" s="10">
        <v>2.0099999999999998</v>
      </c>
      <c r="F117" s="10">
        <v>1.6814</v>
      </c>
      <c r="G117" s="10" t="s">
        <v>476</v>
      </c>
      <c r="H117" s="10" t="s">
        <v>8600</v>
      </c>
      <c r="I117" s="15" t="str">
        <f>CONCATENATE("https://gushitong.baidu.com/stock/ab-", B117)</f>
        <v>https://gushitong.baidu.com/stock/ab-000403</v>
      </c>
    </row>
    <row r="118" spans="1:9" ht="16.5" customHeight="1" x14ac:dyDescent="0.15">
      <c r="A118" s="9" t="s">
        <v>291</v>
      </c>
      <c r="B118" s="10" t="s">
        <v>292</v>
      </c>
      <c r="C118" s="10">
        <v>6.25</v>
      </c>
      <c r="D118" s="17">
        <v>507.50576999999998</v>
      </c>
      <c r="E118" s="10">
        <v>2</v>
      </c>
      <c r="F118" s="10">
        <v>2.1656</v>
      </c>
      <c r="G118" s="10" t="s">
        <v>137</v>
      </c>
      <c r="H118" s="10" t="s">
        <v>8605</v>
      </c>
      <c r="I118" s="15" t="str">
        <f>CONCATENATE("https://gushitong.baidu.com/stock/ab-", B118)</f>
        <v>https://gushitong.baidu.com/stock/ab-000425</v>
      </c>
    </row>
    <row r="119" spans="1:9" ht="16.5" customHeight="1" thickBot="1" x14ac:dyDescent="0.2">
      <c r="A119" s="12" t="s">
        <v>410</v>
      </c>
      <c r="B119" s="13" t="s">
        <v>411</v>
      </c>
      <c r="C119" s="13">
        <v>43.25</v>
      </c>
      <c r="D119" s="18">
        <v>120.806684</v>
      </c>
      <c r="E119" s="13">
        <v>1.99</v>
      </c>
      <c r="F119" s="13">
        <v>0.63400000000000001</v>
      </c>
      <c r="G119" s="13" t="s">
        <v>86</v>
      </c>
      <c r="H119" s="13" t="s">
        <v>8603</v>
      </c>
      <c r="I119" s="16" t="str">
        <f>CONCATENATE("https://gushitong.baidu.com/stock/ab-", B119)</f>
        <v>https://gushitong.baidu.com/stock/ab-688187</v>
      </c>
    </row>
  </sheetData>
  <autoFilter ref="A1:I119">
    <sortState ref="A2:I119">
      <sortCondition descending="1" ref="E1:E119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J8" sqref="J8"/>
    </sheetView>
  </sheetViews>
  <sheetFormatPr defaultRowHeight="14.25" x14ac:dyDescent="0.15"/>
  <cols>
    <col min="1" max="2" width="10.25" bestFit="1" customWidth="1"/>
    <col min="3" max="3" width="13" bestFit="1" customWidth="1"/>
    <col min="4" max="4" width="17.75" bestFit="1" customWidth="1"/>
    <col min="5" max="5" width="12.875" bestFit="1" customWidth="1"/>
    <col min="6" max="6" width="10.5" bestFit="1" customWidth="1"/>
    <col min="7" max="7" width="38.25" bestFit="1" customWidth="1"/>
    <col min="8" max="8" width="12.75" bestFit="1" customWidth="1"/>
    <col min="9" max="9" width="48.25" bestFit="1" customWidth="1"/>
  </cols>
  <sheetData>
    <row r="1" spans="1:9" x14ac:dyDescent="0.15">
      <c r="A1" s="7" t="s">
        <v>0</v>
      </c>
      <c r="B1" s="8" t="s">
        <v>1</v>
      </c>
      <c r="C1" s="8" t="s">
        <v>14914</v>
      </c>
      <c r="D1" s="27" t="s">
        <v>14916</v>
      </c>
      <c r="E1" s="8" t="s">
        <v>2</v>
      </c>
      <c r="F1" s="8" t="s">
        <v>3</v>
      </c>
      <c r="G1" s="8" t="s">
        <v>4</v>
      </c>
      <c r="H1" s="8" t="s">
        <v>14924</v>
      </c>
      <c r="I1" s="8" t="s">
        <v>8612</v>
      </c>
    </row>
    <row r="2" spans="1:9" x14ac:dyDescent="0.15">
      <c r="A2" s="32" t="s">
        <v>14948</v>
      </c>
      <c r="B2" s="33" t="s">
        <v>309</v>
      </c>
      <c r="C2" s="33">
        <v>17.5</v>
      </c>
      <c r="D2" s="34">
        <v>642.32875999999999</v>
      </c>
      <c r="E2" s="33">
        <v>3.28</v>
      </c>
      <c r="F2" s="33">
        <v>0.42</v>
      </c>
      <c r="G2" s="33" t="s">
        <v>310</v>
      </c>
      <c r="H2" s="33" t="s">
        <v>8596</v>
      </c>
      <c r="I2" s="35" t="str">
        <f>CONCATENATE("https://gushitong.baidu.com/stock/ab-", B2)</f>
        <v>https://gushitong.baidu.com/stock/ab-002050</v>
      </c>
    </row>
    <row r="3" spans="1:9" x14ac:dyDescent="0.15">
      <c r="A3" s="32" t="s">
        <v>765</v>
      </c>
      <c r="B3" s="33" t="s">
        <v>766</v>
      </c>
      <c r="C3" s="33">
        <v>26.65</v>
      </c>
      <c r="D3" s="34">
        <v>277.87311</v>
      </c>
      <c r="E3" s="33">
        <v>3.3</v>
      </c>
      <c r="F3" s="33">
        <v>0.29270000000000002</v>
      </c>
      <c r="G3" s="33" t="s">
        <v>391</v>
      </c>
      <c r="H3" s="33" t="s">
        <v>14922</v>
      </c>
      <c r="I3" s="35" t="str">
        <f>CONCATENATE("https://gushitong.baidu.com/stock/ab-", B3)</f>
        <v>https://gushitong.baidu.com/stock/ab-600885</v>
      </c>
    </row>
    <row r="4" spans="1:9" x14ac:dyDescent="0.15">
      <c r="A4" s="32" t="s">
        <v>297</v>
      </c>
      <c r="B4" s="33" t="s">
        <v>298</v>
      </c>
      <c r="C4" s="33">
        <v>29.37</v>
      </c>
      <c r="D4" s="34">
        <v>622.98299999999995</v>
      </c>
      <c r="E4" s="33">
        <v>5.25</v>
      </c>
      <c r="F4" s="33">
        <v>0.68810000000000004</v>
      </c>
      <c r="G4" s="33" t="s">
        <v>299</v>
      </c>
      <c r="H4" s="33" t="s">
        <v>8598</v>
      </c>
      <c r="I4" s="35" t="str">
        <f>CONCATENATE("https://gushitong.baidu.com/stock/ab-", B4)</f>
        <v>https://gushitong.baidu.com/stock/ab-600845</v>
      </c>
    </row>
    <row r="5" spans="1:9" x14ac:dyDescent="0.15">
      <c r="A5" s="32" t="s">
        <v>1028</v>
      </c>
      <c r="B5" s="33" t="s">
        <v>1029</v>
      </c>
      <c r="C5" s="33">
        <v>27.4</v>
      </c>
      <c r="D5" s="34">
        <v>151.61691999999999</v>
      </c>
      <c r="E5" s="33">
        <v>3.33</v>
      </c>
      <c r="F5" s="33">
        <v>0.4803</v>
      </c>
      <c r="G5" s="33" t="s">
        <v>339</v>
      </c>
      <c r="H5" s="33" t="s">
        <v>8600</v>
      </c>
      <c r="I5" s="35" t="str">
        <f>CONCATENATE("https://gushitong.baidu.com/stock/ab-", B5)</f>
        <v>https://gushitong.baidu.com/stock/ab-600511</v>
      </c>
    </row>
    <row r="6" spans="1:9" x14ac:dyDescent="0.15">
      <c r="A6" s="32" t="s">
        <v>14918</v>
      </c>
      <c r="B6" s="33" t="s">
        <v>945</v>
      </c>
      <c r="C6" s="33">
        <v>24.46</v>
      </c>
      <c r="D6" s="34">
        <v>223.99199999999999</v>
      </c>
      <c r="E6" s="33">
        <v>4.8600000000000003</v>
      </c>
      <c r="F6" s="33">
        <v>0.85499999999999998</v>
      </c>
      <c r="G6" s="33" t="s">
        <v>140</v>
      </c>
      <c r="H6" s="33" t="s">
        <v>8600</v>
      </c>
      <c r="I6" s="35" t="str">
        <f>CONCATENATE("https://gushitong.baidu.com/stock/ab-", B6)</f>
        <v>https://gushitong.baidu.com/stock/ab-600566</v>
      </c>
    </row>
    <row r="7" spans="1:9" x14ac:dyDescent="0.15">
      <c r="A7" s="9" t="s">
        <v>834</v>
      </c>
      <c r="B7" s="10" t="s">
        <v>835</v>
      </c>
      <c r="C7" s="10">
        <v>5.24</v>
      </c>
      <c r="D7" s="17">
        <v>251.66515999999999</v>
      </c>
      <c r="E7" s="10">
        <v>3.62</v>
      </c>
      <c r="F7" s="10">
        <v>0.88970000000000005</v>
      </c>
      <c r="G7" s="10" t="s">
        <v>690</v>
      </c>
      <c r="H7" s="10" t="s">
        <v>8607</v>
      </c>
      <c r="I7" s="15" t="str">
        <f>CONCATENATE("https://gushitong.baidu.com/stock/ab-", B7)</f>
        <v>https://gushitong.baidu.com/stock/ab-600398</v>
      </c>
    </row>
    <row r="8" spans="1:9" s="36" customFormat="1" x14ac:dyDescent="0.15">
      <c r="A8" s="9" t="s">
        <v>628</v>
      </c>
      <c r="B8" s="10" t="s">
        <v>629</v>
      </c>
      <c r="C8" s="10">
        <v>43.2</v>
      </c>
      <c r="D8" s="17">
        <v>343.33848</v>
      </c>
      <c r="E8" s="10">
        <v>4.51</v>
      </c>
      <c r="F8" s="10">
        <v>0.75790000000000002</v>
      </c>
      <c r="G8" s="10" t="s">
        <v>630</v>
      </c>
      <c r="H8" s="10" t="s">
        <v>8605</v>
      </c>
      <c r="I8" s="15" t="str">
        <f>CONCATENATE("https://gushitong.baidu.com/stock/ab-", B8)</f>
        <v>https://gushitong.baidu.com/stock/ab-002595</v>
      </c>
    </row>
    <row r="9" spans="1:9" x14ac:dyDescent="0.15">
      <c r="A9" s="9" t="s">
        <v>782</v>
      </c>
      <c r="B9" s="10" t="s">
        <v>783</v>
      </c>
      <c r="C9" s="10">
        <v>27.07</v>
      </c>
      <c r="D9" s="17">
        <v>187.71295000000001</v>
      </c>
      <c r="E9" s="10">
        <v>3.2</v>
      </c>
      <c r="F9" s="10">
        <v>0.9446</v>
      </c>
      <c r="G9" s="10" t="s">
        <v>784</v>
      </c>
      <c r="H9" s="10" t="s">
        <v>8605</v>
      </c>
      <c r="I9" s="15" t="str">
        <f>CONCATENATE("https://gushitong.baidu.com/stock/ab-", B9)</f>
        <v>https://gushitong.baidu.com/stock/ab-002353</v>
      </c>
    </row>
    <row r="10" spans="1:9" x14ac:dyDescent="0.15">
      <c r="A10" s="9" t="s">
        <v>906</v>
      </c>
      <c r="B10" s="10" t="s">
        <v>907</v>
      </c>
      <c r="C10" s="10">
        <v>18.55</v>
      </c>
      <c r="D10" s="17">
        <v>242.97013999999999</v>
      </c>
      <c r="E10" s="10">
        <v>3.76</v>
      </c>
      <c r="F10" s="10">
        <v>1.0954999999999999</v>
      </c>
      <c r="G10" s="10" t="s">
        <v>137</v>
      </c>
      <c r="H10" s="10" t="s">
        <v>8605</v>
      </c>
      <c r="I10" s="15" t="str">
        <f>CONCATENATE("https://gushitong.baidu.com/stock/ab-", B10)</f>
        <v>https://gushitong.baidu.com/stock/ab-603298</v>
      </c>
    </row>
    <row r="11" spans="1:9" x14ac:dyDescent="0.15">
      <c r="A11" s="9" t="s">
        <v>263</v>
      </c>
      <c r="B11" s="10" t="s">
        <v>264</v>
      </c>
      <c r="C11" s="10">
        <v>37.06</v>
      </c>
      <c r="D11" s="17">
        <v>764.81109000000004</v>
      </c>
      <c r="E11" s="10">
        <v>4.1399999999999997</v>
      </c>
      <c r="F11" s="10">
        <v>1.1861999999999999</v>
      </c>
      <c r="G11" s="10" t="s">
        <v>265</v>
      </c>
      <c r="H11" s="10" t="s">
        <v>8605</v>
      </c>
      <c r="I11" s="15" t="str">
        <f>CONCATENATE("https://gushitong.baidu.com/stock/ab-", B11)</f>
        <v>https://gushitong.baidu.com/stock/ab-002179</v>
      </c>
    </row>
    <row r="12" spans="1:9" x14ac:dyDescent="0.15">
      <c r="A12" s="9" t="s">
        <v>697</v>
      </c>
      <c r="B12" s="10" t="s">
        <v>698</v>
      </c>
      <c r="C12" s="10">
        <v>17.7</v>
      </c>
      <c r="D12" s="17">
        <v>300.61505</v>
      </c>
      <c r="E12" s="10">
        <v>3.65</v>
      </c>
      <c r="F12" s="10">
        <v>1.0215000000000001</v>
      </c>
      <c r="G12" s="10" t="s">
        <v>699</v>
      </c>
      <c r="H12" s="10" t="s">
        <v>8603</v>
      </c>
      <c r="I12" s="15" t="str">
        <f>CONCATENATE("https://gushitong.baidu.com/stock/ab-", B12)</f>
        <v>https://gushitong.baidu.com/stock/ab-603568</v>
      </c>
    </row>
    <row r="13" spans="1:9" s="36" customFormat="1" x14ac:dyDescent="0.15">
      <c r="A13" s="22" t="s">
        <v>58</v>
      </c>
      <c r="B13" s="23" t="s">
        <v>59</v>
      </c>
      <c r="C13" s="23">
        <v>26.11</v>
      </c>
      <c r="D13" s="25">
        <v>1633.0501999999999</v>
      </c>
      <c r="E13" s="23">
        <v>3.08</v>
      </c>
      <c r="F13" s="23">
        <v>0.73919999999999997</v>
      </c>
      <c r="G13" s="23" t="s">
        <v>60</v>
      </c>
      <c r="H13" s="23" t="s">
        <v>8596</v>
      </c>
      <c r="I13" s="15" t="str">
        <f>CONCATENATE("https://gushitong.baidu.com/stock/ab-", B13)</f>
        <v>https://gushitong.baidu.com/stock/ab-600690</v>
      </c>
    </row>
    <row r="14" spans="1:9" x14ac:dyDescent="0.15">
      <c r="A14" s="22" t="s">
        <v>871</v>
      </c>
      <c r="B14" s="23" t="s">
        <v>872</v>
      </c>
      <c r="C14" s="23">
        <v>39.770000000000003</v>
      </c>
      <c r="D14" s="25">
        <v>240.72913</v>
      </c>
      <c r="E14" s="23">
        <v>3.7</v>
      </c>
      <c r="F14" s="23">
        <v>0.76780000000000004</v>
      </c>
      <c r="G14" s="23" t="s">
        <v>201</v>
      </c>
      <c r="H14" s="23" t="s">
        <v>8596</v>
      </c>
      <c r="I14" s="15" t="str">
        <f>CONCATENATE("https://gushitong.baidu.com/stock/ab-", B14)</f>
        <v>https://gushitong.baidu.com/stock/ab-603596</v>
      </c>
    </row>
    <row r="15" spans="1:9" x14ac:dyDescent="0.15">
      <c r="A15" s="22" t="s">
        <v>30</v>
      </c>
      <c r="B15" s="23" t="s">
        <v>31</v>
      </c>
      <c r="C15" s="23">
        <v>65.25</v>
      </c>
      <c r="D15" s="25">
        <v>4488.2655999999997</v>
      </c>
      <c r="E15" s="23">
        <v>3.78</v>
      </c>
      <c r="F15" s="23">
        <v>0.90859999999999996</v>
      </c>
      <c r="G15" s="23" t="s">
        <v>32</v>
      </c>
      <c r="H15" s="23" t="s">
        <v>8596</v>
      </c>
      <c r="I15" s="15" t="str">
        <f>CONCATENATE("https://gushitong.baidu.com/stock/ab-", B15)</f>
        <v>https://gushitong.baidu.com/stock/ab-000333</v>
      </c>
    </row>
    <row r="16" spans="1:9" s="36" customFormat="1" x14ac:dyDescent="0.15">
      <c r="A16" s="22" t="s">
        <v>946</v>
      </c>
      <c r="B16" s="23" t="s">
        <v>947</v>
      </c>
      <c r="C16" s="23">
        <v>44.97</v>
      </c>
      <c r="D16" s="25">
        <v>89.120755000000003</v>
      </c>
      <c r="E16" s="23">
        <v>3.4</v>
      </c>
      <c r="F16" s="23">
        <v>1.0684</v>
      </c>
      <c r="G16" s="23" t="s">
        <v>514</v>
      </c>
      <c r="H16" s="23" t="s">
        <v>8596</v>
      </c>
      <c r="I16" s="15" t="str">
        <f>CONCATENATE("https://gushitong.baidu.com/stock/ab-", B16)</f>
        <v>https://gushitong.baidu.com/stock/ab-688363</v>
      </c>
    </row>
    <row r="17" spans="1:9" x14ac:dyDescent="0.15">
      <c r="A17" s="9" t="s">
        <v>19</v>
      </c>
      <c r="B17" s="10" t="s">
        <v>20</v>
      </c>
      <c r="C17" s="10">
        <v>38.24</v>
      </c>
      <c r="D17" s="17">
        <v>6306.1728999999996</v>
      </c>
      <c r="E17" s="10">
        <v>3.09</v>
      </c>
      <c r="F17" s="10">
        <v>0.76719999999999999</v>
      </c>
      <c r="G17" s="10" t="s">
        <v>21</v>
      </c>
      <c r="H17" s="10" t="s">
        <v>14922</v>
      </c>
      <c r="I17" s="15" t="str">
        <f>CONCATENATE("https://gushitong.baidu.com/stock/ab-", B17)</f>
        <v>https://gushitong.baidu.com/stock/ab-601088</v>
      </c>
    </row>
    <row r="18" spans="1:9" x14ac:dyDescent="0.15">
      <c r="A18" s="22" t="s">
        <v>243</v>
      </c>
      <c r="B18" s="23" t="s">
        <v>244</v>
      </c>
      <c r="C18" s="23">
        <v>183.82</v>
      </c>
      <c r="D18" s="25">
        <v>850.21464000000003</v>
      </c>
      <c r="E18" s="23">
        <v>3.49</v>
      </c>
      <c r="F18" s="23">
        <v>0.53010000000000002</v>
      </c>
      <c r="G18" s="23" t="s">
        <v>245</v>
      </c>
      <c r="H18" s="23" t="s">
        <v>8598</v>
      </c>
      <c r="I18" s="15" t="str">
        <f>CONCATENATE("https://gushitong.baidu.com/stock/ab-", B18)</f>
        <v>https://gushitong.baidu.com/stock/ab-688111</v>
      </c>
    </row>
    <row r="19" spans="1:9" x14ac:dyDescent="0.15">
      <c r="A19" s="22" t="s">
        <v>455</v>
      </c>
      <c r="B19" s="23" t="s">
        <v>456</v>
      </c>
      <c r="C19" s="23">
        <v>96.64</v>
      </c>
      <c r="D19" s="25">
        <v>493.64875000000001</v>
      </c>
      <c r="E19" s="23">
        <v>3.11</v>
      </c>
      <c r="F19" s="23">
        <v>0.95469999999999999</v>
      </c>
      <c r="G19" s="23" t="s">
        <v>286</v>
      </c>
      <c r="H19" s="23" t="s">
        <v>8598</v>
      </c>
      <c r="I19" s="15" t="str">
        <f>CONCATENATE("https://gushitong.baidu.com/stock/ab-", B19)</f>
        <v>https://gushitong.baidu.com/stock/ab-002916</v>
      </c>
    </row>
    <row r="20" spans="1:9" x14ac:dyDescent="0.15">
      <c r="A20" s="22" t="s">
        <v>1161</v>
      </c>
      <c r="B20" s="23" t="s">
        <v>1162</v>
      </c>
      <c r="C20" s="23">
        <v>33.659999999999997</v>
      </c>
      <c r="D20" s="25">
        <v>182.48697000000001</v>
      </c>
      <c r="E20" s="23">
        <v>3.19</v>
      </c>
      <c r="F20" s="23">
        <v>1.0973999999999999</v>
      </c>
      <c r="G20" s="23" t="s">
        <v>682</v>
      </c>
      <c r="H20" s="23" t="s">
        <v>8598</v>
      </c>
      <c r="I20" s="15" t="str">
        <f>CONCATENATE("https://gushitong.baidu.com/stock/ab-", B20)</f>
        <v>https://gushitong.baidu.com/stock/ab-300373</v>
      </c>
    </row>
    <row r="21" spans="1:9" s="36" customFormat="1" x14ac:dyDescent="0.15">
      <c r="A21" s="22" t="s">
        <v>1131</v>
      </c>
      <c r="B21" s="23" t="s">
        <v>1132</v>
      </c>
      <c r="C21" s="23">
        <v>84.37</v>
      </c>
      <c r="D21" s="25">
        <v>189.83250000000001</v>
      </c>
      <c r="E21" s="23">
        <v>5.92</v>
      </c>
      <c r="F21" s="23">
        <v>1.2579</v>
      </c>
      <c r="G21" s="23" t="s">
        <v>362</v>
      </c>
      <c r="H21" s="23" t="s">
        <v>8598</v>
      </c>
      <c r="I21" s="15" t="str">
        <f>CONCATENATE("https://gushitong.baidu.com/stock/ab-", B21)</f>
        <v>https://gushitong.baidu.com/stock/ab-600563</v>
      </c>
    </row>
    <row r="22" spans="1:9" s="36" customFormat="1" x14ac:dyDescent="0.15">
      <c r="A22" s="22" t="s">
        <v>592</v>
      </c>
      <c r="B22" s="23" t="s">
        <v>593</v>
      </c>
      <c r="C22" s="23">
        <v>68.959999999999994</v>
      </c>
      <c r="D22" s="25">
        <v>204.39872</v>
      </c>
      <c r="E22" s="23">
        <v>4.3600000000000003</v>
      </c>
      <c r="F22" s="23">
        <v>1.3291999999999999</v>
      </c>
      <c r="G22" s="23" t="s">
        <v>214</v>
      </c>
      <c r="H22" s="23" t="s">
        <v>8598</v>
      </c>
      <c r="I22" s="15" t="str">
        <f>CONCATENATE("https://gushitong.baidu.com/stock/ab-", B22)</f>
        <v>https://gushitong.baidu.com/stock/ab-300866</v>
      </c>
    </row>
    <row r="23" spans="1:9" x14ac:dyDescent="0.15">
      <c r="A23" s="9" t="s">
        <v>1410</v>
      </c>
      <c r="B23" s="10" t="s">
        <v>1411</v>
      </c>
      <c r="C23" s="10">
        <v>26.75</v>
      </c>
      <c r="D23" s="17">
        <v>151.36971</v>
      </c>
      <c r="E23" s="10">
        <v>3.2</v>
      </c>
      <c r="F23" s="10">
        <v>1.1316999999999999</v>
      </c>
      <c r="G23" s="10" t="s">
        <v>140</v>
      </c>
      <c r="H23" s="10" t="s">
        <v>8600</v>
      </c>
      <c r="I23" s="15" t="str">
        <f>CONCATENATE("https://gushitong.baidu.com/stock/ab-", B23)</f>
        <v>https://gushitong.baidu.com/stock/ab-600329</v>
      </c>
    </row>
    <row r="24" spans="1:9" x14ac:dyDescent="0.15">
      <c r="A24" s="9" t="s">
        <v>806</v>
      </c>
      <c r="B24" s="10" t="s">
        <v>807</v>
      </c>
      <c r="C24" s="10">
        <v>24.42</v>
      </c>
      <c r="D24" s="17">
        <v>215.33374000000001</v>
      </c>
      <c r="E24" s="10">
        <v>3.99</v>
      </c>
      <c r="F24" s="10">
        <v>1.137</v>
      </c>
      <c r="G24" s="10" t="s">
        <v>44</v>
      </c>
      <c r="H24" s="10" t="s">
        <v>8600</v>
      </c>
      <c r="I24" s="15" t="str">
        <f>CONCATENATE("https://gushitong.baidu.com/stock/ab-", B24)</f>
        <v>https://gushitong.baidu.com/stock/ab-002262</v>
      </c>
    </row>
    <row r="25" spans="1:9" x14ac:dyDescent="0.15">
      <c r="A25" s="9" t="s">
        <v>424</v>
      </c>
      <c r="B25" s="10" t="s">
        <v>425</v>
      </c>
      <c r="C25" s="10">
        <v>27.56</v>
      </c>
      <c r="D25" s="17">
        <v>482.54914000000002</v>
      </c>
      <c r="E25" s="10">
        <v>3.42</v>
      </c>
      <c r="F25" s="10">
        <v>1.3101</v>
      </c>
      <c r="G25" s="10" t="s">
        <v>44</v>
      </c>
      <c r="H25" s="10" t="s">
        <v>8600</v>
      </c>
      <c r="I25" s="15" t="str">
        <f>CONCATENATE("https://gushitong.baidu.com/stock/ab-", B25)</f>
        <v>https://gushitong.baidu.com/stock/ab-000963</v>
      </c>
    </row>
    <row r="26" spans="1:9" x14ac:dyDescent="0.15">
      <c r="A26" s="9" t="s">
        <v>363</v>
      </c>
      <c r="B26" s="10" t="s">
        <v>364</v>
      </c>
      <c r="C26" s="10">
        <v>10.55</v>
      </c>
      <c r="D26" s="17">
        <v>532.47501999999997</v>
      </c>
      <c r="E26" s="10">
        <v>3.43</v>
      </c>
      <c r="F26" s="10">
        <v>0.9325</v>
      </c>
      <c r="G26" s="10" t="s">
        <v>365</v>
      </c>
      <c r="H26" s="10" t="s">
        <v>8609</v>
      </c>
      <c r="I26" s="15" t="str">
        <f>CONCATENATE("https://gushitong.baidu.com/stock/ab-", B26)</f>
        <v>https://gushitong.baidu.com/stock/ab-000708</v>
      </c>
    </row>
    <row r="27" spans="1:9" x14ac:dyDescent="0.15">
      <c r="A27" s="9" t="s">
        <v>1480</v>
      </c>
      <c r="B27" s="10" t="s">
        <v>1481</v>
      </c>
      <c r="C27" s="10">
        <v>14.32</v>
      </c>
      <c r="D27" s="17">
        <v>115.125618</v>
      </c>
      <c r="E27" s="10">
        <v>3.28</v>
      </c>
      <c r="F27" s="10">
        <v>0.9496</v>
      </c>
      <c r="G27" s="10" t="s">
        <v>1224</v>
      </c>
      <c r="H27" s="10" t="s">
        <v>8609</v>
      </c>
      <c r="I27" s="15" t="str">
        <f>CONCATENATE("https://gushitong.baidu.com/stock/ab-", B27)</f>
        <v>https://gushitong.baidu.com/stock/ab-300285</v>
      </c>
    </row>
    <row r="28" spans="1:9" x14ac:dyDescent="0.15">
      <c r="A28" s="9" t="s">
        <v>186</v>
      </c>
      <c r="B28" s="10" t="s">
        <v>187</v>
      </c>
      <c r="C28" s="10">
        <v>14.63</v>
      </c>
      <c r="D28" s="17">
        <v>1072.87057</v>
      </c>
      <c r="E28" s="10">
        <v>3.27</v>
      </c>
      <c r="F28" s="10">
        <v>1.1903999999999999</v>
      </c>
      <c r="G28" s="10" t="s">
        <v>188</v>
      </c>
      <c r="H28" s="10" t="s">
        <v>8609</v>
      </c>
      <c r="I28" s="15" t="str">
        <f>CONCATENATE("https://gushitong.baidu.com/stock/ab-", B28)</f>
        <v>https://gushitong.baidu.com/stock/ab-600989</v>
      </c>
    </row>
    <row r="29" spans="1:9" x14ac:dyDescent="0.15">
      <c r="A29" s="9" t="s">
        <v>948</v>
      </c>
      <c r="B29" s="10" t="s">
        <v>949</v>
      </c>
      <c r="C29" s="10">
        <v>26.92</v>
      </c>
      <c r="D29" s="17">
        <v>221.13247000000001</v>
      </c>
      <c r="E29" s="10">
        <v>4.71</v>
      </c>
      <c r="F29" s="10">
        <v>1.2502</v>
      </c>
      <c r="G29" s="10" t="s">
        <v>171</v>
      </c>
      <c r="H29" s="10" t="s">
        <v>8609</v>
      </c>
      <c r="I29" s="15" t="str">
        <f>CONCATENATE("https://gushitong.baidu.com/stock/ab-", B29)</f>
        <v>https://gushitong.baidu.com/stock/ab-300699</v>
      </c>
    </row>
  </sheetData>
  <autoFilter ref="A1:I29">
    <sortState ref="A2:I29">
      <sortCondition sortBy="cellColor" ref="A1:A29" dxfId="1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E7" sqref="E7"/>
    </sheetView>
  </sheetViews>
  <sheetFormatPr defaultRowHeight="14.25" x14ac:dyDescent="0.15"/>
  <cols>
    <col min="1" max="2" width="10.25" bestFit="1" customWidth="1"/>
    <col min="3" max="3" width="13" bestFit="1" customWidth="1"/>
    <col min="4" max="4" width="17.75" bestFit="1" customWidth="1"/>
    <col min="5" max="5" width="12.875" bestFit="1" customWidth="1"/>
    <col min="6" max="6" width="10.5" bestFit="1" customWidth="1"/>
    <col min="7" max="7" width="38.25" bestFit="1" customWidth="1"/>
    <col min="8" max="8" width="12.75" bestFit="1" customWidth="1"/>
    <col min="9" max="9" width="48.25" bestFit="1" customWidth="1"/>
  </cols>
  <sheetData>
    <row r="1" spans="1:9" x14ac:dyDescent="0.15">
      <c r="A1" s="7" t="s">
        <v>0</v>
      </c>
      <c r="B1" s="8" t="s">
        <v>1</v>
      </c>
      <c r="C1" s="8" t="s">
        <v>14914</v>
      </c>
      <c r="D1" s="27" t="s">
        <v>14916</v>
      </c>
      <c r="E1" s="8" t="s">
        <v>2</v>
      </c>
      <c r="F1" s="8" t="s">
        <v>3</v>
      </c>
      <c r="G1" s="8" t="s">
        <v>4</v>
      </c>
      <c r="H1" s="8" t="s">
        <v>14924</v>
      </c>
      <c r="I1" s="8" t="s">
        <v>8612</v>
      </c>
    </row>
    <row r="2" spans="1:9" x14ac:dyDescent="0.15">
      <c r="A2" s="9" t="s">
        <v>765</v>
      </c>
      <c r="B2" s="10" t="s">
        <v>766</v>
      </c>
      <c r="C2" s="10">
        <v>26.65</v>
      </c>
      <c r="D2" s="17">
        <v>277.87311</v>
      </c>
      <c r="E2" s="10">
        <v>3.3</v>
      </c>
      <c r="F2" s="10">
        <v>0.29270000000000002</v>
      </c>
      <c r="G2" s="10" t="s">
        <v>391</v>
      </c>
      <c r="H2" s="10" t="s">
        <v>14922</v>
      </c>
      <c r="I2" s="15" t="s">
        <v>14933</v>
      </c>
    </row>
    <row r="3" spans="1:9" x14ac:dyDescent="0.15">
      <c r="A3" s="9" t="s">
        <v>492</v>
      </c>
      <c r="B3" s="10" t="s">
        <v>493</v>
      </c>
      <c r="C3" s="10">
        <v>16.18</v>
      </c>
      <c r="D3" s="17">
        <v>402.41136999999998</v>
      </c>
      <c r="E3" s="10">
        <v>2.83</v>
      </c>
      <c r="F3" s="10">
        <v>0.39269999999999999</v>
      </c>
      <c r="G3" s="10" t="s">
        <v>193</v>
      </c>
      <c r="H3" s="10" t="s">
        <v>8609</v>
      </c>
      <c r="I3" s="15" t="s">
        <v>14941</v>
      </c>
    </row>
    <row r="4" spans="1:9" x14ac:dyDescent="0.15">
      <c r="A4" s="9" t="s">
        <v>1024</v>
      </c>
      <c r="B4" s="10" t="s">
        <v>1025</v>
      </c>
      <c r="C4" s="10">
        <v>43.3</v>
      </c>
      <c r="D4" s="17">
        <v>195.95893000000001</v>
      </c>
      <c r="E4" s="10">
        <v>3.07</v>
      </c>
      <c r="F4" s="10">
        <v>0.43319999999999997</v>
      </c>
      <c r="G4" s="10" t="s">
        <v>265</v>
      </c>
      <c r="H4" s="10" t="s">
        <v>8605</v>
      </c>
      <c r="I4" s="15" t="s">
        <v>14937</v>
      </c>
    </row>
    <row r="5" spans="1:9" x14ac:dyDescent="0.15">
      <c r="A5" s="9" t="s">
        <v>1028</v>
      </c>
      <c r="B5" s="10" t="s">
        <v>1029</v>
      </c>
      <c r="C5" s="10">
        <v>27.4</v>
      </c>
      <c r="D5" s="17">
        <v>151.61691999999999</v>
      </c>
      <c r="E5" s="10">
        <v>3.33</v>
      </c>
      <c r="F5" s="10">
        <v>0.4803</v>
      </c>
      <c r="G5" s="10" t="s">
        <v>339</v>
      </c>
      <c r="H5" s="10" t="s">
        <v>8600</v>
      </c>
      <c r="I5" s="15" t="s">
        <v>14932</v>
      </c>
    </row>
    <row r="6" spans="1:9" x14ac:dyDescent="0.15">
      <c r="A6" s="9" t="s">
        <v>730</v>
      </c>
      <c r="B6" s="10" t="s">
        <v>731</v>
      </c>
      <c r="C6" s="10">
        <v>35.58</v>
      </c>
      <c r="D6" s="17">
        <v>213.33998</v>
      </c>
      <c r="E6" s="10">
        <v>2.99</v>
      </c>
      <c r="F6" s="10">
        <v>0.54079999999999995</v>
      </c>
      <c r="G6" s="10" t="s">
        <v>44</v>
      </c>
      <c r="H6" s="10" t="s">
        <v>8600</v>
      </c>
      <c r="I6" s="15" t="s">
        <v>14938</v>
      </c>
    </row>
    <row r="7" spans="1:9" x14ac:dyDescent="0.15">
      <c r="A7" s="9" t="s">
        <v>628</v>
      </c>
      <c r="B7" s="10" t="s">
        <v>629</v>
      </c>
      <c r="C7" s="10">
        <v>43.2</v>
      </c>
      <c r="D7" s="17">
        <v>343.33848</v>
      </c>
      <c r="E7" s="10">
        <v>4.51</v>
      </c>
      <c r="F7" s="10">
        <v>0.75790000000000002</v>
      </c>
      <c r="G7" s="10" t="s">
        <v>630</v>
      </c>
      <c r="H7" s="10" t="s">
        <v>8605</v>
      </c>
      <c r="I7" s="15" t="s">
        <v>14926</v>
      </c>
    </row>
    <row r="8" spans="1:9" x14ac:dyDescent="0.15">
      <c r="A8" s="9" t="s">
        <v>871</v>
      </c>
      <c r="B8" s="10" t="s">
        <v>872</v>
      </c>
      <c r="C8" s="10">
        <v>39.770000000000003</v>
      </c>
      <c r="D8" s="17">
        <v>240.72913</v>
      </c>
      <c r="E8" s="10">
        <v>3.7</v>
      </c>
      <c r="F8" s="10">
        <v>0.76780000000000004</v>
      </c>
      <c r="G8" s="10" t="s">
        <v>201</v>
      </c>
      <c r="H8" s="10" t="s">
        <v>8596</v>
      </c>
      <c r="I8" s="15" t="s">
        <v>14928</v>
      </c>
    </row>
    <row r="9" spans="1:9" x14ac:dyDescent="0.15">
      <c r="A9" s="9" t="s">
        <v>14918</v>
      </c>
      <c r="B9" s="10" t="s">
        <v>945</v>
      </c>
      <c r="C9" s="10">
        <v>24.46</v>
      </c>
      <c r="D9" s="17">
        <v>223.99199999999999</v>
      </c>
      <c r="E9" s="10">
        <v>4.8600000000000003</v>
      </c>
      <c r="F9" s="10">
        <v>0.85499999999999998</v>
      </c>
      <c r="G9" s="10" t="s">
        <v>140</v>
      </c>
      <c r="H9" s="10" t="s">
        <v>8600</v>
      </c>
      <c r="I9" s="15" t="s">
        <v>14925</v>
      </c>
    </row>
    <row r="10" spans="1:9" x14ac:dyDescent="0.15">
      <c r="A10" s="9" t="s">
        <v>834</v>
      </c>
      <c r="B10" s="10" t="s">
        <v>835</v>
      </c>
      <c r="C10" s="10">
        <v>5.24</v>
      </c>
      <c r="D10" s="17">
        <v>251.66515999999999</v>
      </c>
      <c r="E10" s="10">
        <v>3.62</v>
      </c>
      <c r="F10" s="10">
        <v>0.88970000000000005</v>
      </c>
      <c r="G10" s="10" t="s">
        <v>690</v>
      </c>
      <c r="H10" s="10" t="s">
        <v>8607</v>
      </c>
      <c r="I10" s="15" t="s">
        <v>14930</v>
      </c>
    </row>
    <row r="11" spans="1:9" x14ac:dyDescent="0.15">
      <c r="A11" s="9" t="s">
        <v>891</v>
      </c>
      <c r="B11" s="10" t="s">
        <v>892</v>
      </c>
      <c r="C11" s="10">
        <v>8.8000000000000007</v>
      </c>
      <c r="D11" s="17">
        <v>154.67443</v>
      </c>
      <c r="E11" s="10">
        <v>2.96</v>
      </c>
      <c r="F11" s="10">
        <v>0.9143</v>
      </c>
      <c r="G11" s="10" t="s">
        <v>418</v>
      </c>
      <c r="H11" s="10" t="s">
        <v>8609</v>
      </c>
      <c r="I11" s="15" t="s">
        <v>14939</v>
      </c>
    </row>
    <row r="12" spans="1:9" x14ac:dyDescent="0.15">
      <c r="A12" s="9" t="s">
        <v>782</v>
      </c>
      <c r="B12" s="10" t="s">
        <v>783</v>
      </c>
      <c r="C12" s="10">
        <v>27.07</v>
      </c>
      <c r="D12" s="17">
        <v>187.71295000000001</v>
      </c>
      <c r="E12" s="10">
        <v>3.2</v>
      </c>
      <c r="F12" s="10">
        <v>0.9446</v>
      </c>
      <c r="G12" s="10" t="s">
        <v>784</v>
      </c>
      <c r="H12" s="10" t="s">
        <v>8605</v>
      </c>
      <c r="I12" s="15" t="s">
        <v>14935</v>
      </c>
    </row>
    <row r="13" spans="1:9" x14ac:dyDescent="0.15">
      <c r="A13" s="9" t="s">
        <v>1480</v>
      </c>
      <c r="B13" s="10" t="s">
        <v>1481</v>
      </c>
      <c r="C13" s="10">
        <v>14.32</v>
      </c>
      <c r="D13" s="17">
        <v>115.125618</v>
      </c>
      <c r="E13" s="10">
        <v>3.28</v>
      </c>
      <c r="F13" s="10">
        <v>0.9496</v>
      </c>
      <c r="G13" s="10" t="s">
        <v>1224</v>
      </c>
      <c r="H13" s="10" t="s">
        <v>8609</v>
      </c>
      <c r="I13" s="15" t="s">
        <v>14934</v>
      </c>
    </row>
    <row r="14" spans="1:9" x14ac:dyDescent="0.15">
      <c r="A14" s="9" t="s">
        <v>697</v>
      </c>
      <c r="B14" s="10" t="s">
        <v>698</v>
      </c>
      <c r="C14" s="10">
        <v>17.7</v>
      </c>
      <c r="D14" s="17">
        <v>300.61505</v>
      </c>
      <c r="E14" s="10">
        <v>3.65</v>
      </c>
      <c r="F14" s="10">
        <v>1.0215000000000001</v>
      </c>
      <c r="G14" s="10" t="s">
        <v>699</v>
      </c>
      <c r="H14" s="10" t="s">
        <v>8603</v>
      </c>
      <c r="I14" s="15" t="s">
        <v>14929</v>
      </c>
    </row>
    <row r="15" spans="1:9" x14ac:dyDescent="0.15">
      <c r="A15" s="9" t="s">
        <v>755</v>
      </c>
      <c r="B15" s="10" t="s">
        <v>756</v>
      </c>
      <c r="C15" s="10">
        <v>32.31</v>
      </c>
      <c r="D15" s="17">
        <v>276.08762000000002</v>
      </c>
      <c r="E15" s="10">
        <v>2.87</v>
      </c>
      <c r="F15" s="10">
        <v>1.0345</v>
      </c>
      <c r="G15" s="10" t="s">
        <v>71</v>
      </c>
      <c r="H15" s="10" t="s">
        <v>8607</v>
      </c>
      <c r="I15" s="15" t="s">
        <v>14940</v>
      </c>
    </row>
    <row r="16" spans="1:9" x14ac:dyDescent="0.15">
      <c r="A16" s="9" t="s">
        <v>946</v>
      </c>
      <c r="B16" s="10" t="s">
        <v>947</v>
      </c>
      <c r="C16" s="10">
        <v>44.97</v>
      </c>
      <c r="D16" s="17">
        <v>89.120755000000003</v>
      </c>
      <c r="E16" s="10">
        <v>3.4</v>
      </c>
      <c r="F16" s="10">
        <v>1.0684</v>
      </c>
      <c r="G16" s="10" t="s">
        <v>514</v>
      </c>
      <c r="H16" s="10" t="s">
        <v>8596</v>
      </c>
      <c r="I16" s="15" t="s">
        <v>14931</v>
      </c>
    </row>
    <row r="17" spans="1:9" x14ac:dyDescent="0.15">
      <c r="A17" s="9" t="s">
        <v>906</v>
      </c>
      <c r="B17" s="10" t="s">
        <v>907</v>
      </c>
      <c r="C17" s="10">
        <v>18.55</v>
      </c>
      <c r="D17" s="17">
        <v>242.97013999999999</v>
      </c>
      <c r="E17" s="10">
        <v>3.76</v>
      </c>
      <c r="F17" s="10">
        <v>1.0954999999999999</v>
      </c>
      <c r="G17" s="10" t="s">
        <v>137</v>
      </c>
      <c r="H17" s="10" t="s">
        <v>8605</v>
      </c>
      <c r="I17" s="15" t="s">
        <v>14927</v>
      </c>
    </row>
  </sheetData>
  <autoFilter ref="A1:I17">
    <sortState ref="A2:I33">
      <sortCondition ref="F1:F33"/>
    </sortState>
  </autoFilter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A2" sqref="A2:H3"/>
    </sheetView>
  </sheetViews>
  <sheetFormatPr defaultRowHeight="14.25" x14ac:dyDescent="0.15"/>
  <cols>
    <col min="1" max="2" width="12.25" bestFit="1" customWidth="1"/>
    <col min="3" max="3" width="15" bestFit="1" customWidth="1"/>
    <col min="4" max="4" width="19.75" bestFit="1" customWidth="1"/>
    <col min="5" max="5" width="14.875" bestFit="1" customWidth="1"/>
    <col min="6" max="6" width="12.5" bestFit="1" customWidth="1"/>
    <col min="7" max="7" width="38.25" bestFit="1" customWidth="1"/>
    <col min="8" max="8" width="9.5" bestFit="1" customWidth="1"/>
    <col min="9" max="9" width="48.25" bestFit="1" customWidth="1"/>
  </cols>
  <sheetData>
    <row r="1" spans="1:9" x14ac:dyDescent="0.15">
      <c r="A1" s="7" t="s">
        <v>0</v>
      </c>
      <c r="B1" s="8" t="s">
        <v>1</v>
      </c>
      <c r="C1" s="8" t="s">
        <v>14914</v>
      </c>
      <c r="D1" s="27" t="s">
        <v>14916</v>
      </c>
      <c r="E1" s="8" t="s">
        <v>2</v>
      </c>
      <c r="F1" s="8" t="s">
        <v>3</v>
      </c>
      <c r="G1" s="8" t="s">
        <v>4</v>
      </c>
      <c r="H1" s="8" t="s">
        <v>14924</v>
      </c>
      <c r="I1" s="8" t="s">
        <v>8612</v>
      </c>
    </row>
    <row r="2" spans="1:9" x14ac:dyDescent="0.15">
      <c r="A2" s="9" t="s">
        <v>308</v>
      </c>
      <c r="B2" s="10" t="s">
        <v>309</v>
      </c>
      <c r="C2" s="10">
        <v>17.5</v>
      </c>
      <c r="D2" s="17">
        <v>642.32875999999999</v>
      </c>
      <c r="E2" s="10">
        <v>3.28</v>
      </c>
      <c r="F2" s="10">
        <v>0.42</v>
      </c>
      <c r="G2" s="10" t="s">
        <v>310</v>
      </c>
      <c r="H2" s="10" t="s">
        <v>8596</v>
      </c>
      <c r="I2" s="15" t="s">
        <v>14946</v>
      </c>
    </row>
    <row r="3" spans="1:9" x14ac:dyDescent="0.15">
      <c r="A3" s="9" t="s">
        <v>30</v>
      </c>
      <c r="B3" s="10" t="s">
        <v>31</v>
      </c>
      <c r="C3" s="10">
        <v>65.25</v>
      </c>
      <c r="D3" s="17">
        <v>4488.2655999999997</v>
      </c>
      <c r="E3" s="10">
        <v>3.78</v>
      </c>
      <c r="F3" s="10">
        <v>0.90859999999999996</v>
      </c>
      <c r="G3" s="10" t="s">
        <v>32</v>
      </c>
      <c r="H3" s="10" t="s">
        <v>8596</v>
      </c>
      <c r="I3" s="15" t="s">
        <v>14945</v>
      </c>
    </row>
    <row r="4" spans="1:9" x14ac:dyDescent="0.15">
      <c r="A4" s="9" t="s">
        <v>455</v>
      </c>
      <c r="B4" s="10" t="s">
        <v>456</v>
      </c>
      <c r="C4" s="10">
        <v>96.64</v>
      </c>
      <c r="D4" s="17">
        <v>493.64875000000001</v>
      </c>
      <c r="E4" s="10">
        <v>3.11</v>
      </c>
      <c r="F4" s="10">
        <v>0.95469999999999999</v>
      </c>
      <c r="G4" s="10" t="s">
        <v>286</v>
      </c>
      <c r="H4" s="10" t="s">
        <v>8598</v>
      </c>
      <c r="I4" s="15" t="s">
        <v>14947</v>
      </c>
    </row>
    <row r="5" spans="1:9" x14ac:dyDescent="0.15">
      <c r="A5" s="9" t="s">
        <v>1161</v>
      </c>
      <c r="B5" s="10" t="s">
        <v>1162</v>
      </c>
      <c r="C5" s="10">
        <v>33.659999999999997</v>
      </c>
      <c r="D5" s="17">
        <v>182.48697000000001</v>
      </c>
      <c r="E5" s="10">
        <v>3.19</v>
      </c>
      <c r="F5" s="10">
        <v>1.0973999999999999</v>
      </c>
      <c r="G5" s="10" t="s">
        <v>682</v>
      </c>
      <c r="H5" s="10" t="s">
        <v>8598</v>
      </c>
      <c r="I5" s="15" t="s">
        <v>14936</v>
      </c>
    </row>
    <row r="6" spans="1:9" x14ac:dyDescent="0.15">
      <c r="A6" s="9" t="s">
        <v>592</v>
      </c>
      <c r="B6" s="10" t="s">
        <v>593</v>
      </c>
      <c r="C6" s="10">
        <v>68.959999999999994</v>
      </c>
      <c r="D6" s="17">
        <v>204.39872</v>
      </c>
      <c r="E6" s="10">
        <v>4.3600000000000003</v>
      </c>
      <c r="F6" s="10">
        <v>1.3291999999999999</v>
      </c>
      <c r="G6" s="10" t="s">
        <v>214</v>
      </c>
      <c r="H6" s="10" t="s">
        <v>8598</v>
      </c>
      <c r="I6" s="15" t="s">
        <v>14943</v>
      </c>
    </row>
    <row r="7" spans="1:9" x14ac:dyDescent="0.15">
      <c r="A7" s="9" t="s">
        <v>350</v>
      </c>
      <c r="B7" s="10" t="s">
        <v>351</v>
      </c>
      <c r="C7" s="10">
        <v>33.42</v>
      </c>
      <c r="D7" s="17">
        <v>639.66444000000001</v>
      </c>
      <c r="E7" s="10">
        <v>3.93</v>
      </c>
      <c r="F7" s="10">
        <v>1.4067000000000001</v>
      </c>
      <c r="G7" s="10" t="s">
        <v>286</v>
      </c>
      <c r="H7" s="10" t="s">
        <v>8598</v>
      </c>
      <c r="I7" s="15" t="s">
        <v>14944</v>
      </c>
    </row>
    <row r="8" spans="1:9" x14ac:dyDescent="0.15">
      <c r="A8" s="9" t="s">
        <v>107</v>
      </c>
      <c r="B8" s="10" t="s">
        <v>108</v>
      </c>
      <c r="C8" s="10">
        <v>100.02</v>
      </c>
      <c r="D8" s="17">
        <v>1467.4342999999999</v>
      </c>
      <c r="E8" s="10">
        <v>6.96</v>
      </c>
      <c r="F8" s="10">
        <v>1.6021000000000001</v>
      </c>
      <c r="G8" s="10" t="s">
        <v>7</v>
      </c>
      <c r="H8" s="10" t="s">
        <v>8596</v>
      </c>
      <c r="I8" s="15" t="s">
        <v>14942</v>
      </c>
    </row>
  </sheetData>
  <autoFilter ref="A1:I8">
    <sortState ref="A2:I14">
      <sortCondition ref="F1:F14"/>
    </sortState>
  </autoFilter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10" sqref="A10"/>
    </sheetView>
  </sheetViews>
  <sheetFormatPr defaultRowHeight="14.25" x14ac:dyDescent="0.15"/>
  <sheetData>
    <row r="1" spans="1:1" x14ac:dyDescent="0.15">
      <c r="A1" s="20" t="s">
        <v>8599</v>
      </c>
    </row>
    <row r="2" spans="1:1" x14ac:dyDescent="0.15">
      <c r="A2" s="20" t="s">
        <v>8601</v>
      </c>
    </row>
    <row r="3" spans="1:1" x14ac:dyDescent="0.15">
      <c r="A3" s="20" t="s">
        <v>8602</v>
      </c>
    </row>
    <row r="4" spans="1:1" x14ac:dyDescent="0.15">
      <c r="A4" s="20" t="s">
        <v>8604</v>
      </c>
    </row>
    <row r="5" spans="1:1" x14ac:dyDescent="0.15">
      <c r="A5" s="20" t="s">
        <v>8597</v>
      </c>
    </row>
    <row r="6" spans="1:1" x14ac:dyDescent="0.15">
      <c r="A6" s="20" t="s">
        <v>8606</v>
      </c>
    </row>
    <row r="7" spans="1:1" x14ac:dyDescent="0.15">
      <c r="A7" s="20" t="s">
        <v>8610</v>
      </c>
    </row>
    <row r="8" spans="1:1" x14ac:dyDescent="0.15">
      <c r="A8" s="20" t="s">
        <v>8608</v>
      </c>
    </row>
    <row r="9" spans="1:1" x14ac:dyDescent="0.15">
      <c r="A9" s="20" t="s">
        <v>14923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China Index ROIC</vt:lpstr>
      <vt:lpstr>MSCI中国成分股</vt:lpstr>
      <vt:lpstr>过滤</vt:lpstr>
      <vt:lpstr>当前走势</vt:lpstr>
      <vt:lpstr>MSCI最终筛选标的-原</vt:lpstr>
      <vt:lpstr>MSCI最终筛选标的 (2)</vt:lpstr>
      <vt:lpstr>5+5</vt:lpstr>
      <vt:lpstr>低价低市值+5+5</vt:lpstr>
      <vt:lpstr>深证+可选&amp;信息技术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SUO Jianfei</cp:lastModifiedBy>
  <dcterms:modified xsi:type="dcterms:W3CDTF">2024-09-18T09:32:46Z</dcterms:modified>
</cp:coreProperties>
</file>